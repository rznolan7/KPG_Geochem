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g_Geochem\Data\"/>
    </mc:Choice>
  </mc:AlternateContent>
  <xr:revisionPtr revIDLastSave="0" documentId="13_ncr:1_{4F36A0E5-D150-4350-AD5A-C9FC5EDDAFA2}" xr6:coauthVersionLast="36" xr6:coauthVersionMax="36" xr10:uidLastSave="{00000000-0000-0000-0000-000000000000}"/>
  <bookViews>
    <workbookView xWindow="0" yWindow="0" windowWidth="28780" windowHeight="12100" activeTab="1" xr2:uid="{B574FB25-B99A-4F11-9F8D-E4B2B81D738C}"/>
  </bookViews>
  <sheets>
    <sheet name="d18O_foram" sheetId="1" r:id="rId1"/>
    <sheet name="d18O_bulk" sheetId="6" r:id="rId2"/>
    <sheet name="d18O_shell" sheetId="5" r:id="rId3"/>
    <sheet name="clumped" sheetId="4" r:id="rId4"/>
    <sheet name="d18O_paleosol" sheetId="3" r:id="rId5"/>
    <sheet name="TEX86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28" i="6" l="1"/>
  <c r="H1528" i="6"/>
  <c r="K1527" i="6"/>
  <c r="H1527" i="6"/>
  <c r="K1526" i="6"/>
  <c r="H1526" i="6"/>
  <c r="K1525" i="6"/>
  <c r="H1525" i="6"/>
  <c r="K1524" i="6"/>
  <c r="H1524" i="6"/>
  <c r="K1523" i="6"/>
  <c r="H1523" i="6"/>
  <c r="K1522" i="6"/>
  <c r="H1522" i="6"/>
  <c r="K1521" i="6"/>
  <c r="H1521" i="6"/>
  <c r="K1520" i="6"/>
  <c r="H1520" i="6"/>
  <c r="K1519" i="6"/>
  <c r="H1519" i="6"/>
  <c r="K1518" i="6"/>
  <c r="H1518" i="6"/>
  <c r="K1517" i="6"/>
  <c r="H1517" i="6"/>
  <c r="K1516" i="6"/>
  <c r="H1516" i="6"/>
  <c r="K1515" i="6"/>
  <c r="H1515" i="6"/>
  <c r="K1514" i="6"/>
  <c r="H1514" i="6"/>
  <c r="K1513" i="6"/>
  <c r="H1513" i="6"/>
  <c r="K1512" i="6"/>
  <c r="H1512" i="6"/>
  <c r="K1511" i="6"/>
  <c r="H1511" i="6"/>
  <c r="K1510" i="6"/>
  <c r="H1510" i="6"/>
  <c r="K1509" i="6"/>
  <c r="H1509" i="6"/>
  <c r="K1508" i="6"/>
  <c r="H1508" i="6"/>
  <c r="K1507" i="6"/>
  <c r="H1507" i="6"/>
  <c r="K1506" i="6"/>
  <c r="H1506" i="6"/>
  <c r="K1505" i="6"/>
  <c r="H1505" i="6"/>
  <c r="K1504" i="6"/>
  <c r="H1504" i="6"/>
  <c r="K1503" i="6"/>
  <c r="H1503" i="6"/>
  <c r="K1502" i="6"/>
  <c r="H1502" i="6"/>
  <c r="K1501" i="6"/>
  <c r="H1501" i="6"/>
  <c r="K1500" i="6"/>
  <c r="H1500" i="6"/>
  <c r="K1499" i="6"/>
  <c r="H1499" i="6"/>
  <c r="K1498" i="6"/>
  <c r="H1498" i="6"/>
  <c r="K1497" i="6"/>
  <c r="H1497" i="6"/>
  <c r="K1496" i="6"/>
  <c r="H1496" i="6"/>
  <c r="K1495" i="6"/>
  <c r="H1495" i="6"/>
  <c r="K1494" i="6"/>
  <c r="H1494" i="6"/>
  <c r="K1493" i="6"/>
  <c r="H1493" i="6"/>
  <c r="K1492" i="6"/>
  <c r="H1492" i="6"/>
  <c r="K1491" i="6"/>
  <c r="H1491" i="6"/>
  <c r="K1490" i="6"/>
  <c r="H1490" i="6"/>
  <c r="K1489" i="6"/>
  <c r="H1489" i="6"/>
  <c r="K1488" i="6"/>
  <c r="H1488" i="6"/>
  <c r="K1487" i="6"/>
  <c r="H1487" i="6"/>
  <c r="K1486" i="6"/>
  <c r="H1486" i="6"/>
  <c r="K1485" i="6"/>
  <c r="H1485" i="6"/>
  <c r="K1484" i="6"/>
  <c r="H1484" i="6"/>
  <c r="K1483" i="6"/>
  <c r="H1483" i="6"/>
  <c r="K1482" i="6"/>
  <c r="H1482" i="6"/>
  <c r="K1481" i="6"/>
  <c r="H1481" i="6"/>
  <c r="K1480" i="6"/>
  <c r="H1480" i="6"/>
  <c r="K1479" i="6"/>
  <c r="H1479" i="6"/>
  <c r="K1478" i="6"/>
  <c r="H1478" i="6"/>
  <c r="K1477" i="6"/>
  <c r="H1477" i="6"/>
  <c r="K1476" i="6"/>
  <c r="H1476" i="6"/>
  <c r="K1475" i="6"/>
  <c r="H1475" i="6"/>
  <c r="K1474" i="6"/>
  <c r="H1474" i="6"/>
  <c r="K1473" i="6"/>
  <c r="H1473" i="6"/>
  <c r="K1472" i="6"/>
  <c r="H1472" i="6"/>
  <c r="K1471" i="6"/>
  <c r="H1471" i="6"/>
  <c r="K1470" i="6"/>
  <c r="H1470" i="6"/>
  <c r="K1469" i="6"/>
  <c r="H1469" i="6"/>
  <c r="K1468" i="6"/>
  <c r="H1468" i="6"/>
  <c r="K1467" i="6"/>
  <c r="H1467" i="6"/>
  <c r="K1466" i="6"/>
  <c r="H1466" i="6"/>
  <c r="K1465" i="6"/>
  <c r="H1465" i="6"/>
  <c r="K1464" i="6"/>
  <c r="H1464" i="6"/>
  <c r="K1463" i="6"/>
  <c r="H1463" i="6"/>
  <c r="K1462" i="6"/>
  <c r="H1462" i="6"/>
  <c r="K1461" i="6"/>
  <c r="H1461" i="6"/>
  <c r="K1460" i="6"/>
  <c r="H1460" i="6"/>
  <c r="K1459" i="6"/>
  <c r="H1459" i="6"/>
  <c r="K1458" i="6"/>
  <c r="H1458" i="6"/>
  <c r="K1457" i="6"/>
  <c r="H1457" i="6"/>
  <c r="K1456" i="6"/>
  <c r="H1456" i="6"/>
  <c r="K1455" i="6"/>
  <c r="H1455" i="6"/>
  <c r="K1454" i="6"/>
  <c r="H1454" i="6"/>
  <c r="K1453" i="6"/>
  <c r="H1453" i="6"/>
  <c r="K1452" i="6"/>
  <c r="H1452" i="6"/>
  <c r="K1451" i="6"/>
  <c r="H1451" i="6"/>
  <c r="K1450" i="6"/>
  <c r="H1450" i="6"/>
  <c r="K1449" i="6"/>
  <c r="H1449" i="6"/>
  <c r="K1448" i="6"/>
  <c r="H1448" i="6"/>
  <c r="K1447" i="6"/>
  <c r="H1447" i="6"/>
  <c r="K1446" i="6"/>
  <c r="H1446" i="6"/>
  <c r="K1445" i="6"/>
  <c r="H1445" i="6"/>
  <c r="K1444" i="6"/>
  <c r="H1444" i="6"/>
  <c r="K1443" i="6"/>
  <c r="H1443" i="6"/>
  <c r="K1442" i="6"/>
  <c r="H1442" i="6"/>
  <c r="K1441" i="6"/>
  <c r="H1441" i="6"/>
  <c r="K1440" i="6"/>
  <c r="H1440" i="6"/>
  <c r="K1439" i="6"/>
  <c r="H1439" i="6"/>
  <c r="K1438" i="6"/>
  <c r="H1438" i="6"/>
  <c r="K1437" i="6"/>
  <c r="H1437" i="6"/>
  <c r="K1436" i="6"/>
  <c r="H1436" i="6"/>
  <c r="K1435" i="6"/>
  <c r="H1435" i="6"/>
  <c r="K1434" i="6"/>
  <c r="H1434" i="6"/>
  <c r="K1433" i="6"/>
  <c r="H1433" i="6"/>
  <c r="K1432" i="6"/>
  <c r="H1432" i="6"/>
  <c r="K1431" i="6"/>
  <c r="H1431" i="6"/>
  <c r="K1430" i="6"/>
  <c r="H1430" i="6"/>
  <c r="K1429" i="6"/>
  <c r="H1429" i="6"/>
  <c r="K1428" i="6"/>
  <c r="H1428" i="6"/>
  <c r="K1427" i="6"/>
  <c r="H1427" i="6"/>
  <c r="K1426" i="6"/>
  <c r="H1426" i="6"/>
  <c r="K1425" i="6"/>
  <c r="H1425" i="6"/>
  <c r="K1424" i="6"/>
  <c r="H1424" i="6"/>
  <c r="K1423" i="6"/>
  <c r="H1423" i="6"/>
  <c r="K1422" i="6"/>
  <c r="H1422" i="6"/>
  <c r="K1421" i="6"/>
  <c r="H1421" i="6"/>
  <c r="K1420" i="6"/>
  <c r="H1420" i="6"/>
  <c r="K1419" i="6"/>
  <c r="H1419" i="6"/>
  <c r="K1418" i="6"/>
  <c r="H1418" i="6"/>
  <c r="K1417" i="6"/>
  <c r="H1417" i="6"/>
  <c r="K1416" i="6"/>
  <c r="H1416" i="6"/>
  <c r="K1415" i="6"/>
  <c r="H1415" i="6"/>
  <c r="K1414" i="6"/>
  <c r="H1414" i="6"/>
  <c r="K1413" i="6"/>
  <c r="H1413" i="6"/>
  <c r="K1412" i="6"/>
  <c r="H1412" i="6"/>
  <c r="K1411" i="6"/>
  <c r="H1411" i="6"/>
  <c r="K1410" i="6"/>
  <c r="H1410" i="6"/>
  <c r="K1409" i="6"/>
  <c r="H1409" i="6"/>
  <c r="K1408" i="6"/>
  <c r="H1408" i="6"/>
  <c r="K1407" i="6"/>
  <c r="H1407" i="6"/>
  <c r="K1406" i="6"/>
  <c r="H1406" i="6"/>
  <c r="K1405" i="6"/>
  <c r="H1405" i="6"/>
  <c r="K1404" i="6"/>
  <c r="H1404" i="6"/>
  <c r="K1403" i="6"/>
  <c r="H1403" i="6"/>
  <c r="K1402" i="6"/>
  <c r="H1402" i="6"/>
  <c r="K1401" i="6"/>
  <c r="H1401" i="6"/>
  <c r="K1400" i="6"/>
  <c r="H1400" i="6"/>
  <c r="K1399" i="6"/>
  <c r="H1399" i="6"/>
  <c r="K1398" i="6"/>
  <c r="H1398" i="6"/>
  <c r="K1397" i="6"/>
  <c r="H1397" i="6"/>
  <c r="K1396" i="6"/>
  <c r="H1396" i="6"/>
  <c r="K1395" i="6"/>
  <c r="H1395" i="6"/>
  <c r="K1394" i="6"/>
  <c r="H1394" i="6"/>
  <c r="K1393" i="6"/>
  <c r="H1393" i="6"/>
  <c r="K1392" i="6"/>
  <c r="H1392" i="6"/>
  <c r="K1391" i="6"/>
  <c r="H1391" i="6"/>
  <c r="K1390" i="6"/>
  <c r="H1390" i="6"/>
  <c r="K1389" i="6"/>
  <c r="H1389" i="6"/>
  <c r="K1388" i="6"/>
  <c r="H1388" i="6"/>
  <c r="K1387" i="6"/>
  <c r="H1387" i="6"/>
  <c r="K1386" i="6"/>
  <c r="H1386" i="6"/>
  <c r="K1385" i="6"/>
  <c r="H1385" i="6"/>
  <c r="K1384" i="6"/>
  <c r="H1384" i="6"/>
  <c r="K1383" i="6"/>
  <c r="H1383" i="6"/>
  <c r="K1382" i="6"/>
  <c r="H1382" i="6"/>
  <c r="K1381" i="6"/>
  <c r="H1381" i="6"/>
  <c r="K1380" i="6"/>
  <c r="H1380" i="6"/>
  <c r="K1379" i="6"/>
  <c r="H1379" i="6"/>
  <c r="K1378" i="6"/>
  <c r="H1378" i="6"/>
  <c r="K1377" i="6"/>
  <c r="H1377" i="6"/>
  <c r="K1376" i="6"/>
  <c r="H1376" i="6"/>
  <c r="K1375" i="6"/>
  <c r="H1375" i="6"/>
  <c r="K1374" i="6"/>
  <c r="H1374" i="6"/>
  <c r="K1373" i="6"/>
  <c r="H1373" i="6"/>
  <c r="K1372" i="6"/>
  <c r="H1372" i="6"/>
  <c r="K1371" i="6"/>
  <c r="H1371" i="6"/>
  <c r="K1370" i="6"/>
  <c r="H1370" i="6"/>
  <c r="K1369" i="6"/>
  <c r="H1369" i="6"/>
  <c r="K1368" i="6"/>
  <c r="H1368" i="6"/>
  <c r="K1367" i="6"/>
  <c r="H1367" i="6"/>
  <c r="K1366" i="6"/>
  <c r="H1366" i="6"/>
  <c r="K1365" i="6"/>
  <c r="H1365" i="6"/>
  <c r="K1364" i="6"/>
  <c r="H1364" i="6"/>
  <c r="K1363" i="6"/>
  <c r="H1363" i="6"/>
  <c r="K1362" i="6"/>
  <c r="H1362" i="6"/>
  <c r="K1361" i="6"/>
  <c r="H1361" i="6"/>
  <c r="K1360" i="6"/>
  <c r="H1360" i="6"/>
  <c r="K1359" i="6"/>
  <c r="H1359" i="6"/>
  <c r="K1358" i="6"/>
  <c r="H1358" i="6"/>
  <c r="K1357" i="6"/>
  <c r="H1357" i="6"/>
  <c r="K1356" i="6"/>
  <c r="H1356" i="6"/>
  <c r="K1355" i="6"/>
  <c r="H1355" i="6"/>
  <c r="K1354" i="6"/>
  <c r="H1354" i="6"/>
  <c r="K1353" i="6"/>
  <c r="H1353" i="6"/>
  <c r="K1352" i="6"/>
  <c r="H1352" i="6"/>
  <c r="K1351" i="6"/>
  <c r="H1351" i="6"/>
  <c r="K1350" i="6"/>
  <c r="H1350" i="6"/>
  <c r="K1349" i="6"/>
  <c r="H1349" i="6"/>
  <c r="K1348" i="6"/>
  <c r="H1348" i="6"/>
  <c r="K1347" i="6"/>
  <c r="H1347" i="6"/>
  <c r="K1346" i="6"/>
  <c r="H1346" i="6"/>
  <c r="K1345" i="6"/>
  <c r="H1345" i="6"/>
  <c r="K1344" i="6"/>
  <c r="H1344" i="6"/>
  <c r="K1343" i="6"/>
  <c r="H1343" i="6"/>
  <c r="K1342" i="6"/>
  <c r="H1342" i="6"/>
  <c r="K1341" i="6"/>
  <c r="H1341" i="6"/>
  <c r="K1340" i="6"/>
  <c r="H1340" i="6"/>
  <c r="K1339" i="6"/>
  <c r="H1339" i="6"/>
  <c r="K1338" i="6"/>
  <c r="H1338" i="6"/>
  <c r="K1337" i="6"/>
  <c r="H1337" i="6"/>
  <c r="K1336" i="6"/>
  <c r="H1336" i="6"/>
  <c r="K1335" i="6"/>
  <c r="H1335" i="6"/>
  <c r="K1334" i="6"/>
  <c r="H1334" i="6"/>
  <c r="K1333" i="6"/>
  <c r="H1333" i="6"/>
  <c r="K1332" i="6"/>
  <c r="H1332" i="6"/>
  <c r="K1331" i="6"/>
  <c r="H1331" i="6"/>
  <c r="K1330" i="6"/>
  <c r="H1330" i="6"/>
  <c r="K1329" i="6"/>
  <c r="H1329" i="6"/>
  <c r="K1328" i="6"/>
  <c r="H1328" i="6"/>
  <c r="K1327" i="6"/>
  <c r="H1327" i="6"/>
  <c r="K1326" i="6"/>
  <c r="H1326" i="6"/>
  <c r="K1325" i="6"/>
  <c r="H1325" i="6"/>
  <c r="K1324" i="6"/>
  <c r="H1324" i="6"/>
  <c r="K1323" i="6"/>
  <c r="H1323" i="6"/>
  <c r="K1322" i="6"/>
  <c r="H1322" i="6"/>
  <c r="K1321" i="6"/>
  <c r="H1321" i="6"/>
  <c r="K1320" i="6"/>
  <c r="H1320" i="6"/>
  <c r="K1319" i="6"/>
  <c r="H1319" i="6"/>
  <c r="K1318" i="6"/>
  <c r="H1318" i="6"/>
  <c r="K1317" i="6"/>
  <c r="H1317" i="6"/>
  <c r="K1316" i="6"/>
  <c r="H1316" i="6"/>
  <c r="K1315" i="6"/>
  <c r="H1315" i="6"/>
  <c r="K1314" i="6"/>
  <c r="H1314" i="6"/>
  <c r="K1313" i="6"/>
  <c r="H1313" i="6"/>
  <c r="K1312" i="6"/>
  <c r="H1312" i="6"/>
  <c r="K1311" i="6"/>
  <c r="H1311" i="6"/>
  <c r="K1310" i="6"/>
  <c r="H1310" i="6"/>
  <c r="K1309" i="6"/>
  <c r="H1309" i="6"/>
  <c r="K1308" i="6"/>
  <c r="H1308" i="6"/>
  <c r="K1307" i="6"/>
  <c r="H1307" i="6"/>
  <c r="K1306" i="6"/>
  <c r="H1306" i="6"/>
  <c r="K1305" i="6"/>
  <c r="H1305" i="6"/>
  <c r="K1304" i="6"/>
  <c r="H1304" i="6"/>
  <c r="K1303" i="6"/>
  <c r="H1303" i="6"/>
  <c r="K1302" i="6"/>
  <c r="H1302" i="6"/>
  <c r="K1301" i="6"/>
  <c r="H1301" i="6"/>
  <c r="K1300" i="6"/>
  <c r="H1300" i="6"/>
  <c r="K1299" i="6"/>
  <c r="H1299" i="6"/>
  <c r="K1298" i="6"/>
  <c r="H1298" i="6"/>
  <c r="K1297" i="6"/>
  <c r="H1297" i="6"/>
  <c r="K1296" i="6"/>
  <c r="H1296" i="6"/>
  <c r="K1295" i="6"/>
  <c r="H1295" i="6"/>
  <c r="K1294" i="6"/>
  <c r="H1294" i="6"/>
  <c r="K1293" i="6"/>
  <c r="H1293" i="6"/>
  <c r="K1292" i="6"/>
  <c r="H1292" i="6"/>
  <c r="K1291" i="6"/>
  <c r="H1291" i="6"/>
  <c r="K1290" i="6"/>
  <c r="H1290" i="6"/>
  <c r="K1289" i="6"/>
  <c r="H1289" i="6"/>
  <c r="K1288" i="6"/>
  <c r="H1288" i="6"/>
  <c r="K1287" i="6"/>
  <c r="H1287" i="6"/>
  <c r="K1286" i="6"/>
  <c r="H1286" i="6"/>
  <c r="K1285" i="6"/>
  <c r="H1285" i="6"/>
  <c r="K1284" i="6"/>
  <c r="H1284" i="6"/>
  <c r="K1283" i="6"/>
  <c r="H1283" i="6"/>
  <c r="K1282" i="6"/>
  <c r="H1282" i="6"/>
  <c r="K1281" i="6"/>
  <c r="H1281" i="6"/>
  <c r="K1280" i="6"/>
  <c r="H1280" i="6"/>
  <c r="K1279" i="6"/>
  <c r="H1279" i="6"/>
  <c r="K1278" i="6"/>
  <c r="H1278" i="6"/>
  <c r="K1277" i="6"/>
  <c r="H1277" i="6"/>
  <c r="K1276" i="6"/>
  <c r="H1276" i="6"/>
  <c r="K1275" i="6"/>
  <c r="H1275" i="6"/>
  <c r="K1274" i="6"/>
  <c r="H1274" i="6"/>
  <c r="K1273" i="6"/>
  <c r="H1273" i="6"/>
  <c r="K1272" i="6"/>
  <c r="H1272" i="6"/>
  <c r="K1271" i="6"/>
  <c r="H1271" i="6"/>
  <c r="K1270" i="6"/>
  <c r="H1270" i="6"/>
  <c r="K1269" i="6"/>
  <c r="H1269" i="6"/>
  <c r="K1268" i="6"/>
  <c r="H1268" i="6"/>
  <c r="K1267" i="6"/>
  <c r="H1267" i="6"/>
  <c r="K1266" i="6"/>
  <c r="H1266" i="6"/>
  <c r="K1265" i="6"/>
  <c r="H1265" i="6"/>
  <c r="K1264" i="6"/>
  <c r="H1264" i="6"/>
  <c r="K1263" i="6"/>
  <c r="H1263" i="6"/>
  <c r="K1262" i="6"/>
  <c r="H1262" i="6"/>
  <c r="K1261" i="6"/>
  <c r="H1261" i="6"/>
  <c r="K1260" i="6"/>
  <c r="H1260" i="6"/>
  <c r="K1259" i="6"/>
  <c r="H1259" i="6"/>
  <c r="K1258" i="6"/>
  <c r="H1258" i="6"/>
  <c r="K1257" i="6"/>
  <c r="H1257" i="6"/>
  <c r="K1256" i="6"/>
  <c r="H1256" i="6"/>
  <c r="K1255" i="6"/>
  <c r="H1255" i="6"/>
  <c r="K1254" i="6"/>
  <c r="H1254" i="6"/>
  <c r="K1253" i="6"/>
  <c r="H1253" i="6"/>
  <c r="K1252" i="6"/>
  <c r="H1252" i="6"/>
  <c r="K1251" i="6"/>
  <c r="H1251" i="6"/>
  <c r="K1250" i="6"/>
  <c r="H1250" i="6"/>
  <c r="K1249" i="6"/>
  <c r="H1249" i="6"/>
  <c r="K1248" i="6"/>
  <c r="H1248" i="6"/>
  <c r="K1247" i="6"/>
  <c r="H1247" i="6"/>
  <c r="K1246" i="6"/>
  <c r="H1246" i="6"/>
  <c r="K1245" i="6"/>
  <c r="H1245" i="6"/>
  <c r="K1244" i="6"/>
  <c r="H1244" i="6"/>
  <c r="K1243" i="6"/>
  <c r="H1243" i="6"/>
  <c r="K1242" i="6"/>
  <c r="H1242" i="6"/>
  <c r="K1241" i="6"/>
  <c r="H1241" i="6"/>
  <c r="K1240" i="6"/>
  <c r="H1240" i="6"/>
  <c r="K1239" i="6"/>
  <c r="H1239" i="6"/>
  <c r="K1238" i="6"/>
  <c r="H1238" i="6"/>
  <c r="K1237" i="6"/>
  <c r="H1237" i="6"/>
  <c r="K1236" i="6"/>
  <c r="H1236" i="6"/>
  <c r="K1235" i="6"/>
  <c r="H1235" i="6"/>
  <c r="K1234" i="6"/>
  <c r="H1234" i="6"/>
  <c r="K1233" i="6"/>
  <c r="H1233" i="6"/>
  <c r="K1232" i="6"/>
  <c r="H1232" i="6"/>
  <c r="K1231" i="6"/>
  <c r="H1231" i="6"/>
  <c r="K1230" i="6"/>
  <c r="H1230" i="6"/>
  <c r="K1229" i="6"/>
  <c r="H1229" i="6"/>
  <c r="K1228" i="6"/>
  <c r="H1228" i="6"/>
  <c r="K1227" i="6"/>
  <c r="H1227" i="6"/>
  <c r="K1226" i="6"/>
  <c r="H1226" i="6"/>
  <c r="K1225" i="6"/>
  <c r="H1225" i="6"/>
  <c r="K1224" i="6"/>
  <c r="H1224" i="6"/>
  <c r="K1223" i="6"/>
  <c r="H1223" i="6"/>
  <c r="K1222" i="6"/>
  <c r="H1222" i="6"/>
  <c r="K1221" i="6"/>
  <c r="H1221" i="6"/>
  <c r="K1220" i="6"/>
  <c r="H1220" i="6"/>
  <c r="K1219" i="6"/>
  <c r="H1219" i="6"/>
  <c r="K1218" i="6"/>
  <c r="H1218" i="6"/>
  <c r="K1217" i="6"/>
  <c r="H1217" i="6"/>
  <c r="K1216" i="6"/>
  <c r="H1216" i="6"/>
  <c r="K1215" i="6"/>
  <c r="H1215" i="6"/>
  <c r="K1214" i="6"/>
  <c r="H1214" i="6"/>
  <c r="K1213" i="6"/>
  <c r="H1213" i="6"/>
  <c r="K1212" i="6"/>
  <c r="H1212" i="6"/>
  <c r="K1211" i="6"/>
  <c r="H1211" i="6"/>
  <c r="K1210" i="6"/>
  <c r="H1210" i="6"/>
  <c r="K1209" i="6"/>
  <c r="H1209" i="6"/>
  <c r="K1208" i="6"/>
  <c r="H1208" i="6"/>
  <c r="K1207" i="6"/>
  <c r="H1207" i="6"/>
  <c r="K1206" i="6"/>
  <c r="H1206" i="6"/>
  <c r="K1205" i="6"/>
  <c r="H1205" i="6"/>
  <c r="K1204" i="6"/>
  <c r="H1204" i="6"/>
  <c r="K1203" i="6"/>
  <c r="H1203" i="6"/>
  <c r="K1202" i="6"/>
  <c r="H1202" i="6"/>
  <c r="K1201" i="6"/>
  <c r="H1201" i="6"/>
  <c r="K1200" i="6"/>
  <c r="H1200" i="6"/>
  <c r="K1199" i="6"/>
  <c r="H1199" i="6"/>
  <c r="K1198" i="6"/>
  <c r="H1198" i="6"/>
  <c r="K1197" i="6"/>
  <c r="H1197" i="6"/>
  <c r="K1196" i="6"/>
  <c r="H1196" i="6"/>
  <c r="K1195" i="6"/>
  <c r="H1195" i="6"/>
  <c r="K1194" i="6"/>
  <c r="H1194" i="6"/>
  <c r="K1193" i="6"/>
  <c r="H1193" i="6"/>
  <c r="K1192" i="6"/>
  <c r="H1192" i="6"/>
  <c r="K1191" i="6"/>
  <c r="H1191" i="6"/>
  <c r="K1190" i="6"/>
  <c r="H1190" i="6"/>
  <c r="K1189" i="6"/>
  <c r="H1189" i="6"/>
  <c r="K1188" i="6"/>
  <c r="H1188" i="6"/>
  <c r="K1187" i="6"/>
  <c r="H1187" i="6"/>
  <c r="K1186" i="6"/>
  <c r="H1186" i="6"/>
  <c r="K1185" i="6"/>
  <c r="H1185" i="6"/>
  <c r="K1184" i="6"/>
  <c r="H1184" i="6"/>
  <c r="K1183" i="6"/>
  <c r="H1183" i="6"/>
  <c r="K1182" i="6"/>
  <c r="H1182" i="6"/>
  <c r="K1181" i="6"/>
  <c r="H1181" i="6"/>
  <c r="K1180" i="6"/>
  <c r="H1180" i="6"/>
  <c r="K1179" i="6"/>
  <c r="H1179" i="6"/>
  <c r="K1178" i="6"/>
  <c r="H1178" i="6"/>
  <c r="K1177" i="6"/>
  <c r="H1177" i="6"/>
  <c r="K1176" i="6"/>
  <c r="H1176" i="6"/>
  <c r="K1175" i="6"/>
  <c r="H1175" i="6"/>
  <c r="K1174" i="6"/>
  <c r="H1174" i="6"/>
  <c r="K1173" i="6"/>
  <c r="H1173" i="6"/>
  <c r="K1172" i="6"/>
  <c r="H1172" i="6"/>
  <c r="K1171" i="6"/>
  <c r="H1171" i="6"/>
  <c r="K1170" i="6"/>
  <c r="H1170" i="6"/>
  <c r="K1169" i="6"/>
  <c r="H1169" i="6"/>
  <c r="K1168" i="6"/>
  <c r="H1168" i="6"/>
  <c r="K1167" i="6"/>
  <c r="H1167" i="6"/>
  <c r="K1166" i="6"/>
  <c r="H1166" i="6"/>
  <c r="K1165" i="6"/>
  <c r="H1165" i="6"/>
  <c r="K1164" i="6"/>
  <c r="H1164" i="6"/>
  <c r="K1163" i="6"/>
  <c r="H1163" i="6"/>
  <c r="K1162" i="6"/>
  <c r="H1162" i="6"/>
  <c r="K1161" i="6"/>
  <c r="H1161" i="6"/>
  <c r="K1160" i="6"/>
  <c r="H1160" i="6"/>
  <c r="K1159" i="6"/>
  <c r="H1159" i="6"/>
  <c r="K1158" i="6"/>
  <c r="H1158" i="6"/>
  <c r="K1157" i="6"/>
  <c r="H1157" i="6"/>
  <c r="K1156" i="6"/>
  <c r="H1156" i="6"/>
  <c r="K1155" i="6"/>
  <c r="H1155" i="6"/>
  <c r="K1154" i="6"/>
  <c r="H1154" i="6"/>
  <c r="K1153" i="6"/>
  <c r="H1153" i="6"/>
  <c r="K1152" i="6"/>
  <c r="H1152" i="6"/>
  <c r="K1151" i="6"/>
  <c r="H1151" i="6"/>
  <c r="K1150" i="6"/>
  <c r="H1150" i="6"/>
  <c r="K1149" i="6"/>
  <c r="H1149" i="6"/>
  <c r="K1148" i="6"/>
  <c r="H1148" i="6"/>
  <c r="K1147" i="6"/>
  <c r="H1147" i="6"/>
  <c r="K1146" i="6"/>
  <c r="H1146" i="6"/>
  <c r="K1145" i="6"/>
  <c r="H1145" i="6"/>
  <c r="K1144" i="6"/>
  <c r="H1144" i="6"/>
  <c r="K1143" i="6"/>
  <c r="H1143" i="6"/>
  <c r="K1142" i="6"/>
  <c r="H1142" i="6"/>
  <c r="K1141" i="6"/>
  <c r="H1141" i="6"/>
  <c r="K1140" i="6"/>
  <c r="H1140" i="6"/>
  <c r="K1139" i="6"/>
  <c r="H1139" i="6"/>
  <c r="K1138" i="6"/>
  <c r="H1138" i="6"/>
  <c r="K1137" i="6"/>
  <c r="H1137" i="6"/>
  <c r="K1136" i="6"/>
  <c r="H1136" i="6"/>
  <c r="K1135" i="6"/>
  <c r="H1135" i="6"/>
  <c r="K1134" i="6"/>
  <c r="H1134" i="6"/>
  <c r="K1133" i="6"/>
  <c r="H1133" i="6"/>
  <c r="K1132" i="6"/>
  <c r="H1132" i="6"/>
  <c r="K1131" i="6"/>
  <c r="H1131" i="6"/>
  <c r="K1130" i="6"/>
  <c r="H1130" i="6"/>
  <c r="K1129" i="6"/>
  <c r="H1129" i="6"/>
  <c r="K1128" i="6"/>
  <c r="H1128" i="6"/>
  <c r="K1127" i="6"/>
  <c r="H1127" i="6"/>
  <c r="K1126" i="6"/>
  <c r="H1126" i="6"/>
  <c r="K1125" i="6"/>
  <c r="H1125" i="6"/>
  <c r="K1124" i="6"/>
  <c r="H1124" i="6"/>
  <c r="K1123" i="6"/>
  <c r="H1123" i="6"/>
  <c r="K1122" i="6"/>
  <c r="H1122" i="6"/>
  <c r="K1121" i="6"/>
  <c r="H1121" i="6"/>
  <c r="K1120" i="6"/>
  <c r="H1120" i="6"/>
  <c r="K1119" i="6"/>
  <c r="H1119" i="6"/>
  <c r="K1118" i="6"/>
  <c r="H1118" i="6"/>
  <c r="K1117" i="6"/>
  <c r="H1117" i="6"/>
  <c r="K1116" i="6"/>
  <c r="H1116" i="6"/>
  <c r="K1115" i="6"/>
  <c r="H1115" i="6"/>
  <c r="K1114" i="6"/>
  <c r="H1114" i="6"/>
  <c r="K1113" i="6"/>
  <c r="H1113" i="6"/>
  <c r="K1112" i="6"/>
  <c r="H1112" i="6"/>
  <c r="K1111" i="6"/>
  <c r="H1111" i="6"/>
  <c r="K1110" i="6"/>
  <c r="H1110" i="6"/>
  <c r="K1109" i="6"/>
  <c r="H1109" i="6"/>
  <c r="K1108" i="6"/>
  <c r="H1108" i="6"/>
  <c r="K1107" i="6"/>
  <c r="H1107" i="6"/>
  <c r="K1106" i="6"/>
  <c r="H1106" i="6"/>
  <c r="K1105" i="6"/>
  <c r="H1105" i="6"/>
  <c r="K1104" i="6"/>
  <c r="H1104" i="6"/>
  <c r="K1103" i="6"/>
  <c r="H1103" i="6"/>
  <c r="K1102" i="6"/>
  <c r="H1102" i="6"/>
  <c r="K1101" i="6"/>
  <c r="H1101" i="6"/>
  <c r="K1100" i="6"/>
  <c r="H1100" i="6"/>
  <c r="K1099" i="6"/>
  <c r="H1099" i="6"/>
  <c r="K1098" i="6"/>
  <c r="H1098" i="6"/>
  <c r="K1097" i="6"/>
  <c r="H1097" i="6"/>
  <c r="K1096" i="6"/>
  <c r="H1096" i="6"/>
  <c r="K1095" i="6"/>
  <c r="H1095" i="6"/>
  <c r="K1094" i="6"/>
  <c r="H1094" i="6"/>
  <c r="K1093" i="6"/>
  <c r="H1093" i="6"/>
  <c r="K1092" i="6"/>
  <c r="H1092" i="6"/>
  <c r="K1091" i="6"/>
  <c r="H1091" i="6"/>
  <c r="K1090" i="6"/>
  <c r="H1090" i="6"/>
  <c r="K1089" i="6"/>
  <c r="H1089" i="6"/>
  <c r="K1088" i="6"/>
  <c r="H1088" i="6"/>
  <c r="K1087" i="6"/>
  <c r="H1087" i="6"/>
  <c r="K1086" i="6"/>
  <c r="H1086" i="6"/>
  <c r="K1085" i="6"/>
  <c r="H1085" i="6"/>
  <c r="K1084" i="6"/>
  <c r="H1084" i="6"/>
  <c r="K1083" i="6"/>
  <c r="H1083" i="6"/>
  <c r="K1082" i="6"/>
  <c r="H1082" i="6"/>
  <c r="K1081" i="6"/>
  <c r="H1081" i="6"/>
  <c r="K1080" i="6"/>
  <c r="H1080" i="6"/>
  <c r="K1079" i="6"/>
  <c r="H1079" i="6"/>
  <c r="K1078" i="6"/>
  <c r="H1078" i="6"/>
  <c r="K1077" i="6"/>
  <c r="H1077" i="6"/>
  <c r="K1076" i="6"/>
  <c r="H1076" i="6"/>
  <c r="K1075" i="6"/>
  <c r="H1075" i="6"/>
  <c r="K1074" i="6"/>
  <c r="H1074" i="6"/>
  <c r="K1073" i="6"/>
  <c r="H1073" i="6"/>
  <c r="K1072" i="6"/>
  <c r="H1072" i="6"/>
  <c r="K1071" i="6"/>
  <c r="H1071" i="6"/>
  <c r="K1070" i="6"/>
  <c r="H1070" i="6"/>
  <c r="K1069" i="6"/>
  <c r="H1069" i="6"/>
  <c r="K1068" i="6"/>
  <c r="H1068" i="6"/>
  <c r="K1067" i="6"/>
  <c r="H1067" i="6"/>
  <c r="K1066" i="6"/>
  <c r="H1066" i="6"/>
  <c r="K1065" i="6"/>
  <c r="H1065" i="6"/>
  <c r="K1064" i="6"/>
  <c r="H1064" i="6"/>
  <c r="K1063" i="6"/>
  <c r="H1063" i="6"/>
  <c r="K1062" i="6"/>
  <c r="H1062" i="6"/>
  <c r="K1061" i="6"/>
  <c r="H1061" i="6"/>
  <c r="K1060" i="6"/>
  <c r="H1060" i="6"/>
  <c r="K1059" i="6"/>
  <c r="H1059" i="6"/>
  <c r="K1058" i="6"/>
  <c r="H1058" i="6"/>
  <c r="K1057" i="6"/>
  <c r="H1057" i="6"/>
  <c r="K1056" i="6"/>
  <c r="H1056" i="6"/>
  <c r="K1055" i="6"/>
  <c r="H1055" i="6"/>
  <c r="K1054" i="6"/>
  <c r="H1054" i="6"/>
  <c r="K1053" i="6"/>
  <c r="H1053" i="6"/>
  <c r="K1052" i="6"/>
  <c r="H1052" i="6"/>
  <c r="K1051" i="6"/>
  <c r="H1051" i="6"/>
  <c r="K1050" i="6"/>
  <c r="H1050" i="6"/>
  <c r="K1049" i="6"/>
  <c r="H1049" i="6"/>
  <c r="K1048" i="6"/>
  <c r="H1048" i="6"/>
  <c r="K1047" i="6"/>
  <c r="H1047" i="6"/>
  <c r="K1046" i="6"/>
  <c r="H1046" i="6"/>
  <c r="K1045" i="6"/>
  <c r="H1045" i="6"/>
  <c r="K1044" i="6"/>
  <c r="H1044" i="6"/>
  <c r="K1043" i="6"/>
  <c r="H1043" i="6"/>
  <c r="K1042" i="6"/>
  <c r="H1042" i="6"/>
  <c r="K1041" i="6"/>
  <c r="H1041" i="6"/>
  <c r="K1040" i="6"/>
  <c r="H1040" i="6"/>
  <c r="K1039" i="6"/>
  <c r="H1039" i="6"/>
  <c r="K1038" i="6"/>
  <c r="H1038" i="6"/>
  <c r="K1037" i="6"/>
  <c r="H1037" i="6"/>
  <c r="K1036" i="6"/>
  <c r="H1036" i="6"/>
  <c r="K1035" i="6"/>
  <c r="H1035" i="6"/>
  <c r="K1034" i="6"/>
  <c r="H1034" i="6"/>
  <c r="K1033" i="6"/>
  <c r="H1033" i="6"/>
  <c r="K1032" i="6"/>
  <c r="H1032" i="6"/>
  <c r="K1031" i="6"/>
  <c r="H1031" i="6"/>
  <c r="K1030" i="6"/>
  <c r="H1030" i="6"/>
  <c r="K1029" i="6"/>
  <c r="H1029" i="6"/>
  <c r="K1028" i="6"/>
  <c r="H1028" i="6"/>
  <c r="K1027" i="6"/>
  <c r="H1027" i="6"/>
  <c r="K1026" i="6"/>
  <c r="H1026" i="6"/>
  <c r="K1025" i="6"/>
  <c r="H1025" i="6"/>
  <c r="K1024" i="6"/>
  <c r="H1024" i="6"/>
  <c r="K1023" i="6"/>
  <c r="H1023" i="6"/>
  <c r="K1022" i="6"/>
  <c r="H1022" i="6"/>
  <c r="K1021" i="6"/>
  <c r="H1021" i="6"/>
  <c r="K1020" i="6"/>
  <c r="H1020" i="6"/>
  <c r="K1019" i="6"/>
  <c r="H1019" i="6"/>
  <c r="K1018" i="6"/>
  <c r="H1018" i="6"/>
  <c r="K1017" i="6"/>
  <c r="H1017" i="6"/>
  <c r="K1016" i="6"/>
  <c r="H1016" i="6"/>
  <c r="K1015" i="6"/>
  <c r="H1015" i="6"/>
  <c r="K1014" i="6"/>
  <c r="H1014" i="6"/>
  <c r="K1013" i="6"/>
  <c r="H1013" i="6"/>
  <c r="K1012" i="6"/>
  <c r="H1012" i="6"/>
  <c r="K1011" i="6"/>
  <c r="H1011" i="6"/>
  <c r="K1010" i="6"/>
  <c r="H1010" i="6"/>
  <c r="K1009" i="6"/>
  <c r="H1009" i="6"/>
  <c r="K1008" i="6"/>
  <c r="H1008" i="6"/>
  <c r="K1007" i="6"/>
  <c r="H1007" i="6"/>
  <c r="K1006" i="6"/>
  <c r="H1006" i="6"/>
  <c r="K1005" i="6"/>
  <c r="H1005" i="6"/>
  <c r="K1004" i="6"/>
  <c r="H1004" i="6"/>
  <c r="K1003" i="6"/>
  <c r="H1003" i="6"/>
  <c r="K1002" i="6"/>
  <c r="H1002" i="6"/>
  <c r="K1001" i="6"/>
  <c r="H1001" i="6"/>
  <c r="K1000" i="6"/>
  <c r="H1000" i="6"/>
  <c r="K999" i="6"/>
  <c r="H999" i="6"/>
  <c r="K998" i="6"/>
  <c r="H998" i="6"/>
  <c r="K997" i="6"/>
  <c r="H997" i="6"/>
  <c r="K996" i="6"/>
  <c r="H996" i="6"/>
  <c r="K995" i="6"/>
  <c r="H995" i="6"/>
  <c r="K994" i="6"/>
  <c r="H994" i="6"/>
  <c r="K993" i="6"/>
  <c r="H993" i="6"/>
  <c r="K992" i="6"/>
  <c r="H992" i="6"/>
  <c r="K991" i="6"/>
  <c r="H991" i="6"/>
  <c r="K990" i="6"/>
  <c r="H990" i="6"/>
  <c r="K989" i="6"/>
  <c r="H989" i="6"/>
  <c r="K988" i="6"/>
  <c r="H988" i="6"/>
  <c r="K987" i="6"/>
  <c r="H987" i="6"/>
  <c r="K986" i="6"/>
  <c r="H986" i="6"/>
  <c r="K985" i="6"/>
  <c r="H985" i="6"/>
  <c r="K984" i="6"/>
  <c r="H984" i="6"/>
  <c r="K983" i="6"/>
  <c r="H983" i="6"/>
  <c r="K982" i="6"/>
  <c r="H982" i="6"/>
  <c r="K981" i="6"/>
  <c r="H981" i="6"/>
  <c r="K980" i="6"/>
  <c r="H980" i="6"/>
  <c r="K979" i="6"/>
  <c r="H979" i="6"/>
  <c r="K978" i="6"/>
  <c r="H978" i="6"/>
  <c r="K977" i="6"/>
  <c r="H977" i="6"/>
  <c r="K976" i="6"/>
  <c r="H976" i="6"/>
  <c r="K975" i="6"/>
  <c r="H975" i="6"/>
  <c r="K974" i="6"/>
  <c r="H974" i="6"/>
  <c r="K973" i="6"/>
  <c r="H973" i="6"/>
  <c r="K972" i="6"/>
  <c r="H972" i="6"/>
  <c r="K971" i="6"/>
  <c r="H971" i="6"/>
  <c r="K970" i="6"/>
  <c r="H970" i="6"/>
  <c r="K969" i="6"/>
  <c r="H969" i="6"/>
  <c r="K968" i="6"/>
  <c r="H968" i="6"/>
  <c r="K967" i="6"/>
  <c r="H967" i="6"/>
  <c r="K966" i="6"/>
  <c r="H966" i="6"/>
  <c r="K965" i="6"/>
  <c r="H965" i="6"/>
  <c r="K964" i="6"/>
  <c r="H964" i="6"/>
  <c r="K963" i="6"/>
  <c r="H963" i="6"/>
  <c r="K962" i="6"/>
  <c r="H962" i="6"/>
  <c r="K961" i="6"/>
  <c r="H961" i="6"/>
  <c r="K960" i="6"/>
  <c r="H960" i="6"/>
  <c r="K959" i="6"/>
  <c r="H959" i="6"/>
  <c r="K958" i="6"/>
  <c r="H958" i="6"/>
  <c r="K957" i="6"/>
  <c r="H957" i="6"/>
  <c r="K956" i="6"/>
  <c r="H956" i="6"/>
  <c r="K955" i="6"/>
  <c r="H955" i="6"/>
  <c r="K954" i="6"/>
  <c r="H954" i="6"/>
  <c r="K953" i="6"/>
  <c r="H953" i="6"/>
  <c r="K952" i="6"/>
  <c r="H952" i="6"/>
  <c r="K951" i="6"/>
  <c r="H951" i="6"/>
  <c r="K950" i="6"/>
  <c r="H950" i="6"/>
  <c r="K949" i="6"/>
  <c r="H949" i="6"/>
  <c r="K948" i="6"/>
  <c r="H948" i="6"/>
  <c r="K947" i="6"/>
  <c r="H947" i="6"/>
  <c r="K946" i="6"/>
  <c r="H946" i="6"/>
  <c r="K945" i="6"/>
  <c r="H945" i="6"/>
  <c r="K944" i="6"/>
  <c r="H944" i="6"/>
  <c r="K943" i="6"/>
  <c r="H943" i="6"/>
  <c r="K942" i="6"/>
  <c r="H942" i="6"/>
  <c r="K941" i="6"/>
  <c r="H941" i="6"/>
  <c r="K940" i="6"/>
  <c r="H940" i="6"/>
  <c r="K939" i="6"/>
  <c r="H939" i="6"/>
  <c r="K938" i="6"/>
  <c r="H938" i="6"/>
  <c r="K937" i="6"/>
  <c r="H937" i="6"/>
  <c r="K936" i="6"/>
  <c r="H936" i="6"/>
  <c r="K935" i="6"/>
  <c r="H935" i="6"/>
  <c r="K934" i="6"/>
  <c r="H934" i="6"/>
  <c r="K933" i="6"/>
  <c r="H933" i="6"/>
  <c r="K932" i="6"/>
  <c r="H932" i="6"/>
  <c r="K931" i="6"/>
  <c r="H931" i="6"/>
  <c r="K930" i="6"/>
  <c r="H930" i="6"/>
  <c r="K929" i="6"/>
  <c r="H929" i="6"/>
  <c r="K928" i="6"/>
  <c r="H928" i="6"/>
  <c r="K927" i="6"/>
  <c r="H927" i="6"/>
  <c r="K926" i="6"/>
  <c r="H926" i="6"/>
  <c r="K925" i="6"/>
  <c r="H925" i="6"/>
  <c r="K924" i="6"/>
  <c r="H924" i="6"/>
  <c r="K923" i="6"/>
  <c r="H923" i="6"/>
  <c r="K922" i="6"/>
  <c r="H922" i="6"/>
  <c r="K921" i="6"/>
  <c r="H921" i="6"/>
  <c r="K920" i="6"/>
  <c r="H920" i="6"/>
  <c r="K919" i="6"/>
  <c r="H919" i="6"/>
  <c r="K918" i="6"/>
  <c r="H918" i="6"/>
  <c r="K917" i="6"/>
  <c r="H917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E11" i="4"/>
  <c r="E10" i="4"/>
  <c r="E9" i="4"/>
  <c r="E8" i="4"/>
  <c r="E7" i="4"/>
  <c r="E6" i="4"/>
  <c r="E5" i="4"/>
  <c r="E4" i="4"/>
  <c r="E3" i="4"/>
  <c r="E2" i="4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</calcChain>
</file>

<file path=xl/sharedStrings.xml><?xml version="1.0" encoding="utf-8"?>
<sst xmlns="http://schemas.openxmlformats.org/spreadsheetml/2006/main" count="24870" uniqueCount="1388">
  <si>
    <t>Study</t>
  </si>
  <si>
    <t>Site</t>
  </si>
  <si>
    <t>Sample</t>
  </si>
  <si>
    <t>Depth</t>
  </si>
  <si>
    <t>Depth type</t>
  </si>
  <si>
    <t>Age (Ma)</t>
  </si>
  <si>
    <t>Age Frame</t>
  </si>
  <si>
    <t>Age (Ma, relative to KPg)</t>
  </si>
  <si>
    <t>Sample Type</t>
  </si>
  <si>
    <t>Species</t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</si>
  <si>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O</t>
    </r>
  </si>
  <si>
    <t>Temperature (°C)</t>
  </si>
  <si>
    <t>∆Temperature</t>
  </si>
  <si>
    <t xml:space="preserve">Depth midpoint (cm) </t>
  </si>
  <si>
    <t>Biostratigraphic Marker</t>
  </si>
  <si>
    <t>BIT</t>
  </si>
  <si>
    <t>Age (Ma, relative to K-Pg)</t>
  </si>
  <si>
    <t>Sample Position (m relative to K-Pg)</t>
  </si>
  <si>
    <t>Temp ( °C, mean, calc from Zaruur)</t>
  </si>
  <si>
    <t>±Temp</t>
  </si>
  <si>
    <t>Temp (mean, calc. via Kim and O'Neil)</t>
  </si>
  <si>
    <t>±Temp (2sd within timebin)</t>
  </si>
  <si>
    <t>Age (Ma relative to K-Pg)</t>
  </si>
  <si>
    <t>D'Hondt and Lindiger (1994)</t>
  </si>
  <si>
    <t>DSDP 528</t>
  </si>
  <si>
    <t>K-Pg boundary</t>
  </si>
  <si>
    <t>mbsf</t>
  </si>
  <si>
    <t>GTS 2012</t>
  </si>
  <si>
    <t>Age Tie Point</t>
  </si>
  <si>
    <t>Vellekoop et al. (2016)</t>
  </si>
  <si>
    <t>Miers Farm</t>
  </si>
  <si>
    <t>Dworkin et al. (2005)</t>
  </si>
  <si>
    <t>P38-2</t>
  </si>
  <si>
    <t>Tobin et al. (2014)</t>
  </si>
  <si>
    <t>P</t>
  </si>
  <si>
    <t>Tobin et al. (2012)</t>
  </si>
  <si>
    <t>Bivalve</t>
  </si>
  <si>
    <t>Kroon et al. (2007)/Birch et al. (2016)</t>
  </si>
  <si>
    <t>ODP 1262</t>
  </si>
  <si>
    <t>mcd</t>
  </si>
  <si>
    <t>D.-T. et al. 2014</t>
  </si>
  <si>
    <t>Woelders et al. (2018)</t>
  </si>
  <si>
    <t>Bass River</t>
  </si>
  <si>
    <t>74-528-32-1,13-15</t>
  </si>
  <si>
    <t>Benthic</t>
  </si>
  <si>
    <r>
      <rPr>
        <i/>
        <sz val="12"/>
        <color theme="1"/>
        <rFont val="Calibri"/>
        <family val="2"/>
        <scheme val="minor"/>
      </rPr>
      <t>Gavelinella</t>
    </r>
    <r>
      <rPr>
        <sz val="12"/>
        <color theme="1"/>
        <rFont val="Calibri"/>
        <family val="2"/>
        <scheme val="minor"/>
      </rPr>
      <t xml:space="preserve"> sp.</t>
    </r>
  </si>
  <si>
    <t>P37 (BB7-2)</t>
  </si>
  <si>
    <t>M</t>
  </si>
  <si>
    <t>74-528-32-1,30-32</t>
  </si>
  <si>
    <r>
      <t>FAD</t>
    </r>
    <r>
      <rPr>
        <i/>
        <sz val="12"/>
        <color theme="1"/>
        <rFont val="Calibri"/>
        <family val="2"/>
        <scheme val="minor"/>
      </rPr>
      <t xml:space="preserve"> S. inornata</t>
    </r>
  </si>
  <si>
    <t>P35-2</t>
  </si>
  <si>
    <t>K</t>
  </si>
  <si>
    <t>74-528-32-1,50-52</t>
  </si>
  <si>
    <t>P33-4</t>
  </si>
  <si>
    <t>R</t>
  </si>
  <si>
    <t>74-528-32-1,105-107</t>
  </si>
  <si>
    <t>P32-2</t>
  </si>
  <si>
    <t>G</t>
  </si>
  <si>
    <t>74-528-32-1,118-120</t>
  </si>
  <si>
    <t>P31-2</t>
  </si>
  <si>
    <t>L-L6214</t>
  </si>
  <si>
    <t>NA (too few in timebin)</t>
  </si>
  <si>
    <t>74-528-32-1,139-141</t>
  </si>
  <si>
    <t>P30-4</t>
  </si>
  <si>
    <t>L-L6215</t>
  </si>
  <si>
    <t>74-528-32-2,52-54</t>
  </si>
  <si>
    <t>P29-3</t>
  </si>
  <si>
    <t>H</t>
  </si>
  <si>
    <t>74-528-32-2,100-102</t>
  </si>
  <si>
    <t>P26-3</t>
  </si>
  <si>
    <t>X</t>
  </si>
  <si>
    <t>74-528-32-3,100-102</t>
  </si>
  <si>
    <t>P23-2</t>
  </si>
  <si>
    <t>Tbivalve</t>
  </si>
  <si>
    <t>74-528-32-4,100-102</t>
  </si>
  <si>
    <t>K/Pg</t>
  </si>
  <si>
    <t>P22 (BB1-2)</t>
  </si>
  <si>
    <t>74-528-32-5,100-102</t>
  </si>
  <si>
    <t>P21 (BB6-3)</t>
  </si>
  <si>
    <t>Petersen et al. (2016)</t>
  </si>
  <si>
    <t>Seymour Island</t>
  </si>
  <si>
    <t>74-528-33-1,98-100</t>
  </si>
  <si>
    <t>BB10-2 (416 ft) CHANNEL</t>
  </si>
  <si>
    <t>74-528-33-2,100-102</t>
  </si>
  <si>
    <t>P20-2</t>
  </si>
  <si>
    <t>74-528-33-3,100-102</t>
  </si>
  <si>
    <r>
      <t xml:space="preserve">Acme </t>
    </r>
    <r>
      <rPr>
        <i/>
        <sz val="12"/>
        <color theme="1"/>
        <rFont val="Calibri"/>
        <family val="2"/>
        <scheme val="minor"/>
      </rPr>
      <t>M. seelandica</t>
    </r>
  </si>
  <si>
    <t>P19 BC (BB14-2)</t>
  </si>
  <si>
    <t>74-528-33-4,100-102</t>
  </si>
  <si>
    <t>P16-2</t>
  </si>
  <si>
    <t>74-528-33-5,100-102</t>
  </si>
  <si>
    <t>P15-2</t>
  </si>
  <si>
    <t>P14-2</t>
  </si>
  <si>
    <t>Gastropod</t>
  </si>
  <si>
    <t>Stott and Kennett (1990)</t>
  </si>
  <si>
    <t>ODP 690</t>
  </si>
  <si>
    <t>113-690C-15X-3,132-136</t>
  </si>
  <si>
    <t>Planktonic</t>
  </si>
  <si>
    <t>Globigerinelloides multispinatus</t>
  </si>
  <si>
    <t xml:space="preserve">P13-1 </t>
  </si>
  <si>
    <t>113-690C-15X-4,6-8</t>
  </si>
  <si>
    <t>P12-5</t>
  </si>
  <si>
    <t>113-690C-15X-4,28-30</t>
  </si>
  <si>
    <r>
      <t xml:space="preserve">LO </t>
    </r>
    <r>
      <rPr>
        <i/>
        <sz val="12"/>
        <color theme="1"/>
        <rFont val="Calibri"/>
        <family val="2"/>
        <scheme val="minor"/>
      </rPr>
      <t>T. pelagica</t>
    </r>
  </si>
  <si>
    <t>P11A-2</t>
  </si>
  <si>
    <t>113-690C-15X-4,35-37</t>
  </si>
  <si>
    <t>P10-2</t>
  </si>
  <si>
    <t>113-690C-15X-4,45-47</t>
  </si>
  <si>
    <t>P9-4</t>
  </si>
  <si>
    <t xml:space="preserve">P8-2  </t>
  </si>
  <si>
    <t>113-690C-15X-4,57-59</t>
  </si>
  <si>
    <t>P7-2</t>
  </si>
  <si>
    <t xml:space="preserve">P6 (BB2-2) </t>
  </si>
  <si>
    <t>113-690C-15X-4,84-86</t>
  </si>
  <si>
    <r>
      <t xml:space="preserve">LO </t>
    </r>
    <r>
      <rPr>
        <i/>
        <sz val="12"/>
        <color theme="1"/>
        <rFont val="Calibri"/>
        <family val="2"/>
        <scheme val="minor"/>
      </rPr>
      <t>P. grallator</t>
    </r>
  </si>
  <si>
    <t>PS5-2</t>
  </si>
  <si>
    <t>Search Farm</t>
  </si>
  <si>
    <r>
      <t xml:space="preserve">FAD </t>
    </r>
    <r>
      <rPr>
        <i/>
        <sz val="12"/>
        <color theme="1"/>
        <rFont val="Calibri"/>
        <family val="2"/>
        <scheme val="minor"/>
      </rPr>
      <t>tenella &amp; inornata</t>
    </r>
  </si>
  <si>
    <t>P4-2</t>
  </si>
  <si>
    <t>113-690C-15X-4,106-109</t>
  </si>
  <si>
    <t>end M. seelandica</t>
  </si>
  <si>
    <t>P3-2</t>
  </si>
  <si>
    <t>113-690C-15X-4,146-148</t>
  </si>
  <si>
    <t>P2-2</t>
  </si>
  <si>
    <t>113-690C-15X-5,25-28</t>
  </si>
  <si>
    <r>
      <t xml:space="preserve">FAD </t>
    </r>
    <r>
      <rPr>
        <i/>
        <sz val="12"/>
        <color theme="1"/>
        <rFont val="Calibri"/>
        <family val="2"/>
        <scheme val="minor"/>
      </rPr>
      <t>D. carpo cornuta</t>
    </r>
  </si>
  <si>
    <t>P1-2</t>
  </si>
  <si>
    <t>113-690C-15X-5,76-78</t>
  </si>
  <si>
    <t>BB11-2 CHANNEL</t>
  </si>
  <si>
    <t>P39 (BB5-2)</t>
  </si>
  <si>
    <t>113-690C-15X-5,110-113</t>
  </si>
  <si>
    <t>P43 (BB8-2)</t>
  </si>
  <si>
    <t>113-690C-15X-6,5-7</t>
  </si>
  <si>
    <t>Fort Monmouth 3</t>
  </si>
  <si>
    <t>113-690C-15X-6,24-27</t>
  </si>
  <si>
    <t>113-690C-15X-6,45-49</t>
  </si>
  <si>
    <t>113-690C-15X-6,96-98</t>
  </si>
  <si>
    <t>113-690C-15X-7,6-8</t>
  </si>
  <si>
    <t>113-690C-16X-2,40-42</t>
  </si>
  <si>
    <t>113-690C-16X-2,114-116</t>
  </si>
  <si>
    <t>113-690C-16X-3,40-42</t>
  </si>
  <si>
    <t>113-690C-16X-4,39-41</t>
  </si>
  <si>
    <t>113-690C-16X-CC</t>
  </si>
  <si>
    <t>Distance relative to K-Pg (cm)</t>
  </si>
  <si>
    <t>113-690C-17X-1,119-123</t>
  </si>
  <si>
    <t>Vellekoop et al. (2014)</t>
  </si>
  <si>
    <t>Brazos River</t>
  </si>
  <si>
    <t>113-690C-17X-3,119-123</t>
  </si>
  <si>
    <t>113-690C-17X-CC</t>
  </si>
  <si>
    <r>
      <t xml:space="preserve">FO </t>
    </r>
    <r>
      <rPr>
        <i/>
        <sz val="12"/>
        <color theme="1"/>
        <rFont val="Calibri"/>
        <family val="2"/>
        <scheme val="minor"/>
      </rPr>
      <t xml:space="preserve">D. californicum ss </t>
    </r>
    <r>
      <rPr>
        <sz val="12"/>
        <color theme="1"/>
        <rFont val="Calibri"/>
        <family val="2"/>
        <scheme val="minor"/>
      </rPr>
      <t xml:space="preserve">&amp; FO </t>
    </r>
    <r>
      <rPr>
        <i/>
        <sz val="12"/>
        <color theme="1"/>
        <rFont val="Calibri"/>
        <family val="2"/>
        <scheme val="minor"/>
      </rPr>
      <t>C. carpatella</t>
    </r>
    <r>
      <rPr>
        <sz val="12"/>
        <color theme="1"/>
        <rFont val="Calibri"/>
        <family val="2"/>
        <scheme val="minor"/>
      </rPr>
      <t xml:space="preserve">; FO </t>
    </r>
    <r>
      <rPr>
        <i/>
        <sz val="12"/>
        <color theme="1"/>
        <rFont val="Calibri"/>
        <family val="2"/>
        <scheme val="minor"/>
      </rPr>
      <t>S. triloculinoides</t>
    </r>
  </si>
  <si>
    <t>Wilf et al. (2003)</t>
  </si>
  <si>
    <t xml:space="preserve">ODP 690 </t>
  </si>
  <si>
    <t xml:space="preserve">690C-15x-4, 73-75 </t>
  </si>
  <si>
    <t>Globigerinelloides  prairiehillensis</t>
  </si>
  <si>
    <t xml:space="preserve">690C-15-4x, 84-86 </t>
  </si>
  <si>
    <t xml:space="preserve">690C-15x-4, 106-108 </t>
  </si>
  <si>
    <t xml:space="preserve">690C-15x-4, 128-130 </t>
  </si>
  <si>
    <r>
      <t xml:space="preserve">FO </t>
    </r>
    <r>
      <rPr>
        <i/>
        <sz val="12"/>
        <color theme="1"/>
        <rFont val="Calibri"/>
        <family val="2"/>
        <scheme val="minor"/>
      </rPr>
      <t>Eoglobigerina</t>
    </r>
    <r>
      <rPr>
        <sz val="12"/>
        <color theme="1"/>
        <rFont val="Calibri"/>
        <family val="2"/>
        <scheme val="minor"/>
      </rPr>
      <t xml:space="preserve"> spp.</t>
    </r>
  </si>
  <si>
    <t xml:space="preserve">690C-15x-5, 25-28 </t>
  </si>
  <si>
    <t xml:space="preserve">690C-15x-5, 42-44 </t>
  </si>
  <si>
    <t xml:space="preserve">690C-15x-5, 76-78 </t>
  </si>
  <si>
    <t xml:space="preserve">690C-15X-6, 24-27 </t>
  </si>
  <si>
    <t xml:space="preserve">690C-15x-6, 45-49 </t>
  </si>
  <si>
    <t xml:space="preserve">690C-15x-6, 70-72 </t>
  </si>
  <si>
    <t xml:space="preserve">690C-15x-6, 111-113 </t>
  </si>
  <si>
    <r>
      <t xml:space="preserve">FO </t>
    </r>
    <r>
      <rPr>
        <i/>
        <sz val="12"/>
        <color theme="1"/>
        <rFont val="Calibri"/>
        <family val="2"/>
        <scheme val="minor"/>
      </rPr>
      <t>P. eugubina</t>
    </r>
  </si>
  <si>
    <t>690C-15X-6, 133-135</t>
  </si>
  <si>
    <t xml:space="preserve"> 690C-15x-7, 6-8 </t>
  </si>
  <si>
    <r>
      <t xml:space="preserve">FO </t>
    </r>
    <r>
      <rPr>
        <i/>
        <sz val="12"/>
        <color theme="1"/>
        <rFont val="Calibri"/>
        <family val="2"/>
        <scheme val="minor"/>
      </rPr>
      <t xml:space="preserve">P. alabamensis 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>G. fringa</t>
    </r>
    <r>
      <rPr>
        <sz val="12"/>
        <color theme="1"/>
        <rFont val="Calibri"/>
        <family val="2"/>
        <scheme val="minor"/>
      </rPr>
      <t xml:space="preserve"> sensu Smit 1982)</t>
    </r>
  </si>
  <si>
    <t>690C-15x-7, 27-29 6</t>
  </si>
  <si>
    <r>
      <t xml:space="preserve">FO </t>
    </r>
    <r>
      <rPr>
        <i/>
        <sz val="12"/>
        <color theme="1"/>
        <rFont val="Calibri"/>
        <family val="2"/>
        <scheme val="minor"/>
      </rPr>
      <t>P. minutula</t>
    </r>
  </si>
  <si>
    <t xml:space="preserve">90C-15x-cc, 3-5 </t>
  </si>
  <si>
    <t xml:space="preserve">690C-16x-1, 6-8 </t>
  </si>
  <si>
    <t xml:space="preserve">690C-16x-1, 19-21 </t>
  </si>
  <si>
    <r>
      <t xml:space="preserve">~FO </t>
    </r>
    <r>
      <rPr>
        <i/>
        <sz val="12"/>
        <color theme="1"/>
        <rFont val="Calibri"/>
        <family val="2"/>
        <scheme val="minor"/>
      </rPr>
      <t xml:space="preserve">B. romeinii </t>
    </r>
    <r>
      <rPr>
        <sz val="12"/>
        <color theme="1"/>
        <rFont val="Calibri"/>
        <family val="2"/>
        <scheme val="minor"/>
      </rPr>
      <t>(approximate)</t>
    </r>
  </si>
  <si>
    <t xml:space="preserve">690C-16x-1, 42-44 </t>
  </si>
  <si>
    <r>
      <t xml:space="preserve">FO </t>
    </r>
    <r>
      <rPr>
        <i/>
        <sz val="12"/>
        <color theme="1"/>
        <rFont val="Calibri"/>
        <family val="2"/>
        <scheme val="minor"/>
      </rPr>
      <t>C. cf. carpatella</t>
    </r>
  </si>
  <si>
    <r>
      <t xml:space="preserve">FO </t>
    </r>
    <r>
      <rPr>
        <i/>
        <sz val="12"/>
        <color theme="1"/>
        <rFont val="Calibri"/>
        <family val="2"/>
        <scheme val="minor"/>
      </rPr>
      <t>D. cf. californicum</t>
    </r>
  </si>
  <si>
    <t xml:space="preserve">690C-16x-1, 67-69 </t>
  </si>
  <si>
    <t xml:space="preserve">690C-16x-1, 93-95 </t>
  </si>
  <si>
    <t xml:space="preserve">690C-16x-1, 106-108 </t>
  </si>
  <si>
    <t xml:space="preserve">690C-16x-1, 130-132 </t>
  </si>
  <si>
    <t xml:space="preserve">690C-16x-2, 13-16 </t>
  </si>
  <si>
    <t xml:space="preserve">690C-16x-2, 76-78 </t>
  </si>
  <si>
    <t>Heterohelix globulosa</t>
  </si>
  <si>
    <r>
      <t xml:space="preserve">FO </t>
    </r>
    <r>
      <rPr>
        <i/>
        <sz val="12"/>
        <color theme="1"/>
        <rFont val="Calibri"/>
        <family val="2"/>
        <scheme val="minor"/>
      </rPr>
      <t>S. cf. inornata</t>
    </r>
  </si>
  <si>
    <t xml:space="preserve">690C-15x-cc, 3-5 </t>
  </si>
  <si>
    <t>Event bed</t>
  </si>
  <si>
    <t>Nuttallides truempyi</t>
  </si>
  <si>
    <r>
      <t xml:space="preserve">FO </t>
    </r>
    <r>
      <rPr>
        <i/>
        <sz val="12"/>
        <color theme="1"/>
        <rFont val="Calibri"/>
        <family val="2"/>
        <scheme val="minor"/>
      </rPr>
      <t>M. seelandica</t>
    </r>
  </si>
  <si>
    <t>Alegret and Thomas (2013)</t>
  </si>
  <si>
    <t>113-690C-14X-4,39-41</t>
  </si>
  <si>
    <t>Stensioina beccariiformis</t>
  </si>
  <si>
    <t>Woelders et al. (2017)</t>
  </si>
  <si>
    <t xml:space="preserve">Bajada del Jagüel </t>
  </si>
  <si>
    <t>Approx. Top P1b</t>
  </si>
  <si>
    <t>113-690C-14X-5,10-12</t>
  </si>
  <si>
    <t>113-690C-14X-5,110-112</t>
  </si>
  <si>
    <t>113-690C-14X-CC,15-17</t>
  </si>
  <si>
    <t>113-690C-15X-1,10-12</t>
  </si>
  <si>
    <r>
      <t xml:space="preserve">FAD </t>
    </r>
    <r>
      <rPr>
        <i/>
        <sz val="12"/>
        <color theme="1"/>
        <rFont val="Calibri"/>
        <family val="2"/>
      </rPr>
      <t>D. californicum</t>
    </r>
  </si>
  <si>
    <t>113-690C-15X-1,67-69</t>
  </si>
  <si>
    <t>113-690C-15X-1,120-122</t>
  </si>
  <si>
    <t>113-690C-15X-2,17-19</t>
  </si>
  <si>
    <t>K-Pg</t>
  </si>
  <si>
    <t>113-690C-15X-2,67-69</t>
  </si>
  <si>
    <t>113-690C-15X-2,117-119</t>
  </si>
  <si>
    <t>113-690C-15X-2,140-142</t>
  </si>
  <si>
    <t>113-690C-15X-3,16-18</t>
  </si>
  <si>
    <r>
      <rPr>
        <i/>
        <sz val="12"/>
        <rFont val="Calibri"/>
        <family val="2"/>
      </rPr>
      <t>M. seelandica</t>
    </r>
    <r>
      <rPr>
        <sz val="12"/>
        <rFont val="Calibri"/>
        <family val="2"/>
      </rPr>
      <t xml:space="preserve"> acme</t>
    </r>
  </si>
  <si>
    <t>113-690C-15X-3,36</t>
  </si>
  <si>
    <t>113-690C-15X-3,69</t>
  </si>
  <si>
    <t>113-690C-15X-3,118</t>
  </si>
  <si>
    <t>113-690C-15X-3,120-122</t>
  </si>
  <si>
    <t>113-690C-15X-4,2-4</t>
  </si>
  <si>
    <t>113-690C-15X-6,14-16</t>
  </si>
  <si>
    <t>113-690C-15X-6,47-49</t>
  </si>
  <si>
    <t>113-690C-15X-6,66-68</t>
  </si>
  <si>
    <r>
      <t>FAD</t>
    </r>
    <r>
      <rPr>
        <i/>
        <sz val="10"/>
        <rFont val="Arial"/>
        <family val="2"/>
      </rPr>
      <t xml:space="preserve"> D. carposphaeropsis</t>
    </r>
  </si>
  <si>
    <t>113-690C-15X-6,120-122</t>
  </si>
  <si>
    <t>Distance relative to K-Pg (m)</t>
  </si>
  <si>
    <t>113-690C-15X-7,16-18</t>
  </si>
  <si>
    <t>113-690C-15X-7,16-20</t>
  </si>
  <si>
    <t>113-690C-15X-CC,16-21</t>
  </si>
  <si>
    <t>113-690C-16X-1,39-41</t>
  </si>
  <si>
    <t>Westerhold et al. (2011)</t>
  </si>
  <si>
    <t>ODP 1209</t>
  </si>
  <si>
    <t>198-1209B-25H-5,42-44</t>
  </si>
  <si>
    <t>rmcd</t>
  </si>
  <si>
    <t>198-1209B-25H-5,46-48</t>
  </si>
  <si>
    <t>198-1209B-25H-5,50-52</t>
  </si>
  <si>
    <t>198-1209B-25H-5,54-56</t>
  </si>
  <si>
    <t>198-1209B-25H-5,58-60</t>
  </si>
  <si>
    <t>198-1209B-25H-5,62-64</t>
  </si>
  <si>
    <t>198-1209B-25H-5,66-68</t>
  </si>
  <si>
    <t>198-1209B-25H-5,70-72</t>
  </si>
  <si>
    <t>198-1209B-25H-5,74-76</t>
  </si>
  <si>
    <t>198-1209B-25H-5,78-80</t>
  </si>
  <si>
    <t>198-1209B-25H-5,82-84</t>
  </si>
  <si>
    <t>198-1209B-25H-5,86-88</t>
  </si>
  <si>
    <t>198-1209B-25H-5,90-92</t>
  </si>
  <si>
    <t>198-1209B-25H-5,94-96</t>
  </si>
  <si>
    <t>198-1209B-25H-5,98-100</t>
  </si>
  <si>
    <t>198-1209B-25H-5,102-104</t>
  </si>
  <si>
    <t>198-1209B-25H-5,106-108</t>
  </si>
  <si>
    <t>198-1209B-25H-5,110-112</t>
  </si>
  <si>
    <t>198-1209B-25H-5,114-116</t>
  </si>
  <si>
    <t>198-1209B-25H-5,118-120</t>
  </si>
  <si>
    <t>198-1209B-25H-5,126-128</t>
  </si>
  <si>
    <t>198-1209B-25H-5,130-132</t>
  </si>
  <si>
    <t>198-1209B-25H-5,134-136</t>
  </si>
  <si>
    <t>198-1209B-25H-5,138-140</t>
  </si>
  <si>
    <t>198-1209B-25H-5,142-144</t>
  </si>
  <si>
    <t>198-1209B-25H-5,146-148</t>
  </si>
  <si>
    <t>198-1209B-25H-6,0-2</t>
  </si>
  <si>
    <t>198-1209B-25H-6,4-6</t>
  </si>
  <si>
    <t>198-1209B-25H-6,8-10</t>
  </si>
  <si>
    <t>198-1209B-25H-6,12-14</t>
  </si>
  <si>
    <t>198-1209B-25H-6,16-18</t>
  </si>
  <si>
    <t>198-1209B-25H-6,20-22</t>
  </si>
  <si>
    <t>198-1209B-25H-6,24-26</t>
  </si>
  <si>
    <t>198-1209B-25H-6,28-30</t>
  </si>
  <si>
    <t>198-1209B-25H-6,32-34</t>
  </si>
  <si>
    <t>198-1209B-25H-6,36-38</t>
  </si>
  <si>
    <t>198-1209B-25H-6,40-42</t>
  </si>
  <si>
    <t>198-1209B-25H-6,44-46</t>
  </si>
  <si>
    <t>198-1209B-25H-6,48-50</t>
  </si>
  <si>
    <t>198-1209B-25H-6,52-54</t>
  </si>
  <si>
    <t>198-1209B-25H-6,56-58</t>
  </si>
  <si>
    <t>198-1209B-25H-6,60-62</t>
  </si>
  <si>
    <t>198-1209B-25H-6,64-66</t>
  </si>
  <si>
    <t>198-1209B-25H-6,68-70</t>
  </si>
  <si>
    <t>198-1209B-25H-6,72-74</t>
  </si>
  <si>
    <t>198-1209B-25H-6,76-78</t>
  </si>
  <si>
    <t>198-1209C-15H-1,46-48</t>
  </si>
  <si>
    <t>198-1209C-15H-1,50-52</t>
  </si>
  <si>
    <t>198-1209C-15H-1,54-56</t>
  </si>
  <si>
    <t>198-1209B-25H-6,88-90</t>
  </si>
  <si>
    <t>198-1209C-15H-1,58-60</t>
  </si>
  <si>
    <t>198-1209B-25H-6,92-94</t>
  </si>
  <si>
    <t>198-1209C-15H-1,62-64</t>
  </si>
  <si>
    <t>198-1209B-25H-6,96-98</t>
  </si>
  <si>
    <t>198-1209B-25H-6,100-102</t>
  </si>
  <si>
    <t>198-1209C-15H-1,66-68</t>
  </si>
  <si>
    <t>198-1209B-25H-6,104-106</t>
  </si>
  <si>
    <t>198-1209C-15H-1,70-72</t>
  </si>
  <si>
    <t>198-1209B-25H-6,108-110</t>
  </si>
  <si>
    <t>198-1209C-15H-1,74-76</t>
  </si>
  <si>
    <t>198-1209B-25H-6,112-114</t>
  </si>
  <si>
    <t>198-1209C-15H-1,78-80</t>
  </si>
  <si>
    <t>198-1209B-25H-6,116-118</t>
  </si>
  <si>
    <t>198-1209C-15H-1,82-84</t>
  </si>
  <si>
    <t>198-1209C-15H-1,86-88</t>
  </si>
  <si>
    <t>198-1209C-15H-1,90-92</t>
  </si>
  <si>
    <t>198-1209C-15H-1,94-96</t>
  </si>
  <si>
    <t>198-1209C-15H-1,98-100</t>
  </si>
  <si>
    <t>198-1209C-15H-1,102-104</t>
  </si>
  <si>
    <t>198-1209C-15H-1,106-108</t>
  </si>
  <si>
    <t>198-1209C-15H-1,110-112</t>
  </si>
  <si>
    <t>198-1209C-15H-1,114-116</t>
  </si>
  <si>
    <t>198-1209C-15H-1,118-120</t>
  </si>
  <si>
    <t>198-1209C-15H-1,122-124</t>
  </si>
  <si>
    <t>198-1209C-15H-1,126-128</t>
  </si>
  <si>
    <t>198-1209C-15H-1,142-144</t>
  </si>
  <si>
    <t>198-1209C-15H-1,146-148</t>
  </si>
  <si>
    <t>198-1209C-15H-2,0-2</t>
  </si>
  <si>
    <t>198-1209C-15H-2,16-18</t>
  </si>
  <si>
    <t>198-1209C-15H-2,24-26</t>
  </si>
  <si>
    <t>198-1209C-15H-2,28-30</t>
  </si>
  <si>
    <t>198-1209C-15H-2,32-34</t>
  </si>
  <si>
    <t>198-1209C-15H-2,36-38</t>
  </si>
  <si>
    <t>198-1209C-15H-2,40-42</t>
  </si>
  <si>
    <t>198-1209C-15H-2,44-46</t>
  </si>
  <si>
    <t>198-1209C-15H-2,48-50</t>
  </si>
  <si>
    <t>198-1209C-15H-2,52-54</t>
  </si>
  <si>
    <t>198-1209C-15H-2,56-58</t>
  </si>
  <si>
    <t>198-1209C-15H-2,60-62</t>
  </si>
  <si>
    <t>198-1209C-15H-2,64-66</t>
  </si>
  <si>
    <t>198-1209C-15H-2,68-70</t>
  </si>
  <si>
    <t>198-1209C-15H-2,72-74</t>
  </si>
  <si>
    <t>198-1209C-15H-2,76-78</t>
  </si>
  <si>
    <t>198-1209C-15H-2,80-82</t>
  </si>
  <si>
    <t>198-1209C-15H-2,84-86</t>
  </si>
  <si>
    <t>198-1209C-15H-2,88-90</t>
  </si>
  <si>
    <t>198-1209C-15H-2,92-94</t>
  </si>
  <si>
    <t>198-1209C-15H-2,96-98</t>
  </si>
  <si>
    <t>198-1209C-15H-2,100-102</t>
  </si>
  <si>
    <t>198-1209C-15H-2,104-106</t>
  </si>
  <si>
    <t>198-1209C-15H-2,108-110</t>
  </si>
  <si>
    <t>198-1209C-15H-2,112-114</t>
  </si>
  <si>
    <t>198-1209C-15H-2,116-118</t>
  </si>
  <si>
    <t>198-1209C-15H-2,120-122</t>
  </si>
  <si>
    <t>198-1209C-15H-2,128-130</t>
  </si>
  <si>
    <t>198-1209A-25H-6,56-58</t>
  </si>
  <si>
    <t>198-1209A-25H-6,60-62</t>
  </si>
  <si>
    <t>198-1209A-25H-6,64-66</t>
  </si>
  <si>
    <t>198-1209C-15H-4,0-2</t>
  </si>
  <si>
    <t>198-1209C-15H-4,4-6</t>
  </si>
  <si>
    <t>198-1209C-15H-4,8-10</t>
  </si>
  <si>
    <t>198-1209C-15H-4,12-14</t>
  </si>
  <si>
    <t>198-1209C-15H-4,24-26</t>
  </si>
  <si>
    <t>198-1209C-15H-4,28-30</t>
  </si>
  <si>
    <t>198-1209C-15H-4,32-34</t>
  </si>
  <si>
    <t>198-1209A-25H-6,148-150</t>
  </si>
  <si>
    <t>198-1209C-15H-4,36-38</t>
  </si>
  <si>
    <t>198-1209A-25H-7,2-4</t>
  </si>
  <si>
    <t>198-1209C-15H-4,40-42</t>
  </si>
  <si>
    <t>198-1209A-25H-7,6-8</t>
  </si>
  <si>
    <t>198-1209C-15H-4,44-46</t>
  </si>
  <si>
    <t>198-1209A-25H-7,10-12</t>
  </si>
  <si>
    <t>198-1209C-15H-4,48-50</t>
  </si>
  <si>
    <t>198-1209A-25H-7,14-16</t>
  </si>
  <si>
    <t>198-1209C-15H-4,52-54</t>
  </si>
  <si>
    <t>198-1209A-25H-7,18-20</t>
  </si>
  <si>
    <t>198-1209C-15H-4,56-58</t>
  </si>
  <si>
    <t>198-1209A-25H-7,22-24</t>
  </si>
  <si>
    <t>198-1209C-15H-4,60-62</t>
  </si>
  <si>
    <t>198-1209A-25H-7,26-28</t>
  </si>
  <si>
    <t>198-1209C-15H-4,64-66</t>
  </si>
  <si>
    <t>198-1209A-25H-7,30-32</t>
  </si>
  <si>
    <t>198-1209C-15H-4,68-70</t>
  </si>
  <si>
    <t>198-1209A-25H-7,34-36</t>
  </si>
  <si>
    <t>198-1209C-15H-4,72-74</t>
  </si>
  <si>
    <t>198-1209C-15H-4,76-78</t>
  </si>
  <si>
    <t>198-1209A-25H-7,42-44</t>
  </si>
  <si>
    <t>198-1209C-15H-4,80-82</t>
  </si>
  <si>
    <t>198-1209A-25H-7,46-48</t>
  </si>
  <si>
    <t>198-1209C-15H-4,84-86</t>
  </si>
  <si>
    <t>198-1209A-25H-7,50-52</t>
  </si>
  <si>
    <t>198-1209C-15H-4,88-90</t>
  </si>
  <si>
    <t>198-1209A-25H-7,54-56</t>
  </si>
  <si>
    <t>198-1209C-15H-4,92-94</t>
  </si>
  <si>
    <t>198-1209A-25H-7,58-60</t>
  </si>
  <si>
    <t>198-1209C-15H-4,96-98</t>
  </si>
  <si>
    <t>198-1209C-15H-4,100-102</t>
  </si>
  <si>
    <t>198-1209C-15H-4,104-106</t>
  </si>
  <si>
    <t>198-1209C-15H-4,108-110</t>
  </si>
  <si>
    <t>198-1209C-15H-4,112-114</t>
  </si>
  <si>
    <t>198-1209C-15H-4,116-118</t>
  </si>
  <si>
    <t>198-1209C-15H-4,120-122</t>
  </si>
  <si>
    <t>198-1209C-15H-4,124-126</t>
  </si>
  <si>
    <t>198-1209C-15H-4,128-130</t>
  </si>
  <si>
    <t>198-1209C-15H-4,132-134</t>
  </si>
  <si>
    <t>198-1209C-15H-4,136-138</t>
  </si>
  <si>
    <t>198-1209C-15H-4,140-142</t>
  </si>
  <si>
    <t>198-1209C-15H-4,144-146</t>
  </si>
  <si>
    <t>198-1209C-15H-4,148-150</t>
  </si>
  <si>
    <t>198-1209C-15H-5,38-40</t>
  </si>
  <si>
    <t>198-1209C-15H-5,42-44</t>
  </si>
  <si>
    <t>198-1209C-15H-5,46-48</t>
  </si>
  <si>
    <t>198-1209C-15H-5,50-52</t>
  </si>
  <si>
    <t>198-1209C-15H-5,58-60</t>
  </si>
  <si>
    <t>198-1209C-15H-5,74-76</t>
  </si>
  <si>
    <t>198-1209C-15H-5,90-92</t>
  </si>
  <si>
    <t>198-1209C-15H-5,94-96</t>
  </si>
  <si>
    <t>198-1209C-15H-5,98-100</t>
  </si>
  <si>
    <t>198-1209C-15H-5,102-104</t>
  </si>
  <si>
    <t>198-1209C-15H-5,106-108</t>
  </si>
  <si>
    <t>198-1209C-15H-5,122-124</t>
  </si>
  <si>
    <t>198-1209C-15H-5,126-128</t>
  </si>
  <si>
    <t>198-1209C-15H-5,134-136</t>
  </si>
  <si>
    <t>198-1209C-15H-5,138-140</t>
  </si>
  <si>
    <t>198-1209C-15H-5,146-148</t>
  </si>
  <si>
    <t>Esmeray-Senlet et al. (2015)/Olsson et al. (2001)</t>
  </si>
  <si>
    <t>ODP 174AX, Bass River</t>
  </si>
  <si>
    <t>n/a</t>
  </si>
  <si>
    <t>m depth</t>
  </si>
  <si>
    <t>Rugoglobigerina rugosa</t>
  </si>
  <si>
    <t>Anomalinoides midwayensis</t>
  </si>
  <si>
    <t xml:space="preserve">Zachos et al. (1985) </t>
  </si>
  <si>
    <t>DSDP 577</t>
  </si>
  <si>
    <t>86-577-12H-4,89-91</t>
  </si>
  <si>
    <t>mcd adj</t>
  </si>
  <si>
    <r>
      <rPr>
        <i/>
        <sz val="12"/>
        <color theme="1"/>
        <rFont val="Calibri"/>
        <family val="2"/>
        <scheme val="minor"/>
      </rPr>
      <t>Aragonia</t>
    </r>
    <r>
      <rPr>
        <sz val="12"/>
        <color theme="1"/>
        <rFont val="Calibri"/>
        <family val="2"/>
        <scheme val="minor"/>
      </rPr>
      <t xml:space="preserve"> sp. </t>
    </r>
  </si>
  <si>
    <t>86-577-12H-5,59-61</t>
  </si>
  <si>
    <t>86-577-12H-5,79-81</t>
  </si>
  <si>
    <t>86-577-12H-5,108-109</t>
  </si>
  <si>
    <t>86-577-12H-5,117-119</t>
  </si>
  <si>
    <t>86-577-12H-5,125-126</t>
  </si>
  <si>
    <t>86-577-12H-5,131-132</t>
  </si>
  <si>
    <t>86-577-12H-6,19-21</t>
  </si>
  <si>
    <t>86-577-12H-6,59-61</t>
  </si>
  <si>
    <t>Quillévéré et al. (2008)</t>
  </si>
  <si>
    <t>ODP 1049</t>
  </si>
  <si>
    <t>171-1094C-8X-1,3-5</t>
  </si>
  <si>
    <t>171-1094C-8X-1,22-24</t>
  </si>
  <si>
    <t>171-1094C-8X-1,30-32</t>
  </si>
  <si>
    <t>171-1094C-8X-1,42-44</t>
  </si>
  <si>
    <t>171-1094C-8X-1,82-84</t>
  </si>
  <si>
    <t>171-1094C-8X-1,90-92</t>
  </si>
  <si>
    <t>171-1094C-8X-2,32-34</t>
  </si>
  <si>
    <t>171-1094C-8X-2,40-42</t>
  </si>
  <si>
    <t>171-1094C-8X-2,52-54</t>
  </si>
  <si>
    <t>171-1094C-8X-2,60-62</t>
  </si>
  <si>
    <t>171-1094C-8X-2,72-74</t>
  </si>
  <si>
    <t>171-1094C-8X-2,80-82</t>
  </si>
  <si>
    <t>171-1094C-8X-2,92-94</t>
  </si>
  <si>
    <t>171-1094C-8X-2,112-114</t>
  </si>
  <si>
    <t>171-1094C-8X-2,132-134</t>
  </si>
  <si>
    <t>171-1094C-8X-2,140-142</t>
  </si>
  <si>
    <t>171-1094C-8X-3,102-104</t>
  </si>
  <si>
    <t>171-1094C-8X-3,122-124</t>
  </si>
  <si>
    <t>171-1094C-8X-4,12-14</t>
  </si>
  <si>
    <t>171-1094C-8X-4,72-74</t>
  </si>
  <si>
    <t>171-1094C-8X-4,100-102</t>
  </si>
  <si>
    <t>171-1094C-8X-4,132-134</t>
  </si>
  <si>
    <t>171-1094C-8X-5,0-2</t>
  </si>
  <si>
    <t>171-1094C-8X-5,40-42</t>
  </si>
  <si>
    <t>171-1094C-8X-5,50-52</t>
  </si>
  <si>
    <t>171-1094C-8X-5,57-58</t>
  </si>
  <si>
    <t>171-1094C-8X-5,77-78</t>
  </si>
  <si>
    <t>171-1094C-8X-5,140-142</t>
  </si>
  <si>
    <t>171-1094C-8X-5,148-150</t>
  </si>
  <si>
    <t>171-1094C-8X-1,50-52</t>
  </si>
  <si>
    <t>171-1094C-8X-1,62-64</t>
  </si>
  <si>
    <t>171-1094C-8X-1,70-72</t>
  </si>
  <si>
    <t>171-1094C-8X-1,102-104</t>
  </si>
  <si>
    <t>171-1094C-8X-1,110-112</t>
  </si>
  <si>
    <t>171-1094C-8X-1,122-124</t>
  </si>
  <si>
    <t>171-1094C-8X-1,130-132</t>
  </si>
  <si>
    <t>171-1094C-8X-1,142-144</t>
  </si>
  <si>
    <t>171-1094C-8X-2,0-2</t>
  </si>
  <si>
    <t>171-1094C-8X-2,12-14</t>
  </si>
  <si>
    <t>171-1094C-8X-2,100-102</t>
  </si>
  <si>
    <t>171-1094C-8X-3,2-4</t>
  </si>
  <si>
    <t>171-1094C-8X-3,22-24</t>
  </si>
  <si>
    <t>171-1094C-8X-3,30-32</t>
  </si>
  <si>
    <t>171-1094C-8X-3,42-44</t>
  </si>
  <si>
    <t>171-1094C-8X-3,50-52</t>
  </si>
  <si>
    <t>171-1094C-8X-3,62-64</t>
  </si>
  <si>
    <t>171-1094C-8X-3,70-72</t>
  </si>
  <si>
    <t>171-1094C-8X-3,82-84</t>
  </si>
  <si>
    <t>171-1094C-8X-3,90-92</t>
  </si>
  <si>
    <t>171-1094C-8X-3,110-112</t>
  </si>
  <si>
    <t>171-1094C-8X-3,130-132</t>
  </si>
  <si>
    <t>171-1094C-8X-3,142-144</t>
  </si>
  <si>
    <t>171-1094C-8X-5,10-12</t>
  </si>
  <si>
    <t>171-1094C-8X-5,64-66</t>
  </si>
  <si>
    <t>171-1094C-8X-5,70-71</t>
  </si>
  <si>
    <t>171-1094C-8X-5,84.5-85</t>
  </si>
  <si>
    <t>171-1094C-8X-5,85-87</t>
  </si>
  <si>
    <t>171-1094C-8X-5,93-94</t>
  </si>
  <si>
    <t>171-1094C-8X-5,100-101</t>
  </si>
  <si>
    <t>171-1094C-8X-5,104-105</t>
  </si>
  <si>
    <t>171-1094C-8X-5,110-111</t>
  </si>
  <si>
    <t>Berggren and Norris (1997)</t>
  </si>
  <si>
    <t>DSDP 384</t>
  </si>
  <si>
    <t>43-384-12R-CC</t>
  </si>
  <si>
    <t>43-384-13R-2,1</t>
  </si>
  <si>
    <t>43-384-13R-2,38</t>
  </si>
  <si>
    <t>43-384-13R-3,78</t>
  </si>
  <si>
    <t>43-384-13R-CC</t>
  </si>
  <si>
    <t>43-384-13R-1,134</t>
  </si>
  <si>
    <t>43-384-13R-3,37</t>
  </si>
  <si>
    <t>43-384-13R-2,109</t>
  </si>
  <si>
    <r>
      <rPr>
        <i/>
        <sz val="12"/>
        <color theme="1"/>
        <rFont val="Calibri"/>
        <family val="2"/>
        <scheme val="minor"/>
      </rPr>
      <t>Cibicidoides</t>
    </r>
    <r>
      <rPr>
        <sz val="12"/>
        <color theme="1"/>
        <rFont val="Calibri"/>
        <family val="2"/>
        <scheme val="minor"/>
      </rPr>
      <t xml:space="preserve"> spp.</t>
    </r>
  </si>
  <si>
    <t>43-384-13R-3,10</t>
  </si>
  <si>
    <t>43-384-13R-3,62</t>
  </si>
  <si>
    <t>Li and Keller (1998)</t>
  </si>
  <si>
    <t>DSDP 525</t>
  </si>
  <si>
    <t>74-525A-40-2,11-12</t>
  </si>
  <si>
    <t>Anomalinoides acuta</t>
  </si>
  <si>
    <t>74-525A-40-2,20-22</t>
  </si>
  <si>
    <t>74-525A-40-2,29-31</t>
  </si>
  <si>
    <t>74-525A-40-2,38-40</t>
  </si>
  <si>
    <t>74-525A-40-2,47-49</t>
  </si>
  <si>
    <t>74-525A-40-2,48-50</t>
  </si>
  <si>
    <t>74-525A-40-2,56-58</t>
  </si>
  <si>
    <t>74-525A-40-2,66-68</t>
  </si>
  <si>
    <t>74-525A-40-2,76-78</t>
  </si>
  <si>
    <t>74-525A-40-2,87-89</t>
  </si>
  <si>
    <t>74-525A-40-2,95-97</t>
  </si>
  <si>
    <t>74-525A-40-2,102-104</t>
  </si>
  <si>
    <t>74-525A-40-2,104-106</t>
  </si>
  <si>
    <t>74-525A-40-2,115-117</t>
  </si>
  <si>
    <t>74-525A-40-2,126-128</t>
  </si>
  <si>
    <t>74-525A-40-2,136-138</t>
  </si>
  <si>
    <t>74-525A-40-2,146-148</t>
  </si>
  <si>
    <t>74-525A-40-3,0-2</t>
  </si>
  <si>
    <t>74-525A-40-3,10-12</t>
  </si>
  <si>
    <t>74-525A-40-3,21-23</t>
  </si>
  <si>
    <t>74-525A-40-3,30-32</t>
  </si>
  <si>
    <t>74-525A-40-3,38-40</t>
  </si>
  <si>
    <t>74-525A-40-3,48-50</t>
  </si>
  <si>
    <t>74-525A-40-3,51-53</t>
  </si>
  <si>
    <t>74-525A-40-3,58-60</t>
  </si>
  <si>
    <t>74-525A-40-3,65-67</t>
  </si>
  <si>
    <t>74-525A-40-3,75-77</t>
  </si>
  <si>
    <t>74-525A-40-3,85-87</t>
  </si>
  <si>
    <t>74-525A-40-3,95-97</t>
  </si>
  <si>
    <t>74-525A-40-3,100-102</t>
  </si>
  <si>
    <t>74-525A-40-3,104-106</t>
  </si>
  <si>
    <t>74-525A-40-3,114-116</t>
  </si>
  <si>
    <t>74-525A-40-3,124-126</t>
  </si>
  <si>
    <t>74-525A-40-3,131-133</t>
  </si>
  <si>
    <t>74-525A-40-3,138-140</t>
  </si>
  <si>
    <t>74-525A-40-4,0-2</t>
  </si>
  <si>
    <t>74-525A-40-4,10-12</t>
  </si>
  <si>
    <t>74-525A-40-4,20-22</t>
  </si>
  <si>
    <t>74-525A-40-4,30-32</t>
  </si>
  <si>
    <t>74-525A-40-4,40-42</t>
  </si>
  <si>
    <t>74-525A-40-4,50-52</t>
  </si>
  <si>
    <t>74-525A-40-4,60-62</t>
  </si>
  <si>
    <t>74-525A-40-4,70-72</t>
  </si>
  <si>
    <t>74-525A-40-4,80-82</t>
  </si>
  <si>
    <t>74-525A-40-4,90-92</t>
  </si>
  <si>
    <t>74-525A-40-4,100-102</t>
  </si>
  <si>
    <t>74-525A-40-4,110-112</t>
  </si>
  <si>
    <t>74-525A-40-4,121-123</t>
  </si>
  <si>
    <t>74-525A-40-4,132-134</t>
  </si>
  <si>
    <t>74-525A-40-4,141-143</t>
  </si>
  <si>
    <t>74-525A-40-5,4-6</t>
  </si>
  <si>
    <t>74-525A-40-5,11-13</t>
  </si>
  <si>
    <t>74-525A-40-5,20-22</t>
  </si>
  <si>
    <t>74-525A-40-5,30-32</t>
  </si>
  <si>
    <t>74-525A-40-5,40-42</t>
  </si>
  <si>
    <t>74-525A-40-5,50-52</t>
  </si>
  <si>
    <t>74-525A-40-5,56-58</t>
  </si>
  <si>
    <t>74-525A-40-5,60-62</t>
  </si>
  <si>
    <t>74-525A-40-5,70-72</t>
  </si>
  <si>
    <t>74-525A-40-5,80-82</t>
  </si>
  <si>
    <t>74-525A-40-5,90-92</t>
  </si>
  <si>
    <t>74-525A-40-5,100-102</t>
  </si>
  <si>
    <t>74-525A-40-5,110-112</t>
  </si>
  <si>
    <t>74-525A-40-5,120-122</t>
  </si>
  <si>
    <t>74-525A-40-5,130-132</t>
  </si>
  <si>
    <t>74-525A-40-5,140-142</t>
  </si>
  <si>
    <t>74-525A-40-5,148-150</t>
  </si>
  <si>
    <t>74-525A-40-6,8-10</t>
  </si>
  <si>
    <t>74-525A-40CC,0-2</t>
  </si>
  <si>
    <t>74-525A-40CC,10-12</t>
  </si>
  <si>
    <t>74-525A-40CC,17-19</t>
  </si>
  <si>
    <t>74-525A-40CC,28-30</t>
  </si>
  <si>
    <t>Barnet et al. (2017)</t>
  </si>
  <si>
    <t>208-1262B-22H-3,65-66</t>
  </si>
  <si>
    <t>208-1262B-22H-3,68-69</t>
  </si>
  <si>
    <t>208-1262B-22H-3,71-72</t>
  </si>
  <si>
    <t>208-1262B-22H-3,76-77</t>
  </si>
  <si>
    <t>208-1262B-22H-3,77-78</t>
  </si>
  <si>
    <t>208-1262C-13H-1,0-1</t>
  </si>
  <si>
    <t>208-1262C-13H-1,1-2</t>
  </si>
  <si>
    <t>208-1262B-22H-3,80-81</t>
  </si>
  <si>
    <t>208-1262C-13H-1,2-3</t>
  </si>
  <si>
    <t>208-1262C-13H-1,4-5</t>
  </si>
  <si>
    <t>208-1262B-22H-3,83-84</t>
  </si>
  <si>
    <t>208-1262C-13H-1,5-6</t>
  </si>
  <si>
    <t>208-1262B-22H-3,86-87</t>
  </si>
  <si>
    <t>208-1262C-13H-1,8-9</t>
  </si>
  <si>
    <t>208-1262C-13H-1,11-12</t>
  </si>
  <si>
    <t>208-1262B-22H-3,92-93</t>
  </si>
  <si>
    <t>208-1262B-22H-3,95-96</t>
  </si>
  <si>
    <t>208-1262C-13H-1,15-16</t>
  </si>
  <si>
    <t>208-1262C-13H-1,16-17</t>
  </si>
  <si>
    <t>208-1262B-22H-3,101-102</t>
  </si>
  <si>
    <t>208-1262B-22H-3,107-108</t>
  </si>
  <si>
    <t>208-1262C-13H-1,19-20</t>
  </si>
  <si>
    <t>208-1262C-13H-1,20-21</t>
  </si>
  <si>
    <t>208-1262C-13H-1,21-22</t>
  </si>
  <si>
    <t>208-1262B-22H-3,113-114</t>
  </si>
  <si>
    <t>208-1262C-13H-1,25-26</t>
  </si>
  <si>
    <t>208-1262C-13H-1,26-27</t>
  </si>
  <si>
    <t>208-1262C-13H-1,29-30</t>
  </si>
  <si>
    <t>208-1262B-22H-3,119-120</t>
  </si>
  <si>
    <t>208-1262C-13H-1,32-33</t>
  </si>
  <si>
    <t>208-1262B-22H-3,122-123</t>
  </si>
  <si>
    <t>208-1262C-13H-1,34-35</t>
  </si>
  <si>
    <t>208-1262C-13H-1,35-36</t>
  </si>
  <si>
    <t>208-1262B-22H-3,125-126</t>
  </si>
  <si>
    <t>208-1262C-13H-1,37-38</t>
  </si>
  <si>
    <t>208-1262C-13H-1,38-39</t>
  </si>
  <si>
    <t>208-1262B-22H-3,128-129</t>
  </si>
  <si>
    <t>208-1262C-13H-1,40-41</t>
  </si>
  <si>
    <t>208-1262B-22H-3,131-132</t>
  </si>
  <si>
    <t>208-1262C-13H-1,43-44</t>
  </si>
  <si>
    <t>208-1262C-13H-1,44-45</t>
  </si>
  <si>
    <t>208-1262B-22H-3,134-135</t>
  </si>
  <si>
    <t>208-1262C-13H-1,46-47</t>
  </si>
  <si>
    <t>208-1262C-13H-1,47-48</t>
  </si>
  <si>
    <t>208-1262C-13H-1,48-49</t>
  </si>
  <si>
    <t>208-1262C-13H-1,49-50</t>
  </si>
  <si>
    <t>208-1262C-13H-1,51-52</t>
  </si>
  <si>
    <t>208-1262C-13H-1,53-54</t>
  </si>
  <si>
    <t>208-1262C-13H-1,55-56</t>
  </si>
  <si>
    <t>208-1262B-22H-3,146-147</t>
  </si>
  <si>
    <t>208-1262C-13H-1,58-59</t>
  </si>
  <si>
    <t>208-1262B-22H-3,149-150</t>
  </si>
  <si>
    <t>208-1262C-13H-1,61-62</t>
  </si>
  <si>
    <t>208-1262C-13H-1,62-63</t>
  </si>
  <si>
    <t>208-1262B-22H-4,2-3</t>
  </si>
  <si>
    <t>208-1262C-13H-1,64-65</t>
  </si>
  <si>
    <t>208-1262C-13H-1,65-66</t>
  </si>
  <si>
    <t>208-1262B-22H-4,5-6</t>
  </si>
  <si>
    <t>208-1262C-13H-1,68-69</t>
  </si>
  <si>
    <t>208-1262C-13H-1,69-70</t>
  </si>
  <si>
    <t>208-1262C-13H-1,71-72</t>
  </si>
  <si>
    <t>208-1262B-22H-4,11-12</t>
  </si>
  <si>
    <t>208-1262C-13H-1,73-74</t>
  </si>
  <si>
    <t>208-1262C-13H-1,75-76</t>
  </si>
  <si>
    <t>208-1262C-13H-1,77-78</t>
  </si>
  <si>
    <t>208-1262C-13H-1,78-79</t>
  </si>
  <si>
    <t>208-1262C-13H-1,80-81</t>
  </si>
  <si>
    <t>208-1262C-13H-1,81-82</t>
  </si>
  <si>
    <t>208-1262C-13H-1,82-83</t>
  </si>
  <si>
    <t>208-1262C-13H-1,83-84</t>
  </si>
  <si>
    <t>208-1262C-13H-1,84-85</t>
  </si>
  <si>
    <t>208-1262C-13H-1,85-86</t>
  </si>
  <si>
    <t>208-1262C-13H-1,86-87</t>
  </si>
  <si>
    <t>208-1262C-13H-1,87-88</t>
  </si>
  <si>
    <t>208-1262C-13H-1,88-89</t>
  </si>
  <si>
    <t>208-1262C-13H-1,89-90</t>
  </si>
  <si>
    <t>208-1262C-13H-1,90-91</t>
  </si>
  <si>
    <t>208-1262C-13H-1,91-92</t>
  </si>
  <si>
    <t>208-1262C-13H-1,92-93</t>
  </si>
  <si>
    <t>208-1262C-13H-1,93-94</t>
  </si>
  <si>
    <t>208-1262C-13H-1,94-95</t>
  </si>
  <si>
    <t>208-1262C-13H-1,95-96</t>
  </si>
  <si>
    <t>208-1262C-13H-1,96-97</t>
  </si>
  <si>
    <t>208-1262C-13H-1,97-98</t>
  </si>
  <si>
    <t>208-1262C-13H-1,98-99</t>
  </si>
  <si>
    <t>208-1262C-13H-1,99-100</t>
  </si>
  <si>
    <t>208-1262C-13H-1,100-101</t>
  </si>
  <si>
    <t>208-1262C-13H-1,101-102</t>
  </si>
  <si>
    <t>208-1262C-13H-1,102-103</t>
  </si>
  <si>
    <t>208-1262C-13H-1,103-104</t>
  </si>
  <si>
    <t>208-1262C-13H-1,104-105</t>
  </si>
  <si>
    <t>208-1262C-13H-1,105-106</t>
  </si>
  <si>
    <t>208-1262C-13H-1,106-107</t>
  </si>
  <si>
    <t>208-1262C-13H-1,107-108</t>
  </si>
  <si>
    <t>208-1262C-13H-1,108-109</t>
  </si>
  <si>
    <t>208-1262C-13H-1,109-110</t>
  </si>
  <si>
    <t>208-1262C-13H-1,110-111</t>
  </si>
  <si>
    <t>208-1262C-13H-1,111-112</t>
  </si>
  <si>
    <t>208-1262C-13H-1,112-113</t>
  </si>
  <si>
    <t>208-1262C-13H-1,113-114</t>
  </si>
  <si>
    <t>208-1262C-13H-1,114-115</t>
  </si>
  <si>
    <t>208-1262C-13H-1,115-116</t>
  </si>
  <si>
    <t>208-1262C-13H-1,116-117</t>
  </si>
  <si>
    <t>208-1262C-13H-1,117-118</t>
  </si>
  <si>
    <t>208-1262C-13H-1,118-119</t>
  </si>
  <si>
    <t>208-1262C-13H-1,119-120</t>
  </si>
  <si>
    <t>208-1262C-13H-1,120-121</t>
  </si>
  <si>
    <t>208-1262C-13H-1,121-122</t>
  </si>
  <si>
    <t>208-1262C-13H-1,122-123</t>
  </si>
  <si>
    <t>208-1262C-13H-1,123-124</t>
  </si>
  <si>
    <t>208-1262C-13H-1,124-125</t>
  </si>
  <si>
    <t>208-1262C-13H-1,125-126</t>
  </si>
  <si>
    <t>208-1262C-13H-1,126-127</t>
  </si>
  <si>
    <t>208-1262C-13H-1,127-128</t>
  </si>
  <si>
    <t>208-1262C-13H-1,128-129</t>
  </si>
  <si>
    <t>208-1262C-13H-1,129-130</t>
  </si>
  <si>
    <t>208-1262C-13H-1,130-131</t>
  </si>
  <si>
    <t>208-1262C-13H-1,131-132</t>
  </si>
  <si>
    <t>208-1262C-13H-1,132-133</t>
  </si>
  <si>
    <t>208-1262C-13H-1,133-134</t>
  </si>
  <si>
    <t>208-1262C-13H-1,134-135</t>
  </si>
  <si>
    <t>208-1262C-13H-1,135-136</t>
  </si>
  <si>
    <t>208-1262C-13H-1,137-138</t>
  </si>
  <si>
    <t>208-1262C-13H-1,138-139</t>
  </si>
  <si>
    <t>208-1262C-13H-1,139-140</t>
  </si>
  <si>
    <t>208-1262C-13H-1,140-141</t>
  </si>
  <si>
    <t>208-1262C-13H-1,141-142</t>
  </si>
  <si>
    <t>208-1262C-13H-1,142-143</t>
  </si>
  <si>
    <t>208-1262C-13H-1,143-144</t>
  </si>
  <si>
    <t>208-1262C-13H-1,144-145</t>
  </si>
  <si>
    <t>208-1262C-13H-1,146-147</t>
  </si>
  <si>
    <t>208-1262C-13H-1,148-149</t>
  </si>
  <si>
    <t>208-1262C-13H-2,0-1</t>
  </si>
  <si>
    <t>208-1262C-13H-2,1-2</t>
  </si>
  <si>
    <t>208-1262C-13H-2,2-3</t>
  </si>
  <si>
    <t>208-1262C-13H-2,3-4</t>
  </si>
  <si>
    <t>208-1262C-13H-2,4-5</t>
  </si>
  <si>
    <t>208-1262C-13H-2,5-6</t>
  </si>
  <si>
    <t>208-1262C-13H-2,6-7</t>
  </si>
  <si>
    <t>208-1262C-13H-2,8-9</t>
  </si>
  <si>
    <t>208-1262C-13H-2,9-10</t>
  </si>
  <si>
    <t>208-1262C-13H-2,10-11</t>
  </si>
  <si>
    <t>208-1262C-13H-2,12-13</t>
  </si>
  <si>
    <t>208-1262C-13H-2,14-15</t>
  </si>
  <si>
    <t>208-1262C-13H-2,16-17</t>
  </si>
  <si>
    <t>208-1262C-13H-2,18-19</t>
  </si>
  <si>
    <t>208-1262C-13H-2,20-21</t>
  </si>
  <si>
    <t>208-1262C-13H-2,22-23</t>
  </si>
  <si>
    <t>208-1262C-13H-2,24-25</t>
  </si>
  <si>
    <t>208-1262C-13H-2,26-27</t>
  </si>
  <si>
    <t>208-1262C-13H-2,28-29</t>
  </si>
  <si>
    <t>208-1262C-13H-2,30-31</t>
  </si>
  <si>
    <t>208-1262C-13H-2,32-33</t>
  </si>
  <si>
    <t>208-1262C-13H-2,34-35</t>
  </si>
  <si>
    <t>208-1262C-13H-2,36-37</t>
  </si>
  <si>
    <t>208-1262C-13H-2,38-39</t>
  </si>
  <si>
    <t>208-1262C-13H-2,42-43</t>
  </si>
  <si>
    <t>208-1262C-13H-2,44-45</t>
  </si>
  <si>
    <t>208-1262C-13H-2,47-48</t>
  </si>
  <si>
    <t>208-1262C-13H-2,49-50</t>
  </si>
  <si>
    <t>208-1262C-13H-2,51-52</t>
  </si>
  <si>
    <t>208-1262C-13H-2,54-55</t>
  </si>
  <si>
    <t>208-1262C-13H-2,56-57</t>
  </si>
  <si>
    <t>208-1262C-13H-2,58-59</t>
  </si>
  <si>
    <t>208-1262C-13H-2,60-61</t>
  </si>
  <si>
    <t>208-1262C-13H-2,61-62</t>
  </si>
  <si>
    <t>208-1262C-13H-2,69-70</t>
  </si>
  <si>
    <t>208-1262C-13H-2,78-79</t>
  </si>
  <si>
    <t>208-1262C-13H-2,79-80</t>
  </si>
  <si>
    <t>208-1262C-13H-2,101-102</t>
  </si>
  <si>
    <t>208-1262C-13H-2,107-108</t>
  </si>
  <si>
    <t>208-1262C-13H-2,113-114</t>
  </si>
  <si>
    <t>208-1262C-13H-2,119-120</t>
  </si>
  <si>
    <t>208-1262C-13H-2,125-126</t>
  </si>
  <si>
    <t>208-1262C-13H-2,137-138</t>
  </si>
  <si>
    <t>208-1262C-13H-2,146-147</t>
  </si>
  <si>
    <t>208-1262C-13H-3,6-7</t>
  </si>
  <si>
    <t>208-1262C-13H-3,18-19</t>
  </si>
  <si>
    <t>208-1262C-13H-3,24-25</t>
  </si>
  <si>
    <t>208-1262C-13H-3,30-31</t>
  </si>
  <si>
    <t>208-1262C-13H-3,36-37</t>
  </si>
  <si>
    <t>208-1262C-13H-3,48-49</t>
  </si>
  <si>
    <t>208-1262C-13H-3,57-58</t>
  </si>
  <si>
    <t>208-1262C-13H-3,66-67</t>
  </si>
  <si>
    <t>208-1262C-13H-3,96-97</t>
  </si>
  <si>
    <t>208-1262C-13H-3,102-103</t>
  </si>
  <si>
    <t>208-1262C-13H-3,111-112</t>
  </si>
  <si>
    <t>208-1262C-13H-3,120-121</t>
  </si>
  <si>
    <t>208-1262C-13H-3,126-127</t>
  </si>
  <si>
    <t>208-1262C-13H-3,132-133</t>
  </si>
  <si>
    <t>208-1262C-13H-3,138-139</t>
  </si>
  <si>
    <t>208-1262C-13H-3,141-142</t>
  </si>
  <si>
    <t>208-1262C-13H-4,3-4</t>
  </si>
  <si>
    <t>208-1262C-13H-4,6-7</t>
  </si>
  <si>
    <t>208-1262C-13H-4,12-13</t>
  </si>
  <si>
    <t>208-1262C-13H-4,15-16</t>
  </si>
  <si>
    <t>208-1262C-13H-4,21-22</t>
  </si>
  <si>
    <t>208-1262C-13H-4,27-28</t>
  </si>
  <si>
    <t>208-1262C-13H-4,36-37</t>
  </si>
  <si>
    <t>208-1262C-13H-4,42-43</t>
  </si>
  <si>
    <t>208-1262C-13H-4,45-46</t>
  </si>
  <si>
    <t>208-1262C-13H-4,51-52</t>
  </si>
  <si>
    <t>208-1262C-13H-4,57-58</t>
  </si>
  <si>
    <t>208-1262C-13H-4,63-64</t>
  </si>
  <si>
    <t>208-1262C-13H-4,66-67</t>
  </si>
  <si>
    <t>208-1262C-13H-4,72-73</t>
  </si>
  <si>
    <t>208-1262C-13H-4,78-79</t>
  </si>
  <si>
    <t>208-1262C-13H-4,87-88</t>
  </si>
  <si>
    <t>208-1262C-13H-4,93-94</t>
  </si>
  <si>
    <t>208-1262C-13H-4,99-100</t>
  </si>
  <si>
    <t>208-1262C-13H-4,102-103</t>
  </si>
  <si>
    <t>208-1262C-13H-4,108-109</t>
  </si>
  <si>
    <t>208-1262C-13H-4,111-112</t>
  </si>
  <si>
    <t>208-1262C-13H-4,117-118</t>
  </si>
  <si>
    <t>208-1262C-13H-4,120-121</t>
  </si>
  <si>
    <t>208-1262C-13H-4,123-124</t>
  </si>
  <si>
    <t>208-1262C-13H-4,126-127</t>
  </si>
  <si>
    <t>208-1262C-13H-4,132-133</t>
  </si>
  <si>
    <t>208-1262C-13H-4,135-136</t>
  </si>
  <si>
    <t>208-1262C-13H-4,138-139</t>
  </si>
  <si>
    <t>208-1262C-13H-4,147-148</t>
  </si>
  <si>
    <t>208-1262C-13H-5,0-1</t>
  </si>
  <si>
    <t>208-1262C-13H-5,12-13</t>
  </si>
  <si>
    <t>208-1262C-13H-5,15-16</t>
  </si>
  <si>
    <t>208-1262C-13H-5,18-19</t>
  </si>
  <si>
    <t>208-1262C-13H-5,27-28</t>
  </si>
  <si>
    <t>208-1262C-13H-5,30-31</t>
  </si>
  <si>
    <t>208-1262C-13H-5,33-34</t>
  </si>
  <si>
    <t>208-1262C-13H-5,39-40</t>
  </si>
  <si>
    <t>208-1262C-13H-5,45-46</t>
  </si>
  <si>
    <t>208-1262C-13H-5,48-49</t>
  </si>
  <si>
    <t>208-1262C-13H-5,54-55</t>
  </si>
  <si>
    <t>208-1262C-13H-5,57-58</t>
  </si>
  <si>
    <t>208-1262C-13H-5,60-61</t>
  </si>
  <si>
    <t>208-1262C-13H-5,63-64</t>
  </si>
  <si>
    <t>208-1262C-13H-5,69-70</t>
  </si>
  <si>
    <t>208-1262C-13H-5,75-76</t>
  </si>
  <si>
    <t>208-1262C-13H-5,78-79</t>
  </si>
  <si>
    <t>208-1262C-13H-5,84-85</t>
  </si>
  <si>
    <t>208-1262C-13H-5,90-91</t>
  </si>
  <si>
    <t>208-1262C-13H-5,93-94</t>
  </si>
  <si>
    <t>208-1262C-13H-5,99-100</t>
  </si>
  <si>
    <t>208-1262C-13H-5,105-106</t>
  </si>
  <si>
    <t>208-1262C-13H-5,108-109</t>
  </si>
  <si>
    <t>208-1262C-13H-5,114-115</t>
  </si>
  <si>
    <t>208-1262C-13H-5,117-118</t>
  </si>
  <si>
    <t>208-1262C-13H-5,120-121</t>
  </si>
  <si>
    <t>208-1262C-13H-5,123-124</t>
  </si>
  <si>
    <t>208-1262C-13H-5,129-130</t>
  </si>
  <si>
    <t>208-1262C-13H-5,132-133</t>
  </si>
  <si>
    <t>208-1262C-13H-5,138-139</t>
  </si>
  <si>
    <t>208-1262C-13H-5,144-145</t>
  </si>
  <si>
    <t>208-1262C-13H-5,147-148</t>
  </si>
  <si>
    <t>208-1262C-13H-6,0-1</t>
  </si>
  <si>
    <t>208-1262C-13H-6,3-4</t>
  </si>
  <si>
    <t>208-1262C-13H-6,9-10</t>
  </si>
  <si>
    <t>208-1262C-13H-6,12-13</t>
  </si>
  <si>
    <t>208-1262C-13H-6,18-19</t>
  </si>
  <si>
    <t>208-1262C-13H-6,24-25</t>
  </si>
  <si>
    <t>208-1262C-13H-6,27-28</t>
  </si>
  <si>
    <t>208-1262C-13H-6,30-31</t>
  </si>
  <si>
    <t>208-1262C-13H-6,36-37</t>
  </si>
  <si>
    <t>208-1262C-13H-6,39-40</t>
  </si>
  <si>
    <t>208-1262C-13H-6,42-43</t>
  </si>
  <si>
    <t>208-1262C-13H-6,51-52</t>
  </si>
  <si>
    <t>208-1262C-13H-6,54-55</t>
  </si>
  <si>
    <t>208-1262C-13H-6,57-58</t>
  </si>
  <si>
    <t>208-1262C-13H-6,60-61</t>
  </si>
  <si>
    <t>208-1262C-13H-6,66-67</t>
  </si>
  <si>
    <t>208-1262C-13H-6,75-76</t>
  </si>
  <si>
    <t>208-1262C-13H-6,81-82</t>
  </si>
  <si>
    <t>208-1262C-13H-6,87-88</t>
  </si>
  <si>
    <t>208-1262C-13H-6,90-91</t>
  </si>
  <si>
    <t>208-1262C-13H-6,96-97</t>
  </si>
  <si>
    <t>this study</t>
  </si>
  <si>
    <t>IODP U1403</t>
  </si>
  <si>
    <t>rCCSF</t>
  </si>
  <si>
    <t>208-1262C-13H-6,102-103</t>
  </si>
  <si>
    <t>208-1262C-13H-6,108-109</t>
  </si>
  <si>
    <t>208-1262C-13H-6,111-112</t>
  </si>
  <si>
    <t>208-1262C-13H-6,117-118</t>
  </si>
  <si>
    <t>208-1262C-13H-7,32-33</t>
  </si>
  <si>
    <t>208-1262C-13H-7,38-39</t>
  </si>
  <si>
    <t>208-1262C-13H-7,44-45</t>
  </si>
  <si>
    <t>208-1262C-13H-7,47-48</t>
  </si>
  <si>
    <t>208-1262C-13H-7,56-57</t>
  </si>
  <si>
    <t>208-1262C-13H-7,59-60</t>
  </si>
  <si>
    <t>208-1262C-13H-7,62-63</t>
  </si>
  <si>
    <t>208-1262C-13H-7,71-72</t>
  </si>
  <si>
    <t>208-1262C-13H-7,74-75</t>
  </si>
  <si>
    <t>208-1262C-13H-7,77-78</t>
  </si>
  <si>
    <t>208-1262C-13H-7,83-84</t>
  </si>
  <si>
    <t>208-1262C-13H-7,92-93</t>
  </si>
  <si>
    <t>208-1262C-13H-7,98-99</t>
  </si>
  <si>
    <t>208-1262C-13H-7,101-102</t>
  </si>
  <si>
    <t>208-1262C-13H-7,104-105</t>
  </si>
  <si>
    <t>208-1262C-13H-7,110-111</t>
  </si>
  <si>
    <t>208-1262C-13H-7,113-114</t>
  </si>
  <si>
    <t>208-1262C-13H-7,116-117</t>
  </si>
  <si>
    <t>208-1262C-13H-7,119-120</t>
  </si>
  <si>
    <t>208-1262B-23H-1,89-90</t>
  </si>
  <si>
    <t>208-1262B-23H-1,95-96</t>
  </si>
  <si>
    <t>208-1262B-23H-1,98-99</t>
  </si>
  <si>
    <t>208-1262B-23H-1,104-105</t>
  </si>
  <si>
    <t>208-1262B-23H-1,110-111</t>
  </si>
  <si>
    <t>208-1262B-23H-1,119-120</t>
  </si>
  <si>
    <t>208-1262B-23H-1,125-126</t>
  </si>
  <si>
    <t>208-1262B-23H-1,134-135</t>
  </si>
  <si>
    <t>208-1262B-23H-1,140-141</t>
  </si>
  <si>
    <t>208-1262B-23H-1,146-147</t>
  </si>
  <si>
    <t>208-1262B-23H-2,2-3</t>
  </si>
  <si>
    <t>208-1262B-23H-2,5-6</t>
  </si>
  <si>
    <t>208-1262B-23H-2,8-9</t>
  </si>
  <si>
    <t>208-1262B-23H-2,14-15</t>
  </si>
  <si>
    <t>208-1262B-23H-2,20-21</t>
  </si>
  <si>
    <t>208-1262B-23H-2,29-30</t>
  </si>
  <si>
    <t>208-1262B-23H-2,35-36</t>
  </si>
  <si>
    <t>208-1262B-23H-2,38-39</t>
  </si>
  <si>
    <t>208-1262B-23H-2,44-45</t>
  </si>
  <si>
    <t>208-1262B-23H-2,47-48</t>
  </si>
  <si>
    <t>208-1262B-23H-2,53-54</t>
  </si>
  <si>
    <t>208-1262B-23H-2,59-60</t>
  </si>
  <si>
    <t>208-1262B-23H-2,68-69</t>
  </si>
  <si>
    <t>208-1262B-23H-2,74-75</t>
  </si>
  <si>
    <t>208-1262B-23H-2,80-81</t>
  </si>
  <si>
    <t>208-1262B-23H-2,89-90</t>
  </si>
  <si>
    <t>Birch et al. (2016)</t>
  </si>
  <si>
    <t>Globotruncana falsostuarti</t>
  </si>
  <si>
    <t>Racemiguembelina fructicosa</t>
  </si>
  <si>
    <t>Guembelina cretacea</t>
  </si>
  <si>
    <t>m below K-Pg</t>
  </si>
  <si>
    <t>omitted, as in bioturbation zone</t>
  </si>
  <si>
    <t>Globotruncana sp.</t>
  </si>
  <si>
    <t>ODP 1210</t>
  </si>
  <si>
    <t>198-1210A-24H-1, 10-12</t>
  </si>
  <si>
    <t>198-1210A-24H-1, 60-62</t>
  </si>
  <si>
    <t>198-1210A-24H-1, 110-112</t>
  </si>
  <si>
    <t>198-1210A-24H-2, 10-12</t>
  </si>
  <si>
    <t>198-1210A-24H-2, 110-112</t>
  </si>
  <si>
    <t>198-1210A-24H-3, 10-12</t>
  </si>
  <si>
    <t>198-1210A-24H-3, 60-62</t>
  </si>
  <si>
    <t>198-1210A-24H-3, 110-112</t>
  </si>
  <si>
    <t>198-1210A-24H-4, 10-12</t>
  </si>
  <si>
    <t>198-1210A-24H-4, 20-22</t>
  </si>
  <si>
    <t>198-1210A-24H-4, 30-32</t>
  </si>
  <si>
    <t>198-1210A-24H-4, 40-42</t>
  </si>
  <si>
    <t>198-1210A-24H-4, 50-52</t>
  </si>
  <si>
    <t>198-1210A-24H-4, 60-62</t>
  </si>
  <si>
    <t>198-1210A-24H-4, 70-72</t>
  </si>
  <si>
    <t>198-1210A-24H-4, 80-82</t>
  </si>
  <si>
    <t>198-1210A-24H-4, 110-112</t>
  </si>
  <si>
    <t>198-1210A-24H-5, 10-12</t>
  </si>
  <si>
    <t>198-1210A-24H-5, 60-62</t>
  </si>
  <si>
    <t>198-1210A-24H-5, 110-112</t>
  </si>
  <si>
    <t>198-1210A-24H-6, 10-12</t>
  </si>
  <si>
    <t>198-1210A-24H-6, 60-62</t>
  </si>
  <si>
    <t>198-1210A-24H-6, 110-112</t>
  </si>
  <si>
    <t>198-1210A-24H-7, 5-7</t>
  </si>
  <si>
    <t>198-1210A-24H-7, 10-12</t>
  </si>
  <si>
    <t>208-1262C-12H-5, 128-129</t>
  </si>
  <si>
    <t>208-1262C-12H-6, 2-3</t>
  </si>
  <si>
    <t>208-1262C-12H-6, 23-24</t>
  </si>
  <si>
    <t>208-1262C-12H-6, 47-48</t>
  </si>
  <si>
    <t>208-1262C-12H-6, 67-68</t>
  </si>
  <si>
    <t>208-1262C-12H-6, 76-77</t>
  </si>
  <si>
    <t>208-1262C-12H-6, 95-96</t>
  </si>
  <si>
    <t>208-1262C-12H-7, 20-21</t>
  </si>
  <si>
    <t>208-1262C-12H-7, 44-45</t>
  </si>
  <si>
    <t>208-1262B-22H-1, 5-6</t>
  </si>
  <si>
    <t>208-1262B-22H-1, 32-33</t>
  </si>
  <si>
    <t>208-1262B-22H-1, 56-57</t>
  </si>
  <si>
    <t>208-1262B-22H-1, 80-81</t>
  </si>
  <si>
    <t>208-1262B-22H-2, 5-6</t>
  </si>
  <si>
    <t>208-1262B-22H-2, 29-30</t>
  </si>
  <si>
    <t>208-1262B-22H-2, 53-54</t>
  </si>
  <si>
    <t>208-1262B-22H-3, 2-3</t>
  </si>
  <si>
    <t>208-1262B-22H-3, 26-27</t>
  </si>
  <si>
    <t>208-1262B-22H-3, 50-51</t>
  </si>
  <si>
    <t>208-1262B-22H-3, 74-75</t>
  </si>
  <si>
    <t>208-1262C-13H-1, 3-4</t>
  </si>
  <si>
    <t>208-1262C-13H-1, 33-34</t>
  </si>
  <si>
    <t>208-1262C-13H-1, 51-52</t>
  </si>
  <si>
    <t>208-1262C-13H-1, 68-69</t>
  </si>
  <si>
    <t>208-1262C-13H-1, 95-96</t>
  </si>
  <si>
    <t>208-1262C-13H-1, 116-117</t>
  </si>
  <si>
    <t>208-1262C-13H-1, 124-125</t>
  </si>
  <si>
    <t>208-1262C-13H-1, 137-138</t>
  </si>
  <si>
    <t>208-1262C-13H-2, 1-2</t>
  </si>
  <si>
    <t>208-1262C-13H-2, 12-13</t>
  </si>
  <si>
    <t>208-1262C-13H-2, 24-25</t>
  </si>
  <si>
    <t>208-1262C-13H-2, 32-33</t>
  </si>
  <si>
    <t>208-1262C-13H-2, 42-43</t>
  </si>
  <si>
    <t>208-1262C-13H-2, 44-45</t>
  </si>
  <si>
    <t>208-1262C-13H-2, 51-52</t>
  </si>
  <si>
    <t>208-1262C-13H-2, 56-57</t>
  </si>
  <si>
    <t>208-1262C-13H-2, 58-59</t>
  </si>
  <si>
    <t>208-1262C-13H-2, 59-60</t>
  </si>
  <si>
    <t>208-1262C-13H-2, 60-61</t>
  </si>
  <si>
    <t>208-1262C-13H-2, 61-62</t>
  </si>
  <si>
    <t>208-1262C-13H-2, 63-64</t>
  </si>
  <si>
    <t>208-1262C-13H-2, 67-68</t>
  </si>
  <si>
    <t>208-1262C-13H-2, 79-80</t>
  </si>
  <si>
    <t>208-1262C-13H-2, 99-101</t>
  </si>
  <si>
    <t>208-1262C-13H-2, 119-120</t>
  </si>
  <si>
    <t>208-1262C-13H-3, 12-13</t>
  </si>
  <si>
    <t>208-1262C-13H-3, 87-88</t>
  </si>
  <si>
    <t>208-1262C-13H-4, 9-10</t>
  </si>
  <si>
    <t>208-1262C-13H-4, 84-85</t>
  </si>
  <si>
    <t>208-1262C-13H-5, 6-7</t>
  </si>
  <si>
    <t>208-1262C-13H-5, 96-97</t>
  </si>
  <si>
    <t>DSDP 465</t>
  </si>
  <si>
    <t>62-465A-3-1, 105-108</t>
  </si>
  <si>
    <t>62-465A-3-1, 144-147</t>
  </si>
  <si>
    <t>62-465A-3-2, 24-27</t>
  </si>
  <si>
    <t>62-465A-3-2, 64-67</t>
  </si>
  <si>
    <t>62-465A-3-2, 106-109</t>
  </si>
  <si>
    <t>62-465A-3-2, 145-148</t>
  </si>
  <si>
    <t>62-465A-3-3, 6-9</t>
  </si>
  <si>
    <t>62-465A-3-3, 23-26</t>
  </si>
  <si>
    <r>
      <t xml:space="preserve">Top </t>
    </r>
    <r>
      <rPr>
        <i/>
        <sz val="12"/>
        <color theme="1"/>
        <rFont val="Calibri"/>
        <family val="2"/>
        <scheme val="minor"/>
      </rPr>
      <t>P. eugubina</t>
    </r>
    <r>
      <rPr>
        <sz val="12"/>
        <color theme="1"/>
        <rFont val="Calibri"/>
        <family val="2"/>
        <scheme val="minor"/>
      </rPr>
      <t xml:space="preserve"> zone</t>
    </r>
  </si>
  <si>
    <t>62-465A-3-3, 26-29</t>
  </si>
  <si>
    <t>62-465A-3-3, 64-67</t>
  </si>
  <si>
    <t>62-465A-3-3, 105-108</t>
  </si>
  <si>
    <t>62-465A-3-3, 115-118</t>
  </si>
  <si>
    <t>62-465A-3-3, 126-129</t>
  </si>
  <si>
    <t>62-465A-3-3, 129</t>
  </si>
  <si>
    <t xml:space="preserve">K-Pg boundary† </t>
  </si>
  <si>
    <t>ds</t>
  </si>
  <si>
    <t>62-465A-3-3, 143-146</t>
  </si>
  <si>
    <t>62-465A-3-4, 29-32</t>
  </si>
  <si>
    <t>62-465A-3-4, 66-69</t>
  </si>
  <si>
    <t>62-465A-3-4, 104-107</t>
  </si>
  <si>
    <t>62-465A-3-4, 143-146</t>
  </si>
  <si>
    <t>62-465A-3-5, 24-27</t>
  </si>
  <si>
    <t>62-465A-3-5, 65-68</t>
  </si>
  <si>
    <t>62-465A-3-5, 74</t>
  </si>
  <si>
    <r>
      <rPr>
        <sz val="12"/>
        <color theme="1"/>
        <rFont val="Calibri"/>
        <family val="2"/>
        <scheme val="minor"/>
      </rPr>
      <t>Base</t>
    </r>
    <r>
      <rPr>
        <i/>
        <sz val="12"/>
        <color theme="1"/>
        <rFont val="Calibri"/>
        <family val="2"/>
        <scheme val="minor"/>
      </rPr>
      <t xml:space="preserve"> M. prinsii</t>
    </r>
  </si>
  <si>
    <t>62-465A-3-5, 93-96</t>
  </si>
  <si>
    <t>ODP 1267</t>
  </si>
  <si>
    <t>208-1267A-30X-5, 92-93</t>
  </si>
  <si>
    <t>208-1267A-30X-5, 113-114</t>
  </si>
  <si>
    <t>208-1267A-30X-5, 119-120</t>
  </si>
  <si>
    <t>208-1267A-30X-5, 146-147</t>
  </si>
  <si>
    <t>208-1267A-30X-6, 22-23</t>
  </si>
  <si>
    <t>208-1267A-30X-6, 52-53</t>
  </si>
  <si>
    <t>208-1267A-30X-6, 76-77</t>
  </si>
  <si>
    <t>208-1267A-30X-6, 105-107</t>
  </si>
  <si>
    <t>208-1267A-30X-6, 131-132</t>
  </si>
  <si>
    <t>208-1267A-30X-7, 9-10</t>
  </si>
  <si>
    <t>208-1267A-30X-7, 35-36</t>
  </si>
  <si>
    <t>208-1267B-32X-1, 61-62</t>
  </si>
  <si>
    <t>208-1267B-32X-1, 80-81</t>
  </si>
  <si>
    <t>208-1267B-32X-1, 105-106</t>
  </si>
  <si>
    <t>208-1267B-32X-1, 128-130</t>
  </si>
  <si>
    <t>208-1267B-32X-2, 3-4</t>
  </si>
  <si>
    <t>208-1267B-32X-2, 21-22</t>
  </si>
  <si>
    <t>208-1267B-32X-2, 45-46</t>
  </si>
  <si>
    <t>208-1267B-32X-2, 66-67</t>
  </si>
  <si>
    <t>208-1267B-32X-2, 82-83</t>
  </si>
  <si>
    <t>208-1267B-32X-2, 104-105</t>
  </si>
  <si>
    <t>208-1267B-32X-2, 126-127</t>
  </si>
  <si>
    <t>208-1267B-32X-2, 145-146</t>
  </si>
  <si>
    <t>208-1267B-32X-3, 6-7</t>
  </si>
  <si>
    <t>208-1267B-32X-3, 19-20</t>
  </si>
  <si>
    <t>208-1267B-32X-3, 22-23</t>
  </si>
  <si>
    <t>208-1267B-32X-3, 25-26</t>
  </si>
  <si>
    <t>208-1267B-32X-3, 28-29</t>
  </si>
  <si>
    <t>208-1267B-32X-3, 38-39</t>
  </si>
  <si>
    <t>208-1267B-32X-3, 47-48</t>
  </si>
  <si>
    <t>208-1267B-32X-3, 55-56</t>
  </si>
  <si>
    <t>208-1267B-32X-3, 68-69</t>
  </si>
  <si>
    <t>208-1267B-32X-3, 79-80</t>
  </si>
  <si>
    <t>208-1267B-32X-3, 93-94</t>
  </si>
  <si>
    <t>208-1267B-32X-4, 1-2</t>
  </si>
  <si>
    <t>208-1267B-32X-4, 15-16</t>
  </si>
  <si>
    <t>208-1267B-32X-4, 27-28</t>
  </si>
  <si>
    <t>208-1267B-32X-4, 37-38</t>
  </si>
  <si>
    <t>208-1267B-32X-4, 49-50</t>
  </si>
  <si>
    <t>208-1267B-32X-4, 58-59</t>
  </si>
  <si>
    <t>208-1267B-32X-4, 64-65</t>
  </si>
  <si>
    <t>208-1267B-32X-4, 68-69</t>
  </si>
  <si>
    <t>208-1267B-32X-4, 72-73</t>
  </si>
  <si>
    <t>208-1267B-32X-4, 74-75</t>
  </si>
  <si>
    <t>208-1267B-32X-4, 77-78</t>
  </si>
  <si>
    <t>208-1267B-32X-4, 78-79</t>
  </si>
  <si>
    <t>208-1267B-32X-4, 79-80</t>
  </si>
  <si>
    <t>208-1267B-32X-4, 80-81</t>
  </si>
  <si>
    <t>208-1267B-32X-4, 81-82</t>
  </si>
  <si>
    <t>208-1267B-32X-4, 85-86</t>
  </si>
  <si>
    <t>208-1267B-32X-4, 87-88</t>
  </si>
  <si>
    <t>208-1267B-32X-4, 89-90</t>
  </si>
  <si>
    <t>208-1267B-32X-4, 103-104</t>
  </si>
  <si>
    <t>208-1267B-32X-4, 117-118</t>
  </si>
  <si>
    <t>208-1267B-32X-4, 134-135</t>
  </si>
  <si>
    <t>208-1267B-32X-4, 148-149</t>
  </si>
  <si>
    <t>208-1267B-32X-5, 29-30</t>
  </si>
  <si>
    <t>208-1267A-31X-4, 68-69</t>
  </si>
  <si>
    <t>208-1267A-31X-4, 111-112</t>
  </si>
  <si>
    <t>208-1267A-31X-4, 147-148</t>
  </si>
  <si>
    <t>198-1209A-25H-6, 112-</t>
  </si>
  <si>
    <t>rmcd adj</t>
  </si>
  <si>
    <t xml:space="preserve">bulk forams </t>
  </si>
  <si>
    <t>mixed</t>
  </si>
  <si>
    <t>198-1209A-25H-6, 108-</t>
  </si>
  <si>
    <t>198-1209A-25H-6, 104-</t>
  </si>
  <si>
    <t>198-1209A-25H-6, 96-</t>
  </si>
  <si>
    <t>198-1209A-25H-6, 80-</t>
  </si>
  <si>
    <t>198-1209A-25H-6, 60-</t>
  </si>
  <si>
    <t>198-1209A-25H-6, 48-</t>
  </si>
  <si>
    <t>198-1209A-25H-6, 40-</t>
  </si>
  <si>
    <t>198-1209A-25H-6, 32-</t>
  </si>
  <si>
    <t>198-1209A-25H-6, 28-</t>
  </si>
  <si>
    <t>198-1209A-25H-6, 16-</t>
  </si>
  <si>
    <t>198-1209A-25H-6, 8-</t>
  </si>
  <si>
    <t>198-1209A-25H-6, 4-</t>
  </si>
  <si>
    <t>198-1209C-15H-2, 132-</t>
  </si>
  <si>
    <t>198-1209C-15H-2, 120-</t>
  </si>
  <si>
    <t>198-1209C-15H-2, 112-</t>
  </si>
  <si>
    <t>198-1209C-15H-2, 104-</t>
  </si>
  <si>
    <t>198-1209C-15H-2, 96-</t>
  </si>
  <si>
    <t>198-1209C-15H-2, 88-</t>
  </si>
  <si>
    <t>198-1209C-15H-2, 80-</t>
  </si>
  <si>
    <t>198-1209C-15H-2, 76-</t>
  </si>
  <si>
    <t>198-1209C-15H-2, 60-</t>
  </si>
  <si>
    <t>198-1209C-15H-2, 48-</t>
  </si>
  <si>
    <t>198-1209C-15H-2, 36-</t>
  </si>
  <si>
    <t>198-1209C-15H-2, 20-</t>
  </si>
  <si>
    <t>198-1209C-15H-2, 12-</t>
  </si>
  <si>
    <t>198-1209C-15H-2, 8-</t>
  </si>
  <si>
    <t>198-1209C-15H-2, 0-</t>
  </si>
  <si>
    <t>198-1209C-15H-1, 138-</t>
  </si>
  <si>
    <t>198-1209C-15H-1, 130-</t>
  </si>
  <si>
    <t>198-1209C-15H-1, 118-</t>
  </si>
  <si>
    <t>198-1209C-15H-1, 110-</t>
  </si>
  <si>
    <t>198-1209C-15H-1, 102-</t>
  </si>
  <si>
    <t>198-1209C-15H-1, 98-</t>
  </si>
  <si>
    <t>198-1209C-15H-1, 94-</t>
  </si>
  <si>
    <t>198-1209C-15H-1, 90-</t>
  </si>
  <si>
    <t>198-1209C-15H-1, 86-</t>
  </si>
  <si>
    <t>198-1209C-15H-1, 82-</t>
  </si>
  <si>
    <t>198-1209B-25H-6, 116-</t>
  </si>
  <si>
    <t>198-1209B-25H-6, 112-</t>
  </si>
  <si>
    <t>198-1209B-25H-6, 108-</t>
  </si>
  <si>
    <t>198-1209B-25H-6, 100-</t>
  </si>
  <si>
    <t>198-1209B-25H-6, 96-</t>
  </si>
  <si>
    <t>198-1209B-25H-6, 92-</t>
  </si>
  <si>
    <t>198-1209B-25H-6, 88-</t>
  </si>
  <si>
    <t>198-1209B-25H-6, 84-</t>
  </si>
  <si>
    <t>198-1209B-25H-6, 80-</t>
  </si>
  <si>
    <t>198-1209B-25H-6, 68-</t>
  </si>
  <si>
    <t>198-1209B-25H-6, 66-</t>
  </si>
  <si>
    <t>198-1209B-25H-6, 52-</t>
  </si>
  <si>
    <t>198-1209B-25H-6, 28-</t>
  </si>
  <si>
    <t>198-1209B-25H-6, 16-</t>
  </si>
  <si>
    <t>198-1209B-25H-6, 8-</t>
  </si>
  <si>
    <t>198-1209B-25H-6, 4-</t>
  </si>
  <si>
    <t>198-1209B-25H-5, 146-</t>
  </si>
  <si>
    <t>198-1209B-25H-5, 134-</t>
  </si>
  <si>
    <t>198-1209B-25H-5, 110-</t>
  </si>
  <si>
    <t>198-1209B-25H-5, 106-</t>
  </si>
  <si>
    <t>198-1209B-25H-5, 102-</t>
  </si>
  <si>
    <t>198-1209B-25H-5, 94-</t>
  </si>
  <si>
    <t>198-1209B-25H-5, 82-</t>
  </si>
  <si>
    <t>198-1209B-25H-5, 74-</t>
  </si>
  <si>
    <t>198-1209B-25H-5, 66-</t>
  </si>
  <si>
    <t>198-1209B-25H-5, 58-</t>
  </si>
  <si>
    <t>198-1209B-25H-5, 54-</t>
  </si>
  <si>
    <t>198-1209B-25H-5, 46-</t>
  </si>
  <si>
    <t>198-1209B-25H-5, 42-</t>
  </si>
  <si>
    <t>198-1209B-25H-5, 34-</t>
  </si>
  <si>
    <t>198-1209B-25H-5, 22-</t>
  </si>
  <si>
    <t>198-1209B-25H-5, 18-</t>
  </si>
  <si>
    <t>198-1209B-25H-5, 14-</t>
  </si>
  <si>
    <t>198-1209B-25H-5, 10-</t>
  </si>
  <si>
    <t>198-1209B-25H-5, 8-</t>
  </si>
  <si>
    <t>198-1209B-25H-5, 6-</t>
  </si>
  <si>
    <t>198-1209B-25H-5, 0-</t>
  </si>
  <si>
    <t>198-1209B-25H-4, 144-</t>
  </si>
  <si>
    <t>198-1209B-25H-4, 128-</t>
  </si>
  <si>
    <t>198-1209B-25H-4, 112-</t>
  </si>
  <si>
    <t>198-1209B-25H-4, 72-</t>
  </si>
  <si>
    <t>Woodringina</t>
  </si>
  <si>
    <t>198-1209C-15H-2, 22-</t>
  </si>
  <si>
    <t>198-1209A-24H-3, 54-55</t>
  </si>
  <si>
    <t>M. angulata</t>
  </si>
  <si>
    <t>198-1209A-24H-3, 64-65</t>
  </si>
  <si>
    <t>198-1209A-24H-3, 74-75</t>
  </si>
  <si>
    <t>198-1209A-24H-3, 84-85</t>
  </si>
  <si>
    <t>198-1209A-24H-3, 99-100</t>
  </si>
  <si>
    <t>198-1209A-24H-3, 104-105</t>
  </si>
  <si>
    <t>198-1209A-24H-3, 114-115</t>
  </si>
  <si>
    <t>198-1209A-24H-3, 124-125</t>
  </si>
  <si>
    <t>198-1209A-24H-3, 139-140</t>
  </si>
  <si>
    <t>198-1209A-24H-3, 144-145</t>
  </si>
  <si>
    <t>198-1209A-24H-4, 4-5</t>
  </si>
  <si>
    <t>198-1209A-24H-4, 29-30</t>
  </si>
  <si>
    <t>198-1209A-24H-4, 44-45</t>
  </si>
  <si>
    <t>198-1209A-24H-4, 54-55</t>
  </si>
  <si>
    <t>198-1209A-24H-4, 74-75</t>
  </si>
  <si>
    <t>198-1209A-24H-4, 89-90</t>
  </si>
  <si>
    <t>198-1209A-24H-4, 94-95</t>
  </si>
  <si>
    <t>198-1209A-24H-4, 114-115</t>
  </si>
  <si>
    <t>198-1209A-24H-4, 134-135</t>
  </si>
  <si>
    <t>198-1209A-24H-4, 144-145</t>
  </si>
  <si>
    <t>198-1209A-24H-5, 4-5</t>
  </si>
  <si>
    <t>198-1209A-24H-5, 14-15</t>
  </si>
  <si>
    <t>198-1209A-24H-5, 24-25</t>
  </si>
  <si>
    <t>P. uncinata</t>
  </si>
  <si>
    <t>198-1209A-24H-5, 54-55</t>
  </si>
  <si>
    <t>198-1209A-24H-5, 64-65</t>
  </si>
  <si>
    <t>198-1209A-24H-5, 74-75</t>
  </si>
  <si>
    <t>198-1209A-24H-5, 84-85</t>
  </si>
  <si>
    <t>198-1209A-24H-5, 94-95</t>
  </si>
  <si>
    <t>198-1209A-24H-5, 104-105</t>
  </si>
  <si>
    <t>198-1209A-24H-5, 114-115</t>
  </si>
  <si>
    <t>198-1209A-24H-5, 124-125</t>
  </si>
  <si>
    <t>198-1209A-24H-5, 129-130</t>
  </si>
  <si>
    <t>198-1209A-24H-5, 134-135</t>
  </si>
  <si>
    <t>198-1209A-24H-5, 144-145</t>
  </si>
  <si>
    <t>198-1209A-24H-5, 149-150</t>
  </si>
  <si>
    <t>198-1209A-24H-6, 4-5</t>
  </si>
  <si>
    <t>198-1209A-24H-6, 9-10</t>
  </si>
  <si>
    <t>198-1209A-24H-6, 19-20</t>
  </si>
  <si>
    <t>198-1209A-24H-6, 39-40</t>
  </si>
  <si>
    <t>198-1209A-24H-6, 44-45</t>
  </si>
  <si>
    <t>198-1209A-24H-6, 49-50</t>
  </si>
  <si>
    <t>198-1209C-14H-2, 112-113</t>
  </si>
  <si>
    <t>198-1209C-14H-2, 122-123</t>
  </si>
  <si>
    <t>198-1209C-14H-2, 132-133</t>
  </si>
  <si>
    <t>198-1209C-14H-2, 142-143</t>
  </si>
  <si>
    <t>198-1209C-14H-3, 2-3</t>
  </si>
  <si>
    <t>198-1209C-14H-3, 12-13</t>
  </si>
  <si>
    <t>198-1209C-14H-3, 22-23</t>
  </si>
  <si>
    <t>198-1209C-14H-3, 32-33</t>
  </si>
  <si>
    <t>198-1209C-14H-3, 42-43</t>
  </si>
  <si>
    <t>198-1209C-14H-3, 52-53</t>
  </si>
  <si>
    <t>198-1209C-14H-3, 62-63</t>
  </si>
  <si>
    <t>198-1209C-14H-3, 72-73</t>
  </si>
  <si>
    <t>198-1209C-14H-3, 82-83</t>
  </si>
  <si>
    <t>198-1209C-14H-3, 92-93</t>
  </si>
  <si>
    <t>198-1209C-14H-3, 102-103</t>
  </si>
  <si>
    <t>198-1209B-25H-2, 14-15</t>
  </si>
  <si>
    <t>198-1209C-14H-3, 107-108</t>
  </si>
  <si>
    <t>198-1209B-25H-2, 19-20</t>
  </si>
  <si>
    <t>198-1209B-25H-2, 29-30</t>
  </si>
  <si>
    <t>198-1209B-25H-2, 34-35</t>
  </si>
  <si>
    <t>198-1209B-25H-2, 39-40</t>
  </si>
  <si>
    <t>198-1209B-25H-2, 44-45</t>
  </si>
  <si>
    <t>198-1209B-25H-2, 54-55</t>
  </si>
  <si>
    <t>198-1209B-25H-2, 59-60</t>
  </si>
  <si>
    <t>198-1209B-25H-2, 64-65</t>
  </si>
  <si>
    <t>198-1209B-25H-2, 74-75</t>
  </si>
  <si>
    <t>198-1209B-25H-2, 84-85</t>
  </si>
  <si>
    <t>198-1209B-25H-2, 94-95</t>
  </si>
  <si>
    <t>198-1209B-25H-2, 104-105</t>
  </si>
  <si>
    <t>198-1209B-25H-2, 114-115</t>
  </si>
  <si>
    <t>P. inconstans</t>
  </si>
  <si>
    <t>198-1209B-25H-2, 124-125</t>
  </si>
  <si>
    <t>198-1209B-25H-2, 134-135</t>
  </si>
  <si>
    <t>198-1209B-25H-2, 144-145</t>
  </si>
  <si>
    <t>198-1209B-25H-2, 149-150</t>
  </si>
  <si>
    <t>198-1209B-25H-3, 4-5</t>
  </si>
  <si>
    <t>198-1209B-25H-3, 14-15</t>
  </si>
  <si>
    <t>198-1209B-25H-3, 24-25</t>
  </si>
  <si>
    <t>198-1209B-25H-3, 34-35</t>
  </si>
  <si>
    <t>198-1209B-25H-3, 44-45</t>
  </si>
  <si>
    <t>198-1209B-25H-3, 49-50</t>
  </si>
  <si>
    <t>198-1209B-25H-3, 54-55</t>
  </si>
  <si>
    <t>198-1209B-25H-3, 59-60</t>
  </si>
  <si>
    <t>198-1209B-25H-3, 64-65</t>
  </si>
  <si>
    <t>198-1209B-25H-3, 74-75</t>
  </si>
  <si>
    <t>198-1209B-25H-3, 84-85</t>
  </si>
  <si>
    <t>198-1209B-25H-3, 94-95</t>
  </si>
  <si>
    <t>198-1209B-25H-3, 104-105</t>
  </si>
  <si>
    <t>198-1209B-25H-3, 114-115</t>
  </si>
  <si>
    <t>198-1209B-25H-3, 124-125</t>
  </si>
  <si>
    <t>198-1209B-25H-3, 134-135</t>
  </si>
  <si>
    <t>198-1209B-25H-3, 144-145</t>
  </si>
  <si>
    <t>198-1209B-25H-4, 4-5</t>
  </si>
  <si>
    <t>198-1209B-25H-4, 14-15</t>
  </si>
  <si>
    <t>198-1209B-25H-4, 34-35</t>
  </si>
  <si>
    <t>198-1209B-25H-4, 44-45</t>
  </si>
  <si>
    <t>198-1209B-25H-4, 54-55</t>
  </si>
  <si>
    <t>198-1209B-25H-4, 74-75</t>
  </si>
  <si>
    <t>P. pseudoinconstans</t>
  </si>
  <si>
    <t>198-1209B-25H-4, 84-85</t>
  </si>
  <si>
    <t>198-1209B-25H-4, 94-95</t>
  </si>
  <si>
    <t>198-1209B-25H-4, 104-105</t>
  </si>
  <si>
    <t>198-1209B-25H-4, 144-145</t>
  </si>
  <si>
    <t>198-1209B-25H-5, 14-15</t>
  </si>
  <si>
    <t>198-1209B-25H-5, 39-40</t>
  </si>
  <si>
    <t>198-1209B-25H-5, 84-85</t>
  </si>
  <si>
    <t>198-1209B-25H-6, 19-20</t>
  </si>
  <si>
    <t>198-1209B-25H-6, 24-25</t>
  </si>
  <si>
    <t>198-1209B-25H-6, 34-35</t>
  </si>
  <si>
    <t>198-1209B-25H-6, 44-45</t>
  </si>
  <si>
    <t>198-1209B-25H-6, 54-55</t>
  </si>
  <si>
    <t>198-1209B-25H-6, 64-65</t>
  </si>
  <si>
    <t>198-1209A-25H-4, 54-55</t>
  </si>
  <si>
    <t>P. taurica</t>
  </si>
  <si>
    <t>198-1209A-25H-4, 64-65</t>
  </si>
  <si>
    <t>198-1209A-25H-4, 74-75</t>
  </si>
  <si>
    <t>198-1209A-25H-4, 84-85</t>
  </si>
  <si>
    <t>198-1209A-25H-4, 104-105</t>
  </si>
  <si>
    <t>198-1209A-25H-4, 114-115</t>
  </si>
  <si>
    <t>198-1209A-25H-4, 124-125</t>
  </si>
  <si>
    <t>198-1209A-25H-4, 144-145</t>
  </si>
  <si>
    <t>198-1209A-25H-5, 4-5</t>
  </si>
  <si>
    <t>198-1209A-25H-5, 14-15</t>
  </si>
  <si>
    <t>198-1209A-25H-5, 24-25</t>
  </si>
  <si>
    <t>198-1209A-25H-5, 34-35</t>
  </si>
  <si>
    <t>198-1209A-25H-5, 44-45</t>
  </si>
  <si>
    <t>198-1209A-25H-5, 54-55</t>
  </si>
  <si>
    <t>198-1209A-25H-5, 59-60</t>
  </si>
  <si>
    <t>198-1209A-25H-5, 64-65</t>
  </si>
  <si>
    <t>198-1209A-25H-5, 74-75</t>
  </si>
  <si>
    <t>198-1209A-25H-5, 84-85</t>
  </si>
  <si>
    <t>198-1209A-25H-5, 94-95</t>
  </si>
  <si>
    <t>198-1209A-25H-5, 114-115</t>
  </si>
  <si>
    <t>198-1209A-25H-5, 119-120</t>
  </si>
  <si>
    <t>198-1209A-25H-5, 134-135</t>
  </si>
  <si>
    <t>198-1209A-25H-5, 144-145</t>
  </si>
  <si>
    <t>198-1209A-25H-6, 4-5</t>
  </si>
  <si>
    <t>198-1209A-25H-6, 14-15</t>
  </si>
  <si>
    <t>198-1209A-25H-6, 29-30</t>
  </si>
  <si>
    <t>198-1209A-25H-6, 64-65</t>
  </si>
  <si>
    <t>198-1209A-25H-6, 74-75</t>
  </si>
  <si>
    <t>Barnet et al. (2019)</t>
  </si>
  <si>
    <t>208-1262C-12H-7,35-36</t>
  </si>
  <si>
    <t>208-1262C-12H-7,38-39</t>
  </si>
  <si>
    <t>208-1262C-12H-7,41-42</t>
  </si>
  <si>
    <t>208-1262C-12H-7,43-44</t>
  </si>
  <si>
    <t>208-1262C-12H-7,47-48</t>
  </si>
  <si>
    <t>208-1262C-12H-7,50-51</t>
  </si>
  <si>
    <t>208-1262C-12H-7,53-54</t>
  </si>
  <si>
    <t>208-1262C-12H-7,55-56</t>
  </si>
  <si>
    <t>208-1262C-12H-7,59-60</t>
  </si>
  <si>
    <t>208-1262C-12H-7,62-63</t>
  </si>
  <si>
    <t>208-1262C-12H-7,65-66</t>
  </si>
  <si>
    <t>208-1262B-22H-1,8-9</t>
  </si>
  <si>
    <t>208-1262B-22H-1,11-12</t>
  </si>
  <si>
    <t>208-1262B-22H-1,14-15</t>
  </si>
  <si>
    <t>208-1262B-22H-1,16-17</t>
  </si>
  <si>
    <t>208-1262B-22H-1,19-20</t>
  </si>
  <si>
    <t>208-1262B-22H-1,23-24</t>
  </si>
  <si>
    <t>208-1262B-22H-1,26-27</t>
  </si>
  <si>
    <t>208-1262B-22H-1,29-30</t>
  </si>
  <si>
    <t>208-1262B-22H-1,33-34</t>
  </si>
  <si>
    <t>208-1262B-22H-1,35-36</t>
  </si>
  <si>
    <t>208-1262B-22H-1,38-39</t>
  </si>
  <si>
    <t>208-1262B-22H-1,41-42</t>
  </si>
  <si>
    <t>208-1262B-22H-1,44-45</t>
  </si>
  <si>
    <t>208-1262B-22H-1,47-48</t>
  </si>
  <si>
    <t>208-1262B-22H-1,50-51</t>
  </si>
  <si>
    <t>208-1262B-22H-1,53-54</t>
  </si>
  <si>
    <t>208-1262B-22H-1,55-56</t>
  </si>
  <si>
    <t>208-1262B-22H-1,62-63</t>
  </si>
  <si>
    <t>208-1262B-22H-1,65-66</t>
  </si>
  <si>
    <t>208-1262B-22H-1,67-68</t>
  </si>
  <si>
    <t>208-1262B-22H-1,71-72</t>
  </si>
  <si>
    <t>208-1262B-22H-1,74-75</t>
  </si>
  <si>
    <t>208-1262B-22H-1,77-78</t>
  </si>
  <si>
    <t>208-1262B-22H-1,79-80</t>
  </si>
  <si>
    <t>208-1262B-22H-1,83-84</t>
  </si>
  <si>
    <t>208-1262B-22H-1,86-87</t>
  </si>
  <si>
    <t>208-1262B-22H-1,89-90</t>
  </si>
  <si>
    <t>208-1262B-22H-1,93-94</t>
  </si>
  <si>
    <t>208-1262B-22H-1,95-96</t>
  </si>
  <si>
    <t>208-1262B-22H-1,98-99</t>
  </si>
  <si>
    <t>208-1262B-22H-2,2-3</t>
  </si>
  <si>
    <t>208-1262B-22H-2,6-7</t>
  </si>
  <si>
    <t>208-1262B-22H-2,11-12</t>
  </si>
  <si>
    <t>208-1262B-22H-2,14-15</t>
  </si>
  <si>
    <t>208-1262B-22H-2,19-20</t>
  </si>
  <si>
    <t>208-1262B-22H-2,20-21</t>
  </si>
  <si>
    <t>208-1262B-22H-2,23-24</t>
  </si>
  <si>
    <t>208-1262B-22H-2,26-27</t>
  </si>
  <si>
    <t>208-1262B-22H-2,28-29</t>
  </si>
  <si>
    <t>208-1262B-22H-2,32-33</t>
  </si>
  <si>
    <t>208-1262B-22H-2,35-36</t>
  </si>
  <si>
    <t>208-1262B-22H-2,39-40</t>
  </si>
  <si>
    <t>208-1262B-22H-2,44-45</t>
  </si>
  <si>
    <t>208-1262B-22H-2,50-51</t>
  </si>
  <si>
    <t>208-1262B-22H-2,52-53</t>
  </si>
  <si>
    <t>208-1262B-22H-2,56-57</t>
  </si>
  <si>
    <t>208-1262B-22H-2,59-60</t>
  </si>
  <si>
    <t>208-1262B-22H-2,62-63</t>
  </si>
  <si>
    <t>208-1262B-22H-2,63-64</t>
  </si>
  <si>
    <t>208-1262B-22H-2,68-69</t>
  </si>
  <si>
    <t>208-1262B-22H-3,2-3</t>
  </si>
  <si>
    <t>208-1262B-22H-3,5-6</t>
  </si>
  <si>
    <t>208-1262B-22H-3,8-9</t>
  </si>
  <si>
    <t>208-1262B-22H-3,16-17</t>
  </si>
  <si>
    <t>208-1262B-22H-3,17-18</t>
  </si>
  <si>
    <t>208-1262B-22H-3,29-30</t>
  </si>
  <si>
    <t>208-1262B-22H-3,32-33</t>
  </si>
  <si>
    <t>208-1262B-22H-3,35-36</t>
  </si>
  <si>
    <t>208-1262B-22H-3,38-39</t>
  </si>
  <si>
    <t>208-1262B-22H-3,41-42</t>
  </si>
  <si>
    <t>208-1262B-22H-3,44-45</t>
  </si>
  <si>
    <t>208-1262B-22H-3,47-48</t>
  </si>
  <si>
    <t>208-1262B-22H-3,50-51</t>
  </si>
  <si>
    <t>208-1262B-22H-3,53-54</t>
  </si>
  <si>
    <t>208-1262B-22H-3,56-57</t>
  </si>
  <si>
    <t>Type</t>
  </si>
  <si>
    <t>Foram_d18O</t>
  </si>
  <si>
    <t>TEX86</t>
  </si>
  <si>
    <t>d18O_paleosol</t>
  </si>
  <si>
    <t>d18O_foram</t>
  </si>
  <si>
    <t>d18O_bulk</t>
  </si>
  <si>
    <t>d18O</t>
  </si>
  <si>
    <t>Temperature ©</t>
  </si>
  <si>
    <t>d18O_shell</t>
  </si>
  <si>
    <t>Clumped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</si>
</sst>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</font>
    <font>
      <i/>
      <sz val="12"/>
      <name val="Calibri"/>
      <family val="2"/>
    </font>
    <font>
      <sz val="10"/>
      <name val="Arial"/>
      <family val="2"/>
    </font>
    <font>
      <i/>
      <sz val="10"/>
      <name val="Arial"/>
      <family val="2"/>
    </font>
    <font>
      <sz val="12"/>
      <color indexed="8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6" fillId="0" borderId="0"/>
    <xf numFmtId="0" fontId="11" fillId="0" borderId="0"/>
    <xf numFmtId="0" fontId="20" fillId="0" borderId="0"/>
  </cellStyleXfs>
  <cellXfs count="188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Fill="1" applyBorder="1" applyAlignment="1">
      <alignment horizontal="center" wrapText="1"/>
    </xf>
    <xf numFmtId="165" fontId="0" fillId="0" borderId="3" xfId="0" applyNumberFormat="1" applyFont="1" applyFill="1" applyBorder="1" applyAlignment="1">
      <alignment horizontal="center" wrapText="1"/>
    </xf>
    <xf numFmtId="0" fontId="0" fillId="0" borderId="5" xfId="0" applyFont="1" applyFill="1" applyBorder="1" applyAlignment="1">
      <alignment horizontal="center"/>
    </xf>
    <xf numFmtId="2" fontId="7" fillId="0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Font="1" applyBorder="1" applyAlignment="1">
      <alignment horizontal="center"/>
    </xf>
    <xf numFmtId="166" fontId="0" fillId="0" borderId="5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2" fontId="2" fillId="0" borderId="5" xfId="0" applyNumberFormat="1" applyFont="1" applyFill="1" applyBorder="1" applyAlignment="1">
      <alignment horizontal="center"/>
    </xf>
    <xf numFmtId="0" fontId="0" fillId="0" borderId="3" xfId="0" applyFont="1" applyFill="1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Fon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5" xfId="0" applyNumberFormat="1" applyFont="1" applyFill="1" applyBorder="1" applyAlignment="1">
      <alignment horizontal="center"/>
    </xf>
    <xf numFmtId="0" fontId="8" fillId="0" borderId="2" xfId="0" applyFont="1" applyBorder="1"/>
    <xf numFmtId="165" fontId="0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165" fontId="0" fillId="0" borderId="0" xfId="0" applyNumberFormat="1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66" fontId="0" fillId="0" borderId="8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8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8" xfId="0" applyNumberFormat="1" applyFont="1" applyFill="1" applyBorder="1" applyAlignment="1">
      <alignment horizontal="center"/>
    </xf>
    <xf numFmtId="0" fontId="0" fillId="0" borderId="4" xfId="0" applyFont="1" applyFill="1" applyBorder="1"/>
    <xf numFmtId="165" fontId="0" fillId="0" borderId="0" xfId="0" applyNumberFormat="1" applyBorder="1" applyAlignment="1">
      <alignment horizontal="center"/>
    </xf>
    <xf numFmtId="165" fontId="0" fillId="0" borderId="0" xfId="0" applyNumberFormat="1" applyFont="1" applyFill="1" applyBorder="1"/>
    <xf numFmtId="2" fontId="12" fillId="0" borderId="4" xfId="2" applyNumberFormat="1" applyFont="1" applyFill="1" applyBorder="1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0" fontId="13" fillId="0" borderId="0" xfId="0" applyFont="1"/>
    <xf numFmtId="2" fontId="7" fillId="0" borderId="0" xfId="0" applyNumberFormat="1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wrapText="1"/>
    </xf>
    <xf numFmtId="166" fontId="0" fillId="0" borderId="0" xfId="1" applyNumberFormat="1" applyFont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2" fontId="0" fillId="0" borderId="0" xfId="0" applyNumberFormat="1" applyFont="1" applyFill="1" applyBorder="1" applyAlignment="1">
      <alignment horizontal="center"/>
    </xf>
    <xf numFmtId="2" fontId="0" fillId="0" borderId="0" xfId="2" applyNumberFormat="1" applyFont="1" applyFill="1" applyBorder="1" applyAlignment="1">
      <alignment horizontal="center"/>
    </xf>
    <xf numFmtId="2" fontId="8" fillId="0" borderId="8" xfId="0" applyNumberFormat="1" applyFont="1" applyFill="1" applyBorder="1" applyAlignment="1">
      <alignment horizontal="center"/>
    </xf>
    <xf numFmtId="2" fontId="0" fillId="0" borderId="8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/>
    </xf>
    <xf numFmtId="166" fontId="0" fillId="0" borderId="1" xfId="0" applyNumberFormat="1" applyFont="1" applyBorder="1" applyAlignment="1">
      <alignment horizontal="center"/>
    </xf>
    <xf numFmtId="166" fontId="0" fillId="0" borderId="7" xfId="0" applyNumberFormat="1" applyFont="1" applyBorder="1" applyAlignment="1">
      <alignment horizontal="center"/>
    </xf>
    <xf numFmtId="0" fontId="0" fillId="0" borderId="4" xfId="0" applyFont="1" applyBorder="1"/>
    <xf numFmtId="2" fontId="0" fillId="0" borderId="8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  <xf numFmtId="166" fontId="0" fillId="0" borderId="8" xfId="0" applyNumberFormat="1" applyBorder="1" applyAlignment="1">
      <alignment horizontal="center"/>
    </xf>
    <xf numFmtId="165" fontId="0" fillId="0" borderId="0" xfId="0" applyNumberForma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0" fontId="0" fillId="0" borderId="8" xfId="0" applyFont="1" applyBorder="1"/>
    <xf numFmtId="1" fontId="0" fillId="0" borderId="4" xfId="0" applyNumberFormat="1" applyFont="1" applyBorder="1" applyAlignment="1">
      <alignment horizontal="right"/>
    </xf>
    <xf numFmtId="1" fontId="0" fillId="0" borderId="0" xfId="0" applyNumberFormat="1" applyFont="1" applyBorder="1" applyAlignment="1">
      <alignment horizontal="right"/>
    </xf>
    <xf numFmtId="0" fontId="0" fillId="0" borderId="1" xfId="0" applyFont="1" applyFill="1" applyBorder="1" applyAlignment="1">
      <alignment horizontal="center" wrapText="1"/>
    </xf>
    <xf numFmtId="165" fontId="0" fillId="0" borderId="1" xfId="0" applyNumberFormat="1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8" xfId="0" applyFont="1" applyFill="1" applyBorder="1"/>
    <xf numFmtId="0" fontId="12" fillId="0" borderId="0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164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0" fillId="0" borderId="7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6" xfId="0" applyFont="1" applyFill="1" applyBorder="1"/>
    <xf numFmtId="165" fontId="0" fillId="0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Font="1" applyFill="1" applyBorder="1"/>
    <xf numFmtId="0" fontId="0" fillId="0" borderId="7" xfId="0" applyFont="1" applyFill="1" applyBorder="1"/>
    <xf numFmtId="164" fontId="0" fillId="0" borderId="0" xfId="0" applyNumberFormat="1" applyFont="1" applyFill="1" applyBorder="1"/>
    <xf numFmtId="2" fontId="0" fillId="0" borderId="8" xfId="0" applyNumberFormat="1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66" fontId="0" fillId="0" borderId="4" xfId="0" applyNumberFormat="1" applyFont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2" fontId="0" fillId="0" borderId="0" xfId="0" applyNumberFormat="1"/>
    <xf numFmtId="2" fontId="0" fillId="0" borderId="4" xfId="0" applyNumberFormat="1" applyFont="1" applyBorder="1" applyAlignment="1">
      <alignment horizontal="center"/>
    </xf>
    <xf numFmtId="0" fontId="0" fillId="0" borderId="6" xfId="0" applyFont="1" applyBorder="1"/>
    <xf numFmtId="0" fontId="0" fillId="0" borderId="1" xfId="0" applyFont="1" applyBorder="1"/>
    <xf numFmtId="0" fontId="0" fillId="0" borderId="7" xfId="0" applyFont="1" applyBorder="1"/>
    <xf numFmtId="2" fontId="0" fillId="0" borderId="6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167" fontId="0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67" fontId="0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9" fillId="0" borderId="0" xfId="0" quotePrefix="1" applyNumberFormat="1" applyFont="1" applyFill="1" applyBorder="1" applyAlignment="1">
      <alignment horizontal="center"/>
    </xf>
    <xf numFmtId="2" fontId="19" fillId="0" borderId="0" xfId="0" applyNumberFormat="1" applyFont="1" applyFill="1" applyBorder="1" applyAlignment="1">
      <alignment horizontal="center"/>
    </xf>
    <xf numFmtId="164" fontId="19" fillId="0" borderId="0" xfId="0" applyNumberFormat="1" applyFont="1" applyFill="1" applyBorder="1" applyAlignment="1">
      <alignment horizontal="center"/>
    </xf>
    <xf numFmtId="1" fontId="19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2" fontId="20" fillId="0" borderId="0" xfId="3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ont="1" applyBorder="1" applyAlignment="1">
      <alignment horizontal="left"/>
    </xf>
    <xf numFmtId="165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21" fillId="0" borderId="0" xfId="0" applyNumberFormat="1" applyFont="1" applyAlignment="1">
      <alignment horizontal="center"/>
    </xf>
    <xf numFmtId="0" fontId="2" fillId="0" borderId="6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7" xfId="0" applyNumberFormat="1" applyFont="1" applyFill="1" applyBorder="1" applyAlignment="1">
      <alignment horizontal="center"/>
    </xf>
  </cellXfs>
  <cellStyles count="4">
    <cellStyle name="Normal" xfId="0" builtinId="0"/>
    <cellStyle name="Normal 18" xfId="1" xr:uid="{3A76D11F-9955-4A60-A0D7-E5B33EAB0434}"/>
    <cellStyle name="Normal 2" xfId="2" xr:uid="{C456C1FD-772E-455A-900B-7700A1C546D8}"/>
    <cellStyle name="Normal 3" xfId="3" xr:uid="{BC8BA2D5-8C5D-4BC8-AE2A-0D781EF73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F053-B64C-4525-A252-C69B7987E27A}">
  <dimension ref="A1:CT1658"/>
  <sheetViews>
    <sheetView topLeftCell="B1186" zoomScale="83" zoomScaleNormal="125" workbookViewId="0">
      <selection activeCell="D175" sqref="D175"/>
    </sheetView>
  </sheetViews>
  <sheetFormatPr defaultColWidth="10.83203125" defaultRowHeight="15.5" x14ac:dyDescent="0.35"/>
  <cols>
    <col min="1" max="2" width="10.83203125" style="7"/>
    <col min="3" max="3" width="51" style="2" customWidth="1"/>
    <col min="4" max="4" width="19.6640625" style="2" bestFit="1" customWidth="1"/>
    <col min="5" max="5" width="23.83203125" style="2" customWidth="1"/>
    <col min="6" max="6" width="8.1640625" style="3" bestFit="1" customWidth="1"/>
    <col min="7" max="7" width="10.5" style="2" bestFit="1" customWidth="1"/>
    <col min="8" max="8" width="17.5" style="2" bestFit="1" customWidth="1"/>
    <col min="9" max="9" width="17.5" style="2" customWidth="1"/>
    <col min="10" max="10" width="21.5" style="2" customWidth="1"/>
    <col min="11" max="11" width="12" style="4" bestFit="1" customWidth="1"/>
    <col min="12" max="12" width="30.83203125" style="4" customWidth="1"/>
    <col min="13" max="13" width="7.5" style="5" customWidth="1"/>
    <col min="14" max="14" width="18.33203125" style="5" customWidth="1"/>
    <col min="15" max="15" width="13.5" style="5" bestFit="1" customWidth="1"/>
    <col min="33" max="33" width="28.6640625" style="4" bestFit="1" customWidth="1"/>
    <col min="34" max="34" width="17.1640625" style="4" bestFit="1" customWidth="1"/>
    <col min="35" max="35" width="17.1640625" style="4" customWidth="1"/>
    <col min="36" max="36" width="22.33203125" style="4" customWidth="1"/>
    <col min="37" max="37" width="9.83203125" style="4" bestFit="1" customWidth="1"/>
    <col min="38" max="38" width="28.1640625" style="4" bestFit="1" customWidth="1"/>
    <col min="39" max="39" width="6.1640625" style="4" bestFit="1" customWidth="1"/>
    <col min="40" max="40" width="13.33203125" style="4" bestFit="1" customWidth="1"/>
    <col min="68" max="68" width="19.6640625" style="7" bestFit="1" customWidth="1"/>
    <col min="69" max="69" width="10.83203125" style="7"/>
    <col min="70" max="70" width="23.33203125" style="7" bestFit="1" customWidth="1"/>
    <col min="71" max="71" width="17.1640625" style="7" customWidth="1"/>
    <col min="72" max="73" width="17.6640625" style="7" customWidth="1"/>
    <col min="74" max="74" width="22.33203125" style="7" customWidth="1"/>
    <col min="75" max="75" width="15.5" style="7" bestFit="1" customWidth="1"/>
    <col min="76" max="76" width="13.1640625" style="7" bestFit="1" customWidth="1"/>
    <col min="77" max="77" width="43.6640625" style="7" customWidth="1"/>
    <col min="78" max="78" width="10.83203125" style="7"/>
    <col min="79" max="79" width="24.83203125" style="7" bestFit="1" customWidth="1"/>
    <col min="80" max="81" width="10.83203125" style="7"/>
    <col min="82" max="83" width="26.83203125" style="7" customWidth="1"/>
    <col min="84" max="84" width="20.33203125" style="7" customWidth="1"/>
    <col min="85" max="85" width="19.1640625" style="7" customWidth="1"/>
    <col min="86" max="16384" width="10.83203125" style="7"/>
  </cols>
  <sheetData>
    <row r="1" spans="1:98" ht="17.5" x14ac:dyDescent="0.35">
      <c r="B1" s="7" t="s">
        <v>1378</v>
      </c>
      <c r="C1" s="11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AG1" s="11"/>
      <c r="AH1" s="12"/>
      <c r="AI1" s="12"/>
      <c r="AJ1" s="12"/>
      <c r="AK1" s="12"/>
      <c r="AL1" s="12"/>
      <c r="AM1" s="12"/>
      <c r="AN1" s="13"/>
      <c r="BP1" s="11"/>
      <c r="BQ1" s="12"/>
      <c r="BR1" s="12"/>
      <c r="BS1" s="12"/>
      <c r="BT1" s="12"/>
      <c r="BU1" s="12"/>
      <c r="BV1" s="12"/>
      <c r="BW1" s="12"/>
      <c r="BX1" s="12"/>
      <c r="BY1" s="11"/>
      <c r="BZ1" s="12"/>
      <c r="CA1" s="12"/>
      <c r="CB1" s="12"/>
      <c r="CC1" s="12"/>
      <c r="CD1" s="12"/>
      <c r="CE1" s="15"/>
      <c r="CF1" s="16"/>
      <c r="CG1" s="13"/>
    </row>
    <row r="2" spans="1:98" x14ac:dyDescent="0.35">
      <c r="A2" s="7" t="s">
        <v>1379</v>
      </c>
      <c r="B2" s="7" t="s">
        <v>1382</v>
      </c>
      <c r="C2" s="17" t="s">
        <v>23</v>
      </c>
      <c r="D2" s="5" t="s">
        <v>24</v>
      </c>
      <c r="E2" s="5" t="s">
        <v>25</v>
      </c>
      <c r="F2" s="5">
        <v>407.31</v>
      </c>
      <c r="G2" s="5" t="s">
        <v>26</v>
      </c>
      <c r="H2" s="18">
        <v>66.040000000000006</v>
      </c>
      <c r="I2" s="19" t="s">
        <v>27</v>
      </c>
      <c r="J2" s="18">
        <v>0</v>
      </c>
      <c r="K2" s="5" t="s">
        <v>28</v>
      </c>
      <c r="L2" s="5"/>
      <c r="AG2" s="20"/>
      <c r="AH2" s="29"/>
      <c r="AI2" s="27"/>
      <c r="AJ2" s="29"/>
      <c r="AK2" s="29"/>
      <c r="AL2" s="30"/>
      <c r="AM2" s="30"/>
      <c r="AN2" s="31"/>
      <c r="BP2" s="45"/>
      <c r="BQ2" s="45"/>
      <c r="BR2" s="46"/>
      <c r="BS2" s="47"/>
      <c r="BT2" s="48"/>
      <c r="BU2" s="27"/>
      <c r="BV2" s="49"/>
      <c r="BW2" s="50"/>
      <c r="BX2" s="51"/>
      <c r="BY2" s="52"/>
      <c r="BZ2" s="45"/>
      <c r="CA2" s="21"/>
      <c r="CB2" s="21"/>
      <c r="CC2" s="23"/>
      <c r="CD2" s="53"/>
      <c r="CE2" s="54"/>
      <c r="CF2" s="55"/>
      <c r="CG2" s="56"/>
    </row>
    <row r="3" spans="1:98" x14ac:dyDescent="0.35">
      <c r="A3" s="7" t="s">
        <v>1379</v>
      </c>
      <c r="B3" s="7" t="s">
        <v>1382</v>
      </c>
      <c r="C3" s="17" t="s">
        <v>23</v>
      </c>
      <c r="D3" s="5" t="s">
        <v>24</v>
      </c>
      <c r="E3" s="5" t="s">
        <v>43</v>
      </c>
      <c r="F3" s="57">
        <v>407.44</v>
      </c>
      <c r="G3" s="5" t="s">
        <v>26</v>
      </c>
      <c r="H3" s="18">
        <v>66.047171032357483</v>
      </c>
      <c r="I3" s="19" t="s">
        <v>27</v>
      </c>
      <c r="J3" s="18">
        <v>-7.1710323574762924E-3</v>
      </c>
      <c r="K3" s="5" t="s">
        <v>44</v>
      </c>
      <c r="L3" s="5" t="s">
        <v>45</v>
      </c>
      <c r="M3" s="58">
        <v>5.1999999999999998E-2</v>
      </c>
      <c r="N3" s="59">
        <v>10.055221120000002</v>
      </c>
      <c r="O3" s="59">
        <v>0</v>
      </c>
      <c r="AG3" s="17"/>
      <c r="AH3" s="5"/>
      <c r="AI3" s="61"/>
      <c r="AJ3" s="5"/>
      <c r="AK3" s="5"/>
      <c r="AL3" s="67"/>
      <c r="AM3" s="67"/>
      <c r="AN3" s="68"/>
      <c r="BR3" s="80"/>
      <c r="BS3" s="81"/>
      <c r="BT3" s="82"/>
      <c r="BU3" s="61"/>
      <c r="BV3" s="19"/>
      <c r="BW3" s="83"/>
      <c r="BX3" s="84"/>
      <c r="BY3" s="85"/>
      <c r="CA3" s="80"/>
      <c r="CB3" s="86"/>
      <c r="CC3" s="61"/>
      <c r="CD3" s="86"/>
      <c r="CE3" s="80"/>
      <c r="CF3" s="62"/>
      <c r="CG3" s="66"/>
      <c r="CI3" s="87"/>
    </row>
    <row r="4" spans="1:98" x14ac:dyDescent="0.35">
      <c r="A4" s="7" t="s">
        <v>1379</v>
      </c>
      <c r="B4" s="7" t="s">
        <v>1382</v>
      </c>
      <c r="C4" s="17" t="s">
        <v>23</v>
      </c>
      <c r="D4" s="5" t="s">
        <v>24</v>
      </c>
      <c r="E4" s="5" t="s">
        <v>48</v>
      </c>
      <c r="F4" s="57">
        <v>407.61</v>
      </c>
      <c r="G4" s="5" t="s">
        <v>26</v>
      </c>
      <c r="H4" s="18">
        <v>66.056548536209561</v>
      </c>
      <c r="I4" s="19" t="s">
        <v>27</v>
      </c>
      <c r="J4" s="18">
        <v>-1.6548536209555209E-2</v>
      </c>
      <c r="K4" s="5" t="s">
        <v>44</v>
      </c>
      <c r="L4" s="5" t="s">
        <v>45</v>
      </c>
      <c r="M4" s="58">
        <v>8.9999999999999993E-3</v>
      </c>
      <c r="N4" s="59">
        <v>10.245632430000002</v>
      </c>
      <c r="O4" s="59">
        <v>0.19041131</v>
      </c>
      <c r="AG4" s="17"/>
      <c r="AH4" s="5"/>
      <c r="AI4" s="61"/>
      <c r="AJ4" s="5"/>
      <c r="AK4" s="5"/>
      <c r="AL4" s="67"/>
      <c r="AM4" s="67"/>
      <c r="AN4" s="68"/>
      <c r="BR4" s="80"/>
      <c r="BS4" s="81"/>
      <c r="BT4" s="82"/>
      <c r="BU4" s="61"/>
      <c r="BV4" s="19"/>
      <c r="BW4" s="83"/>
      <c r="BX4" s="84"/>
      <c r="BY4" s="85"/>
      <c r="CA4" s="80"/>
      <c r="CB4" s="86"/>
      <c r="CC4" s="61"/>
      <c r="CD4" s="86"/>
      <c r="CE4" s="80"/>
      <c r="CF4" s="62"/>
      <c r="CG4" s="66"/>
      <c r="CI4" s="87"/>
      <c r="CO4"/>
      <c r="CP4"/>
      <c r="CQ4"/>
      <c r="CR4"/>
      <c r="CS4"/>
      <c r="CT4"/>
    </row>
    <row r="5" spans="1:98" x14ac:dyDescent="0.35">
      <c r="A5" s="7" t="s">
        <v>1379</v>
      </c>
      <c r="B5" s="7" t="s">
        <v>1382</v>
      </c>
      <c r="C5" s="17" t="s">
        <v>23</v>
      </c>
      <c r="D5" s="5" t="s">
        <v>24</v>
      </c>
      <c r="E5" s="5" t="s">
        <v>52</v>
      </c>
      <c r="F5" s="57">
        <v>407.81</v>
      </c>
      <c r="G5" s="5" t="s">
        <v>26</v>
      </c>
      <c r="H5" s="18">
        <v>66.067580893682589</v>
      </c>
      <c r="I5" s="19" t="s">
        <v>27</v>
      </c>
      <c r="J5" s="18">
        <v>-2.7580893682582541E-2</v>
      </c>
      <c r="K5" s="5" t="s">
        <v>44</v>
      </c>
      <c r="L5" s="5" t="s">
        <v>45</v>
      </c>
      <c r="M5" s="58">
        <v>-0.222</v>
      </c>
      <c r="N5" s="59">
        <v>11.270438520000001</v>
      </c>
      <c r="O5" s="59">
        <v>1.2152173999999984</v>
      </c>
      <c r="AG5" s="88"/>
      <c r="AH5" s="5"/>
      <c r="AI5" s="61"/>
      <c r="AJ5" s="5"/>
      <c r="AK5" s="5"/>
      <c r="AL5" s="89"/>
      <c r="AM5" s="89"/>
      <c r="AN5" s="68"/>
      <c r="BR5" s="80"/>
      <c r="BS5" s="81"/>
      <c r="BT5" s="82"/>
      <c r="BU5" s="61"/>
      <c r="BV5" s="19"/>
      <c r="BW5" s="83"/>
      <c r="BX5" s="84"/>
      <c r="BY5" s="85"/>
      <c r="CA5" s="80"/>
      <c r="CB5" s="86"/>
      <c r="CC5" s="61"/>
      <c r="CD5" s="86"/>
      <c r="CE5" s="80"/>
      <c r="CF5" s="62"/>
      <c r="CG5" s="66"/>
      <c r="CI5" s="87"/>
      <c r="CO5" s="90"/>
      <c r="CP5" s="90"/>
      <c r="CQ5"/>
      <c r="CR5" s="90"/>
      <c r="CS5" s="90"/>
      <c r="CT5"/>
    </row>
    <row r="6" spans="1:98" x14ac:dyDescent="0.35">
      <c r="A6" s="7" t="s">
        <v>1379</v>
      </c>
      <c r="B6" s="7" t="s">
        <v>1382</v>
      </c>
      <c r="C6" s="17" t="s">
        <v>23</v>
      </c>
      <c r="D6" s="5" t="s">
        <v>24</v>
      </c>
      <c r="E6" s="5" t="s">
        <v>55</v>
      </c>
      <c r="F6" s="57">
        <v>408.35</v>
      </c>
      <c r="G6" s="5" t="s">
        <v>26</v>
      </c>
      <c r="H6" s="18">
        <v>66.097368258859788</v>
      </c>
      <c r="I6" s="19" t="s">
        <v>27</v>
      </c>
      <c r="J6" s="18">
        <v>-5.7368258859781918E-2</v>
      </c>
      <c r="K6" s="5" t="s">
        <v>44</v>
      </c>
      <c r="L6" s="5" t="s">
        <v>45</v>
      </c>
      <c r="M6" s="58">
        <v>-0.65800000000000003</v>
      </c>
      <c r="N6" s="59">
        <v>13.213428920000002</v>
      </c>
      <c r="O6" s="59">
        <v>3.1582077999999996</v>
      </c>
      <c r="AG6" s="17"/>
      <c r="AH6" s="5"/>
      <c r="AI6" s="61"/>
      <c r="AJ6" s="5"/>
      <c r="AK6" s="5"/>
      <c r="AL6" s="67"/>
      <c r="AM6" s="67"/>
      <c r="AN6" s="68"/>
      <c r="BR6" s="80"/>
      <c r="BS6" s="81"/>
      <c r="BT6" s="82"/>
      <c r="BU6" s="61"/>
      <c r="BV6" s="19"/>
      <c r="BW6" s="83"/>
      <c r="BX6" s="84"/>
      <c r="BY6" s="85"/>
      <c r="CA6" s="80"/>
      <c r="CB6" s="86"/>
      <c r="CC6" s="61"/>
      <c r="CD6" s="86"/>
      <c r="CE6" s="80"/>
      <c r="CF6" s="62"/>
      <c r="CG6" s="66"/>
      <c r="CI6" s="87"/>
      <c r="CO6"/>
      <c r="CP6"/>
      <c r="CQ6"/>
      <c r="CR6"/>
      <c r="CS6"/>
      <c r="CT6"/>
    </row>
    <row r="7" spans="1:98" x14ac:dyDescent="0.35">
      <c r="A7" s="7" t="s">
        <v>1379</v>
      </c>
      <c r="B7" s="7" t="s">
        <v>1382</v>
      </c>
      <c r="C7" s="17" t="s">
        <v>23</v>
      </c>
      <c r="D7" s="5" t="s">
        <v>24</v>
      </c>
      <c r="E7" s="5" t="s">
        <v>58</v>
      </c>
      <c r="F7" s="57">
        <v>408.48</v>
      </c>
      <c r="G7" s="5" t="s">
        <v>26</v>
      </c>
      <c r="H7" s="18">
        <v>66.104539291217264</v>
      </c>
      <c r="I7" s="19" t="s">
        <v>27</v>
      </c>
      <c r="J7" s="18">
        <v>-6.453929121725821E-2</v>
      </c>
      <c r="K7" s="5" t="s">
        <v>44</v>
      </c>
      <c r="L7" s="5" t="s">
        <v>45</v>
      </c>
      <c r="M7" s="58">
        <v>-0.26700000000000002</v>
      </c>
      <c r="N7" s="59">
        <v>11.470448670000003</v>
      </c>
      <c r="O7" s="59">
        <v>1.4152275500000009</v>
      </c>
      <c r="AG7" s="17"/>
      <c r="AH7" s="91"/>
      <c r="AI7" s="61"/>
      <c r="AJ7" s="91"/>
      <c r="AK7" s="91"/>
      <c r="AL7" s="67"/>
      <c r="AM7" s="67"/>
      <c r="AN7" s="68"/>
      <c r="BR7" s="80"/>
      <c r="BS7" s="81"/>
      <c r="BT7" s="82"/>
      <c r="BU7" s="61"/>
      <c r="BV7" s="19"/>
      <c r="BW7" s="83"/>
      <c r="BX7" s="84"/>
      <c r="BY7" s="85"/>
      <c r="CA7" s="80"/>
      <c r="CB7" s="86"/>
      <c r="CC7" s="61"/>
      <c r="CD7" s="86"/>
      <c r="CE7" s="80"/>
      <c r="CF7" s="62"/>
      <c r="CG7" s="66"/>
      <c r="CI7" s="87"/>
      <c r="CO7"/>
      <c r="CP7"/>
      <c r="CQ7"/>
      <c r="CR7"/>
      <c r="CS7"/>
      <c r="CT7"/>
    </row>
    <row r="8" spans="1:98" x14ac:dyDescent="0.35">
      <c r="A8" s="7" t="s">
        <v>1379</v>
      </c>
      <c r="B8" s="7" t="s">
        <v>1382</v>
      </c>
      <c r="C8" s="17" t="s">
        <v>23</v>
      </c>
      <c r="D8" s="5" t="s">
        <v>24</v>
      </c>
      <c r="E8" s="5" t="s">
        <v>62</v>
      </c>
      <c r="F8" s="57">
        <v>408.69</v>
      </c>
      <c r="G8" s="5" t="s">
        <v>26</v>
      </c>
      <c r="H8" s="18">
        <v>66.116123266563946</v>
      </c>
      <c r="I8" s="19" t="s">
        <v>27</v>
      </c>
      <c r="J8" s="18">
        <v>-7.6123266563939751E-2</v>
      </c>
      <c r="K8" s="5" t="s">
        <v>44</v>
      </c>
      <c r="L8" s="5" t="s">
        <v>45</v>
      </c>
      <c r="M8" s="58">
        <v>-0.24</v>
      </c>
      <c r="N8" s="59">
        <v>11.350428000000001</v>
      </c>
      <c r="O8" s="59">
        <v>1.2952068799999985</v>
      </c>
      <c r="AG8" s="17"/>
      <c r="AH8" s="91"/>
      <c r="AI8" s="61"/>
      <c r="AJ8" s="91"/>
      <c r="AK8" s="91"/>
      <c r="AL8" s="67"/>
      <c r="AM8" s="67"/>
      <c r="AN8" s="68"/>
      <c r="BR8" s="80"/>
      <c r="BS8" s="81"/>
      <c r="BT8" s="82"/>
      <c r="BU8" s="61"/>
      <c r="BV8" s="19"/>
      <c r="BW8" s="83"/>
      <c r="BX8" s="84"/>
      <c r="BY8" s="85"/>
      <c r="CA8" s="80"/>
      <c r="CB8" s="86"/>
      <c r="CC8" s="61"/>
      <c r="CD8" s="86"/>
      <c r="CE8" s="80"/>
      <c r="CF8" s="62"/>
      <c r="CG8" s="66"/>
      <c r="CI8" s="87"/>
      <c r="CO8"/>
      <c r="CP8"/>
      <c r="CQ8"/>
      <c r="CR8"/>
      <c r="CS8"/>
      <c r="CT8"/>
    </row>
    <row r="9" spans="1:98" x14ac:dyDescent="0.35">
      <c r="A9" s="7" t="s">
        <v>1379</v>
      </c>
      <c r="B9" s="7" t="s">
        <v>1382</v>
      </c>
      <c r="C9" s="17" t="s">
        <v>23</v>
      </c>
      <c r="D9" s="5" t="s">
        <v>24</v>
      </c>
      <c r="E9" s="5" t="s">
        <v>65</v>
      </c>
      <c r="F9" s="57">
        <v>409.32</v>
      </c>
      <c r="G9" s="5" t="s">
        <v>26</v>
      </c>
      <c r="H9" s="18">
        <v>66.150875192604005</v>
      </c>
      <c r="I9" s="19" t="s">
        <v>27</v>
      </c>
      <c r="J9" s="18">
        <v>-0.11087519260399858</v>
      </c>
      <c r="K9" s="5" t="s">
        <v>44</v>
      </c>
      <c r="L9" s="5" t="s">
        <v>45</v>
      </c>
      <c r="M9" s="58">
        <v>-0.67800000000000005</v>
      </c>
      <c r="N9" s="59">
        <v>13.302830520000002</v>
      </c>
      <c r="O9" s="59">
        <v>3.2476094</v>
      </c>
      <c r="AG9" s="17"/>
      <c r="AH9" s="91"/>
      <c r="AI9" s="61"/>
      <c r="AJ9" s="91"/>
      <c r="AK9" s="91"/>
      <c r="AL9" s="67"/>
      <c r="AM9" s="67"/>
      <c r="AN9" s="68"/>
      <c r="BR9" s="80"/>
      <c r="BS9" s="81"/>
      <c r="BT9" s="82"/>
      <c r="BU9" s="61"/>
      <c r="BV9" s="19"/>
      <c r="BW9" s="83"/>
      <c r="BX9" s="84"/>
      <c r="BY9" s="85"/>
      <c r="CA9" s="80"/>
      <c r="CB9" s="86"/>
      <c r="CC9" s="61"/>
      <c r="CD9" s="86"/>
      <c r="CE9" s="80"/>
      <c r="CF9" s="62"/>
      <c r="CG9" s="66"/>
      <c r="CI9" s="87"/>
      <c r="CO9"/>
      <c r="CP9"/>
      <c r="CQ9"/>
      <c r="CR9"/>
      <c r="CS9"/>
      <c r="CT9"/>
    </row>
    <row r="10" spans="1:98" x14ac:dyDescent="0.35">
      <c r="A10" s="7" t="s">
        <v>1379</v>
      </c>
      <c r="B10" s="7" t="s">
        <v>1382</v>
      </c>
      <c r="C10" s="17" t="s">
        <v>23</v>
      </c>
      <c r="D10" s="5" t="s">
        <v>24</v>
      </c>
      <c r="E10" s="5" t="s">
        <v>68</v>
      </c>
      <c r="F10" s="57">
        <v>409.8</v>
      </c>
      <c r="G10" s="5" t="s">
        <v>26</v>
      </c>
      <c r="H10" s="18">
        <v>66.177352850539293</v>
      </c>
      <c r="I10" s="19" t="s">
        <v>27</v>
      </c>
      <c r="J10" s="18">
        <v>-0.13735285053928692</v>
      </c>
      <c r="K10" s="5" t="s">
        <v>44</v>
      </c>
      <c r="L10" s="5" t="s">
        <v>45</v>
      </c>
      <c r="M10" s="58">
        <v>-0.55400000000000005</v>
      </c>
      <c r="N10" s="59">
        <v>12.748927480000003</v>
      </c>
      <c r="O10" s="59">
        <v>2.6937063600000002</v>
      </c>
      <c r="AG10" s="17"/>
      <c r="AH10" s="91"/>
      <c r="AI10" s="61"/>
      <c r="AJ10" s="91"/>
      <c r="AK10" s="91"/>
      <c r="AL10" s="67"/>
      <c r="AM10" s="67"/>
      <c r="AN10" s="68"/>
      <c r="BR10" s="80"/>
      <c r="BS10" s="81"/>
      <c r="BT10" s="82"/>
      <c r="BU10" s="61"/>
      <c r="BV10" s="19"/>
      <c r="BW10" s="83"/>
      <c r="BX10" s="84"/>
      <c r="BY10" s="85"/>
      <c r="CA10" s="80"/>
      <c r="CB10" s="86"/>
      <c r="CC10" s="61"/>
      <c r="CD10" s="86"/>
      <c r="CE10" s="80"/>
      <c r="CF10" s="62"/>
      <c r="CG10" s="66"/>
      <c r="CI10" s="87"/>
      <c r="CO10"/>
      <c r="CP10"/>
      <c r="CQ10"/>
      <c r="CR10"/>
      <c r="CS10"/>
      <c r="CT10"/>
    </row>
    <row r="11" spans="1:98" x14ac:dyDescent="0.35">
      <c r="A11" s="7" t="s">
        <v>1379</v>
      </c>
      <c r="B11" s="7" t="s">
        <v>1382</v>
      </c>
      <c r="C11" s="17" t="s">
        <v>23</v>
      </c>
      <c r="D11" s="5" t="s">
        <v>24</v>
      </c>
      <c r="E11" s="5" t="s">
        <v>71</v>
      </c>
      <c r="F11" s="57">
        <v>411.3</v>
      </c>
      <c r="G11" s="5" t="s">
        <v>26</v>
      </c>
      <c r="H11" s="18">
        <v>66.260095531587055</v>
      </c>
      <c r="I11" s="19" t="s">
        <v>27</v>
      </c>
      <c r="J11" s="18">
        <v>-0.22009553158704875</v>
      </c>
      <c r="K11" s="5" t="s">
        <v>44</v>
      </c>
      <c r="L11" s="5" t="s">
        <v>45</v>
      </c>
      <c r="M11" s="58">
        <v>-0.30399999999999999</v>
      </c>
      <c r="N11" s="59">
        <v>11.634992480000003</v>
      </c>
      <c r="O11" s="59">
        <v>1.5797713600000005</v>
      </c>
      <c r="AG11" s="17"/>
      <c r="AH11" s="91"/>
      <c r="AI11" s="61"/>
      <c r="AJ11" s="91"/>
      <c r="AK11" s="91"/>
      <c r="AL11" s="67"/>
      <c r="AM11" s="67"/>
      <c r="AN11" s="68"/>
      <c r="BR11" s="80"/>
      <c r="BS11" s="81"/>
      <c r="BT11" s="82"/>
      <c r="BU11" s="61"/>
      <c r="BV11" s="19"/>
      <c r="BW11" s="83"/>
      <c r="BX11" s="84"/>
      <c r="BY11" s="85"/>
      <c r="CA11" s="80"/>
      <c r="CB11" s="86"/>
      <c r="CC11" s="61"/>
      <c r="CD11" s="86"/>
      <c r="CE11" s="80"/>
      <c r="CF11" s="62"/>
      <c r="CG11" s="66"/>
      <c r="CI11" s="87"/>
      <c r="CO11"/>
      <c r="CP11"/>
      <c r="CQ11"/>
      <c r="CR11"/>
      <c r="CS11"/>
      <c r="CT11"/>
    </row>
    <row r="12" spans="1:98" x14ac:dyDescent="0.35">
      <c r="A12" s="7" t="s">
        <v>1379</v>
      </c>
      <c r="B12" s="7" t="s">
        <v>1382</v>
      </c>
      <c r="C12" s="17" t="s">
        <v>23</v>
      </c>
      <c r="D12" s="5" t="s">
        <v>24</v>
      </c>
      <c r="E12" s="5" t="s">
        <v>74</v>
      </c>
      <c r="F12" s="57">
        <v>412.8</v>
      </c>
      <c r="G12" s="5" t="s">
        <v>26</v>
      </c>
      <c r="H12" s="18">
        <v>66.342838212634817</v>
      </c>
      <c r="I12" s="19" t="s">
        <v>27</v>
      </c>
      <c r="J12" s="18">
        <v>-0.30283821263481059</v>
      </c>
      <c r="K12" s="5" t="s">
        <v>44</v>
      </c>
      <c r="L12" s="5" t="s">
        <v>45</v>
      </c>
      <c r="M12" s="58">
        <v>5.1999999999999998E-2</v>
      </c>
      <c r="N12" s="59">
        <v>10.055221120000002</v>
      </c>
      <c r="O12" s="59">
        <v>0</v>
      </c>
      <c r="AG12" s="17"/>
      <c r="AH12" s="91"/>
      <c r="AI12" s="61"/>
      <c r="AJ12" s="91"/>
      <c r="AK12" s="91"/>
      <c r="AL12" s="67"/>
      <c r="AM12" s="67"/>
      <c r="AN12" s="68"/>
      <c r="BR12" s="80"/>
      <c r="BS12" s="81"/>
      <c r="BT12" s="82"/>
      <c r="BU12" s="61"/>
      <c r="BV12" s="19"/>
      <c r="BW12" s="83"/>
      <c r="BX12" s="84"/>
      <c r="BY12" s="85"/>
      <c r="CA12" s="80"/>
      <c r="CB12" s="86"/>
      <c r="CC12" s="61"/>
      <c r="CD12" s="86"/>
      <c r="CE12" s="80"/>
      <c r="CF12" s="62"/>
      <c r="CG12" s="66"/>
      <c r="CI12" s="87"/>
      <c r="CO12"/>
      <c r="CP12"/>
      <c r="CQ12"/>
      <c r="CR12"/>
      <c r="CS12"/>
      <c r="CT12"/>
    </row>
    <row r="13" spans="1:98" x14ac:dyDescent="0.35">
      <c r="A13" s="7" t="s">
        <v>1379</v>
      </c>
      <c r="B13" s="7" t="s">
        <v>1382</v>
      </c>
      <c r="C13" s="17" t="s">
        <v>23</v>
      </c>
      <c r="D13" s="5" t="s">
        <v>24</v>
      </c>
      <c r="E13" s="5" t="s">
        <v>77</v>
      </c>
      <c r="F13" s="57">
        <v>414.3</v>
      </c>
      <c r="G13" s="5" t="s">
        <v>26</v>
      </c>
      <c r="H13" s="18">
        <v>66.425580893682579</v>
      </c>
      <c r="I13" s="19" t="s">
        <v>27</v>
      </c>
      <c r="J13" s="18">
        <v>-0.38558089368257242</v>
      </c>
      <c r="K13" s="5" t="s">
        <v>44</v>
      </c>
      <c r="L13" s="5" t="s">
        <v>45</v>
      </c>
      <c r="M13" s="58">
        <v>0.114</v>
      </c>
      <c r="N13" s="59">
        <v>9.7808698800000027</v>
      </c>
      <c r="O13" s="59">
        <v>-0.27435123999999966</v>
      </c>
      <c r="AG13" s="17"/>
      <c r="AH13" s="91"/>
      <c r="AI13" s="61"/>
      <c r="AJ13" s="91"/>
      <c r="AK13" s="91"/>
      <c r="AL13" s="67"/>
      <c r="AM13" s="67"/>
      <c r="AN13" s="68"/>
      <c r="BR13" s="80"/>
      <c r="BS13" s="81"/>
      <c r="BT13" s="82"/>
      <c r="BU13" s="61"/>
      <c r="BV13" s="19"/>
      <c r="BW13" s="83"/>
      <c r="BX13" s="84"/>
      <c r="BY13" s="85"/>
      <c r="CA13" s="80"/>
      <c r="CB13" s="86"/>
      <c r="CC13" s="61"/>
      <c r="CD13" s="86"/>
      <c r="CE13" s="80"/>
      <c r="CF13" s="62"/>
      <c r="CG13" s="66"/>
      <c r="CI13" s="87"/>
      <c r="CO13"/>
      <c r="CP13"/>
      <c r="CQ13"/>
      <c r="CR13"/>
      <c r="CS13"/>
      <c r="CT13"/>
    </row>
    <row r="14" spans="1:98" x14ac:dyDescent="0.35">
      <c r="A14" s="7" t="s">
        <v>1379</v>
      </c>
      <c r="B14" s="7" t="s">
        <v>1382</v>
      </c>
      <c r="C14" s="17" t="s">
        <v>23</v>
      </c>
      <c r="D14" s="5" t="s">
        <v>24</v>
      </c>
      <c r="E14" s="5" t="s">
        <v>81</v>
      </c>
      <c r="F14" s="57">
        <v>417.49</v>
      </c>
      <c r="G14" s="5" t="s">
        <v>26</v>
      </c>
      <c r="H14" s="18">
        <v>66.60154699537749</v>
      </c>
      <c r="I14" s="19" t="s">
        <v>27</v>
      </c>
      <c r="J14" s="18">
        <v>-0.56154699537748343</v>
      </c>
      <c r="K14" s="5" t="s">
        <v>44</v>
      </c>
      <c r="L14" s="5" t="s">
        <v>45</v>
      </c>
      <c r="M14" s="58">
        <v>0.13700000000000001</v>
      </c>
      <c r="N14" s="59">
        <v>9.6791530700000017</v>
      </c>
      <c r="O14" s="59">
        <v>-0.37606805000000065</v>
      </c>
      <c r="AG14" s="17"/>
      <c r="AH14" s="91"/>
      <c r="AI14" s="61"/>
      <c r="AJ14" s="91"/>
      <c r="AK14" s="91"/>
      <c r="AL14" s="67"/>
      <c r="AM14" s="67"/>
      <c r="AN14" s="68"/>
      <c r="BR14" s="80"/>
      <c r="BS14" s="81"/>
      <c r="BT14" s="82"/>
      <c r="BU14" s="61"/>
      <c r="BV14" s="19"/>
      <c r="BW14" s="83"/>
      <c r="BX14" s="84"/>
      <c r="BY14" s="85"/>
      <c r="CA14" s="80"/>
      <c r="CB14" s="86"/>
      <c r="CC14" s="61"/>
      <c r="CD14" s="86"/>
      <c r="CE14" s="80"/>
      <c r="CF14" s="97"/>
      <c r="CG14" s="66"/>
      <c r="CI14" s="87"/>
      <c r="CO14"/>
      <c r="CP14"/>
      <c r="CQ14"/>
      <c r="CR14"/>
      <c r="CS14"/>
      <c r="CT14"/>
    </row>
    <row r="15" spans="1:98" x14ac:dyDescent="0.35">
      <c r="A15" s="7" t="s">
        <v>1379</v>
      </c>
      <c r="B15" s="7" t="s">
        <v>1382</v>
      </c>
      <c r="C15" s="17" t="s">
        <v>23</v>
      </c>
      <c r="D15" s="5" t="s">
        <v>24</v>
      </c>
      <c r="E15" s="5" t="s">
        <v>83</v>
      </c>
      <c r="F15" s="57">
        <v>419.01</v>
      </c>
      <c r="G15" s="5" t="s">
        <v>26</v>
      </c>
      <c r="H15" s="18">
        <v>66.68539291217256</v>
      </c>
      <c r="I15" s="19" t="s">
        <v>27</v>
      </c>
      <c r="J15" s="18">
        <v>-0.64539291217255368</v>
      </c>
      <c r="K15" s="5" t="s">
        <v>44</v>
      </c>
      <c r="L15" s="5" t="s">
        <v>45</v>
      </c>
      <c r="M15" s="58">
        <v>-0.159</v>
      </c>
      <c r="N15" s="59">
        <v>10.990628430000003</v>
      </c>
      <c r="O15" s="59">
        <v>0.93540731000000044</v>
      </c>
      <c r="AG15" s="17"/>
      <c r="AH15" s="91"/>
      <c r="AI15" s="61"/>
      <c r="AJ15" s="91"/>
      <c r="AK15" s="91"/>
      <c r="AL15" s="67"/>
      <c r="AM15" s="67"/>
      <c r="AN15" s="68"/>
      <c r="BR15" s="80"/>
      <c r="BS15" s="81"/>
      <c r="BT15" s="82"/>
      <c r="BU15" s="61"/>
      <c r="BV15" s="19"/>
      <c r="BW15" s="83"/>
      <c r="BX15" s="84"/>
      <c r="BY15" s="85"/>
      <c r="CA15" s="80"/>
      <c r="CB15" s="86"/>
      <c r="CC15" s="61"/>
      <c r="CD15" s="86"/>
      <c r="CE15" s="80"/>
      <c r="CF15" s="80"/>
      <c r="CG15" s="66"/>
      <c r="CI15" s="87"/>
      <c r="CO15"/>
      <c r="CP15"/>
      <c r="CQ15"/>
      <c r="CR15"/>
      <c r="CS15"/>
      <c r="CT15"/>
    </row>
    <row r="16" spans="1:98" x14ac:dyDescent="0.35">
      <c r="A16" s="7" t="s">
        <v>1379</v>
      </c>
      <c r="B16" s="7" t="s">
        <v>1382</v>
      </c>
      <c r="C16" s="17" t="s">
        <v>23</v>
      </c>
      <c r="D16" s="5" t="s">
        <v>24</v>
      </c>
      <c r="E16" s="5" t="s">
        <v>85</v>
      </c>
      <c r="F16" s="57">
        <v>420.51</v>
      </c>
      <c r="G16" s="5" t="s">
        <v>26</v>
      </c>
      <c r="H16" s="18">
        <v>66.768135593220322</v>
      </c>
      <c r="I16" s="19" t="s">
        <v>27</v>
      </c>
      <c r="J16" s="18">
        <v>-0.72813559322031551</v>
      </c>
      <c r="K16" s="5" t="s">
        <v>44</v>
      </c>
      <c r="L16" s="5" t="s">
        <v>45</v>
      </c>
      <c r="M16" s="58">
        <v>0.47399999999999998</v>
      </c>
      <c r="N16" s="59">
        <v>8.1924202800000021</v>
      </c>
      <c r="O16" s="59">
        <v>-1.8628008400000002</v>
      </c>
      <c r="AG16" s="17"/>
      <c r="AH16" s="91"/>
      <c r="AI16" s="61"/>
      <c r="AJ16" s="91"/>
      <c r="AK16" s="91"/>
      <c r="AL16" s="67"/>
      <c r="AM16" s="67"/>
      <c r="AN16" s="68"/>
      <c r="BR16" s="80"/>
      <c r="BS16" s="81"/>
      <c r="BT16" s="82"/>
      <c r="BU16" s="61"/>
      <c r="BV16" s="19"/>
      <c r="BW16" s="83"/>
      <c r="BX16" s="84"/>
      <c r="BY16" s="85"/>
      <c r="CA16" s="80"/>
      <c r="CB16" s="86"/>
      <c r="CC16" s="61"/>
      <c r="CD16" s="86"/>
      <c r="CE16" s="80"/>
      <c r="CF16" s="80"/>
      <c r="CG16" s="66"/>
      <c r="CI16" s="87"/>
      <c r="CO16"/>
      <c r="CP16"/>
      <c r="CQ16"/>
      <c r="CR16"/>
      <c r="CS16"/>
      <c r="CT16"/>
    </row>
    <row r="17" spans="1:98" x14ac:dyDescent="0.35">
      <c r="A17" s="7" t="s">
        <v>1379</v>
      </c>
      <c r="B17" s="7" t="s">
        <v>1382</v>
      </c>
      <c r="C17" s="17" t="s">
        <v>23</v>
      </c>
      <c r="D17" s="5" t="s">
        <v>24</v>
      </c>
      <c r="E17" s="5" t="s">
        <v>88</v>
      </c>
      <c r="F17" s="57">
        <v>422.01</v>
      </c>
      <c r="G17" s="5" t="s">
        <v>26</v>
      </c>
      <c r="H17" s="18">
        <v>66.850878274268084</v>
      </c>
      <c r="I17" s="19" t="s">
        <v>27</v>
      </c>
      <c r="J17" s="18">
        <v>-0.81087827426807735</v>
      </c>
      <c r="K17" s="5" t="s">
        <v>44</v>
      </c>
      <c r="L17" s="5" t="s">
        <v>45</v>
      </c>
      <c r="M17" s="58">
        <v>9.9000000000000005E-2</v>
      </c>
      <c r="N17" s="59">
        <v>9.8472240300000013</v>
      </c>
      <c r="O17" s="59">
        <v>-0.20799709000000099</v>
      </c>
      <c r="AG17" s="17"/>
      <c r="AH17" s="91"/>
      <c r="AI17" s="61"/>
      <c r="AJ17" s="91"/>
      <c r="AK17" s="91"/>
      <c r="AL17" s="67"/>
      <c r="AM17" s="67"/>
      <c r="AN17" s="68"/>
      <c r="BR17" s="80"/>
      <c r="BS17" s="81"/>
      <c r="BT17" s="82"/>
      <c r="BU17" s="61"/>
      <c r="BV17" s="19"/>
      <c r="BW17" s="83"/>
      <c r="BX17" s="84"/>
      <c r="BY17" s="85"/>
      <c r="CA17" s="80"/>
      <c r="CB17" s="86"/>
      <c r="CC17" s="61"/>
      <c r="CD17" s="86"/>
      <c r="CE17" s="80"/>
      <c r="CF17" s="80"/>
      <c r="CG17" s="66"/>
      <c r="CI17" s="87"/>
      <c r="CO17"/>
      <c r="CP17"/>
      <c r="CQ17"/>
      <c r="CR17"/>
      <c r="CS17"/>
      <c r="CT17"/>
    </row>
    <row r="18" spans="1:98" x14ac:dyDescent="0.35">
      <c r="A18" s="7" t="s">
        <v>1379</v>
      </c>
      <c r="B18" s="7" t="s">
        <v>1382</v>
      </c>
      <c r="C18" s="17" t="s">
        <v>23</v>
      </c>
      <c r="D18" s="5" t="s">
        <v>24</v>
      </c>
      <c r="E18" s="5" t="s">
        <v>90</v>
      </c>
      <c r="F18" s="57">
        <v>423.51</v>
      </c>
      <c r="G18" s="5" t="s">
        <v>26</v>
      </c>
      <c r="H18" s="18">
        <v>66.933620955315845</v>
      </c>
      <c r="I18" s="19" t="s">
        <v>27</v>
      </c>
      <c r="J18" s="18">
        <v>-0.89362095531583918</v>
      </c>
      <c r="K18" s="5" t="s">
        <v>44</v>
      </c>
      <c r="L18" s="5" t="s">
        <v>45</v>
      </c>
      <c r="M18" s="58">
        <v>7.5999999999999998E-2</v>
      </c>
      <c r="N18" s="59">
        <v>9.9489932800000016</v>
      </c>
      <c r="O18" s="59">
        <v>-0.10622784000000074</v>
      </c>
      <c r="AG18" s="17"/>
      <c r="AH18" s="59"/>
      <c r="AI18" s="61"/>
      <c r="AJ18" s="59"/>
      <c r="AK18" s="5"/>
      <c r="AL18" s="67"/>
      <c r="AM18" s="67"/>
      <c r="AN18" s="68"/>
      <c r="BR18" s="80"/>
      <c r="BS18" s="81"/>
      <c r="BT18" s="82"/>
      <c r="BU18" s="61"/>
      <c r="BV18" s="19"/>
      <c r="BW18" s="83"/>
      <c r="BX18" s="84"/>
      <c r="BY18" s="85"/>
      <c r="CA18" s="80"/>
      <c r="CB18" s="86"/>
      <c r="CC18" s="61"/>
      <c r="CD18" s="86"/>
      <c r="CE18" s="80"/>
      <c r="CF18" s="80"/>
      <c r="CG18" s="66"/>
      <c r="CI18" s="87"/>
      <c r="CO18"/>
      <c r="CP18"/>
      <c r="CQ18"/>
      <c r="CR18"/>
      <c r="CS18"/>
      <c r="CT18"/>
    </row>
    <row r="19" spans="1:98" x14ac:dyDescent="0.35">
      <c r="A19" s="7" t="s">
        <v>1379</v>
      </c>
      <c r="B19" s="7" t="s">
        <v>1382</v>
      </c>
      <c r="C19" s="17"/>
      <c r="D19" s="5"/>
      <c r="E19" s="5"/>
      <c r="F19" s="5"/>
      <c r="G19" s="5"/>
      <c r="H19" s="18"/>
      <c r="I19" s="19"/>
      <c r="J19" s="18"/>
      <c r="K19" s="5"/>
      <c r="L19" s="5"/>
      <c r="M19" s="59"/>
      <c r="N19" s="59"/>
      <c r="O19" s="59"/>
      <c r="AG19" s="17"/>
      <c r="AH19" s="91"/>
      <c r="AI19" s="61"/>
      <c r="AJ19" s="91"/>
      <c r="AK19" s="91"/>
      <c r="AL19" s="67"/>
      <c r="AM19" s="67"/>
      <c r="AN19" s="68"/>
      <c r="BR19" s="80"/>
      <c r="BS19" s="81"/>
      <c r="BT19" s="82"/>
      <c r="BU19" s="61"/>
      <c r="BV19" s="19"/>
      <c r="BW19" s="83"/>
      <c r="BX19" s="84"/>
      <c r="BY19" s="85"/>
      <c r="CA19" s="80"/>
      <c r="CB19" s="86"/>
      <c r="CC19" s="61"/>
      <c r="CD19" s="86"/>
      <c r="CE19" s="80"/>
      <c r="CF19" s="80"/>
      <c r="CG19" s="66"/>
      <c r="CI19" s="87"/>
      <c r="CO19"/>
      <c r="CP19"/>
      <c r="CQ19"/>
      <c r="CR19"/>
      <c r="CS19"/>
      <c r="CT19"/>
    </row>
    <row r="20" spans="1:98" x14ac:dyDescent="0.35">
      <c r="A20" s="7" t="s">
        <v>1379</v>
      </c>
      <c r="B20" s="7" t="s">
        <v>1382</v>
      </c>
      <c r="C20" s="17" t="s">
        <v>94</v>
      </c>
      <c r="D20" s="5" t="s">
        <v>95</v>
      </c>
      <c r="E20" s="5" t="s">
        <v>96</v>
      </c>
      <c r="F20" s="5">
        <v>247.24</v>
      </c>
      <c r="G20" s="5" t="s">
        <v>26</v>
      </c>
      <c r="H20" s="18">
        <v>65.45946808510638</v>
      </c>
      <c r="I20" s="19" t="s">
        <v>27</v>
      </c>
      <c r="J20" s="18">
        <v>0.58053191489362632</v>
      </c>
      <c r="K20" s="5" t="s">
        <v>97</v>
      </c>
      <c r="L20" s="101" t="s">
        <v>98</v>
      </c>
      <c r="M20" s="59">
        <v>0.53</v>
      </c>
      <c r="N20" s="59">
        <v>9.2681870000000011</v>
      </c>
      <c r="O20" s="59">
        <v>-1.1059250000000009</v>
      </c>
      <c r="AG20" s="102"/>
      <c r="AH20" s="103"/>
      <c r="AI20" s="104"/>
      <c r="AJ20" s="103"/>
      <c r="AK20" s="103"/>
      <c r="AL20" s="105"/>
      <c r="AM20" s="105"/>
      <c r="AN20" s="106"/>
      <c r="BR20" s="80"/>
      <c r="BS20" s="81"/>
      <c r="BT20" s="82"/>
      <c r="BU20" s="61"/>
      <c r="BV20" s="19"/>
      <c r="BW20" s="83"/>
      <c r="BX20" s="84"/>
      <c r="BY20" s="85"/>
      <c r="CA20" s="80"/>
      <c r="CB20" s="86"/>
      <c r="CC20" s="61"/>
      <c r="CD20" s="86"/>
      <c r="CE20" s="80"/>
      <c r="CF20" s="80"/>
      <c r="CG20" s="66"/>
      <c r="CI20" s="87"/>
      <c r="CO20"/>
      <c r="CP20"/>
      <c r="CQ20"/>
      <c r="CR20"/>
      <c r="CS20"/>
      <c r="CT20"/>
    </row>
    <row r="21" spans="1:98" x14ac:dyDescent="0.35">
      <c r="A21" s="7" t="s">
        <v>1379</v>
      </c>
      <c r="B21" s="7" t="s">
        <v>1382</v>
      </c>
      <c r="C21" s="17" t="s">
        <v>94</v>
      </c>
      <c r="D21" s="5" t="s">
        <v>95</v>
      </c>
      <c r="E21" s="5" t="s">
        <v>100</v>
      </c>
      <c r="F21" s="5">
        <v>247.46</v>
      </c>
      <c r="G21" s="5" t="s">
        <v>26</v>
      </c>
      <c r="H21" s="18">
        <v>65.566250000000011</v>
      </c>
      <c r="I21" s="19" t="s">
        <v>27</v>
      </c>
      <c r="J21" s="18">
        <v>0.47374999999999545</v>
      </c>
      <c r="K21" s="5" t="s">
        <v>97</v>
      </c>
      <c r="L21" s="101" t="s">
        <v>98</v>
      </c>
      <c r="M21" s="59">
        <v>0.35</v>
      </c>
      <c r="N21" s="59">
        <v>10.064075000000003</v>
      </c>
      <c r="O21" s="59">
        <v>-0.31003699999999945</v>
      </c>
      <c r="AG21" s="107"/>
      <c r="AH21" s="2"/>
      <c r="AI21" s="2"/>
      <c r="AJ21" s="2"/>
      <c r="AN21" s="108"/>
      <c r="BR21" s="80"/>
      <c r="BS21" s="81"/>
      <c r="BT21" s="82"/>
      <c r="BU21" s="61"/>
      <c r="BV21" s="19"/>
      <c r="BW21" s="83"/>
      <c r="BX21" s="84"/>
      <c r="BY21" s="85"/>
      <c r="CA21" s="80"/>
      <c r="CB21" s="86"/>
      <c r="CC21" s="61"/>
      <c r="CD21" s="86"/>
      <c r="CE21" s="80"/>
      <c r="CF21" s="80"/>
      <c r="CG21" s="66"/>
      <c r="CI21" s="87"/>
      <c r="CO21"/>
      <c r="CP21"/>
      <c r="CQ21"/>
      <c r="CR21"/>
      <c r="CS21"/>
      <c r="CT21"/>
    </row>
    <row r="22" spans="1:98" x14ac:dyDescent="0.35">
      <c r="A22" s="7" t="s">
        <v>1379</v>
      </c>
      <c r="B22" s="7" t="s">
        <v>1382</v>
      </c>
      <c r="C22" s="17" t="s">
        <v>94</v>
      </c>
      <c r="D22" s="5" t="s">
        <v>95</v>
      </c>
      <c r="E22" s="5" t="s">
        <v>102</v>
      </c>
      <c r="F22" s="5">
        <v>247.69</v>
      </c>
      <c r="G22" s="5" t="s">
        <v>26</v>
      </c>
      <c r="H22" s="18">
        <v>65.894166666666663</v>
      </c>
      <c r="I22" s="19" t="s">
        <v>27</v>
      </c>
      <c r="J22" s="18">
        <v>0.14583333333334281</v>
      </c>
      <c r="K22" s="5" t="s">
        <v>97</v>
      </c>
      <c r="L22" s="101" t="s">
        <v>98</v>
      </c>
      <c r="M22" s="59">
        <v>0.36</v>
      </c>
      <c r="N22" s="59">
        <v>10.019808000000001</v>
      </c>
      <c r="O22" s="59">
        <v>-0.35430400000000084</v>
      </c>
      <c r="AG22" s="107"/>
      <c r="AH22" s="2"/>
      <c r="AI22" s="2"/>
      <c r="AJ22" s="2"/>
      <c r="AN22" s="108"/>
      <c r="BR22" s="80"/>
      <c r="BS22" s="81"/>
      <c r="BT22" s="82"/>
      <c r="BU22" s="61"/>
      <c r="BV22" s="19"/>
      <c r="BW22" s="83"/>
      <c r="BX22" s="84"/>
      <c r="BY22" s="85"/>
      <c r="CA22" s="80"/>
      <c r="CB22" s="86"/>
      <c r="CC22" s="61"/>
      <c r="CD22" s="86"/>
      <c r="CE22" s="80"/>
      <c r="CF22" s="80"/>
      <c r="CG22" s="66"/>
      <c r="CI22" s="87"/>
      <c r="CO22"/>
      <c r="CP22"/>
      <c r="CQ22"/>
      <c r="CR22"/>
      <c r="CS22"/>
      <c r="CT22"/>
    </row>
    <row r="23" spans="1:98" x14ac:dyDescent="0.35">
      <c r="A23" s="7" t="s">
        <v>1379</v>
      </c>
      <c r="B23" s="7" t="s">
        <v>1382</v>
      </c>
      <c r="C23" s="17" t="s">
        <v>94</v>
      </c>
      <c r="D23" s="5" t="s">
        <v>95</v>
      </c>
      <c r="E23" s="5" t="s">
        <v>105</v>
      </c>
      <c r="F23" s="5">
        <v>247.76</v>
      </c>
      <c r="G23" s="5" t="s">
        <v>26</v>
      </c>
      <c r="H23" s="18">
        <v>65.996250000000003</v>
      </c>
      <c r="I23" s="19" t="s">
        <v>27</v>
      </c>
      <c r="J23" s="18">
        <v>4.3750000000002842E-2</v>
      </c>
      <c r="K23" s="5" t="s">
        <v>97</v>
      </c>
      <c r="L23" s="101" t="s">
        <v>98</v>
      </c>
      <c r="M23" s="59">
        <v>0.22</v>
      </c>
      <c r="N23" s="59">
        <v>10.640092000000003</v>
      </c>
      <c r="O23" s="59">
        <v>0.26598000000000077</v>
      </c>
      <c r="AG23" s="109"/>
      <c r="AH23" s="2"/>
      <c r="AI23" s="2"/>
      <c r="AJ23" s="2"/>
      <c r="AN23" s="108"/>
      <c r="BR23" s="80"/>
      <c r="BS23" s="81"/>
      <c r="BT23" s="82"/>
      <c r="BU23" s="61"/>
      <c r="BV23" s="19"/>
      <c r="BW23" s="83"/>
      <c r="BX23" s="84"/>
      <c r="BY23" s="85"/>
      <c r="CA23" s="80"/>
      <c r="CB23" s="86"/>
      <c r="CC23" s="61"/>
      <c r="CD23" s="86"/>
      <c r="CE23" s="80"/>
      <c r="CF23" s="80"/>
      <c r="CG23" s="66"/>
      <c r="CI23" s="87"/>
      <c r="CO23"/>
      <c r="CP23"/>
      <c r="CQ23"/>
      <c r="CR23"/>
      <c r="CS23"/>
      <c r="CT23"/>
    </row>
    <row r="24" spans="1:98" x14ac:dyDescent="0.35">
      <c r="A24" s="7" t="s">
        <v>1379</v>
      </c>
      <c r="B24" s="7" t="s">
        <v>1382</v>
      </c>
      <c r="C24" s="17" t="s">
        <v>94</v>
      </c>
      <c r="D24" s="5" t="s">
        <v>95</v>
      </c>
      <c r="E24" s="5" t="s">
        <v>107</v>
      </c>
      <c r="F24" s="5">
        <v>247.86</v>
      </c>
      <c r="G24" s="5" t="s">
        <v>26</v>
      </c>
      <c r="H24" s="18">
        <v>66.045581291759476</v>
      </c>
      <c r="I24" s="19" t="s">
        <v>27</v>
      </c>
      <c r="J24" s="18">
        <v>-5.581291759469309E-3</v>
      </c>
      <c r="K24" s="5" t="s">
        <v>97</v>
      </c>
      <c r="L24" s="101" t="s">
        <v>98</v>
      </c>
      <c r="M24" s="59">
        <v>0.28000000000000003</v>
      </c>
      <c r="N24" s="59">
        <v>10.374112000000002</v>
      </c>
      <c r="O24" s="59">
        <v>0</v>
      </c>
      <c r="AG24" s="107"/>
      <c r="AH24" s="2"/>
      <c r="AI24" s="2"/>
      <c r="AJ24" s="2"/>
      <c r="AN24" s="108"/>
      <c r="BR24" s="80"/>
      <c r="BS24" s="81"/>
      <c r="BT24" s="82"/>
      <c r="BU24" s="61"/>
      <c r="BV24" s="19"/>
      <c r="BW24" s="83"/>
      <c r="BX24" s="84"/>
      <c r="BY24" s="85"/>
      <c r="CA24" s="80"/>
      <c r="CB24" s="86"/>
      <c r="CC24" s="61"/>
      <c r="CD24" s="86"/>
      <c r="CE24" s="80"/>
      <c r="CF24" s="80"/>
      <c r="CG24" s="66"/>
      <c r="CI24" s="87"/>
      <c r="CO24"/>
      <c r="CP24"/>
      <c r="CQ24"/>
      <c r="CR24"/>
      <c r="CS24"/>
      <c r="CT24"/>
    </row>
    <row r="25" spans="1:98" x14ac:dyDescent="0.35">
      <c r="A25" s="7" t="s">
        <v>1379</v>
      </c>
      <c r="B25" s="7" t="s">
        <v>1382</v>
      </c>
      <c r="C25" s="17" t="s">
        <v>94</v>
      </c>
      <c r="D25" s="5" t="s">
        <v>95</v>
      </c>
      <c r="E25" s="5" t="s">
        <v>107</v>
      </c>
      <c r="F25" s="5">
        <v>247.86</v>
      </c>
      <c r="G25" s="5" t="s">
        <v>26</v>
      </c>
      <c r="H25" s="18">
        <v>66.045581291759476</v>
      </c>
      <c r="I25" s="19" t="s">
        <v>27</v>
      </c>
      <c r="J25" s="18">
        <v>-5.581291759469309E-3</v>
      </c>
      <c r="K25" s="5" t="s">
        <v>97</v>
      </c>
      <c r="L25" s="101" t="s">
        <v>98</v>
      </c>
      <c r="M25" s="59">
        <v>0.25</v>
      </c>
      <c r="N25" s="59">
        <v>10.507075000000002</v>
      </c>
      <c r="O25" s="59">
        <v>0.13296300000000016</v>
      </c>
      <c r="AG25" s="107"/>
      <c r="AH25" s="2"/>
      <c r="AI25" s="2"/>
      <c r="AJ25" s="2"/>
      <c r="AN25" s="108"/>
      <c r="BR25" s="80"/>
      <c r="BS25" s="81"/>
      <c r="BT25" s="82"/>
      <c r="BU25" s="61"/>
      <c r="BV25" s="19"/>
      <c r="BW25" s="83"/>
      <c r="BX25" s="84"/>
      <c r="BY25" s="85"/>
      <c r="CA25" s="80"/>
      <c r="CB25" s="86"/>
      <c r="CC25" s="61"/>
      <c r="CD25" s="86"/>
      <c r="CE25" s="80"/>
      <c r="CF25" s="80"/>
      <c r="CG25" s="66"/>
      <c r="CI25" s="87"/>
      <c r="CO25"/>
      <c r="CP25"/>
      <c r="CQ25"/>
      <c r="CR25"/>
      <c r="CS25"/>
      <c r="CT25"/>
    </row>
    <row r="26" spans="1:98" x14ac:dyDescent="0.35">
      <c r="A26" s="7" t="s">
        <v>1379</v>
      </c>
      <c r="B26" s="7" t="s">
        <v>1382</v>
      </c>
      <c r="C26" s="17" t="s">
        <v>94</v>
      </c>
      <c r="D26" s="5" t="s">
        <v>95</v>
      </c>
      <c r="E26" s="5" t="s">
        <v>110</v>
      </c>
      <c r="F26" s="5">
        <v>247.98</v>
      </c>
      <c r="G26" s="5" t="s">
        <v>26</v>
      </c>
      <c r="H26" s="18">
        <v>66.05514922048998</v>
      </c>
      <c r="I26" s="19" t="s">
        <v>27</v>
      </c>
      <c r="J26" s="18">
        <v>-1.5149220489973914E-2</v>
      </c>
      <c r="K26" s="5" t="s">
        <v>97</v>
      </c>
      <c r="L26" s="101" t="s">
        <v>98</v>
      </c>
      <c r="M26" s="59">
        <v>0.23</v>
      </c>
      <c r="N26" s="59">
        <v>10.595747000000001</v>
      </c>
      <c r="O26" s="59">
        <v>0.22163499999999914</v>
      </c>
      <c r="AG26" s="107"/>
      <c r="AH26" s="2"/>
      <c r="AI26" s="2"/>
      <c r="AJ26" s="2"/>
      <c r="AN26" s="108"/>
      <c r="BR26" s="80"/>
      <c r="BS26" s="81"/>
      <c r="BT26" s="82"/>
      <c r="BU26" s="61"/>
      <c r="BV26" s="19"/>
      <c r="BW26" s="83"/>
      <c r="BX26" s="84"/>
      <c r="BY26" s="85"/>
      <c r="CA26" s="80"/>
      <c r="CB26" s="86"/>
      <c r="CC26" s="61"/>
      <c r="CD26" s="86"/>
      <c r="CE26" s="80"/>
      <c r="CF26" s="80"/>
      <c r="CG26" s="66"/>
      <c r="CI26" s="87"/>
      <c r="CO26"/>
      <c r="CP26"/>
      <c r="CQ26"/>
      <c r="CR26"/>
      <c r="CS26"/>
      <c r="CT26"/>
    </row>
    <row r="27" spans="1:98" x14ac:dyDescent="0.35">
      <c r="A27" s="7" t="s">
        <v>1379</v>
      </c>
      <c r="B27" s="7" t="s">
        <v>1382</v>
      </c>
      <c r="C27" s="17" t="s">
        <v>94</v>
      </c>
      <c r="D27" s="5" t="s">
        <v>95</v>
      </c>
      <c r="E27" s="5" t="s">
        <v>110</v>
      </c>
      <c r="F27" s="5">
        <v>247.98</v>
      </c>
      <c r="G27" s="5" t="s">
        <v>26</v>
      </c>
      <c r="H27" s="18">
        <v>66.05514922048998</v>
      </c>
      <c r="I27" s="19" t="s">
        <v>27</v>
      </c>
      <c r="J27" s="18">
        <v>-1.5149220489973914E-2</v>
      </c>
      <c r="K27" s="5" t="s">
        <v>97</v>
      </c>
      <c r="L27" s="101" t="s">
        <v>98</v>
      </c>
      <c r="M27" s="59">
        <v>0.31</v>
      </c>
      <c r="N27" s="59">
        <v>10.241203000000002</v>
      </c>
      <c r="O27" s="59">
        <v>-0.13290899999999972</v>
      </c>
      <c r="AG27" s="107"/>
      <c r="AH27" s="2"/>
      <c r="AI27" s="2"/>
      <c r="AJ27" s="2"/>
      <c r="AN27" s="108"/>
      <c r="BR27" s="80"/>
      <c r="BS27" s="81"/>
      <c r="BT27" s="82"/>
      <c r="BU27" s="61"/>
      <c r="BV27" s="19"/>
      <c r="BW27" s="83"/>
      <c r="BX27" s="84"/>
      <c r="BY27" s="85"/>
      <c r="CA27" s="80"/>
      <c r="CB27" s="86"/>
      <c r="CC27" s="61"/>
      <c r="CD27" s="86"/>
      <c r="CE27" s="80"/>
      <c r="CF27" s="80"/>
      <c r="CG27" s="66"/>
      <c r="CI27" s="87"/>
      <c r="CO27"/>
      <c r="CP27"/>
      <c r="CQ27"/>
      <c r="CR27"/>
      <c r="CS27"/>
      <c r="CT27"/>
    </row>
    <row r="28" spans="1:98" x14ac:dyDescent="0.35">
      <c r="A28" s="7" t="s">
        <v>1379</v>
      </c>
      <c r="B28" s="7" t="s">
        <v>1382</v>
      </c>
      <c r="C28" s="17" t="s">
        <v>94</v>
      </c>
      <c r="D28" s="5" t="s">
        <v>95</v>
      </c>
      <c r="E28" s="5" t="s">
        <v>113</v>
      </c>
      <c r="F28" s="5">
        <v>248.25</v>
      </c>
      <c r="G28" s="5" t="s">
        <v>26</v>
      </c>
      <c r="H28" s="18">
        <v>66.076677060133633</v>
      </c>
      <c r="I28" s="19" t="s">
        <v>27</v>
      </c>
      <c r="J28" s="18">
        <v>-3.6677060133627037E-2</v>
      </c>
      <c r="K28" s="5" t="s">
        <v>97</v>
      </c>
      <c r="L28" s="101" t="s">
        <v>98</v>
      </c>
      <c r="M28" s="59">
        <v>0.25</v>
      </c>
      <c r="N28" s="59">
        <v>10.507075000000002</v>
      </c>
      <c r="O28" s="59">
        <v>0.13296300000000016</v>
      </c>
      <c r="AG28" s="107"/>
      <c r="AH28" s="2"/>
      <c r="AI28" s="2"/>
      <c r="AJ28" s="2"/>
      <c r="AN28" s="108"/>
      <c r="BR28" s="80"/>
      <c r="BS28" s="81"/>
      <c r="BT28" s="82"/>
      <c r="BU28" s="61"/>
      <c r="BV28" s="19"/>
      <c r="BW28" s="83"/>
      <c r="BX28" s="84"/>
      <c r="BY28" s="85"/>
      <c r="CA28" s="80"/>
      <c r="CB28" s="80"/>
      <c r="CC28" s="61"/>
      <c r="CD28" s="86"/>
      <c r="CE28" s="110"/>
      <c r="CG28" s="66"/>
      <c r="CI28" s="87"/>
      <c r="CO28"/>
      <c r="CP28"/>
      <c r="CQ28"/>
      <c r="CR28"/>
      <c r="CS28"/>
      <c r="CT28"/>
    </row>
    <row r="29" spans="1:98" x14ac:dyDescent="0.35">
      <c r="A29" s="7" t="s">
        <v>1379</v>
      </c>
      <c r="B29" s="7" t="s">
        <v>1382</v>
      </c>
      <c r="C29" s="17" t="s">
        <v>94</v>
      </c>
      <c r="D29" s="5" t="s">
        <v>95</v>
      </c>
      <c r="E29" s="5" t="s">
        <v>113</v>
      </c>
      <c r="F29" s="5">
        <v>248.25</v>
      </c>
      <c r="G29" s="5" t="s">
        <v>26</v>
      </c>
      <c r="H29" s="18">
        <v>66.076677060133633</v>
      </c>
      <c r="I29" s="19" t="s">
        <v>27</v>
      </c>
      <c r="J29" s="18">
        <v>-3.6677060133627037E-2</v>
      </c>
      <c r="K29" s="5" t="s">
        <v>97</v>
      </c>
      <c r="L29" s="101" t="s">
        <v>98</v>
      </c>
      <c r="M29" s="59">
        <v>0.36</v>
      </c>
      <c r="N29" s="59">
        <v>10.019808000000001</v>
      </c>
      <c r="O29" s="59">
        <v>-0.35430400000000084</v>
      </c>
      <c r="AG29" s="107"/>
      <c r="AH29" s="2"/>
      <c r="AI29" s="2"/>
      <c r="AJ29" s="2"/>
      <c r="AN29" s="108"/>
      <c r="BR29" s="80"/>
      <c r="BS29" s="81"/>
      <c r="BT29" s="82"/>
      <c r="BU29" s="61"/>
      <c r="BV29" s="19"/>
      <c r="BW29" s="83"/>
      <c r="BX29" s="111"/>
      <c r="BY29" s="85"/>
      <c r="CA29" s="80"/>
      <c r="CB29" s="19"/>
      <c r="CC29" s="61"/>
      <c r="CD29" s="112"/>
      <c r="CE29" s="110"/>
      <c r="CG29" s="66"/>
      <c r="CI29" s="87"/>
      <c r="CO29"/>
      <c r="CP29"/>
      <c r="CQ29"/>
      <c r="CR29"/>
      <c r="CS29"/>
      <c r="CT29"/>
    </row>
    <row r="30" spans="1:98" x14ac:dyDescent="0.35">
      <c r="A30" s="7" t="s">
        <v>1379</v>
      </c>
      <c r="B30" s="7" t="s">
        <v>1382</v>
      </c>
      <c r="C30" s="17" t="s">
        <v>94</v>
      </c>
      <c r="D30" s="5" t="s">
        <v>95</v>
      </c>
      <c r="E30" s="5" t="s">
        <v>119</v>
      </c>
      <c r="F30" s="5">
        <v>248.47</v>
      </c>
      <c r="G30" s="5" t="s">
        <v>26</v>
      </c>
      <c r="H30" s="18">
        <v>66.094218262806237</v>
      </c>
      <c r="I30" s="19" t="s">
        <v>27</v>
      </c>
      <c r="J30" s="18">
        <v>-5.4218262806230655E-2</v>
      </c>
      <c r="K30" s="5" t="s">
        <v>97</v>
      </c>
      <c r="L30" s="101" t="s">
        <v>98</v>
      </c>
      <c r="M30" s="59">
        <v>0.25</v>
      </c>
      <c r="N30" s="59">
        <v>10.507075000000002</v>
      </c>
      <c r="O30" s="59">
        <v>0.13296300000000016</v>
      </c>
      <c r="AG30" s="107"/>
      <c r="AH30" s="2"/>
      <c r="AI30" s="2"/>
      <c r="AJ30" s="2"/>
      <c r="AN30" s="108"/>
      <c r="BR30" s="80"/>
      <c r="BS30" s="81"/>
      <c r="BT30" s="82"/>
      <c r="BU30" s="61"/>
      <c r="BV30" s="19"/>
      <c r="BW30" s="83"/>
      <c r="BX30" s="111"/>
      <c r="BY30" s="85"/>
      <c r="CA30" s="80"/>
      <c r="CB30" s="114"/>
      <c r="CC30" s="61"/>
      <c r="CD30" s="86"/>
      <c r="CE30" s="80"/>
      <c r="CF30" s="80"/>
      <c r="CG30" s="66"/>
      <c r="CI30" s="87"/>
      <c r="CO30"/>
      <c r="CP30"/>
      <c r="CQ30"/>
      <c r="CR30"/>
      <c r="CS30"/>
      <c r="CT30"/>
    </row>
    <row r="31" spans="1:98" x14ac:dyDescent="0.35">
      <c r="A31" s="7" t="s">
        <v>1379</v>
      </c>
      <c r="B31" s="7" t="s">
        <v>1382</v>
      </c>
      <c r="C31" s="17" t="s">
        <v>94</v>
      </c>
      <c r="D31" s="5" t="s">
        <v>95</v>
      </c>
      <c r="E31" s="5" t="s">
        <v>122</v>
      </c>
      <c r="F31" s="5">
        <v>248.87</v>
      </c>
      <c r="G31" s="5" t="s">
        <v>26</v>
      </c>
      <c r="H31" s="18">
        <v>66.126111358574619</v>
      </c>
      <c r="I31" s="19" t="s">
        <v>27</v>
      </c>
      <c r="J31" s="18">
        <v>-8.6111358574612495E-2</v>
      </c>
      <c r="K31" s="5" t="s">
        <v>97</v>
      </c>
      <c r="L31" s="101" t="s">
        <v>98</v>
      </c>
      <c r="M31" s="59">
        <v>0.12</v>
      </c>
      <c r="N31" s="59">
        <v>11.083872000000003</v>
      </c>
      <c r="O31" s="59">
        <v>0.70976000000000106</v>
      </c>
      <c r="AG31" s="107"/>
      <c r="AH31" s="2"/>
      <c r="AI31" s="2"/>
      <c r="AJ31" s="2"/>
      <c r="AN31" s="115"/>
      <c r="BR31" s="80"/>
      <c r="BS31" s="81"/>
      <c r="BT31" s="82"/>
      <c r="BU31" s="61"/>
      <c r="BV31" s="19"/>
      <c r="BW31" s="83"/>
      <c r="BX31" s="111"/>
      <c r="BY31" s="85"/>
      <c r="CA31" s="80"/>
      <c r="CB31" s="114"/>
      <c r="CC31" s="61"/>
      <c r="CD31" s="86"/>
      <c r="CE31" s="80"/>
      <c r="CF31" s="80"/>
      <c r="CG31" s="66"/>
      <c r="CI31" s="87"/>
      <c r="CO31"/>
      <c r="CP31"/>
      <c r="CQ31"/>
      <c r="CR31"/>
      <c r="CS31"/>
      <c r="CT31"/>
    </row>
    <row r="32" spans="1:98" x14ac:dyDescent="0.35">
      <c r="A32" s="7" t="s">
        <v>1379</v>
      </c>
      <c r="B32" s="7" t="s">
        <v>1382</v>
      </c>
      <c r="C32" s="17" t="s">
        <v>94</v>
      </c>
      <c r="D32" s="5" t="s">
        <v>95</v>
      </c>
      <c r="E32" s="5" t="s">
        <v>124</v>
      </c>
      <c r="F32" s="5">
        <v>249.16</v>
      </c>
      <c r="G32" s="5" t="s">
        <v>26</v>
      </c>
      <c r="H32" s="18">
        <v>66.149233853006692</v>
      </c>
      <c r="I32" s="19" t="s">
        <v>27</v>
      </c>
      <c r="J32" s="18">
        <v>-0.10923385300668542</v>
      </c>
      <c r="K32" s="5" t="s">
        <v>97</v>
      </c>
      <c r="L32" s="101" t="s">
        <v>98</v>
      </c>
      <c r="M32" s="59">
        <v>-0.08</v>
      </c>
      <c r="N32" s="59">
        <v>11.973232000000001</v>
      </c>
      <c r="O32" s="59">
        <v>1.5991199999999992</v>
      </c>
      <c r="AG32" s="107"/>
      <c r="AH32" s="2"/>
      <c r="AI32" s="2"/>
      <c r="AJ32" s="2"/>
      <c r="AN32" s="108"/>
      <c r="BR32" s="80"/>
      <c r="BS32" s="81"/>
      <c r="BT32" s="82"/>
      <c r="BU32" s="61"/>
      <c r="BV32" s="19"/>
      <c r="BW32" s="83"/>
      <c r="BX32" s="111"/>
      <c r="BY32" s="85"/>
      <c r="CA32" s="80"/>
      <c r="CB32" s="114"/>
      <c r="CC32" s="61"/>
      <c r="CD32" s="86"/>
      <c r="CE32" s="80"/>
      <c r="CF32" s="80"/>
      <c r="CG32" s="66"/>
      <c r="CI32" s="87"/>
      <c r="CO32"/>
      <c r="CP32"/>
      <c r="CQ32"/>
      <c r="CR32"/>
      <c r="CS32"/>
      <c r="CT32"/>
    </row>
    <row r="33" spans="1:98" x14ac:dyDescent="0.35">
      <c r="A33" s="7" t="s">
        <v>1379</v>
      </c>
      <c r="B33" s="7" t="s">
        <v>1382</v>
      </c>
      <c r="C33" s="17" t="s">
        <v>94</v>
      </c>
      <c r="D33" s="5" t="s">
        <v>95</v>
      </c>
      <c r="E33" s="5" t="s">
        <v>127</v>
      </c>
      <c r="F33" s="5">
        <v>249.67</v>
      </c>
      <c r="G33" s="5" t="s">
        <v>26</v>
      </c>
      <c r="H33" s="18">
        <v>66.189897550111354</v>
      </c>
      <c r="I33" s="19" t="s">
        <v>27</v>
      </c>
      <c r="J33" s="18">
        <v>-0.14989755011134775</v>
      </c>
      <c r="K33" s="5" t="s">
        <v>97</v>
      </c>
      <c r="L33" s="101" t="s">
        <v>98</v>
      </c>
      <c r="M33" s="59">
        <v>-0.06</v>
      </c>
      <c r="N33" s="59">
        <v>11.884188000000002</v>
      </c>
      <c r="O33" s="59">
        <v>1.5100759999999998</v>
      </c>
      <c r="AG33" s="107"/>
      <c r="AH33" s="2"/>
      <c r="AI33" s="2"/>
      <c r="AJ33" s="2"/>
      <c r="AN33" s="108"/>
      <c r="BR33" s="80"/>
      <c r="BS33" s="81"/>
      <c r="BT33" s="82"/>
      <c r="BU33" s="61"/>
      <c r="BV33" s="19"/>
      <c r="BW33" s="83"/>
      <c r="BX33" s="111"/>
      <c r="BY33" s="85"/>
      <c r="CA33" s="80"/>
      <c r="CB33" s="114"/>
      <c r="CC33" s="61"/>
      <c r="CD33" s="86"/>
      <c r="CE33" s="80"/>
      <c r="CF33" s="80"/>
      <c r="CG33" s="66"/>
      <c r="CI33" s="87"/>
      <c r="CO33"/>
      <c r="CP33"/>
      <c r="CQ33"/>
      <c r="CR33"/>
      <c r="CS33"/>
      <c r="CT33"/>
    </row>
    <row r="34" spans="1:98" x14ac:dyDescent="0.35">
      <c r="A34" s="7" t="s">
        <v>1379</v>
      </c>
      <c r="B34" s="7" t="s">
        <v>1382</v>
      </c>
      <c r="C34" s="17" t="s">
        <v>94</v>
      </c>
      <c r="D34" s="5" t="s">
        <v>95</v>
      </c>
      <c r="E34" s="5" t="s">
        <v>127</v>
      </c>
      <c r="F34" s="5">
        <v>249.67</v>
      </c>
      <c r="G34" s="5" t="s">
        <v>26</v>
      </c>
      <c r="H34" s="18">
        <v>66.189897550111354</v>
      </c>
      <c r="I34" s="19" t="s">
        <v>27</v>
      </c>
      <c r="J34" s="18">
        <v>-0.14989755011134775</v>
      </c>
      <c r="K34" s="5" t="s">
        <v>97</v>
      </c>
      <c r="L34" s="101" t="s">
        <v>98</v>
      </c>
      <c r="M34" s="59">
        <v>-0.02</v>
      </c>
      <c r="N34" s="59">
        <v>11.706172000000002</v>
      </c>
      <c r="O34" s="59">
        <v>1.3320600000000002</v>
      </c>
      <c r="AG34" s="107"/>
      <c r="AN34" s="115"/>
      <c r="BR34" s="80"/>
      <c r="BS34" s="81"/>
      <c r="BT34" s="82"/>
      <c r="BU34" s="61"/>
      <c r="BV34" s="19"/>
      <c r="BW34" s="83"/>
      <c r="BX34" s="111"/>
      <c r="BY34" s="85"/>
      <c r="CA34" s="80"/>
      <c r="CB34" s="114"/>
      <c r="CC34" s="61"/>
      <c r="CD34" s="86"/>
      <c r="CE34" s="80"/>
      <c r="CF34" s="80"/>
      <c r="CG34" s="66"/>
      <c r="CI34" s="87"/>
      <c r="CO34"/>
      <c r="CP34"/>
      <c r="CQ34"/>
      <c r="CR34"/>
      <c r="CS34"/>
      <c r="CT34"/>
    </row>
    <row r="35" spans="1:98" x14ac:dyDescent="0.35">
      <c r="A35" s="7" t="s">
        <v>1379</v>
      </c>
      <c r="B35" s="7" t="s">
        <v>1382</v>
      </c>
      <c r="C35" s="17" t="s">
        <v>94</v>
      </c>
      <c r="D35" s="5" t="s">
        <v>95</v>
      </c>
      <c r="E35" s="5" t="s">
        <v>130</v>
      </c>
      <c r="F35" s="5">
        <v>250.33</v>
      </c>
      <c r="G35" s="5" t="s">
        <v>26</v>
      </c>
      <c r="H35" s="18">
        <v>66.242521158129179</v>
      </c>
      <c r="I35" s="19" t="s">
        <v>27</v>
      </c>
      <c r="J35" s="18">
        <v>-0.20252115812917282</v>
      </c>
      <c r="K35" s="5" t="s">
        <v>97</v>
      </c>
      <c r="L35" s="101" t="s">
        <v>98</v>
      </c>
      <c r="M35" s="59">
        <v>-0.09</v>
      </c>
      <c r="N35" s="59">
        <v>12.017763000000002</v>
      </c>
      <c r="O35" s="59">
        <v>1.6436510000000002</v>
      </c>
      <c r="AG35" s="107"/>
      <c r="AN35" s="115"/>
      <c r="BR35" s="80"/>
      <c r="BS35" s="81"/>
      <c r="BT35" s="82"/>
      <c r="BU35" s="61"/>
      <c r="BV35" s="19"/>
      <c r="BW35" s="83"/>
      <c r="BX35" s="111"/>
      <c r="BY35" s="85"/>
      <c r="CA35" s="121"/>
      <c r="CB35" s="114"/>
      <c r="CC35" s="61"/>
      <c r="CD35" s="86"/>
      <c r="CE35" s="121"/>
      <c r="CF35" s="62"/>
      <c r="CG35" s="122"/>
      <c r="CI35" s="87"/>
      <c r="CO35"/>
      <c r="CP35"/>
      <c r="CQ35"/>
      <c r="CR35"/>
      <c r="CS35"/>
      <c r="CT35"/>
    </row>
    <row r="36" spans="1:98" x14ac:dyDescent="0.35">
      <c r="A36" s="7" t="s">
        <v>1379</v>
      </c>
      <c r="B36" s="7" t="s">
        <v>1382</v>
      </c>
      <c r="C36" s="17" t="s">
        <v>94</v>
      </c>
      <c r="D36" s="5" t="s">
        <v>95</v>
      </c>
      <c r="E36" s="5" t="s">
        <v>132</v>
      </c>
      <c r="F36" s="5">
        <v>250.47</v>
      </c>
      <c r="G36" s="5" t="s">
        <v>26</v>
      </c>
      <c r="H36" s="18">
        <v>66.253683741648103</v>
      </c>
      <c r="I36" s="19" t="s">
        <v>27</v>
      </c>
      <c r="J36" s="18">
        <v>-0.21368374164809723</v>
      </c>
      <c r="K36" s="5" t="s">
        <v>97</v>
      </c>
      <c r="L36" s="101" t="s">
        <v>98</v>
      </c>
      <c r="M36" s="59">
        <v>-0.09</v>
      </c>
      <c r="N36" s="59">
        <v>12.017763000000002</v>
      </c>
      <c r="O36" s="59">
        <v>1.6436510000000002</v>
      </c>
      <c r="AG36" s="107"/>
      <c r="AN36" s="115"/>
      <c r="BR36" s="80"/>
      <c r="BS36" s="81"/>
      <c r="BT36" s="82"/>
      <c r="BU36" s="61"/>
      <c r="BV36" s="19"/>
      <c r="BW36" s="83"/>
      <c r="BX36" s="111"/>
      <c r="BY36" s="85"/>
      <c r="CA36" s="80"/>
      <c r="CB36" s="114"/>
      <c r="CC36" s="61"/>
      <c r="CD36" s="86"/>
      <c r="CE36" s="80"/>
      <c r="CF36" s="80"/>
      <c r="CG36" s="66"/>
      <c r="CI36" s="87"/>
      <c r="CO36"/>
      <c r="CP36"/>
      <c r="CQ36"/>
      <c r="CR36"/>
      <c r="CS36"/>
      <c r="CT36"/>
    </row>
    <row r="37" spans="1:98" x14ac:dyDescent="0.35">
      <c r="A37" s="7" t="s">
        <v>1379</v>
      </c>
      <c r="B37" s="7" t="s">
        <v>1382</v>
      </c>
      <c r="C37" s="17" t="s">
        <v>94</v>
      </c>
      <c r="D37" s="5" t="s">
        <v>95</v>
      </c>
      <c r="E37" s="5" t="s">
        <v>132</v>
      </c>
      <c r="F37" s="5">
        <v>250.47</v>
      </c>
      <c r="G37" s="5" t="s">
        <v>26</v>
      </c>
      <c r="H37" s="18">
        <v>66.253683741648103</v>
      </c>
      <c r="I37" s="19" t="s">
        <v>27</v>
      </c>
      <c r="J37" s="18">
        <v>-0.21368374164809723</v>
      </c>
      <c r="K37" s="5" t="s">
        <v>97</v>
      </c>
      <c r="L37" s="101" t="s">
        <v>98</v>
      </c>
      <c r="M37" s="59">
        <v>-0.19</v>
      </c>
      <c r="N37" s="59">
        <v>12.463403</v>
      </c>
      <c r="O37" s="59">
        <v>2.0892909999999976</v>
      </c>
      <c r="AG37" s="107"/>
      <c r="AN37" s="115"/>
      <c r="BR37" s="80"/>
      <c r="BS37" s="81"/>
      <c r="BT37" s="82"/>
      <c r="BU37" s="61"/>
      <c r="BV37" s="19"/>
      <c r="BW37" s="83"/>
      <c r="BX37" s="111"/>
      <c r="BY37" s="85"/>
      <c r="CA37" s="80"/>
      <c r="CB37" s="114"/>
      <c r="CC37" s="61"/>
      <c r="CD37" s="86"/>
      <c r="CE37" s="80"/>
      <c r="CF37" s="80"/>
      <c r="CG37" s="66"/>
      <c r="CI37" s="87"/>
      <c r="CO37"/>
      <c r="CP37"/>
      <c r="CQ37"/>
      <c r="CR37"/>
      <c r="CS37"/>
      <c r="CT37"/>
    </row>
    <row r="38" spans="1:98" x14ac:dyDescent="0.35">
      <c r="A38" s="7" t="s">
        <v>1379</v>
      </c>
      <c r="B38" s="7" t="s">
        <v>1382</v>
      </c>
      <c r="C38" s="17" t="s">
        <v>94</v>
      </c>
      <c r="D38" s="5" t="s">
        <v>95</v>
      </c>
      <c r="E38" s="5" t="s">
        <v>134</v>
      </c>
      <c r="F38" s="5">
        <v>250.67</v>
      </c>
      <c r="G38" s="5" t="s">
        <v>26</v>
      </c>
      <c r="H38" s="18">
        <v>66.269630289532287</v>
      </c>
      <c r="I38" s="19" t="s">
        <v>27</v>
      </c>
      <c r="J38" s="18">
        <v>-0.22963028953228104</v>
      </c>
      <c r="K38" s="5" t="s">
        <v>97</v>
      </c>
      <c r="L38" s="101" t="s">
        <v>98</v>
      </c>
      <c r="M38" s="59">
        <v>-0.01</v>
      </c>
      <c r="N38" s="59">
        <v>11.661683000000004</v>
      </c>
      <c r="O38" s="59">
        <v>1.2875710000000016</v>
      </c>
      <c r="AG38" s="107"/>
      <c r="AN38" s="115"/>
      <c r="BR38" s="80"/>
      <c r="BS38" s="81"/>
      <c r="BT38" s="82"/>
      <c r="BU38" s="61"/>
      <c r="BV38" s="19"/>
      <c r="BW38" s="83"/>
      <c r="BX38" s="111"/>
      <c r="BY38" s="85"/>
      <c r="CA38" s="80"/>
      <c r="CB38" s="114"/>
      <c r="CC38" s="61"/>
      <c r="CD38" s="86"/>
      <c r="CE38" s="80"/>
      <c r="CF38" s="80"/>
      <c r="CG38" s="66"/>
      <c r="CI38" s="87"/>
      <c r="CO38"/>
      <c r="CP38"/>
      <c r="CQ38"/>
      <c r="CR38"/>
      <c r="CS38"/>
      <c r="CT38"/>
    </row>
    <row r="39" spans="1:98" x14ac:dyDescent="0.35">
      <c r="A39" s="7" t="s">
        <v>1379</v>
      </c>
      <c r="B39" s="7" t="s">
        <v>1382</v>
      </c>
      <c r="C39" s="17" t="s">
        <v>94</v>
      </c>
      <c r="D39" s="5" t="s">
        <v>95</v>
      </c>
      <c r="E39" s="5" t="s">
        <v>135</v>
      </c>
      <c r="F39" s="5">
        <v>250.87</v>
      </c>
      <c r="G39" s="5" t="s">
        <v>26</v>
      </c>
      <c r="H39" s="18">
        <v>66.285576837416485</v>
      </c>
      <c r="I39" s="19" t="s">
        <v>27</v>
      </c>
      <c r="J39" s="18">
        <v>-0.24557683741647907</v>
      </c>
      <c r="K39" s="5" t="s">
        <v>97</v>
      </c>
      <c r="L39" s="101" t="s">
        <v>98</v>
      </c>
      <c r="M39" s="59">
        <v>-7.0000000000000007E-2</v>
      </c>
      <c r="N39" s="59">
        <v>11.928707000000003</v>
      </c>
      <c r="O39" s="59">
        <v>1.5545950000000008</v>
      </c>
      <c r="AG39" s="107"/>
      <c r="AN39" s="115"/>
      <c r="BR39" s="80"/>
      <c r="BS39" s="81"/>
      <c r="BT39" s="82"/>
      <c r="BU39" s="61"/>
      <c r="BV39" s="19"/>
      <c r="BW39" s="83"/>
      <c r="BX39" s="111"/>
      <c r="BY39" s="85"/>
      <c r="CA39" s="80"/>
      <c r="CB39" s="114"/>
      <c r="CC39" s="61"/>
      <c r="CD39" s="86"/>
      <c r="CE39" s="80"/>
      <c r="CF39" s="80"/>
      <c r="CG39" s="66"/>
      <c r="CI39" s="87"/>
      <c r="CO39"/>
      <c r="CP39"/>
      <c r="CQ39"/>
      <c r="CR39"/>
      <c r="CS39"/>
      <c r="CT39"/>
    </row>
    <row r="40" spans="1:98" x14ac:dyDescent="0.35">
      <c r="A40" s="7" t="s">
        <v>1379</v>
      </c>
      <c r="B40" s="7" t="s">
        <v>1382</v>
      </c>
      <c r="C40" s="17" t="s">
        <v>94</v>
      </c>
      <c r="D40" s="5" t="s">
        <v>95</v>
      </c>
      <c r="E40" s="5" t="s">
        <v>136</v>
      </c>
      <c r="F40" s="5">
        <v>251.37</v>
      </c>
      <c r="G40" s="5" t="s">
        <v>26</v>
      </c>
      <c r="H40" s="18">
        <v>66.325443207126952</v>
      </c>
      <c r="I40" s="19" t="s">
        <v>27</v>
      </c>
      <c r="J40" s="18">
        <v>-0.28544320712694571</v>
      </c>
      <c r="K40" s="5" t="s">
        <v>97</v>
      </c>
      <c r="L40" s="101" t="s">
        <v>98</v>
      </c>
      <c r="M40" s="59">
        <v>0.36</v>
      </c>
      <c r="N40" s="59">
        <v>10.019808000000001</v>
      </c>
      <c r="O40" s="59">
        <v>-0.35430400000000084</v>
      </c>
      <c r="AG40" s="107"/>
      <c r="AN40" s="115"/>
      <c r="BP40" s="128"/>
      <c r="BQ40" s="128"/>
      <c r="BR40" s="129"/>
      <c r="BS40" s="130"/>
      <c r="BT40" s="131"/>
      <c r="BU40" s="104"/>
      <c r="BV40" s="132"/>
      <c r="BW40" s="133"/>
      <c r="BX40" s="134"/>
      <c r="BY40" s="85"/>
      <c r="CA40" s="80"/>
      <c r="CB40" s="114"/>
      <c r="CC40" s="61"/>
      <c r="CD40" s="86"/>
      <c r="CE40" s="80"/>
      <c r="CF40" s="80"/>
      <c r="CG40" s="66"/>
      <c r="CI40" s="87"/>
      <c r="CO40"/>
      <c r="CP40"/>
      <c r="CQ40"/>
      <c r="CR40"/>
      <c r="CS40"/>
      <c r="CT40"/>
    </row>
    <row r="41" spans="1:98" x14ac:dyDescent="0.35">
      <c r="A41" s="7" t="s">
        <v>1379</v>
      </c>
      <c r="B41" s="7" t="s">
        <v>1382</v>
      </c>
      <c r="C41" s="17" t="s">
        <v>94</v>
      </c>
      <c r="D41" s="5" t="s">
        <v>95</v>
      </c>
      <c r="E41" s="5" t="s">
        <v>137</v>
      </c>
      <c r="F41" s="5">
        <v>251.97</v>
      </c>
      <c r="G41" s="5" t="s">
        <v>26</v>
      </c>
      <c r="H41" s="18">
        <v>66.373282850779503</v>
      </c>
      <c r="I41" s="19" t="s">
        <v>27</v>
      </c>
      <c r="J41" s="18">
        <v>-0.33328285077949715</v>
      </c>
      <c r="K41" s="5" t="s">
        <v>97</v>
      </c>
      <c r="L41" s="101" t="s">
        <v>98</v>
      </c>
      <c r="M41" s="59">
        <v>0.39</v>
      </c>
      <c r="N41" s="59">
        <v>9.8870430000000038</v>
      </c>
      <c r="O41" s="59">
        <v>-0.4870689999999982</v>
      </c>
      <c r="AG41" s="107"/>
      <c r="AN41" s="115"/>
      <c r="BU41" s="61"/>
      <c r="BY41" s="85"/>
      <c r="CA41" s="80"/>
      <c r="CB41" s="114"/>
      <c r="CC41" s="61"/>
      <c r="CD41" s="86"/>
      <c r="CE41" s="80"/>
      <c r="CF41" s="80"/>
      <c r="CG41" s="66"/>
      <c r="CI41" s="87"/>
      <c r="CO41"/>
      <c r="CP41"/>
      <c r="CQ41"/>
      <c r="CR41"/>
      <c r="CS41"/>
      <c r="CT41"/>
    </row>
    <row r="42" spans="1:98" x14ac:dyDescent="0.35">
      <c r="A42" s="7" t="s">
        <v>1379</v>
      </c>
      <c r="B42" s="7" t="s">
        <v>1382</v>
      </c>
      <c r="C42" s="17" t="s">
        <v>94</v>
      </c>
      <c r="D42" s="5" t="s">
        <v>95</v>
      </c>
      <c r="E42" s="5" t="s">
        <v>138</v>
      </c>
      <c r="F42" s="5">
        <v>254.41</v>
      </c>
      <c r="G42" s="5" t="s">
        <v>26</v>
      </c>
      <c r="H42" s="18">
        <v>66.698994490000004</v>
      </c>
      <c r="I42" s="19" t="s">
        <v>27</v>
      </c>
      <c r="J42" s="18">
        <v>-0.65899448999999777</v>
      </c>
      <c r="K42" s="5" t="s">
        <v>97</v>
      </c>
      <c r="L42" s="101" t="s">
        <v>98</v>
      </c>
      <c r="M42" s="59">
        <v>0.34</v>
      </c>
      <c r="N42" s="59">
        <v>10.108348000000003</v>
      </c>
      <c r="O42" s="59">
        <v>-0.265763999999999</v>
      </c>
      <c r="AG42" s="107"/>
      <c r="AN42" s="115"/>
      <c r="BU42" s="61"/>
      <c r="BY42" s="85"/>
      <c r="CA42" s="80"/>
      <c r="CB42" s="114"/>
      <c r="CC42" s="61"/>
      <c r="CD42" s="86"/>
      <c r="CE42" s="80"/>
      <c r="CF42" s="80"/>
      <c r="CG42" s="66"/>
      <c r="CI42" s="87"/>
      <c r="CO42"/>
      <c r="CP42"/>
      <c r="CQ42"/>
      <c r="CR42"/>
      <c r="CS42"/>
      <c r="CT42"/>
    </row>
    <row r="43" spans="1:98" x14ac:dyDescent="0.35">
      <c r="A43" s="7" t="s">
        <v>1379</v>
      </c>
      <c r="B43" s="7" t="s">
        <v>1382</v>
      </c>
      <c r="C43" s="17" t="s">
        <v>94</v>
      </c>
      <c r="D43" s="5" t="s">
        <v>95</v>
      </c>
      <c r="E43" s="5" t="s">
        <v>139</v>
      </c>
      <c r="F43" s="5">
        <v>255.16</v>
      </c>
      <c r="G43" s="5" t="s">
        <v>26</v>
      </c>
      <c r="H43" s="18">
        <v>66.804978469999995</v>
      </c>
      <c r="I43" s="19" t="s">
        <v>27</v>
      </c>
      <c r="J43" s="18">
        <v>-0.76497846999998842</v>
      </c>
      <c r="K43" s="5" t="s">
        <v>97</v>
      </c>
      <c r="L43" s="101" t="s">
        <v>98</v>
      </c>
      <c r="M43" s="59">
        <v>0.39</v>
      </c>
      <c r="N43" s="59">
        <v>9.8870430000000038</v>
      </c>
      <c r="O43" s="59">
        <v>-0.4870689999999982</v>
      </c>
      <c r="AG43" s="107"/>
      <c r="AN43" s="115"/>
      <c r="BU43" s="61"/>
      <c r="BY43" s="85"/>
      <c r="CA43" s="80"/>
      <c r="CB43" s="114"/>
      <c r="CC43" s="61"/>
      <c r="CD43" s="86"/>
      <c r="CE43" s="80"/>
      <c r="CF43" s="80"/>
      <c r="CG43" s="66"/>
      <c r="CI43" s="87"/>
      <c r="CO43" s="1"/>
      <c r="CP43" s="1"/>
      <c r="CQ43" s="1"/>
      <c r="CR43" s="1"/>
      <c r="CS43"/>
      <c r="CT43"/>
    </row>
    <row r="44" spans="1:98" x14ac:dyDescent="0.35">
      <c r="A44" s="7" t="s">
        <v>1379</v>
      </c>
      <c r="B44" s="7" t="s">
        <v>1382</v>
      </c>
      <c r="C44" s="17" t="s">
        <v>94</v>
      </c>
      <c r="D44" s="5" t="s">
        <v>95</v>
      </c>
      <c r="E44" s="5" t="s">
        <v>140</v>
      </c>
      <c r="F44" s="5">
        <v>255.91</v>
      </c>
      <c r="G44" s="5" t="s">
        <v>26</v>
      </c>
      <c r="H44" s="18">
        <v>66.910962440000006</v>
      </c>
      <c r="I44" s="19" t="s">
        <v>27</v>
      </c>
      <c r="J44" s="18">
        <v>-0.87096243999999956</v>
      </c>
      <c r="K44" s="5" t="s">
        <v>97</v>
      </c>
      <c r="L44" s="101" t="s">
        <v>98</v>
      </c>
      <c r="M44" s="59">
        <v>0.33</v>
      </c>
      <c r="N44" s="59">
        <v>10.152627000000001</v>
      </c>
      <c r="O44" s="59">
        <v>-0.22148500000000126</v>
      </c>
      <c r="AG44" s="107"/>
      <c r="AN44" s="115"/>
      <c r="BU44" s="61"/>
      <c r="BY44" s="85"/>
      <c r="CA44" s="80"/>
      <c r="CB44" s="114"/>
      <c r="CC44" s="61"/>
      <c r="CD44" s="86"/>
      <c r="CE44" s="80"/>
      <c r="CF44" s="80"/>
      <c r="CG44" s="66"/>
      <c r="CI44" s="87"/>
      <c r="CO44"/>
      <c r="CP44"/>
      <c r="CQ44"/>
      <c r="CR44"/>
      <c r="CS44"/>
      <c r="CT44"/>
    </row>
    <row r="45" spans="1:98" x14ac:dyDescent="0.35">
      <c r="A45" s="7" t="s">
        <v>1379</v>
      </c>
      <c r="B45" s="7" t="s">
        <v>1382</v>
      </c>
      <c r="C45" s="17" t="s">
        <v>94</v>
      </c>
      <c r="D45" s="5" t="s">
        <v>95</v>
      </c>
      <c r="E45" s="5" t="s">
        <v>141</v>
      </c>
      <c r="F45" s="5">
        <v>257.39999999999998</v>
      </c>
      <c r="G45" s="5" t="s">
        <v>26</v>
      </c>
      <c r="H45" s="18">
        <v>67.121517280000006</v>
      </c>
      <c r="I45" s="19" t="s">
        <v>27</v>
      </c>
      <c r="J45" s="18">
        <v>-1.0815172799999999</v>
      </c>
      <c r="K45" s="5" t="s">
        <v>97</v>
      </c>
      <c r="L45" s="101" t="s">
        <v>98</v>
      </c>
      <c r="M45" s="59">
        <v>0.49</v>
      </c>
      <c r="N45" s="59">
        <v>9.4448830000000008</v>
      </c>
      <c r="O45" s="59">
        <v>-0.92922900000000119</v>
      </c>
      <c r="AG45" s="107"/>
      <c r="AN45" s="115"/>
      <c r="BU45" s="61"/>
      <c r="BY45" s="85"/>
      <c r="CA45" s="80"/>
      <c r="CB45" s="114"/>
      <c r="CC45" s="61"/>
      <c r="CD45" s="86"/>
      <c r="CE45" s="80"/>
      <c r="CF45" s="80"/>
      <c r="CG45" s="66"/>
      <c r="CI45" s="87"/>
      <c r="CO45"/>
      <c r="CP45"/>
      <c r="CQ45"/>
      <c r="CR45"/>
      <c r="CS45"/>
      <c r="CT45"/>
    </row>
    <row r="46" spans="1:98" x14ac:dyDescent="0.35">
      <c r="A46" s="7" t="s">
        <v>1379</v>
      </c>
      <c r="B46" s="7" t="s">
        <v>1382</v>
      </c>
      <c r="C46" s="17" t="s">
        <v>94</v>
      </c>
      <c r="D46" s="5" t="s">
        <v>95</v>
      </c>
      <c r="E46" s="5" t="s">
        <v>142</v>
      </c>
      <c r="F46" s="5">
        <v>258</v>
      </c>
      <c r="G46" s="5" t="s">
        <v>26</v>
      </c>
      <c r="H46" s="18">
        <v>67.206304459999998</v>
      </c>
      <c r="I46" s="19" t="s">
        <v>27</v>
      </c>
      <c r="J46" s="18">
        <v>-1.1663044599999921</v>
      </c>
      <c r="K46" s="5" t="s">
        <v>97</v>
      </c>
      <c r="L46" s="101" t="s">
        <v>98</v>
      </c>
      <c r="M46" s="59">
        <v>0.52</v>
      </c>
      <c r="N46" s="59">
        <v>9.3123520000000006</v>
      </c>
      <c r="O46" s="59">
        <v>-1.0617600000000014</v>
      </c>
      <c r="AG46" s="107"/>
      <c r="AN46" s="115"/>
      <c r="BU46" s="61"/>
      <c r="BY46" s="135"/>
      <c r="BZ46" s="128"/>
      <c r="CA46" s="9"/>
      <c r="CB46" s="136"/>
      <c r="CC46" s="104"/>
      <c r="CD46" s="137"/>
      <c r="CE46" s="131"/>
      <c r="CF46" s="138"/>
      <c r="CG46" s="139"/>
      <c r="CI46" s="87"/>
      <c r="CO46"/>
      <c r="CP46"/>
      <c r="CQ46"/>
      <c r="CR46"/>
      <c r="CS46"/>
      <c r="CT46"/>
    </row>
    <row r="47" spans="1:98" x14ac:dyDescent="0.35">
      <c r="A47" s="7" t="s">
        <v>1379</v>
      </c>
      <c r="B47" s="7" t="s">
        <v>1382</v>
      </c>
      <c r="C47" s="17" t="s">
        <v>94</v>
      </c>
      <c r="D47" s="5" t="s">
        <v>95</v>
      </c>
      <c r="E47" s="5" t="s">
        <v>142</v>
      </c>
      <c r="F47" s="5">
        <v>261.8</v>
      </c>
      <c r="G47" s="5" t="s">
        <v>26</v>
      </c>
      <c r="H47" s="18">
        <v>67.743289930000003</v>
      </c>
      <c r="I47" s="19" t="s">
        <v>27</v>
      </c>
      <c r="J47" s="18">
        <v>-1.7032899299999968</v>
      </c>
      <c r="K47" s="5" t="s">
        <v>97</v>
      </c>
      <c r="L47" s="101" t="s">
        <v>98</v>
      </c>
      <c r="M47" s="59">
        <v>0.26</v>
      </c>
      <c r="N47" s="59">
        <v>10.462748000000001</v>
      </c>
      <c r="O47" s="59">
        <v>8.8635999999999271E-2</v>
      </c>
      <c r="AG47" s="107"/>
      <c r="AN47" s="115"/>
      <c r="BU47" s="61"/>
      <c r="CA47" s="1"/>
      <c r="CF47" s="140"/>
      <c r="CO47"/>
      <c r="CP47"/>
      <c r="CQ47"/>
      <c r="CR47"/>
      <c r="CS47"/>
      <c r="CT47"/>
    </row>
    <row r="48" spans="1:98" x14ac:dyDescent="0.35">
      <c r="A48" s="7" t="s">
        <v>1379</v>
      </c>
      <c r="B48" s="7" t="s">
        <v>1382</v>
      </c>
      <c r="C48" s="17" t="s">
        <v>94</v>
      </c>
      <c r="D48" s="5" t="s">
        <v>95</v>
      </c>
      <c r="E48" s="5" t="s">
        <v>142</v>
      </c>
      <c r="F48" s="5">
        <v>261.8</v>
      </c>
      <c r="G48" s="5" t="s">
        <v>26</v>
      </c>
      <c r="H48" s="18">
        <v>67.743289930000003</v>
      </c>
      <c r="I48" s="19" t="s">
        <v>27</v>
      </c>
      <c r="J48" s="18">
        <v>-1.7032899299999968</v>
      </c>
      <c r="K48" s="5" t="s">
        <v>97</v>
      </c>
      <c r="L48" s="101" t="s">
        <v>98</v>
      </c>
      <c r="M48" s="59">
        <v>0.52</v>
      </c>
      <c r="N48" s="59">
        <v>9.3123520000000006</v>
      </c>
      <c r="O48" s="59">
        <v>-1.0617600000000014</v>
      </c>
      <c r="AG48" s="107"/>
      <c r="AN48" s="115"/>
      <c r="BU48" s="61"/>
      <c r="CO48"/>
      <c r="CP48"/>
      <c r="CQ48"/>
      <c r="CR48"/>
      <c r="CS48"/>
      <c r="CT48"/>
    </row>
    <row r="49" spans="1:98" x14ac:dyDescent="0.35">
      <c r="A49" s="7" t="s">
        <v>1379</v>
      </c>
      <c r="B49" s="7" t="s">
        <v>1382</v>
      </c>
      <c r="C49" s="17" t="s">
        <v>94</v>
      </c>
      <c r="D49" s="5" t="s">
        <v>95</v>
      </c>
      <c r="E49" s="5" t="s">
        <v>144</v>
      </c>
      <c r="F49" s="5">
        <v>263.01</v>
      </c>
      <c r="G49" s="5" t="s">
        <v>26</v>
      </c>
      <c r="H49" s="18">
        <v>67.914277420000005</v>
      </c>
      <c r="I49" s="19" t="s">
        <v>27</v>
      </c>
      <c r="J49" s="18">
        <v>-1.8742774199999985</v>
      </c>
      <c r="K49" s="5" t="s">
        <v>97</v>
      </c>
      <c r="L49" s="101" t="s">
        <v>98</v>
      </c>
      <c r="M49" s="59">
        <v>0.47</v>
      </c>
      <c r="N49" s="59">
        <v>9.5332670000000022</v>
      </c>
      <c r="O49" s="59">
        <v>-0.84084499999999984</v>
      </c>
      <c r="AG49" s="107"/>
      <c r="AN49" s="115"/>
      <c r="BU49" s="61"/>
      <c r="CO49"/>
      <c r="CP49"/>
      <c r="CQ49"/>
      <c r="CR49"/>
      <c r="CS49"/>
      <c r="CT49"/>
    </row>
    <row r="50" spans="1:98" x14ac:dyDescent="0.35">
      <c r="A50" s="7" t="s">
        <v>1379</v>
      </c>
      <c r="B50" s="7" t="s">
        <v>1382</v>
      </c>
      <c r="C50" s="17" t="s">
        <v>94</v>
      </c>
      <c r="D50" s="5" t="s">
        <v>95</v>
      </c>
      <c r="E50" s="5" t="s">
        <v>147</v>
      </c>
      <c r="F50" s="5">
        <v>265.01</v>
      </c>
      <c r="G50" s="5" t="s">
        <v>26</v>
      </c>
      <c r="H50" s="18">
        <v>68.196901350000005</v>
      </c>
      <c r="I50" s="19" t="s">
        <v>27</v>
      </c>
      <c r="J50" s="18">
        <v>-2.1569013499999983</v>
      </c>
      <c r="K50" s="5" t="s">
        <v>97</v>
      </c>
      <c r="L50" s="101" t="s">
        <v>98</v>
      </c>
      <c r="M50" s="59">
        <v>0.34</v>
      </c>
      <c r="N50" s="59">
        <v>10.108348000000003</v>
      </c>
      <c r="O50" s="59">
        <v>-0.265763999999999</v>
      </c>
      <c r="AG50" s="107"/>
      <c r="AN50" s="115"/>
      <c r="BU50" s="61"/>
      <c r="CO50"/>
      <c r="CP50"/>
      <c r="CQ50"/>
      <c r="CR50"/>
      <c r="CS50"/>
      <c r="CT50"/>
    </row>
    <row r="51" spans="1:98" x14ac:dyDescent="0.35">
      <c r="A51" s="7" t="s">
        <v>1379</v>
      </c>
      <c r="B51" s="7" t="s">
        <v>1382</v>
      </c>
      <c r="C51" s="17" t="s">
        <v>94</v>
      </c>
      <c r="D51" s="5" t="s">
        <v>95</v>
      </c>
      <c r="E51" s="5" t="s">
        <v>148</v>
      </c>
      <c r="F51" s="5">
        <v>266.60000000000002</v>
      </c>
      <c r="G51" s="5" t="s">
        <v>26</v>
      </c>
      <c r="H51" s="18">
        <v>68.421587380000005</v>
      </c>
      <c r="I51" s="19" t="s">
        <v>27</v>
      </c>
      <c r="J51" s="18">
        <v>-2.3815873799999991</v>
      </c>
      <c r="K51" s="5" t="s">
        <v>97</v>
      </c>
      <c r="L51" s="101" t="s">
        <v>98</v>
      </c>
      <c r="M51" s="59">
        <v>0.35</v>
      </c>
      <c r="N51" s="59">
        <v>10.064075000000003</v>
      </c>
      <c r="O51" s="59">
        <v>-0.31003699999999945</v>
      </c>
      <c r="AG51" s="107"/>
      <c r="AN51" s="115"/>
      <c r="BU51" s="61"/>
      <c r="CO51"/>
      <c r="CP51"/>
      <c r="CQ51"/>
      <c r="CR51"/>
      <c r="CS51"/>
      <c r="CT51"/>
    </row>
    <row r="52" spans="1:98" x14ac:dyDescent="0.35">
      <c r="A52" s="7" t="s">
        <v>1379</v>
      </c>
      <c r="B52" s="7" t="s">
        <v>1382</v>
      </c>
      <c r="C52" s="17"/>
      <c r="D52" s="5"/>
      <c r="E52" s="5"/>
      <c r="F52" s="5"/>
      <c r="G52" s="5"/>
      <c r="H52" s="18"/>
      <c r="I52" s="19"/>
      <c r="J52" s="18"/>
      <c r="K52" s="5"/>
      <c r="L52" s="5"/>
      <c r="M52" s="59"/>
      <c r="N52" s="59"/>
      <c r="O52" s="59"/>
      <c r="AG52" s="107"/>
      <c r="AN52" s="115"/>
      <c r="BU52" s="61"/>
      <c r="CO52"/>
      <c r="CP52"/>
      <c r="CQ52"/>
      <c r="CR52"/>
      <c r="CS52"/>
      <c r="CT52"/>
    </row>
    <row r="53" spans="1:98" x14ac:dyDescent="0.35">
      <c r="A53" s="7" t="s">
        <v>1379</v>
      </c>
      <c r="B53" s="7" t="s">
        <v>1382</v>
      </c>
      <c r="C53" s="17" t="s">
        <v>150</v>
      </c>
      <c r="D53" s="5" t="s">
        <v>151</v>
      </c>
      <c r="E53" s="5" t="s">
        <v>152</v>
      </c>
      <c r="F53" s="5">
        <v>248.13</v>
      </c>
      <c r="G53" s="5" t="s">
        <v>26</v>
      </c>
      <c r="H53" s="60">
        <v>66.067109131403129</v>
      </c>
      <c r="I53" s="19" t="s">
        <v>27</v>
      </c>
      <c r="J53" s="60">
        <v>-2.7109131403122433E-2</v>
      </c>
      <c r="K53" s="5" t="s">
        <v>97</v>
      </c>
      <c r="L53" s="101" t="s">
        <v>153</v>
      </c>
      <c r="M53" s="59">
        <v>-0.01</v>
      </c>
      <c r="N53" s="59">
        <v>11.661683000000004</v>
      </c>
      <c r="O53" s="59">
        <v>0</v>
      </c>
      <c r="AG53" s="107"/>
      <c r="AN53" s="115"/>
      <c r="BU53" s="61"/>
      <c r="CO53"/>
      <c r="CP53"/>
      <c r="CQ53"/>
      <c r="CR53"/>
      <c r="CS53"/>
      <c r="CT53"/>
    </row>
    <row r="54" spans="1:98" x14ac:dyDescent="0.35">
      <c r="A54" s="7" t="s">
        <v>1379</v>
      </c>
      <c r="B54" s="7" t="s">
        <v>1382</v>
      </c>
      <c r="C54" s="17" t="s">
        <v>150</v>
      </c>
      <c r="D54" s="5" t="s">
        <v>95</v>
      </c>
      <c r="E54" s="5" t="s">
        <v>154</v>
      </c>
      <c r="F54" s="5">
        <v>248.24</v>
      </c>
      <c r="G54" s="5" t="s">
        <v>26</v>
      </c>
      <c r="H54" s="60">
        <v>66.075879732739423</v>
      </c>
      <c r="I54" s="19" t="s">
        <v>27</v>
      </c>
      <c r="J54" s="60">
        <v>-3.5879732739417136E-2</v>
      </c>
      <c r="K54" s="5" t="s">
        <v>97</v>
      </c>
      <c r="L54" s="101" t="s">
        <v>153</v>
      </c>
      <c r="M54" s="59">
        <v>0.05</v>
      </c>
      <c r="N54" s="59">
        <v>11.394875000000003</v>
      </c>
      <c r="O54" s="59">
        <v>-0.26680800000000104</v>
      </c>
      <c r="AG54" s="107"/>
      <c r="AN54" s="115"/>
      <c r="BU54" s="61"/>
      <c r="CO54" s="1"/>
      <c r="CP54"/>
      <c r="CQ54"/>
      <c r="CR54" s="1"/>
      <c r="CS54" s="1"/>
      <c r="CT54"/>
    </row>
    <row r="55" spans="1:98" x14ac:dyDescent="0.35">
      <c r="A55" s="7" t="s">
        <v>1379</v>
      </c>
      <c r="B55" s="7" t="s">
        <v>1382</v>
      </c>
      <c r="C55" s="17" t="s">
        <v>150</v>
      </c>
      <c r="D55" s="5" t="s">
        <v>95</v>
      </c>
      <c r="E55" s="5" t="s">
        <v>155</v>
      </c>
      <c r="F55" s="5">
        <v>248.46</v>
      </c>
      <c r="G55" s="5" t="s">
        <v>26</v>
      </c>
      <c r="H55" s="60">
        <v>66.093420935412027</v>
      </c>
      <c r="I55" s="19" t="s">
        <v>27</v>
      </c>
      <c r="J55" s="60">
        <v>-5.3420935412020754E-2</v>
      </c>
      <c r="K55" s="5" t="s">
        <v>97</v>
      </c>
      <c r="L55" s="101" t="s">
        <v>153</v>
      </c>
      <c r="M55" s="59">
        <v>0.13</v>
      </c>
      <c r="N55" s="59">
        <v>11.039467000000002</v>
      </c>
      <c r="O55" s="59">
        <v>-0.62221600000000166</v>
      </c>
      <c r="AG55" s="107"/>
      <c r="AN55" s="115"/>
      <c r="BU55" s="61"/>
    </row>
    <row r="56" spans="1:98" x14ac:dyDescent="0.35">
      <c r="A56" s="7" t="s">
        <v>1379</v>
      </c>
      <c r="B56" s="7" t="s">
        <v>1382</v>
      </c>
      <c r="C56" s="17" t="s">
        <v>150</v>
      </c>
      <c r="D56" s="5" t="s">
        <v>95</v>
      </c>
      <c r="E56" s="5" t="s">
        <v>156</v>
      </c>
      <c r="F56" s="5">
        <v>248.68</v>
      </c>
      <c r="G56" s="5" t="s">
        <v>26</v>
      </c>
      <c r="H56" s="60">
        <v>66.110962138084645</v>
      </c>
      <c r="I56" s="19" t="s">
        <v>27</v>
      </c>
      <c r="J56" s="60">
        <v>-7.0962138084638582E-2</v>
      </c>
      <c r="K56" s="5" t="s">
        <v>97</v>
      </c>
      <c r="L56" s="101" t="s">
        <v>153</v>
      </c>
      <c r="M56" s="59">
        <v>-0.2</v>
      </c>
      <c r="N56" s="59">
        <v>12.508000000000001</v>
      </c>
      <c r="O56" s="59">
        <v>0.84631699999999732</v>
      </c>
      <c r="AG56" s="107"/>
      <c r="AN56" s="115"/>
      <c r="BU56" s="61"/>
    </row>
    <row r="57" spans="1:98" x14ac:dyDescent="0.35">
      <c r="A57" s="7" t="s">
        <v>1379</v>
      </c>
      <c r="B57" s="7" t="s">
        <v>1382</v>
      </c>
      <c r="C57" s="17" t="s">
        <v>150</v>
      </c>
      <c r="D57" s="5" t="s">
        <v>95</v>
      </c>
      <c r="E57" s="5" t="s">
        <v>158</v>
      </c>
      <c r="F57" s="5">
        <v>249.15</v>
      </c>
      <c r="G57" s="5" t="s">
        <v>26</v>
      </c>
      <c r="H57" s="60">
        <v>66.148436525612482</v>
      </c>
      <c r="I57" s="19" t="s">
        <v>27</v>
      </c>
      <c r="J57" s="60">
        <v>-0.10843652561247552</v>
      </c>
      <c r="K57" s="5" t="s">
        <v>97</v>
      </c>
      <c r="L57" s="101" t="s">
        <v>153</v>
      </c>
      <c r="M57" s="59">
        <v>-0.2</v>
      </c>
      <c r="N57" s="59">
        <v>12.508000000000001</v>
      </c>
      <c r="O57" s="59">
        <v>0.84631699999999732</v>
      </c>
      <c r="AG57" s="107"/>
      <c r="AN57" s="115"/>
      <c r="BU57" s="61"/>
    </row>
    <row r="58" spans="1:98" x14ac:dyDescent="0.35">
      <c r="A58" s="7" t="s">
        <v>1379</v>
      </c>
      <c r="B58" s="7" t="s">
        <v>1382</v>
      </c>
      <c r="C58" s="17" t="s">
        <v>150</v>
      </c>
      <c r="D58" s="5" t="s">
        <v>95</v>
      </c>
      <c r="E58" s="5" t="s">
        <v>159</v>
      </c>
      <c r="F58" s="59">
        <v>249.32</v>
      </c>
      <c r="G58" s="5" t="s">
        <v>26</v>
      </c>
      <c r="H58" s="60">
        <v>66.161991091314036</v>
      </c>
      <c r="I58" s="19" t="s">
        <v>27</v>
      </c>
      <c r="J58" s="60">
        <v>-0.12199109131402963</v>
      </c>
      <c r="K58" s="5" t="s">
        <v>97</v>
      </c>
      <c r="L58" s="101" t="s">
        <v>153</v>
      </c>
      <c r="M58" s="59">
        <v>-0.05</v>
      </c>
      <c r="N58" s="59">
        <v>11.839675000000002</v>
      </c>
      <c r="O58" s="59">
        <v>0.17799199999999793</v>
      </c>
      <c r="AG58" s="107"/>
      <c r="AN58" s="115"/>
      <c r="BU58" s="61"/>
    </row>
    <row r="59" spans="1:98" x14ac:dyDescent="0.35">
      <c r="A59" s="7" t="s">
        <v>1379</v>
      </c>
      <c r="B59" s="7" t="s">
        <v>1382</v>
      </c>
      <c r="C59" s="17" t="s">
        <v>150</v>
      </c>
      <c r="D59" s="5" t="s">
        <v>95</v>
      </c>
      <c r="E59" s="5" t="s">
        <v>160</v>
      </c>
      <c r="F59" s="5">
        <v>249.66</v>
      </c>
      <c r="G59" s="5" t="s">
        <v>26</v>
      </c>
      <c r="H59" s="60">
        <v>66.189100222717158</v>
      </c>
      <c r="I59" s="19" t="s">
        <v>27</v>
      </c>
      <c r="J59" s="60">
        <v>-0.14910022271715206</v>
      </c>
      <c r="K59" s="5" t="s">
        <v>97</v>
      </c>
      <c r="L59" s="101" t="s">
        <v>153</v>
      </c>
      <c r="M59" s="59">
        <v>-0.46</v>
      </c>
      <c r="N59" s="59">
        <v>13.669628000000001</v>
      </c>
      <c r="O59" s="59">
        <v>2.0079449999999976</v>
      </c>
      <c r="AG59" s="107"/>
      <c r="AN59" s="115"/>
      <c r="BU59" s="61"/>
    </row>
    <row r="60" spans="1:98" x14ac:dyDescent="0.35">
      <c r="A60" s="7" t="s">
        <v>1379</v>
      </c>
      <c r="B60" s="7" t="s">
        <v>1382</v>
      </c>
      <c r="C60" s="17" t="s">
        <v>150</v>
      </c>
      <c r="D60" s="5" t="s">
        <v>95</v>
      </c>
      <c r="E60" s="5" t="s">
        <v>161</v>
      </c>
      <c r="F60" s="59">
        <v>250.66</v>
      </c>
      <c r="G60" s="5" t="s">
        <v>26</v>
      </c>
      <c r="H60" s="60">
        <v>66.268832962138077</v>
      </c>
      <c r="I60" s="19" t="s">
        <v>27</v>
      </c>
      <c r="J60" s="60">
        <v>-0.22883296213807114</v>
      </c>
      <c r="K60" s="5" t="s">
        <v>97</v>
      </c>
      <c r="L60" s="101" t="s">
        <v>153</v>
      </c>
      <c r="M60" s="59">
        <v>-0.35</v>
      </c>
      <c r="N60" s="59">
        <v>13.177675000000002</v>
      </c>
      <c r="O60" s="59">
        <v>1.5159919999999989</v>
      </c>
      <c r="AG60" s="107"/>
      <c r="AN60" s="115"/>
      <c r="BU60" s="61"/>
    </row>
    <row r="61" spans="1:98" x14ac:dyDescent="0.35">
      <c r="A61" s="7" t="s">
        <v>1379</v>
      </c>
      <c r="B61" s="7" t="s">
        <v>1382</v>
      </c>
      <c r="C61" s="17" t="s">
        <v>150</v>
      </c>
      <c r="D61" s="5" t="s">
        <v>95</v>
      </c>
      <c r="E61" s="5" t="s">
        <v>162</v>
      </c>
      <c r="F61" s="5">
        <v>250.86</v>
      </c>
      <c r="G61" s="5" t="s">
        <v>26</v>
      </c>
      <c r="H61" s="60">
        <v>66.284779510022275</v>
      </c>
      <c r="I61" s="19" t="s">
        <v>27</v>
      </c>
      <c r="J61" s="60">
        <v>-0.24477951002226916</v>
      </c>
      <c r="K61" s="5" t="s">
        <v>97</v>
      </c>
      <c r="L61" s="101" t="s">
        <v>153</v>
      </c>
      <c r="M61" s="59">
        <v>-0.48</v>
      </c>
      <c r="N61" s="59">
        <v>13.759152</v>
      </c>
      <c r="O61" s="59">
        <v>2.0974689999999967</v>
      </c>
      <c r="AG61" s="107"/>
      <c r="AN61" s="115"/>
      <c r="BU61" s="61"/>
    </row>
    <row r="62" spans="1:98" x14ac:dyDescent="0.35">
      <c r="A62" s="7" t="s">
        <v>1379</v>
      </c>
      <c r="B62" s="7" t="s">
        <v>1382</v>
      </c>
      <c r="C62" s="17" t="s">
        <v>150</v>
      </c>
      <c r="D62" s="5" t="s">
        <v>95</v>
      </c>
      <c r="E62" s="5" t="s">
        <v>163</v>
      </c>
      <c r="F62" s="59">
        <v>251.1</v>
      </c>
      <c r="G62" s="5" t="s">
        <v>26</v>
      </c>
      <c r="H62" s="60">
        <v>66.303915367483299</v>
      </c>
      <c r="I62" s="19" t="s">
        <v>27</v>
      </c>
      <c r="J62" s="60">
        <v>-0.26391536748329258</v>
      </c>
      <c r="K62" s="5" t="s">
        <v>97</v>
      </c>
      <c r="L62" s="101" t="s">
        <v>153</v>
      </c>
      <c r="M62" s="59">
        <v>-0.2</v>
      </c>
      <c r="N62" s="59">
        <v>12.508000000000001</v>
      </c>
      <c r="O62" s="59">
        <v>0.84631699999999732</v>
      </c>
      <c r="AG62" s="107"/>
      <c r="AN62" s="115"/>
      <c r="BU62" s="61"/>
    </row>
    <row r="63" spans="1:98" x14ac:dyDescent="0.35">
      <c r="A63" s="7" t="s">
        <v>1379</v>
      </c>
      <c r="B63" s="7" t="s">
        <v>1382</v>
      </c>
      <c r="C63" s="17" t="s">
        <v>150</v>
      </c>
      <c r="D63" s="5" t="s">
        <v>95</v>
      </c>
      <c r="E63" s="5" t="s">
        <v>164</v>
      </c>
      <c r="F63" s="5">
        <v>251.51</v>
      </c>
      <c r="G63" s="5" t="s">
        <v>26</v>
      </c>
      <c r="H63" s="60">
        <v>66.336605790645876</v>
      </c>
      <c r="I63" s="19" t="s">
        <v>27</v>
      </c>
      <c r="J63" s="60">
        <v>-0.29660579064587012</v>
      </c>
      <c r="K63" s="5" t="s">
        <v>97</v>
      </c>
      <c r="L63" s="101" t="s">
        <v>153</v>
      </c>
      <c r="M63" s="59">
        <v>0.23</v>
      </c>
      <c r="N63" s="59">
        <v>10.595747000000001</v>
      </c>
      <c r="O63" s="59">
        <v>-1.0659360000000024</v>
      </c>
      <c r="AG63" s="107"/>
      <c r="AN63" s="115"/>
      <c r="BU63" s="61"/>
    </row>
    <row r="64" spans="1:98" x14ac:dyDescent="0.35">
      <c r="A64" s="7" t="s">
        <v>1379</v>
      </c>
      <c r="B64" s="7" t="s">
        <v>1382</v>
      </c>
      <c r="C64" s="17" t="s">
        <v>150</v>
      </c>
      <c r="D64" s="5" t="s">
        <v>95</v>
      </c>
      <c r="E64" s="5" t="s">
        <v>166</v>
      </c>
      <c r="F64" s="59">
        <v>251.73</v>
      </c>
      <c r="G64" s="5" t="s">
        <v>26</v>
      </c>
      <c r="H64" s="60">
        <v>66.35414699331848</v>
      </c>
      <c r="I64" s="19" t="s">
        <v>27</v>
      </c>
      <c r="J64" s="60">
        <v>-0.31414699331847373</v>
      </c>
      <c r="K64" s="5" t="s">
        <v>97</v>
      </c>
      <c r="L64" s="101" t="s">
        <v>153</v>
      </c>
      <c r="M64" s="59">
        <v>0.12</v>
      </c>
      <c r="N64" s="59">
        <v>11.083872000000003</v>
      </c>
      <c r="O64" s="59">
        <v>-0.57781100000000052</v>
      </c>
      <c r="AG64" s="107"/>
      <c r="AN64" s="115"/>
      <c r="BU64" s="61"/>
    </row>
    <row r="65" spans="1:73" x14ac:dyDescent="0.35">
      <c r="A65" s="7" t="s">
        <v>1379</v>
      </c>
      <c r="B65" s="7" t="s">
        <v>1382</v>
      </c>
      <c r="C65" s="17" t="s">
        <v>150</v>
      </c>
      <c r="D65" s="5" t="s">
        <v>95</v>
      </c>
      <c r="E65" s="5" t="s">
        <v>167</v>
      </c>
      <c r="F65" s="5">
        <v>251.96</v>
      </c>
      <c r="G65" s="5" t="s">
        <v>26</v>
      </c>
      <c r="H65" s="60">
        <v>66.372485523385294</v>
      </c>
      <c r="I65" s="19" t="s">
        <v>27</v>
      </c>
      <c r="J65" s="60">
        <v>-0.33248552338528725</v>
      </c>
      <c r="K65" s="5" t="s">
        <v>97</v>
      </c>
      <c r="L65" s="101" t="s">
        <v>153</v>
      </c>
      <c r="M65" s="59">
        <v>0.04</v>
      </c>
      <c r="N65" s="59">
        <v>11.439328000000001</v>
      </c>
      <c r="O65" s="59">
        <v>-0.22235500000000208</v>
      </c>
      <c r="AG65" s="107"/>
      <c r="AN65" s="115"/>
      <c r="BU65" s="61"/>
    </row>
    <row r="66" spans="1:73" x14ac:dyDescent="0.35">
      <c r="A66" s="7" t="s">
        <v>1379</v>
      </c>
      <c r="B66" s="7" t="s">
        <v>1382</v>
      </c>
      <c r="C66" s="17" t="s">
        <v>150</v>
      </c>
      <c r="D66" s="5" t="s">
        <v>95</v>
      </c>
      <c r="E66" s="5" t="s">
        <v>169</v>
      </c>
      <c r="F66" s="59">
        <v>252.17</v>
      </c>
      <c r="G66" s="5" t="s">
        <v>26</v>
      </c>
      <c r="H66" s="60">
        <v>66.389229398663687</v>
      </c>
      <c r="I66" s="19" t="s">
        <v>27</v>
      </c>
      <c r="J66" s="60">
        <v>-0.34922939866368097</v>
      </c>
      <c r="K66" s="5" t="s">
        <v>97</v>
      </c>
      <c r="L66" s="101" t="s">
        <v>153</v>
      </c>
      <c r="M66" s="59">
        <v>0.08</v>
      </c>
      <c r="N66" s="59">
        <v>11.261552000000002</v>
      </c>
      <c r="O66" s="59">
        <v>-0.40013100000000179</v>
      </c>
      <c r="AG66" s="107"/>
      <c r="AN66" s="115"/>
      <c r="BU66" s="61"/>
    </row>
    <row r="67" spans="1:73" x14ac:dyDescent="0.35">
      <c r="A67" s="7" t="s">
        <v>1379</v>
      </c>
      <c r="B67" s="7" t="s">
        <v>1382</v>
      </c>
      <c r="C67" s="17" t="s">
        <v>150</v>
      </c>
      <c r="D67" s="5" t="s">
        <v>95</v>
      </c>
      <c r="E67" s="5" t="s">
        <v>171</v>
      </c>
      <c r="F67" s="59">
        <v>252.29</v>
      </c>
      <c r="G67" s="5" t="s">
        <v>26</v>
      </c>
      <c r="H67" s="60">
        <v>66.399413119679508</v>
      </c>
      <c r="I67" s="19" t="s">
        <v>27</v>
      </c>
      <c r="J67" s="60">
        <v>-0.35941311967950185</v>
      </c>
      <c r="K67" s="5" t="s">
        <v>97</v>
      </c>
      <c r="L67" s="101" t="s">
        <v>153</v>
      </c>
      <c r="M67" s="59">
        <v>0.12</v>
      </c>
      <c r="N67" s="59">
        <v>11.083872000000003</v>
      </c>
      <c r="O67" s="59">
        <v>-0.57781100000000052</v>
      </c>
      <c r="AG67" s="107"/>
      <c r="AN67" s="115"/>
      <c r="BU67" s="61"/>
    </row>
    <row r="68" spans="1:73" x14ac:dyDescent="0.35">
      <c r="A68" s="7" t="s">
        <v>1379</v>
      </c>
      <c r="B68" s="7" t="s">
        <v>1382</v>
      </c>
      <c r="C68" s="17" t="s">
        <v>150</v>
      </c>
      <c r="D68" s="5" t="s">
        <v>95</v>
      </c>
      <c r="E68" s="5" t="s">
        <v>172</v>
      </c>
      <c r="F68" s="59">
        <v>252.56</v>
      </c>
      <c r="G68" s="5" t="s">
        <v>26</v>
      </c>
      <c r="H68" s="60">
        <v>66.43756735102653</v>
      </c>
      <c r="I68" s="19" t="s">
        <v>27</v>
      </c>
      <c r="J68" s="60">
        <v>-0.39756735102652385</v>
      </c>
      <c r="K68" s="5" t="s">
        <v>97</v>
      </c>
      <c r="L68" s="101" t="s">
        <v>153</v>
      </c>
      <c r="M68" s="59">
        <v>0.34</v>
      </c>
      <c r="N68" s="59">
        <v>10.108348000000003</v>
      </c>
      <c r="O68" s="59">
        <v>-1.5533350000000006</v>
      </c>
      <c r="AG68" s="107"/>
      <c r="AN68" s="115"/>
      <c r="BU68" s="61"/>
    </row>
    <row r="69" spans="1:73" x14ac:dyDescent="0.35">
      <c r="A69" s="7" t="s">
        <v>1379</v>
      </c>
      <c r="B69" s="7" t="s">
        <v>1382</v>
      </c>
      <c r="C69" s="17" t="s">
        <v>150</v>
      </c>
      <c r="D69" s="5" t="s">
        <v>95</v>
      </c>
      <c r="E69" s="5" t="s">
        <v>173</v>
      </c>
      <c r="F69" s="5">
        <v>252.69</v>
      </c>
      <c r="G69" s="5" t="s">
        <v>26</v>
      </c>
      <c r="H69" s="60">
        <v>66.455937906860285</v>
      </c>
      <c r="I69" s="19" t="s">
        <v>27</v>
      </c>
      <c r="J69" s="60">
        <v>-0.41593790686027887</v>
      </c>
      <c r="K69" s="5" t="s">
        <v>97</v>
      </c>
      <c r="L69" s="101" t="s">
        <v>153</v>
      </c>
      <c r="M69" s="59">
        <v>0.54</v>
      </c>
      <c r="N69" s="59">
        <v>9.2240280000000023</v>
      </c>
      <c r="O69" s="59">
        <v>-2.4376550000000012</v>
      </c>
      <c r="AG69" s="107"/>
      <c r="AN69" s="115"/>
      <c r="BU69" s="61"/>
    </row>
    <row r="70" spans="1:73" x14ac:dyDescent="0.35">
      <c r="A70" s="7" t="s">
        <v>1379</v>
      </c>
      <c r="B70" s="7" t="s">
        <v>1382</v>
      </c>
      <c r="C70" s="17" t="s">
        <v>150</v>
      </c>
      <c r="D70" s="5" t="s">
        <v>95</v>
      </c>
      <c r="E70" s="5" t="s">
        <v>175</v>
      </c>
      <c r="F70" s="59">
        <v>252.92</v>
      </c>
      <c r="G70" s="5" t="s">
        <v>26</v>
      </c>
      <c r="H70" s="60">
        <v>66.488439659489231</v>
      </c>
      <c r="I70" s="19" t="s">
        <v>27</v>
      </c>
      <c r="J70" s="60">
        <v>-0.4484396594892246</v>
      </c>
      <c r="K70" s="5" t="s">
        <v>97</v>
      </c>
      <c r="L70" s="101" t="s">
        <v>153</v>
      </c>
      <c r="M70" s="59">
        <v>7.0000000000000007E-2</v>
      </c>
      <c r="N70" s="59">
        <v>11.305987000000002</v>
      </c>
      <c r="O70" s="59">
        <v>-0.35569600000000179</v>
      </c>
      <c r="AG70" s="107"/>
      <c r="AN70" s="115"/>
      <c r="BU70" s="61"/>
    </row>
    <row r="71" spans="1:73" x14ac:dyDescent="0.35">
      <c r="A71" s="7" t="s">
        <v>1379</v>
      </c>
      <c r="B71" s="7" t="s">
        <v>1382</v>
      </c>
      <c r="C71" s="17" t="s">
        <v>150</v>
      </c>
      <c r="D71" s="5" t="s">
        <v>95</v>
      </c>
      <c r="E71" s="5" t="s">
        <v>175</v>
      </c>
      <c r="F71" s="5">
        <v>252.92</v>
      </c>
      <c r="G71" s="5" t="s">
        <v>26</v>
      </c>
      <c r="H71" s="60">
        <v>66.488439659489231</v>
      </c>
      <c r="I71" s="19" t="s">
        <v>27</v>
      </c>
      <c r="J71" s="60">
        <v>-0.4484396594892246</v>
      </c>
      <c r="K71" s="5" t="s">
        <v>97</v>
      </c>
      <c r="L71" s="101" t="s">
        <v>153</v>
      </c>
      <c r="M71" s="59">
        <v>0.14000000000000001</v>
      </c>
      <c r="N71" s="59">
        <v>10.995068000000002</v>
      </c>
      <c r="O71" s="59">
        <v>-0.66661500000000196</v>
      </c>
      <c r="AG71" s="107"/>
      <c r="AN71" s="115"/>
      <c r="BU71" s="61"/>
    </row>
    <row r="72" spans="1:73" x14ac:dyDescent="0.35">
      <c r="A72" s="7" t="s">
        <v>1379</v>
      </c>
      <c r="B72" s="7" t="s">
        <v>1382</v>
      </c>
      <c r="C72" s="17" t="s">
        <v>150</v>
      </c>
      <c r="D72" s="5" t="s">
        <v>95</v>
      </c>
      <c r="E72" s="5" t="s">
        <v>175</v>
      </c>
      <c r="F72" s="5">
        <v>252.92</v>
      </c>
      <c r="G72" s="5" t="s">
        <v>26</v>
      </c>
      <c r="H72" s="60">
        <v>66.488439659489231</v>
      </c>
      <c r="I72" s="19" t="s">
        <v>27</v>
      </c>
      <c r="J72" s="60">
        <v>-0.4484396594892246</v>
      </c>
      <c r="K72" s="5" t="s">
        <v>97</v>
      </c>
      <c r="L72" s="101" t="s">
        <v>153</v>
      </c>
      <c r="M72" s="59">
        <v>0.05</v>
      </c>
      <c r="N72" s="59">
        <v>11.394875000000003</v>
      </c>
      <c r="O72" s="59">
        <v>-0.26680800000000104</v>
      </c>
      <c r="AG72" s="107"/>
      <c r="AN72" s="115"/>
      <c r="BU72" s="61"/>
    </row>
    <row r="73" spans="1:73" x14ac:dyDescent="0.35">
      <c r="A73" s="7" t="s">
        <v>1379</v>
      </c>
      <c r="B73" s="7" t="s">
        <v>1382</v>
      </c>
      <c r="C73" s="17" t="s">
        <v>150</v>
      </c>
      <c r="D73" s="5" t="s">
        <v>95</v>
      </c>
      <c r="E73" s="5" t="s">
        <v>178</v>
      </c>
      <c r="F73" s="5">
        <v>253.17</v>
      </c>
      <c r="G73" s="5" t="s">
        <v>26</v>
      </c>
      <c r="H73" s="60">
        <v>66.523767651477215</v>
      </c>
      <c r="I73" s="19" t="s">
        <v>27</v>
      </c>
      <c r="J73" s="60">
        <v>-0.48376765147720846</v>
      </c>
      <c r="K73" s="5" t="s">
        <v>97</v>
      </c>
      <c r="L73" s="101" t="s">
        <v>153</v>
      </c>
      <c r="M73" s="59">
        <v>0.28999999999999998</v>
      </c>
      <c r="N73" s="59">
        <v>10.329803000000002</v>
      </c>
      <c r="O73" s="59">
        <v>-1.3318800000000017</v>
      </c>
      <c r="AG73" s="107"/>
      <c r="AN73" s="115"/>
      <c r="BU73" s="61"/>
    </row>
    <row r="74" spans="1:73" x14ac:dyDescent="0.35">
      <c r="A74" s="7" t="s">
        <v>1379</v>
      </c>
      <c r="B74" s="7" t="s">
        <v>1382</v>
      </c>
      <c r="C74" s="17" t="s">
        <v>150</v>
      </c>
      <c r="D74" s="5" t="s">
        <v>95</v>
      </c>
      <c r="E74" s="5" t="s">
        <v>179</v>
      </c>
      <c r="F74" s="59">
        <v>253.43</v>
      </c>
      <c r="G74" s="5" t="s">
        <v>26</v>
      </c>
      <c r="H74" s="60">
        <v>66.560508763144711</v>
      </c>
      <c r="I74" s="19" t="s">
        <v>27</v>
      </c>
      <c r="J74" s="60">
        <v>-0.52050876314470429</v>
      </c>
      <c r="K74" s="5" t="s">
        <v>97</v>
      </c>
      <c r="L74" s="101" t="s">
        <v>153</v>
      </c>
      <c r="M74" s="59">
        <v>0.04</v>
      </c>
      <c r="N74" s="59">
        <v>11.439328000000001</v>
      </c>
      <c r="O74" s="59">
        <v>-0.22235500000000208</v>
      </c>
      <c r="AG74" s="107"/>
      <c r="AN74" s="115"/>
      <c r="BU74" s="61"/>
    </row>
    <row r="75" spans="1:73" x14ac:dyDescent="0.35">
      <c r="A75" s="7" t="s">
        <v>1379</v>
      </c>
      <c r="B75" s="7" t="s">
        <v>1382</v>
      </c>
      <c r="C75" s="17" t="s">
        <v>150</v>
      </c>
      <c r="D75" s="5" t="s">
        <v>95</v>
      </c>
      <c r="E75" s="5" t="s">
        <v>180</v>
      </c>
      <c r="F75" s="5">
        <v>253.56</v>
      </c>
      <c r="G75" s="5" t="s">
        <v>26</v>
      </c>
      <c r="H75" s="60">
        <v>66.578879318978466</v>
      </c>
      <c r="I75" s="19" t="s">
        <v>27</v>
      </c>
      <c r="J75" s="60">
        <v>-0.53887931897845931</v>
      </c>
      <c r="K75" s="5" t="s">
        <v>97</v>
      </c>
      <c r="L75" s="101" t="s">
        <v>153</v>
      </c>
      <c r="M75" s="59">
        <v>0.16</v>
      </c>
      <c r="N75" s="59">
        <v>10.906288000000004</v>
      </c>
      <c r="O75" s="59">
        <v>-0.75539500000000004</v>
      </c>
      <c r="AG75" s="107"/>
      <c r="AN75" s="115"/>
      <c r="BU75" s="61"/>
    </row>
    <row r="76" spans="1:73" x14ac:dyDescent="0.35">
      <c r="A76" s="7" t="s">
        <v>1379</v>
      </c>
      <c r="B76" s="7" t="s">
        <v>1382</v>
      </c>
      <c r="C76" s="17" t="s">
        <v>150</v>
      </c>
      <c r="D76" s="5" t="s">
        <v>95</v>
      </c>
      <c r="E76" s="5" t="s">
        <v>181</v>
      </c>
      <c r="F76" s="59">
        <v>253.8</v>
      </c>
      <c r="G76" s="5" t="s">
        <v>26</v>
      </c>
      <c r="H76" s="60">
        <v>66.612794191286923</v>
      </c>
      <c r="I76" s="19" t="s">
        <v>27</v>
      </c>
      <c r="J76" s="60">
        <v>-0.572794191286917</v>
      </c>
      <c r="K76" s="5" t="s">
        <v>97</v>
      </c>
      <c r="L76" s="101" t="s">
        <v>153</v>
      </c>
      <c r="M76" s="59">
        <v>0.09</v>
      </c>
      <c r="N76" s="59">
        <v>11.217123000000001</v>
      </c>
      <c r="O76" s="59">
        <v>-0.44456000000000273</v>
      </c>
      <c r="AG76" s="107"/>
      <c r="AN76" s="115"/>
      <c r="BU76" s="61"/>
    </row>
    <row r="77" spans="1:73" x14ac:dyDescent="0.35">
      <c r="A77" s="7" t="s">
        <v>1379</v>
      </c>
      <c r="B77" s="7" t="s">
        <v>1382</v>
      </c>
      <c r="C77" s="17" t="s">
        <v>150</v>
      </c>
      <c r="D77" s="5" t="s">
        <v>95</v>
      </c>
      <c r="E77" s="5" t="s">
        <v>182</v>
      </c>
      <c r="F77" s="59">
        <v>254.13</v>
      </c>
      <c r="G77" s="5" t="s">
        <v>26</v>
      </c>
      <c r="H77" s="60">
        <v>66.65942714071106</v>
      </c>
      <c r="I77" s="19" t="s">
        <v>27</v>
      </c>
      <c r="J77" s="60">
        <v>-0.61942714071105343</v>
      </c>
      <c r="K77" s="5" t="s">
        <v>97</v>
      </c>
      <c r="L77" s="101" t="s">
        <v>153</v>
      </c>
      <c r="M77" s="59">
        <v>0.24</v>
      </c>
      <c r="N77" s="59">
        <v>10.551408000000002</v>
      </c>
      <c r="O77" s="59">
        <v>-1.1102750000000015</v>
      </c>
      <c r="AG77" s="107"/>
      <c r="AN77" s="115"/>
      <c r="BU77" s="61"/>
    </row>
    <row r="78" spans="1:73" x14ac:dyDescent="0.35">
      <c r="A78" s="7" t="s">
        <v>1379</v>
      </c>
      <c r="B78" s="7" t="s">
        <v>1382</v>
      </c>
      <c r="C78" s="17" t="s">
        <v>150</v>
      </c>
      <c r="D78" s="5" t="s">
        <v>95</v>
      </c>
      <c r="E78" s="5" t="s">
        <v>183</v>
      </c>
      <c r="F78" s="59">
        <v>254.76</v>
      </c>
      <c r="G78" s="5" t="s">
        <v>26</v>
      </c>
      <c r="H78" s="60">
        <v>66.748453680520782</v>
      </c>
      <c r="I78" s="19" t="s">
        <v>27</v>
      </c>
      <c r="J78" s="60">
        <v>-0.70845368052077617</v>
      </c>
      <c r="K78" s="5" t="s">
        <v>97</v>
      </c>
      <c r="L78" s="101" t="s">
        <v>153</v>
      </c>
      <c r="M78" s="59">
        <v>0.28000000000000003</v>
      </c>
      <c r="N78" s="59">
        <v>10.374112000000002</v>
      </c>
      <c r="O78" s="59">
        <v>-1.2875710000000016</v>
      </c>
      <c r="AG78" s="107"/>
      <c r="AN78" s="115"/>
      <c r="BU78" s="61"/>
    </row>
    <row r="79" spans="1:73" x14ac:dyDescent="0.35">
      <c r="A79" s="7" t="s">
        <v>1379</v>
      </c>
      <c r="B79" s="7" t="s">
        <v>1382</v>
      </c>
      <c r="C79" s="17" t="s">
        <v>150</v>
      </c>
      <c r="D79" s="5" t="s">
        <v>151</v>
      </c>
      <c r="E79" s="5" t="s">
        <v>152</v>
      </c>
      <c r="F79" s="5">
        <v>248.13</v>
      </c>
      <c r="G79" s="5" t="s">
        <v>26</v>
      </c>
      <c r="H79" s="60">
        <v>66.067109131403129</v>
      </c>
      <c r="I79" s="19" t="s">
        <v>27</v>
      </c>
      <c r="J79" s="60">
        <v>-2.7109131403122433E-2</v>
      </c>
      <c r="K79" s="5" t="s">
        <v>97</v>
      </c>
      <c r="L79" s="101" t="s">
        <v>184</v>
      </c>
      <c r="M79" s="59">
        <v>0.57999999999999996</v>
      </c>
      <c r="N79" s="59">
        <v>9.0474520000000034</v>
      </c>
      <c r="O79" s="59">
        <v>0</v>
      </c>
      <c r="AG79" s="107"/>
      <c r="AN79" s="115"/>
      <c r="BU79" s="61"/>
    </row>
    <row r="80" spans="1:73" x14ac:dyDescent="0.35">
      <c r="A80" s="7" t="s">
        <v>1379</v>
      </c>
      <c r="B80" s="7" t="s">
        <v>1382</v>
      </c>
      <c r="C80" s="17" t="s">
        <v>150</v>
      </c>
      <c r="D80" s="5" t="s">
        <v>95</v>
      </c>
      <c r="E80" s="5" t="s">
        <v>154</v>
      </c>
      <c r="F80" s="5">
        <v>248.24</v>
      </c>
      <c r="G80" s="5" t="s">
        <v>26</v>
      </c>
      <c r="H80" s="60">
        <v>66.075879732739423</v>
      </c>
      <c r="I80" s="19" t="s">
        <v>27</v>
      </c>
      <c r="J80" s="60">
        <v>-3.5879732739417136E-2</v>
      </c>
      <c r="K80" s="5" t="s">
        <v>97</v>
      </c>
      <c r="L80" s="101" t="s">
        <v>184</v>
      </c>
      <c r="M80" s="59">
        <v>0.3</v>
      </c>
      <c r="N80" s="59">
        <v>10.285500000000003</v>
      </c>
      <c r="O80" s="59">
        <v>1.2380479999999991</v>
      </c>
      <c r="AG80" s="107"/>
      <c r="AN80" s="115"/>
      <c r="BU80" s="61"/>
    </row>
    <row r="81" spans="1:73" x14ac:dyDescent="0.35">
      <c r="A81" s="7" t="s">
        <v>1379</v>
      </c>
      <c r="B81" s="7" t="s">
        <v>1382</v>
      </c>
      <c r="C81" s="17" t="s">
        <v>150</v>
      </c>
      <c r="D81" s="5" t="s">
        <v>95</v>
      </c>
      <c r="E81" s="5" t="s">
        <v>155</v>
      </c>
      <c r="F81" s="5">
        <v>248.46</v>
      </c>
      <c r="G81" s="5" t="s">
        <v>26</v>
      </c>
      <c r="H81" s="60">
        <v>66.093420935412027</v>
      </c>
      <c r="I81" s="19" t="s">
        <v>27</v>
      </c>
      <c r="J81" s="60">
        <v>-5.3420935412020754E-2</v>
      </c>
      <c r="K81" s="5" t="s">
        <v>97</v>
      </c>
      <c r="L81" s="101" t="s">
        <v>184</v>
      </c>
      <c r="M81" s="59">
        <v>0.28999999999999998</v>
      </c>
      <c r="N81" s="59">
        <v>10.329803000000002</v>
      </c>
      <c r="O81" s="59">
        <v>1.2823509999999985</v>
      </c>
      <c r="AG81" s="107"/>
      <c r="AN81" s="115"/>
      <c r="BU81" s="61"/>
    </row>
    <row r="82" spans="1:73" x14ac:dyDescent="0.35">
      <c r="A82" s="7" t="s">
        <v>1379</v>
      </c>
      <c r="B82" s="7" t="s">
        <v>1382</v>
      </c>
      <c r="C82" s="17" t="s">
        <v>150</v>
      </c>
      <c r="D82" s="5" t="s">
        <v>95</v>
      </c>
      <c r="E82" s="5" t="s">
        <v>156</v>
      </c>
      <c r="F82" s="5">
        <v>248.68</v>
      </c>
      <c r="G82" s="5" t="s">
        <v>26</v>
      </c>
      <c r="H82" s="60">
        <v>66.110962138084645</v>
      </c>
      <c r="I82" s="19" t="s">
        <v>27</v>
      </c>
      <c r="J82" s="60">
        <v>-7.0962138084638582E-2</v>
      </c>
      <c r="K82" s="5" t="s">
        <v>97</v>
      </c>
      <c r="L82" s="101" t="s">
        <v>184</v>
      </c>
      <c r="M82" s="59">
        <v>0.35</v>
      </c>
      <c r="N82" s="59">
        <v>10.064075000000003</v>
      </c>
      <c r="O82" s="59">
        <v>1.0166229999999992</v>
      </c>
      <c r="AG82" s="107"/>
      <c r="AN82" s="115"/>
      <c r="BU82" s="61"/>
    </row>
    <row r="83" spans="1:73" x14ac:dyDescent="0.35">
      <c r="A83" s="7" t="s">
        <v>1379</v>
      </c>
      <c r="B83" s="7" t="s">
        <v>1382</v>
      </c>
      <c r="C83" s="17" t="s">
        <v>150</v>
      </c>
      <c r="D83" s="5" t="s">
        <v>95</v>
      </c>
      <c r="E83" s="5" t="s">
        <v>158</v>
      </c>
      <c r="F83" s="5">
        <v>249.15</v>
      </c>
      <c r="G83" s="5" t="s">
        <v>26</v>
      </c>
      <c r="H83" s="60">
        <v>66.148436525612482</v>
      </c>
      <c r="I83" s="19" t="s">
        <v>27</v>
      </c>
      <c r="J83" s="60">
        <v>-0.10843652561247552</v>
      </c>
      <c r="K83" s="5" t="s">
        <v>97</v>
      </c>
      <c r="L83" s="101" t="s">
        <v>184</v>
      </c>
      <c r="M83" s="59">
        <v>7.0000000000000007E-2</v>
      </c>
      <c r="N83" s="59">
        <v>11.305987000000002</v>
      </c>
      <c r="O83" s="59">
        <v>2.2585349999999984</v>
      </c>
      <c r="AG83" s="107"/>
      <c r="AN83" s="115"/>
      <c r="BU83" s="61"/>
    </row>
    <row r="84" spans="1:73" x14ac:dyDescent="0.35">
      <c r="A84" s="7" t="s">
        <v>1379</v>
      </c>
      <c r="B84" s="7" t="s">
        <v>1382</v>
      </c>
      <c r="C84" s="17" t="s">
        <v>150</v>
      </c>
      <c r="D84" s="5" t="s">
        <v>95</v>
      </c>
      <c r="E84" s="5" t="s">
        <v>159</v>
      </c>
      <c r="F84" s="59">
        <v>249.32</v>
      </c>
      <c r="G84" s="5" t="s">
        <v>26</v>
      </c>
      <c r="H84" s="60">
        <v>66.161991091314036</v>
      </c>
      <c r="I84" s="19" t="s">
        <v>27</v>
      </c>
      <c r="J84" s="60">
        <v>-0.12199109131402963</v>
      </c>
      <c r="K84" s="5" t="s">
        <v>97</v>
      </c>
      <c r="L84" s="101" t="s">
        <v>184</v>
      </c>
      <c r="M84" s="59">
        <v>0.26</v>
      </c>
      <c r="N84" s="59">
        <v>10.462748000000001</v>
      </c>
      <c r="O84" s="59">
        <v>1.4152959999999979</v>
      </c>
      <c r="AG84" s="107"/>
      <c r="AN84" s="115"/>
      <c r="BU84" s="61"/>
    </row>
    <row r="85" spans="1:73" x14ac:dyDescent="0.35">
      <c r="A85" s="7" t="s">
        <v>1379</v>
      </c>
      <c r="B85" s="7" t="s">
        <v>1382</v>
      </c>
      <c r="C85" s="17" t="s">
        <v>150</v>
      </c>
      <c r="D85" s="5" t="s">
        <v>95</v>
      </c>
      <c r="E85" s="5" t="s">
        <v>160</v>
      </c>
      <c r="F85" s="5">
        <v>249.66</v>
      </c>
      <c r="G85" s="5" t="s">
        <v>26</v>
      </c>
      <c r="H85" s="60">
        <v>66.189100222717158</v>
      </c>
      <c r="I85" s="19" t="s">
        <v>27</v>
      </c>
      <c r="J85" s="60">
        <v>-0.14910022271715206</v>
      </c>
      <c r="K85" s="5" t="s">
        <v>97</v>
      </c>
      <c r="L85" s="101" t="s">
        <v>184</v>
      </c>
      <c r="M85" s="59">
        <v>0.23</v>
      </c>
      <c r="N85" s="59">
        <v>10.595747000000001</v>
      </c>
      <c r="O85" s="59">
        <v>1.5482949999999978</v>
      </c>
      <c r="AG85" s="107"/>
      <c r="AN85" s="115"/>
      <c r="BU85" s="61"/>
    </row>
    <row r="86" spans="1:73" x14ac:dyDescent="0.35">
      <c r="A86" s="7" t="s">
        <v>1379</v>
      </c>
      <c r="B86" s="7" t="s">
        <v>1382</v>
      </c>
      <c r="C86" s="17" t="s">
        <v>150</v>
      </c>
      <c r="D86" s="5" t="s">
        <v>95</v>
      </c>
      <c r="E86" s="5" t="s">
        <v>161</v>
      </c>
      <c r="F86" s="59">
        <v>250.66</v>
      </c>
      <c r="G86" s="5" t="s">
        <v>26</v>
      </c>
      <c r="H86" s="60">
        <v>66.268832962138077</v>
      </c>
      <c r="I86" s="19" t="s">
        <v>27</v>
      </c>
      <c r="J86" s="60">
        <v>-0.22883296213807114</v>
      </c>
      <c r="K86" s="5" t="s">
        <v>97</v>
      </c>
      <c r="L86" s="101" t="s">
        <v>184</v>
      </c>
      <c r="M86" s="59">
        <v>0.11</v>
      </c>
      <c r="N86" s="59">
        <v>11.128283000000001</v>
      </c>
      <c r="O86" s="59">
        <v>2.0808309999999981</v>
      </c>
      <c r="AG86" s="107"/>
      <c r="AN86" s="115"/>
      <c r="BU86" s="61"/>
    </row>
    <row r="87" spans="1:73" x14ac:dyDescent="0.35">
      <c r="A87" s="7" t="s">
        <v>1379</v>
      </c>
      <c r="B87" s="7" t="s">
        <v>1382</v>
      </c>
      <c r="C87" s="17" t="s">
        <v>150</v>
      </c>
      <c r="D87" s="5" t="s">
        <v>95</v>
      </c>
      <c r="E87" s="5" t="s">
        <v>162</v>
      </c>
      <c r="F87" s="5">
        <v>250.86</v>
      </c>
      <c r="G87" s="5" t="s">
        <v>26</v>
      </c>
      <c r="H87" s="60">
        <v>66.284779510022275</v>
      </c>
      <c r="I87" s="19" t="s">
        <v>27</v>
      </c>
      <c r="J87" s="60">
        <v>-0.24477951002226916</v>
      </c>
      <c r="K87" s="5" t="s">
        <v>97</v>
      </c>
      <c r="L87" s="101" t="s">
        <v>184</v>
      </c>
      <c r="M87" s="59">
        <v>0.1</v>
      </c>
      <c r="N87" s="59">
        <v>11.172700000000003</v>
      </c>
      <c r="O87" s="59">
        <v>2.1252479999999991</v>
      </c>
      <c r="AG87" s="107"/>
      <c r="AN87" s="115"/>
      <c r="BU87" s="61"/>
    </row>
    <row r="88" spans="1:73" x14ac:dyDescent="0.35">
      <c r="A88" s="7" t="s">
        <v>1379</v>
      </c>
      <c r="B88" s="7" t="s">
        <v>1382</v>
      </c>
      <c r="C88" s="17" t="s">
        <v>150</v>
      </c>
      <c r="D88" s="5" t="s">
        <v>95</v>
      </c>
      <c r="E88" s="5" t="s">
        <v>163</v>
      </c>
      <c r="F88" s="59">
        <v>251.1</v>
      </c>
      <c r="G88" s="5" t="s">
        <v>26</v>
      </c>
      <c r="H88" s="60">
        <v>66.303915367483299</v>
      </c>
      <c r="I88" s="19" t="s">
        <v>27</v>
      </c>
      <c r="J88" s="60">
        <v>-0.26391536748329258</v>
      </c>
      <c r="K88" s="5" t="s">
        <v>97</v>
      </c>
      <c r="L88" s="101" t="s">
        <v>184</v>
      </c>
      <c r="M88" s="59">
        <v>0.47</v>
      </c>
      <c r="N88" s="59">
        <v>9.5332670000000022</v>
      </c>
      <c r="O88" s="59">
        <v>0.48581499999999878</v>
      </c>
      <c r="AG88" s="107"/>
      <c r="AN88" s="115"/>
      <c r="BU88" s="61"/>
    </row>
    <row r="89" spans="1:73" x14ac:dyDescent="0.35">
      <c r="A89" s="7" t="s">
        <v>1379</v>
      </c>
      <c r="B89" s="7" t="s">
        <v>1382</v>
      </c>
      <c r="C89" s="17" t="s">
        <v>150</v>
      </c>
      <c r="D89" s="5" t="s">
        <v>95</v>
      </c>
      <c r="E89" s="5" t="s">
        <v>164</v>
      </c>
      <c r="F89" s="5">
        <v>251.51</v>
      </c>
      <c r="G89" s="5" t="s">
        <v>26</v>
      </c>
      <c r="H89" s="60">
        <v>66.336605790645876</v>
      </c>
      <c r="I89" s="19" t="s">
        <v>27</v>
      </c>
      <c r="J89" s="60">
        <v>-0.29660579064587012</v>
      </c>
      <c r="K89" s="5" t="s">
        <v>97</v>
      </c>
      <c r="L89" s="101" t="s">
        <v>184</v>
      </c>
      <c r="M89" s="59">
        <v>0.39</v>
      </c>
      <c r="N89" s="59">
        <v>9.8870430000000038</v>
      </c>
      <c r="O89" s="59">
        <v>0.83959100000000042</v>
      </c>
      <c r="AG89" s="107"/>
      <c r="AN89" s="115"/>
      <c r="BU89" s="61"/>
    </row>
    <row r="90" spans="1:73" x14ac:dyDescent="0.35">
      <c r="A90" s="7" t="s">
        <v>1379</v>
      </c>
      <c r="B90" s="7" t="s">
        <v>1382</v>
      </c>
      <c r="C90" s="17" t="s">
        <v>150</v>
      </c>
      <c r="D90" s="5" t="s">
        <v>95</v>
      </c>
      <c r="E90" s="5" t="s">
        <v>167</v>
      </c>
      <c r="F90" s="5">
        <v>251.96</v>
      </c>
      <c r="G90" s="5" t="s">
        <v>26</v>
      </c>
      <c r="H90" s="60">
        <v>66.372485523385294</v>
      </c>
      <c r="I90" s="19" t="s">
        <v>27</v>
      </c>
      <c r="J90" s="60">
        <v>-0.33248552338528725</v>
      </c>
      <c r="K90" s="5" t="s">
        <v>97</v>
      </c>
      <c r="L90" s="101" t="s">
        <v>184</v>
      </c>
      <c r="M90" s="59">
        <v>0.55000000000000004</v>
      </c>
      <c r="N90" s="59">
        <v>9.1798750000000009</v>
      </c>
      <c r="O90" s="59">
        <v>0.13242299999999751</v>
      </c>
      <c r="AG90" s="107"/>
      <c r="AN90" s="115"/>
      <c r="BU90" s="61"/>
    </row>
    <row r="91" spans="1:73" x14ac:dyDescent="0.35">
      <c r="A91" s="7" t="s">
        <v>1379</v>
      </c>
      <c r="B91" s="7" t="s">
        <v>1382</v>
      </c>
      <c r="C91" s="17" t="s">
        <v>150</v>
      </c>
      <c r="D91" s="5" t="s">
        <v>95</v>
      </c>
      <c r="E91" s="5" t="s">
        <v>169</v>
      </c>
      <c r="F91" s="59">
        <v>252.17</v>
      </c>
      <c r="G91" s="5" t="s">
        <v>26</v>
      </c>
      <c r="H91" s="60">
        <v>66.389229398663687</v>
      </c>
      <c r="I91" s="19" t="s">
        <v>27</v>
      </c>
      <c r="J91" s="60">
        <v>-0.34922939866368097</v>
      </c>
      <c r="K91" s="5" t="s">
        <v>97</v>
      </c>
      <c r="L91" s="101" t="s">
        <v>184</v>
      </c>
      <c r="M91" s="59">
        <v>0.51</v>
      </c>
      <c r="N91" s="59">
        <v>9.3565230000000028</v>
      </c>
      <c r="O91" s="59">
        <v>0.30907099999999943</v>
      </c>
      <c r="AG91" s="107"/>
      <c r="AN91" s="115"/>
      <c r="BU91" s="61"/>
    </row>
    <row r="92" spans="1:73" x14ac:dyDescent="0.35">
      <c r="A92" s="7" t="s">
        <v>1379</v>
      </c>
      <c r="B92" s="7" t="s">
        <v>1382</v>
      </c>
      <c r="C92" s="17" t="s">
        <v>150</v>
      </c>
      <c r="D92" s="5" t="s">
        <v>95</v>
      </c>
      <c r="E92" s="5" t="s">
        <v>186</v>
      </c>
      <c r="F92" s="59">
        <v>252.29</v>
      </c>
      <c r="G92" s="5" t="s">
        <v>26</v>
      </c>
      <c r="H92" s="60">
        <v>66.399413119679508</v>
      </c>
      <c r="I92" s="19" t="s">
        <v>27</v>
      </c>
      <c r="J92" s="60">
        <v>-0.35941311967950185</v>
      </c>
      <c r="K92" s="5" t="s">
        <v>97</v>
      </c>
      <c r="L92" s="101" t="s">
        <v>184</v>
      </c>
      <c r="M92" s="59">
        <v>0.44</v>
      </c>
      <c r="N92" s="59">
        <v>9.6658880000000025</v>
      </c>
      <c r="O92" s="59">
        <v>0.6184359999999991</v>
      </c>
      <c r="AG92" s="107"/>
      <c r="AN92" s="115"/>
      <c r="BU92" s="61"/>
    </row>
    <row r="93" spans="1:73" x14ac:dyDescent="0.35">
      <c r="A93" s="7" t="s">
        <v>1379</v>
      </c>
      <c r="B93" s="7" t="s">
        <v>1382</v>
      </c>
      <c r="C93" s="17" t="s">
        <v>150</v>
      </c>
      <c r="D93" s="5" t="s">
        <v>95</v>
      </c>
      <c r="E93" s="5" t="s">
        <v>172</v>
      </c>
      <c r="F93" s="59">
        <v>252.56</v>
      </c>
      <c r="G93" s="5" t="s">
        <v>26</v>
      </c>
      <c r="H93" s="60">
        <v>66.43756735102653</v>
      </c>
      <c r="I93" s="19" t="s">
        <v>27</v>
      </c>
      <c r="J93" s="60">
        <v>-0.39756735102652385</v>
      </c>
      <c r="K93" s="5" t="s">
        <v>97</v>
      </c>
      <c r="L93" s="101" t="s">
        <v>184</v>
      </c>
      <c r="M93" s="59">
        <v>0.64</v>
      </c>
      <c r="N93" s="59">
        <v>8.7827680000000026</v>
      </c>
      <c r="O93" s="59">
        <v>-0.26468400000000081</v>
      </c>
      <c r="AG93" s="107"/>
      <c r="AN93" s="115"/>
      <c r="BU93" s="61"/>
    </row>
    <row r="94" spans="1:73" x14ac:dyDescent="0.35">
      <c r="A94" s="7" t="s">
        <v>1379</v>
      </c>
      <c r="B94" s="7" t="s">
        <v>1382</v>
      </c>
      <c r="C94" s="17" t="s">
        <v>150</v>
      </c>
      <c r="D94" s="5" t="s">
        <v>95</v>
      </c>
      <c r="E94" s="5" t="s">
        <v>173</v>
      </c>
      <c r="F94" s="5">
        <v>252.69</v>
      </c>
      <c r="G94" s="5" t="s">
        <v>26</v>
      </c>
      <c r="H94" s="60">
        <v>66.455937906860285</v>
      </c>
      <c r="I94" s="19" t="s">
        <v>27</v>
      </c>
      <c r="J94" s="60">
        <v>-0.41593790686027887</v>
      </c>
      <c r="K94" s="5" t="s">
        <v>97</v>
      </c>
      <c r="L94" s="101" t="s">
        <v>184</v>
      </c>
      <c r="M94" s="59">
        <v>0.67</v>
      </c>
      <c r="N94" s="59">
        <v>8.6505070000000028</v>
      </c>
      <c r="O94" s="59">
        <v>-0.39694500000000055</v>
      </c>
      <c r="AG94" s="107"/>
      <c r="AN94" s="115"/>
      <c r="BU94" s="61"/>
    </row>
    <row r="95" spans="1:73" x14ac:dyDescent="0.35">
      <c r="A95" s="7" t="s">
        <v>1379</v>
      </c>
      <c r="B95" s="7" t="s">
        <v>1382</v>
      </c>
      <c r="C95" s="17" t="s">
        <v>150</v>
      </c>
      <c r="D95" s="5" t="s">
        <v>95</v>
      </c>
      <c r="E95" s="5" t="s">
        <v>175</v>
      </c>
      <c r="F95" s="59">
        <v>252.92</v>
      </c>
      <c r="G95" s="5" t="s">
        <v>26</v>
      </c>
      <c r="H95" s="60">
        <v>66.488439659489231</v>
      </c>
      <c r="I95" s="19" t="s">
        <v>27</v>
      </c>
      <c r="J95" s="60">
        <v>-0.4484396594892246</v>
      </c>
      <c r="K95" s="5" t="s">
        <v>97</v>
      </c>
      <c r="L95" s="101" t="s">
        <v>184</v>
      </c>
      <c r="M95" s="59">
        <v>0.4</v>
      </c>
      <c r="N95" s="59">
        <v>9.8428000000000022</v>
      </c>
      <c r="O95" s="59">
        <v>0.79534799999999883</v>
      </c>
      <c r="AG95" s="107"/>
      <c r="AN95" s="115"/>
      <c r="BU95" s="61"/>
    </row>
    <row r="96" spans="1:73" x14ac:dyDescent="0.35">
      <c r="A96" s="7" t="s">
        <v>1379</v>
      </c>
      <c r="B96" s="7" t="s">
        <v>1382</v>
      </c>
      <c r="C96" s="17" t="s">
        <v>150</v>
      </c>
      <c r="D96" s="5" t="s">
        <v>95</v>
      </c>
      <c r="E96" s="5" t="s">
        <v>175</v>
      </c>
      <c r="F96" s="5">
        <v>252.92</v>
      </c>
      <c r="G96" s="5" t="s">
        <v>26</v>
      </c>
      <c r="H96" s="60">
        <v>66.488439659489231</v>
      </c>
      <c r="I96" s="19" t="s">
        <v>27</v>
      </c>
      <c r="J96" s="60">
        <v>-0.4484396594892246</v>
      </c>
      <c r="K96" s="5" t="s">
        <v>97</v>
      </c>
      <c r="L96" s="101" t="s">
        <v>184</v>
      </c>
      <c r="M96" s="59">
        <v>0.62</v>
      </c>
      <c r="N96" s="59">
        <v>8.8709720000000036</v>
      </c>
      <c r="O96" s="59">
        <v>-0.17647999999999975</v>
      </c>
      <c r="AG96" s="107"/>
      <c r="AN96" s="115"/>
      <c r="BU96" s="61"/>
    </row>
    <row r="97" spans="1:73" x14ac:dyDescent="0.35">
      <c r="A97" s="7" t="s">
        <v>1379</v>
      </c>
      <c r="B97" s="7" t="s">
        <v>1382</v>
      </c>
      <c r="C97" s="17" t="s">
        <v>150</v>
      </c>
      <c r="D97" s="5" t="s">
        <v>95</v>
      </c>
      <c r="E97" s="5" t="s">
        <v>175</v>
      </c>
      <c r="F97" s="5">
        <v>252.92</v>
      </c>
      <c r="G97" s="5" t="s">
        <v>26</v>
      </c>
      <c r="H97" s="60">
        <v>66.488439659489231</v>
      </c>
      <c r="I97" s="19" t="s">
        <v>27</v>
      </c>
      <c r="J97" s="60">
        <v>-0.4484396594892246</v>
      </c>
      <c r="K97" s="5" t="s">
        <v>97</v>
      </c>
      <c r="L97" s="101" t="s">
        <v>184</v>
      </c>
      <c r="M97" s="59">
        <v>0.51</v>
      </c>
      <c r="N97" s="59">
        <v>9.3565230000000028</v>
      </c>
      <c r="O97" s="59">
        <v>0.30907099999999943</v>
      </c>
      <c r="AG97" s="107"/>
      <c r="AN97" s="115"/>
      <c r="BU97" s="61"/>
    </row>
    <row r="98" spans="1:73" x14ac:dyDescent="0.35">
      <c r="A98" s="7" t="s">
        <v>1379</v>
      </c>
      <c r="B98" s="7" t="s">
        <v>1382</v>
      </c>
      <c r="C98" s="17" t="s">
        <v>150</v>
      </c>
      <c r="D98" s="5" t="s">
        <v>95</v>
      </c>
      <c r="E98" s="5" t="s">
        <v>178</v>
      </c>
      <c r="F98" s="5">
        <v>253.17</v>
      </c>
      <c r="G98" s="5" t="s">
        <v>26</v>
      </c>
      <c r="H98" s="60">
        <v>66.523767651477215</v>
      </c>
      <c r="I98" s="19" t="s">
        <v>27</v>
      </c>
      <c r="J98" s="60">
        <v>-0.48376765147720846</v>
      </c>
      <c r="K98" s="5" t="s">
        <v>97</v>
      </c>
      <c r="L98" s="101" t="s">
        <v>184</v>
      </c>
      <c r="M98" s="59">
        <v>0.4</v>
      </c>
      <c r="N98" s="59">
        <v>9.8428000000000022</v>
      </c>
      <c r="O98" s="59">
        <v>0.79534799999999883</v>
      </c>
      <c r="AG98" s="107"/>
      <c r="AN98" s="115"/>
      <c r="BU98" s="61"/>
    </row>
    <row r="99" spans="1:73" x14ac:dyDescent="0.35">
      <c r="A99" s="7" t="s">
        <v>1379</v>
      </c>
      <c r="B99" s="7" t="s">
        <v>1382</v>
      </c>
      <c r="C99" s="17" t="s">
        <v>150</v>
      </c>
      <c r="D99" s="5" t="s">
        <v>95</v>
      </c>
      <c r="E99" s="5" t="s">
        <v>179</v>
      </c>
      <c r="F99" s="59">
        <v>253.43</v>
      </c>
      <c r="G99" s="5" t="s">
        <v>26</v>
      </c>
      <c r="H99" s="60">
        <v>66.560508763144711</v>
      </c>
      <c r="I99" s="19" t="s">
        <v>27</v>
      </c>
      <c r="J99" s="60">
        <v>-0.52050876314470429</v>
      </c>
      <c r="K99" s="5" t="s">
        <v>97</v>
      </c>
      <c r="L99" s="101" t="s">
        <v>184</v>
      </c>
      <c r="M99" s="59">
        <v>0.56000000000000005</v>
      </c>
      <c r="N99" s="59">
        <v>9.1357280000000021</v>
      </c>
      <c r="O99" s="59">
        <v>8.8275999999998689E-2</v>
      </c>
      <c r="AG99" s="107"/>
      <c r="AN99" s="115"/>
      <c r="BU99" s="61"/>
    </row>
    <row r="100" spans="1:73" x14ac:dyDescent="0.35">
      <c r="A100" s="7" t="s">
        <v>1379</v>
      </c>
      <c r="B100" s="7" t="s">
        <v>1382</v>
      </c>
      <c r="C100" s="17" t="s">
        <v>150</v>
      </c>
      <c r="D100" s="5" t="s">
        <v>95</v>
      </c>
      <c r="E100" s="5" t="s">
        <v>180</v>
      </c>
      <c r="F100" s="5">
        <v>253.56</v>
      </c>
      <c r="G100" s="5" t="s">
        <v>26</v>
      </c>
      <c r="H100" s="60">
        <v>66.578879318978466</v>
      </c>
      <c r="I100" s="19" t="s">
        <v>27</v>
      </c>
      <c r="J100" s="60">
        <v>-0.53887931897845931</v>
      </c>
      <c r="K100" s="5" t="s">
        <v>97</v>
      </c>
      <c r="L100" s="101" t="s">
        <v>184</v>
      </c>
      <c r="M100" s="59">
        <v>0.56399999999999995</v>
      </c>
      <c r="N100" s="59">
        <v>9.1180708800000012</v>
      </c>
      <c r="O100" s="59">
        <v>7.061887999999783E-2</v>
      </c>
      <c r="AG100" s="107"/>
      <c r="AN100" s="115"/>
      <c r="BU100" s="61"/>
    </row>
    <row r="101" spans="1:73" x14ac:dyDescent="0.35">
      <c r="A101" s="7" t="s">
        <v>1379</v>
      </c>
      <c r="B101" s="7" t="s">
        <v>1382</v>
      </c>
      <c r="C101" s="17" t="s">
        <v>150</v>
      </c>
      <c r="D101" s="5" t="s">
        <v>95</v>
      </c>
      <c r="E101" s="5" t="s">
        <v>181</v>
      </c>
      <c r="F101" s="59">
        <v>253.8</v>
      </c>
      <c r="G101" s="5" t="s">
        <v>26</v>
      </c>
      <c r="H101" s="60">
        <v>66.612794191286923</v>
      </c>
      <c r="I101" s="19" t="s">
        <v>27</v>
      </c>
      <c r="J101" s="60">
        <v>-0.572794191286917</v>
      </c>
      <c r="K101" s="5" t="s">
        <v>97</v>
      </c>
      <c r="L101" s="101" t="s">
        <v>184</v>
      </c>
      <c r="M101" s="59">
        <v>0.65</v>
      </c>
      <c r="N101" s="59">
        <v>8.7386750000000006</v>
      </c>
      <c r="O101" s="59">
        <v>-0.30877700000000274</v>
      </c>
      <c r="AG101" s="107"/>
      <c r="AN101" s="115"/>
      <c r="BU101" s="61"/>
    </row>
    <row r="102" spans="1:73" x14ac:dyDescent="0.35">
      <c r="A102" s="7" t="s">
        <v>1379</v>
      </c>
      <c r="B102" s="7" t="s">
        <v>1382</v>
      </c>
      <c r="C102" s="17" t="s">
        <v>150</v>
      </c>
      <c r="D102" s="5" t="s">
        <v>95</v>
      </c>
      <c r="E102" s="5" t="s">
        <v>182</v>
      </c>
      <c r="F102" s="59">
        <v>254.13</v>
      </c>
      <c r="G102" s="5" t="s">
        <v>26</v>
      </c>
      <c r="H102" s="60">
        <v>66.65942714071106</v>
      </c>
      <c r="I102" s="19" t="s">
        <v>27</v>
      </c>
      <c r="J102" s="60">
        <v>-0.61942714071105343</v>
      </c>
      <c r="K102" s="5" t="s">
        <v>97</v>
      </c>
      <c r="L102" s="101" t="s">
        <v>184</v>
      </c>
      <c r="M102" s="59">
        <v>0.55000000000000004</v>
      </c>
      <c r="N102" s="59">
        <v>9.1798750000000009</v>
      </c>
      <c r="O102" s="59">
        <v>0.13242299999999751</v>
      </c>
      <c r="AG102" s="107"/>
      <c r="AN102" s="115"/>
      <c r="BU102" s="61"/>
    </row>
    <row r="103" spans="1:73" x14ac:dyDescent="0.35">
      <c r="A103" s="7" t="s">
        <v>1379</v>
      </c>
      <c r="B103" s="7" t="s">
        <v>1382</v>
      </c>
      <c r="C103" s="17" t="s">
        <v>150</v>
      </c>
      <c r="D103" s="5" t="s">
        <v>95</v>
      </c>
      <c r="E103" s="5" t="s">
        <v>183</v>
      </c>
      <c r="F103" s="59">
        <v>254.76</v>
      </c>
      <c r="G103" s="5" t="s">
        <v>26</v>
      </c>
      <c r="H103" s="60">
        <v>66.748453680520782</v>
      </c>
      <c r="I103" s="19" t="s">
        <v>27</v>
      </c>
      <c r="J103" s="60">
        <v>-0.70845368052077617</v>
      </c>
      <c r="K103" s="5" t="s">
        <v>97</v>
      </c>
      <c r="L103" s="101" t="s">
        <v>184</v>
      </c>
      <c r="M103" s="59">
        <v>0.43</v>
      </c>
      <c r="N103" s="59">
        <v>9.7101070000000025</v>
      </c>
      <c r="O103" s="59">
        <v>0.66265499999999911</v>
      </c>
      <c r="AG103" s="107"/>
      <c r="AN103" s="115"/>
      <c r="BU103" s="61"/>
    </row>
    <row r="104" spans="1:73" x14ac:dyDescent="0.35">
      <c r="A104" s="7" t="s">
        <v>1379</v>
      </c>
      <c r="B104" s="7" t="s">
        <v>1382</v>
      </c>
      <c r="C104" s="17" t="s">
        <v>150</v>
      </c>
      <c r="D104" s="5" t="s">
        <v>95</v>
      </c>
      <c r="E104" s="5" t="s">
        <v>152</v>
      </c>
      <c r="F104" s="5">
        <v>248.13</v>
      </c>
      <c r="G104" s="5" t="s">
        <v>26</v>
      </c>
      <c r="H104" s="60">
        <v>66.067109131403129</v>
      </c>
      <c r="I104" s="19" t="s">
        <v>27</v>
      </c>
      <c r="J104" s="60">
        <v>-2.7109131403122433E-2</v>
      </c>
      <c r="K104" s="5" t="s">
        <v>44</v>
      </c>
      <c r="L104" s="101" t="s">
        <v>188</v>
      </c>
      <c r="M104" s="59">
        <v>0.85</v>
      </c>
      <c r="N104" s="59">
        <v>6.3228000000000018</v>
      </c>
      <c r="O104" s="59">
        <v>0</v>
      </c>
      <c r="AG104" s="107"/>
      <c r="AN104" s="115"/>
      <c r="BU104" s="61"/>
    </row>
    <row r="105" spans="1:73" x14ac:dyDescent="0.35">
      <c r="A105" s="7" t="s">
        <v>1379</v>
      </c>
      <c r="B105" s="7" t="s">
        <v>1382</v>
      </c>
      <c r="C105" s="17" t="s">
        <v>150</v>
      </c>
      <c r="D105" s="5" t="s">
        <v>95</v>
      </c>
      <c r="E105" s="5" t="s">
        <v>154</v>
      </c>
      <c r="F105" s="5">
        <v>248.24</v>
      </c>
      <c r="G105" s="5" t="s">
        <v>26</v>
      </c>
      <c r="H105" s="60">
        <v>66.075879732739423</v>
      </c>
      <c r="I105" s="19" t="s">
        <v>27</v>
      </c>
      <c r="J105" s="60">
        <v>-3.5879732739417136E-2</v>
      </c>
      <c r="K105" s="5" t="s">
        <v>44</v>
      </c>
      <c r="L105" s="101" t="s">
        <v>188</v>
      </c>
      <c r="M105" s="59">
        <v>0.53</v>
      </c>
      <c r="N105" s="59">
        <v>7.7261920000000011</v>
      </c>
      <c r="O105" s="59">
        <v>1.4033919999999993</v>
      </c>
      <c r="AG105" s="107"/>
      <c r="AN105" s="115"/>
      <c r="BU105" s="61"/>
    </row>
    <row r="106" spans="1:73" x14ac:dyDescent="0.35">
      <c r="A106" s="7" t="s">
        <v>1379</v>
      </c>
      <c r="B106" s="7" t="s">
        <v>1382</v>
      </c>
      <c r="C106" s="17" t="s">
        <v>150</v>
      </c>
      <c r="D106" s="5" t="s">
        <v>95</v>
      </c>
      <c r="E106" s="5" t="s">
        <v>163</v>
      </c>
      <c r="F106" s="59">
        <v>251.1</v>
      </c>
      <c r="G106" s="5" t="s">
        <v>26</v>
      </c>
      <c r="H106" s="60">
        <v>66.303915367483299</v>
      </c>
      <c r="I106" s="19" t="s">
        <v>27</v>
      </c>
      <c r="J106" s="60">
        <v>-0.26391536748329258</v>
      </c>
      <c r="K106" s="5" t="s">
        <v>44</v>
      </c>
      <c r="L106" s="101" t="s">
        <v>188</v>
      </c>
      <c r="M106" s="59">
        <v>0.33</v>
      </c>
      <c r="N106" s="59">
        <v>8.6064320000000034</v>
      </c>
      <c r="O106" s="59">
        <v>2.2836320000000017</v>
      </c>
      <c r="AG106" s="107"/>
      <c r="AN106" s="115"/>
      <c r="BU106" s="61"/>
    </row>
    <row r="107" spans="1:73" x14ac:dyDescent="0.35">
      <c r="A107" s="7" t="s">
        <v>1379</v>
      </c>
      <c r="B107" s="7" t="s">
        <v>1382</v>
      </c>
      <c r="C107" s="17" t="s">
        <v>150</v>
      </c>
      <c r="D107" s="5" t="s">
        <v>95</v>
      </c>
      <c r="E107" s="5" t="s">
        <v>164</v>
      </c>
      <c r="F107" s="5">
        <v>251.51</v>
      </c>
      <c r="G107" s="5" t="s">
        <v>26</v>
      </c>
      <c r="H107" s="60">
        <v>66.336605790645876</v>
      </c>
      <c r="I107" s="19" t="s">
        <v>27</v>
      </c>
      <c r="J107" s="60">
        <v>-0.29660579064587012</v>
      </c>
      <c r="K107" s="5" t="s">
        <v>44</v>
      </c>
      <c r="L107" s="101" t="s">
        <v>188</v>
      </c>
      <c r="M107" s="59">
        <v>0.73</v>
      </c>
      <c r="N107" s="59">
        <v>6.8483520000000011</v>
      </c>
      <c r="O107" s="59">
        <v>0.52555199999999935</v>
      </c>
      <c r="AG107" s="107"/>
      <c r="AN107" s="115"/>
      <c r="BU107" s="61"/>
    </row>
    <row r="108" spans="1:73" x14ac:dyDescent="0.35">
      <c r="A108" s="7" t="s">
        <v>1379</v>
      </c>
      <c r="B108" s="7" t="s">
        <v>1382</v>
      </c>
      <c r="C108" s="17" t="s">
        <v>150</v>
      </c>
      <c r="D108" s="5" t="s">
        <v>95</v>
      </c>
      <c r="E108" s="5" t="s">
        <v>169</v>
      </c>
      <c r="F108" s="59">
        <v>252.17</v>
      </c>
      <c r="G108" s="5" t="s">
        <v>26</v>
      </c>
      <c r="H108" s="60">
        <v>66.389229398663687</v>
      </c>
      <c r="I108" s="19" t="s">
        <v>27</v>
      </c>
      <c r="J108" s="60">
        <v>-0.34922939866368097</v>
      </c>
      <c r="K108" s="5" t="s">
        <v>44</v>
      </c>
      <c r="L108" s="101" t="s">
        <v>188</v>
      </c>
      <c r="M108" s="59">
        <v>0.55000000000000004</v>
      </c>
      <c r="N108" s="59">
        <v>7.6383000000000019</v>
      </c>
      <c r="O108" s="59">
        <v>1.3155000000000001</v>
      </c>
      <c r="AG108" s="107"/>
      <c r="AN108" s="115"/>
      <c r="BU108" s="61"/>
    </row>
    <row r="109" spans="1:73" x14ac:dyDescent="0.35">
      <c r="A109" s="7" t="s">
        <v>1379</v>
      </c>
      <c r="B109" s="7" t="s">
        <v>1382</v>
      </c>
      <c r="C109" s="17" t="s">
        <v>150</v>
      </c>
      <c r="D109" s="5" t="s">
        <v>95</v>
      </c>
      <c r="E109" s="5" t="s">
        <v>175</v>
      </c>
      <c r="F109" s="59">
        <v>252.92</v>
      </c>
      <c r="G109" s="5" t="s">
        <v>26</v>
      </c>
      <c r="H109" s="60">
        <v>66.488439659489231</v>
      </c>
      <c r="I109" s="19" t="s">
        <v>27</v>
      </c>
      <c r="J109" s="60">
        <v>-0.4484396594892246</v>
      </c>
      <c r="K109" s="5" t="s">
        <v>44</v>
      </c>
      <c r="L109" s="101" t="s">
        <v>188</v>
      </c>
      <c r="M109" s="59">
        <v>0.52</v>
      </c>
      <c r="N109" s="59">
        <v>7.7701470000000024</v>
      </c>
      <c r="O109" s="59">
        <v>1.4473470000000006</v>
      </c>
      <c r="AG109" s="107"/>
      <c r="AN109" s="115"/>
      <c r="BU109" s="61"/>
    </row>
    <row r="110" spans="1:73" x14ac:dyDescent="0.35">
      <c r="A110" s="7" t="s">
        <v>1379</v>
      </c>
      <c r="B110" s="7" t="s">
        <v>1382</v>
      </c>
      <c r="C110" s="17"/>
      <c r="D110" s="5"/>
      <c r="E110" s="5"/>
      <c r="F110" s="59"/>
      <c r="G110" s="5"/>
      <c r="H110" s="60"/>
      <c r="I110" s="19"/>
      <c r="J110" s="60"/>
      <c r="K110" s="5"/>
      <c r="L110" s="5"/>
      <c r="M110" s="59"/>
      <c r="N110" s="59"/>
      <c r="O110" s="59"/>
      <c r="AG110" s="107"/>
      <c r="AN110" s="115"/>
      <c r="BU110" s="61"/>
    </row>
    <row r="111" spans="1:73" x14ac:dyDescent="0.35">
      <c r="A111" s="7" t="s">
        <v>1379</v>
      </c>
      <c r="B111" s="7" t="s">
        <v>1382</v>
      </c>
      <c r="C111" s="17" t="s">
        <v>190</v>
      </c>
      <c r="D111" s="5" t="s">
        <v>95</v>
      </c>
      <c r="E111" s="5" t="s">
        <v>191</v>
      </c>
      <c r="F111" s="5">
        <v>238.15</v>
      </c>
      <c r="G111" s="5" t="s">
        <v>26</v>
      </c>
      <c r="H111" s="60">
        <v>64.821234042553201</v>
      </c>
      <c r="I111" s="19" t="s">
        <v>27</v>
      </c>
      <c r="J111" s="60">
        <v>1.2187659574468057</v>
      </c>
      <c r="K111" s="5" t="s">
        <v>44</v>
      </c>
      <c r="L111" s="101" t="s">
        <v>188</v>
      </c>
      <c r="M111" s="59">
        <v>0.43764813246338236</v>
      </c>
      <c r="N111" s="59">
        <v>8.1323527942200684</v>
      </c>
      <c r="O111" s="59">
        <f t="shared" ref="O111:O150" si="0">N111-$N$104</f>
        <v>1.8095527942200667</v>
      </c>
      <c r="AG111" s="107"/>
      <c r="AN111" s="115"/>
      <c r="BU111" s="61"/>
    </row>
    <row r="112" spans="1:73" x14ac:dyDescent="0.35">
      <c r="A112" s="7" t="s">
        <v>1379</v>
      </c>
      <c r="B112" s="7" t="s">
        <v>1382</v>
      </c>
      <c r="C112" s="17" t="s">
        <v>190</v>
      </c>
      <c r="D112" s="5" t="s">
        <v>95</v>
      </c>
      <c r="E112" s="5" t="s">
        <v>191</v>
      </c>
      <c r="F112" s="5">
        <v>238.15</v>
      </c>
      <c r="G112" s="5" t="s">
        <v>26</v>
      </c>
      <c r="H112" s="60">
        <v>64.821234042553201</v>
      </c>
      <c r="I112" s="19" t="s">
        <v>27</v>
      </c>
      <c r="J112" s="60">
        <v>1.2187659574468057</v>
      </c>
      <c r="K112" s="5" t="s">
        <v>44</v>
      </c>
      <c r="L112" s="101" t="s">
        <v>192</v>
      </c>
      <c r="M112" s="59">
        <v>0.38617450290732463</v>
      </c>
      <c r="N112" s="59">
        <v>8.5792208745214253</v>
      </c>
      <c r="O112" s="59">
        <f t="shared" si="0"/>
        <v>2.2564208745214236</v>
      </c>
      <c r="AG112" s="107"/>
      <c r="AN112" s="115"/>
      <c r="BU112" s="61"/>
    </row>
    <row r="113" spans="1:73" x14ac:dyDescent="0.35">
      <c r="A113" s="7" t="s">
        <v>1379</v>
      </c>
      <c r="B113" s="7" t="s">
        <v>1382</v>
      </c>
      <c r="C113" s="17" t="s">
        <v>190</v>
      </c>
      <c r="D113" s="5" t="s">
        <v>95</v>
      </c>
      <c r="E113" s="5" t="s">
        <v>196</v>
      </c>
      <c r="F113" s="59">
        <v>239.3</v>
      </c>
      <c r="G113" s="5" t="s">
        <v>26</v>
      </c>
      <c r="H113" s="60">
        <v>64.901978723404255</v>
      </c>
      <c r="I113" s="19" t="s">
        <v>27</v>
      </c>
      <c r="J113" s="60">
        <v>1.1380212765957509</v>
      </c>
      <c r="K113" s="5" t="s">
        <v>44</v>
      </c>
      <c r="L113" s="101" t="s">
        <v>188</v>
      </c>
      <c r="M113" s="59">
        <v>0.4383749233693876</v>
      </c>
      <c r="N113" s="59">
        <v>8.1291543914468978</v>
      </c>
      <c r="O113" s="59">
        <f t="shared" si="0"/>
        <v>1.806354391446896</v>
      </c>
      <c r="AG113" s="107"/>
      <c r="AN113" s="115"/>
      <c r="BU113" s="61"/>
    </row>
    <row r="114" spans="1:73" x14ac:dyDescent="0.35">
      <c r="A114" s="7" t="s">
        <v>1379</v>
      </c>
      <c r="B114" s="7" t="s">
        <v>1382</v>
      </c>
      <c r="C114" s="17" t="s">
        <v>190</v>
      </c>
      <c r="D114" s="5" t="s">
        <v>95</v>
      </c>
      <c r="E114" s="5" t="s">
        <v>196</v>
      </c>
      <c r="F114" s="59">
        <v>239.3</v>
      </c>
      <c r="G114" s="5" t="s">
        <v>26</v>
      </c>
      <c r="H114" s="60">
        <v>64.901978723404255</v>
      </c>
      <c r="I114" s="19" t="s">
        <v>27</v>
      </c>
      <c r="J114" s="60">
        <v>1.1380212765957509</v>
      </c>
      <c r="K114" s="5" t="s">
        <v>44</v>
      </c>
      <c r="L114" s="101" t="s">
        <v>192</v>
      </c>
      <c r="M114" s="59">
        <v>0.44842030034616442</v>
      </c>
      <c r="N114" s="59">
        <v>8.3050304924393696</v>
      </c>
      <c r="O114" s="59">
        <f t="shared" si="0"/>
        <v>1.9822304924393679</v>
      </c>
      <c r="AG114" s="107"/>
      <c r="AN114" s="115"/>
      <c r="BU114" s="61"/>
    </row>
    <row r="115" spans="1:73" x14ac:dyDescent="0.35">
      <c r="A115" s="7" t="s">
        <v>1379</v>
      </c>
      <c r="B115" s="7" t="s">
        <v>1382</v>
      </c>
      <c r="C115" s="17" t="s">
        <v>190</v>
      </c>
      <c r="D115" s="5" t="s">
        <v>95</v>
      </c>
      <c r="E115" s="5" t="s">
        <v>197</v>
      </c>
      <c r="F115" s="59">
        <v>240.3</v>
      </c>
      <c r="G115" s="5" t="s">
        <v>26</v>
      </c>
      <c r="H115" s="60">
        <v>64.972191489361705</v>
      </c>
      <c r="I115" s="19" t="s">
        <v>27</v>
      </c>
      <c r="J115" s="60">
        <v>1.0678085106383008</v>
      </c>
      <c r="K115" s="5" t="s">
        <v>44</v>
      </c>
      <c r="L115" s="101" t="s">
        <v>188</v>
      </c>
      <c r="M115" s="59">
        <v>0.33667128020546599</v>
      </c>
      <c r="N115" s="59">
        <v>8.5770316690578596</v>
      </c>
      <c r="O115" s="59">
        <f t="shared" si="0"/>
        <v>2.2542316690578579</v>
      </c>
      <c r="AG115" s="107"/>
      <c r="AN115" s="115"/>
      <c r="BU115" s="61"/>
    </row>
    <row r="116" spans="1:73" x14ac:dyDescent="0.35">
      <c r="A116" s="7" t="s">
        <v>1379</v>
      </c>
      <c r="B116" s="7" t="s">
        <v>1382</v>
      </c>
      <c r="C116" s="17" t="s">
        <v>190</v>
      </c>
      <c r="D116" s="5" t="s">
        <v>95</v>
      </c>
      <c r="E116" s="5" t="s">
        <v>197</v>
      </c>
      <c r="F116" s="59">
        <v>240.3</v>
      </c>
      <c r="G116" s="5" t="s">
        <v>26</v>
      </c>
      <c r="H116" s="60">
        <v>64.972191489361705</v>
      </c>
      <c r="I116" s="19" t="s">
        <v>27</v>
      </c>
      <c r="J116" s="60">
        <v>1.0678085106383008</v>
      </c>
      <c r="K116" s="5" t="s">
        <v>44</v>
      </c>
      <c r="L116" s="101" t="s">
        <v>192</v>
      </c>
      <c r="M116" s="59">
        <v>0.54381441326455726</v>
      </c>
      <c r="N116" s="59">
        <v>7.8852741727202416</v>
      </c>
      <c r="O116" s="59">
        <f t="shared" si="0"/>
        <v>1.5624741727202398</v>
      </c>
      <c r="AG116" s="107"/>
      <c r="AN116" s="115"/>
      <c r="BU116" s="61"/>
    </row>
    <row r="117" spans="1:73" x14ac:dyDescent="0.35">
      <c r="A117" s="7" t="s">
        <v>1379</v>
      </c>
      <c r="B117" s="7" t="s">
        <v>1382</v>
      </c>
      <c r="C117" s="17" t="s">
        <v>190</v>
      </c>
      <c r="D117" s="5" t="s">
        <v>95</v>
      </c>
      <c r="E117" s="5" t="s">
        <v>198</v>
      </c>
      <c r="F117" s="59">
        <v>240.83</v>
      </c>
      <c r="G117" s="5" t="s">
        <v>26</v>
      </c>
      <c r="H117" s="60">
        <v>65.009404255319154</v>
      </c>
      <c r="I117" s="19" t="s">
        <v>27</v>
      </c>
      <c r="J117" s="60">
        <v>1.030595744680852</v>
      </c>
      <c r="K117" s="5" t="s">
        <v>44</v>
      </c>
      <c r="L117" s="101" t="s">
        <v>188</v>
      </c>
      <c r="M117" s="59">
        <v>0.33507311980419441</v>
      </c>
      <c r="N117" s="59">
        <v>8.5840745184952922</v>
      </c>
      <c r="O117" s="59">
        <f t="shared" si="0"/>
        <v>2.2612745184952905</v>
      </c>
      <c r="AG117" s="107"/>
      <c r="AN117" s="115"/>
      <c r="BU117" s="61"/>
    </row>
    <row r="118" spans="1:73" x14ac:dyDescent="0.35">
      <c r="A118" s="7" t="s">
        <v>1379</v>
      </c>
      <c r="B118" s="7" t="s">
        <v>1382</v>
      </c>
      <c r="C118" s="17" t="s">
        <v>190</v>
      </c>
      <c r="D118" s="5" t="s">
        <v>95</v>
      </c>
      <c r="E118" s="5" t="s">
        <v>198</v>
      </c>
      <c r="F118" s="59">
        <v>240.83</v>
      </c>
      <c r="G118" s="5" t="s">
        <v>26</v>
      </c>
      <c r="H118" s="60">
        <v>65.009404255319154</v>
      </c>
      <c r="I118" s="19" t="s">
        <v>27</v>
      </c>
      <c r="J118" s="60">
        <v>1.030595744680852</v>
      </c>
      <c r="K118" s="5" t="s">
        <v>44</v>
      </c>
      <c r="L118" s="101" t="s">
        <v>192</v>
      </c>
      <c r="M118" s="59">
        <v>0.51052198781166414</v>
      </c>
      <c r="N118" s="59">
        <v>8.0317065749955034</v>
      </c>
      <c r="O118" s="59">
        <f t="shared" si="0"/>
        <v>1.7089065749955017</v>
      </c>
      <c r="AG118" s="107"/>
      <c r="AN118" s="115"/>
      <c r="BU118" s="61"/>
    </row>
    <row r="119" spans="1:73" x14ac:dyDescent="0.35">
      <c r="A119" s="7" t="s">
        <v>1379</v>
      </c>
      <c r="B119" s="7" t="s">
        <v>1382</v>
      </c>
      <c r="C119" s="17" t="s">
        <v>190</v>
      </c>
      <c r="D119" s="5" t="s">
        <v>95</v>
      </c>
      <c r="E119" s="5" t="s">
        <v>199</v>
      </c>
      <c r="F119" s="59">
        <v>243</v>
      </c>
      <c r="G119" s="5" t="s">
        <v>26</v>
      </c>
      <c r="H119" s="60">
        <v>65.161765957446804</v>
      </c>
      <c r="I119" s="19" t="s">
        <v>27</v>
      </c>
      <c r="J119" s="60">
        <v>0.8782340425532027</v>
      </c>
      <c r="K119" s="5" t="s">
        <v>44</v>
      </c>
      <c r="L119" s="101" t="s">
        <v>188</v>
      </c>
      <c r="M119" s="59">
        <v>0.41469585164026501</v>
      </c>
      <c r="N119" s="59">
        <v>8.2333756442695787</v>
      </c>
      <c r="O119" s="59">
        <f t="shared" si="0"/>
        <v>1.9105756442695769</v>
      </c>
      <c r="AG119" s="107"/>
      <c r="AN119" s="115"/>
      <c r="BU119" s="61"/>
    </row>
    <row r="120" spans="1:73" x14ac:dyDescent="0.35">
      <c r="A120" s="7" t="s">
        <v>1379</v>
      </c>
      <c r="B120" s="7" t="s">
        <v>1382</v>
      </c>
      <c r="C120" s="17" t="s">
        <v>190</v>
      </c>
      <c r="D120" s="5" t="s">
        <v>95</v>
      </c>
      <c r="E120" s="5" t="s">
        <v>201</v>
      </c>
      <c r="F120" s="59">
        <v>243.57</v>
      </c>
      <c r="G120" s="5" t="s">
        <v>26</v>
      </c>
      <c r="H120" s="60">
        <v>65.201787234042555</v>
      </c>
      <c r="I120" s="19" t="s">
        <v>27</v>
      </c>
      <c r="J120" s="60">
        <v>0.83821276595745076</v>
      </c>
      <c r="K120" s="5" t="s">
        <v>44</v>
      </c>
      <c r="L120" s="101" t="s">
        <v>188</v>
      </c>
      <c r="M120" s="59">
        <v>0.45082318703782009</v>
      </c>
      <c r="N120" s="59">
        <v>8.074377997362701</v>
      </c>
      <c r="O120" s="59">
        <f t="shared" si="0"/>
        <v>1.7515779973626993</v>
      </c>
      <c r="AG120" s="107"/>
      <c r="AN120" s="115"/>
      <c r="BU120" s="61"/>
    </row>
    <row r="121" spans="1:73" x14ac:dyDescent="0.35">
      <c r="A121" s="7" t="s">
        <v>1379</v>
      </c>
      <c r="B121" s="7" t="s">
        <v>1382</v>
      </c>
      <c r="C121" s="17" t="s">
        <v>190</v>
      </c>
      <c r="D121" s="5" t="s">
        <v>95</v>
      </c>
      <c r="E121" s="5" t="s">
        <v>202</v>
      </c>
      <c r="F121" s="59">
        <v>244.1</v>
      </c>
      <c r="G121" s="5" t="s">
        <v>26</v>
      </c>
      <c r="H121" s="60">
        <v>65.239000000000004</v>
      </c>
      <c r="I121" s="19" t="s">
        <v>27</v>
      </c>
      <c r="J121" s="60">
        <v>0.80100000000000193</v>
      </c>
      <c r="K121" s="5" t="s">
        <v>44</v>
      </c>
      <c r="L121" s="101" t="s">
        <v>192</v>
      </c>
      <c r="M121" s="59">
        <v>0.42524900976816482</v>
      </c>
      <c r="N121" s="59">
        <v>8.4070719883362965</v>
      </c>
      <c r="O121" s="59">
        <f t="shared" si="0"/>
        <v>2.0842719883362948</v>
      </c>
      <c r="AG121" s="107"/>
      <c r="AN121" s="115"/>
      <c r="BU121" s="61"/>
    </row>
    <row r="122" spans="1:73" x14ac:dyDescent="0.35">
      <c r="A122" s="7" t="s">
        <v>1379</v>
      </c>
      <c r="B122" s="7" t="s">
        <v>1382</v>
      </c>
      <c r="C122" s="17" t="s">
        <v>190</v>
      </c>
      <c r="D122" s="5" t="s">
        <v>95</v>
      </c>
      <c r="E122" s="5" t="s">
        <v>203</v>
      </c>
      <c r="F122" s="59">
        <v>244.57</v>
      </c>
      <c r="G122" s="5" t="s">
        <v>26</v>
      </c>
      <c r="H122" s="60">
        <v>65.272000000000006</v>
      </c>
      <c r="I122" s="19" t="s">
        <v>27</v>
      </c>
      <c r="J122" s="60">
        <v>0.76800000000000068</v>
      </c>
      <c r="K122" s="5" t="s">
        <v>44</v>
      </c>
      <c r="L122" s="101" t="s">
        <v>188</v>
      </c>
      <c r="M122" s="59">
        <v>0.27424063808016497</v>
      </c>
      <c r="N122" s="59">
        <v>8.8522679330463507</v>
      </c>
      <c r="O122" s="59">
        <f t="shared" si="0"/>
        <v>2.529467933046349</v>
      </c>
      <c r="AG122" s="107"/>
      <c r="AN122" s="115"/>
      <c r="BU122" s="61"/>
    </row>
    <row r="123" spans="1:73" x14ac:dyDescent="0.35">
      <c r="A123" s="7" t="s">
        <v>1379</v>
      </c>
      <c r="B123" s="7" t="s">
        <v>1382</v>
      </c>
      <c r="C123" s="17" t="s">
        <v>190</v>
      </c>
      <c r="D123" s="5" t="s">
        <v>95</v>
      </c>
      <c r="E123" s="5" t="s">
        <v>205</v>
      </c>
      <c r="F123" s="59">
        <v>245.07</v>
      </c>
      <c r="G123" s="5" t="s">
        <v>26</v>
      </c>
      <c r="H123" s="60">
        <v>65.307106382978716</v>
      </c>
      <c r="I123" s="19" t="s">
        <v>27</v>
      </c>
      <c r="J123" s="60">
        <v>0.73289361702128986</v>
      </c>
      <c r="K123" s="5" t="s">
        <v>44</v>
      </c>
      <c r="L123" s="101" t="s">
        <v>188</v>
      </c>
      <c r="M123" s="59">
        <v>0.53040439021080144</v>
      </c>
      <c r="N123" s="59">
        <v>7.7244146290514308</v>
      </c>
      <c r="O123" s="59">
        <f t="shared" si="0"/>
        <v>1.4016146290514291</v>
      </c>
      <c r="AG123" s="107"/>
      <c r="AN123" s="115"/>
      <c r="BU123" s="61"/>
    </row>
    <row r="124" spans="1:73" x14ac:dyDescent="0.35">
      <c r="A124" s="7" t="s">
        <v>1379</v>
      </c>
      <c r="B124" s="7" t="s">
        <v>1382</v>
      </c>
      <c r="C124" s="17" t="s">
        <v>190</v>
      </c>
      <c r="D124" s="5" t="s">
        <v>95</v>
      </c>
      <c r="E124" s="5" t="s">
        <v>206</v>
      </c>
      <c r="F124" s="59">
        <v>245.57</v>
      </c>
      <c r="G124" s="5" t="s">
        <v>26</v>
      </c>
      <c r="H124" s="60">
        <v>65.342212765957441</v>
      </c>
      <c r="I124" s="19" t="s">
        <v>27</v>
      </c>
      <c r="J124" s="60">
        <v>0.69778723404256482</v>
      </c>
      <c r="K124" s="5" t="s">
        <v>44</v>
      </c>
      <c r="L124" s="101" t="s">
        <v>188</v>
      </c>
      <c r="M124" s="59">
        <v>0.43325872973519575</v>
      </c>
      <c r="N124" s="59">
        <v>8.1516699972690425</v>
      </c>
      <c r="O124" s="59">
        <f t="shared" si="0"/>
        <v>1.8288699972690408</v>
      </c>
      <c r="AG124" s="107"/>
      <c r="AN124" s="115"/>
      <c r="BU124" s="61"/>
    </row>
    <row r="125" spans="1:73" x14ac:dyDescent="0.35">
      <c r="A125" s="7" t="s">
        <v>1379</v>
      </c>
      <c r="B125" s="7" t="s">
        <v>1382</v>
      </c>
      <c r="C125" s="17" t="s">
        <v>190</v>
      </c>
      <c r="D125" s="5" t="s">
        <v>95</v>
      </c>
      <c r="E125" s="5" t="s">
        <v>207</v>
      </c>
      <c r="F125" s="59">
        <v>245.81</v>
      </c>
      <c r="G125" s="5" t="s">
        <v>26</v>
      </c>
      <c r="H125" s="60">
        <v>65.359063829787232</v>
      </c>
      <c r="I125" s="19" t="s">
        <v>27</v>
      </c>
      <c r="J125" s="60">
        <v>0.68093617021277453</v>
      </c>
      <c r="K125" s="5" t="s">
        <v>44</v>
      </c>
      <c r="L125" s="101" t="s">
        <v>188</v>
      </c>
      <c r="M125" s="59">
        <v>0.24292416088921609</v>
      </c>
      <c r="N125" s="59">
        <v>8.9904201041817551</v>
      </c>
      <c r="O125" s="59">
        <f t="shared" si="0"/>
        <v>2.6676201041817533</v>
      </c>
      <c r="AG125" s="107"/>
      <c r="AN125" s="115"/>
      <c r="BU125" s="61"/>
    </row>
    <row r="126" spans="1:73" x14ac:dyDescent="0.35">
      <c r="A126" s="7" t="s">
        <v>1379</v>
      </c>
      <c r="B126" s="7" t="s">
        <v>1382</v>
      </c>
      <c r="C126" s="17" t="s">
        <v>190</v>
      </c>
      <c r="D126" s="5" t="s">
        <v>95</v>
      </c>
      <c r="E126" s="5" t="s">
        <v>208</v>
      </c>
      <c r="F126" s="59">
        <v>246.06</v>
      </c>
      <c r="G126" s="5" t="s">
        <v>26</v>
      </c>
      <c r="H126" s="60">
        <v>65.376617021276601</v>
      </c>
      <c r="I126" s="19" t="s">
        <v>27</v>
      </c>
      <c r="J126" s="60">
        <v>0.6633829787234049</v>
      </c>
      <c r="K126" s="5" t="s">
        <v>44</v>
      </c>
      <c r="L126" s="101" t="s">
        <v>188</v>
      </c>
      <c r="M126" s="59">
        <v>0.46614891731386776</v>
      </c>
      <c r="N126" s="59">
        <v>8.0069525874448964</v>
      </c>
      <c r="O126" s="59">
        <f t="shared" si="0"/>
        <v>1.6841525874448946</v>
      </c>
      <c r="AG126" s="107"/>
      <c r="AN126" s="115"/>
      <c r="BU126" s="61"/>
    </row>
    <row r="127" spans="1:73" x14ac:dyDescent="0.35">
      <c r="A127" s="7" t="s">
        <v>1379</v>
      </c>
      <c r="B127" s="7" t="s">
        <v>1382</v>
      </c>
      <c r="C127" s="17" t="s">
        <v>190</v>
      </c>
      <c r="D127" s="5" t="s">
        <v>95</v>
      </c>
      <c r="E127" s="5" t="s">
        <v>210</v>
      </c>
      <c r="F127" s="59">
        <v>246.24</v>
      </c>
      <c r="G127" s="5" t="s">
        <v>26</v>
      </c>
      <c r="H127" s="60">
        <v>65.38925531914893</v>
      </c>
      <c r="I127" s="19" t="s">
        <v>27</v>
      </c>
      <c r="J127" s="60">
        <v>0.6507446808510764</v>
      </c>
      <c r="K127" s="5" t="s">
        <v>44</v>
      </c>
      <c r="L127" s="101" t="s">
        <v>192</v>
      </c>
      <c r="M127" s="59">
        <v>0.25</v>
      </c>
      <c r="N127" s="59">
        <v>9.1798750000000009</v>
      </c>
      <c r="O127" s="59">
        <f t="shared" si="0"/>
        <v>2.8570749999999991</v>
      </c>
      <c r="AG127" s="107"/>
      <c r="AN127" s="115"/>
      <c r="BU127" s="61"/>
    </row>
    <row r="128" spans="1:73" x14ac:dyDescent="0.35">
      <c r="A128" s="7" t="s">
        <v>1379</v>
      </c>
      <c r="B128" s="7" t="s">
        <v>1382</v>
      </c>
      <c r="C128" s="17" t="s">
        <v>190</v>
      </c>
      <c r="D128" s="5" t="s">
        <v>95</v>
      </c>
      <c r="E128" s="5" t="s">
        <v>211</v>
      </c>
      <c r="F128" s="59">
        <v>246.57</v>
      </c>
      <c r="G128" s="5" t="s">
        <v>26</v>
      </c>
      <c r="H128" s="60">
        <v>65.412425531914892</v>
      </c>
      <c r="I128" s="19" t="s">
        <v>27</v>
      </c>
      <c r="J128" s="60">
        <v>0.62757446808511475</v>
      </c>
      <c r="K128" s="5" t="s">
        <v>44</v>
      </c>
      <c r="L128" s="101" t="s">
        <v>188</v>
      </c>
      <c r="M128" s="59">
        <v>0.64735129593092267</v>
      </c>
      <c r="N128" s="59">
        <v>7.2108227239241112</v>
      </c>
      <c r="O128" s="59">
        <f t="shared" si="0"/>
        <v>0.88802272392410941</v>
      </c>
      <c r="AG128" s="107"/>
      <c r="AN128" s="115"/>
      <c r="BU128" s="61"/>
    </row>
    <row r="129" spans="1:73" x14ac:dyDescent="0.35">
      <c r="A129" s="7" t="s">
        <v>1379</v>
      </c>
      <c r="B129" s="7" t="s">
        <v>1382</v>
      </c>
      <c r="C129" s="17" t="s">
        <v>190</v>
      </c>
      <c r="D129" s="5" t="s">
        <v>95</v>
      </c>
      <c r="E129" s="5" t="s">
        <v>212</v>
      </c>
      <c r="F129" s="59">
        <v>247.06</v>
      </c>
      <c r="G129" s="5" t="s">
        <v>26</v>
      </c>
      <c r="H129" s="60">
        <v>65.446829787234037</v>
      </c>
      <c r="I129" s="19" t="s">
        <v>27</v>
      </c>
      <c r="J129" s="60">
        <v>0.59317021276596904</v>
      </c>
      <c r="K129" s="5" t="s">
        <v>44</v>
      </c>
      <c r="L129" s="101" t="s">
        <v>188</v>
      </c>
      <c r="M129" s="59">
        <v>0.55839931383757879</v>
      </c>
      <c r="N129" s="59">
        <v>7.6013955314518702</v>
      </c>
      <c r="O129" s="59">
        <f t="shared" si="0"/>
        <v>1.2785955314518684</v>
      </c>
      <c r="AG129" s="107"/>
      <c r="AN129" s="115"/>
      <c r="BU129" s="61"/>
    </row>
    <row r="130" spans="1:73" x14ac:dyDescent="0.35">
      <c r="A130" s="7" t="s">
        <v>1379</v>
      </c>
      <c r="B130" s="7" t="s">
        <v>1382</v>
      </c>
      <c r="C130" s="17" t="s">
        <v>190</v>
      </c>
      <c r="D130" s="5" t="s">
        <v>95</v>
      </c>
      <c r="E130" s="5" t="s">
        <v>213</v>
      </c>
      <c r="F130" s="59">
        <v>247.11</v>
      </c>
      <c r="G130" s="5" t="s">
        <v>26</v>
      </c>
      <c r="H130" s="60">
        <v>65.45034042553192</v>
      </c>
      <c r="I130" s="19" t="s">
        <v>27</v>
      </c>
      <c r="J130" s="60">
        <v>0.58965957446808659</v>
      </c>
      <c r="K130" s="5" t="s">
        <v>44</v>
      </c>
      <c r="L130" s="101" t="s">
        <v>188</v>
      </c>
      <c r="M130" s="59">
        <v>0.42852038004685228</v>
      </c>
      <c r="N130" s="59">
        <v>8.1725241690160519</v>
      </c>
      <c r="O130" s="59">
        <f t="shared" si="0"/>
        <v>1.8497241690160502</v>
      </c>
      <c r="AG130" s="107"/>
      <c r="AN130" s="115"/>
      <c r="BU130" s="61"/>
    </row>
    <row r="131" spans="1:73" x14ac:dyDescent="0.35">
      <c r="A131" s="7" t="s">
        <v>1379</v>
      </c>
      <c r="B131" s="7" t="s">
        <v>1382</v>
      </c>
      <c r="C131" s="17" t="s">
        <v>190</v>
      </c>
      <c r="D131" s="5" t="s">
        <v>95</v>
      </c>
      <c r="E131" s="5" t="s">
        <v>213</v>
      </c>
      <c r="F131" s="59">
        <v>247.11</v>
      </c>
      <c r="G131" s="5" t="s">
        <v>26</v>
      </c>
      <c r="H131" s="60">
        <v>65.45034042553192</v>
      </c>
      <c r="I131" s="19" t="s">
        <v>27</v>
      </c>
      <c r="J131" s="60">
        <v>0.58965957446808659</v>
      </c>
      <c r="K131" s="5" t="s">
        <v>44</v>
      </c>
      <c r="L131" s="101" t="s">
        <v>192</v>
      </c>
      <c r="M131" s="59">
        <v>0.15</v>
      </c>
      <c r="N131" s="59">
        <v>9.6216750000000033</v>
      </c>
      <c r="O131" s="59">
        <f t="shared" si="0"/>
        <v>3.2988750000000016</v>
      </c>
      <c r="AG131" s="107"/>
      <c r="AN131" s="115"/>
      <c r="BU131" s="61"/>
    </row>
    <row r="132" spans="1:73" x14ac:dyDescent="0.35">
      <c r="A132" s="7" t="s">
        <v>1379</v>
      </c>
      <c r="B132" s="7" t="s">
        <v>1382</v>
      </c>
      <c r="C132" s="17" t="s">
        <v>190</v>
      </c>
      <c r="D132" s="5" t="s">
        <v>95</v>
      </c>
      <c r="E132" s="5" t="s">
        <v>214</v>
      </c>
      <c r="F132" s="59">
        <v>247.42</v>
      </c>
      <c r="G132" s="5" t="s">
        <v>26</v>
      </c>
      <c r="H132" s="60">
        <v>65.51124999999999</v>
      </c>
      <c r="I132" s="19" t="s">
        <v>27</v>
      </c>
      <c r="J132" s="60">
        <v>0.52875000000001648</v>
      </c>
      <c r="K132" s="5" t="s">
        <v>44</v>
      </c>
      <c r="L132" s="101" t="s">
        <v>188</v>
      </c>
      <c r="M132" s="59">
        <v>0.6028466061569322</v>
      </c>
      <c r="N132" s="59">
        <v>7.4061757954599123</v>
      </c>
      <c r="O132" s="59">
        <f t="shared" si="0"/>
        <v>1.0833757954599106</v>
      </c>
      <c r="AG132" s="107"/>
      <c r="AN132" s="115"/>
      <c r="BU132" s="61"/>
    </row>
    <row r="133" spans="1:73" x14ac:dyDescent="0.35">
      <c r="A133" s="7" t="s">
        <v>1379</v>
      </c>
      <c r="B133" s="7" t="s">
        <v>1382</v>
      </c>
      <c r="C133" s="17" t="s">
        <v>190</v>
      </c>
      <c r="D133" s="5" t="s">
        <v>95</v>
      </c>
      <c r="E133" s="5" t="s">
        <v>214</v>
      </c>
      <c r="F133" s="59">
        <v>247.42</v>
      </c>
      <c r="G133" s="5" t="s">
        <v>26</v>
      </c>
      <c r="H133" s="60">
        <v>65.51124999999999</v>
      </c>
      <c r="I133" s="19" t="s">
        <v>27</v>
      </c>
      <c r="J133" s="60">
        <v>0.52875000000001648</v>
      </c>
      <c r="K133" s="5" t="s">
        <v>44</v>
      </c>
      <c r="L133" s="101" t="s">
        <v>192</v>
      </c>
      <c r="M133" s="59">
        <v>0.64021675591511851</v>
      </c>
      <c r="N133" s="59">
        <v>7.4616360961326604</v>
      </c>
      <c r="O133" s="59">
        <f t="shared" si="0"/>
        <v>1.1388360961326587</v>
      </c>
      <c r="AG133" s="107"/>
      <c r="AN133" s="115"/>
      <c r="BU133" s="61"/>
    </row>
    <row r="134" spans="1:73" x14ac:dyDescent="0.35">
      <c r="A134" s="7" t="s">
        <v>1379</v>
      </c>
      <c r="B134" s="7" t="s">
        <v>1382</v>
      </c>
      <c r="C134" s="17" t="s">
        <v>190</v>
      </c>
      <c r="D134" s="5" t="s">
        <v>95</v>
      </c>
      <c r="E134" s="5" t="s">
        <v>130</v>
      </c>
      <c r="F134" s="5">
        <v>250.33</v>
      </c>
      <c r="G134" s="5" t="s">
        <v>26</v>
      </c>
      <c r="H134" s="60">
        <v>66.242521158129179</v>
      </c>
      <c r="I134" s="19" t="s">
        <v>27</v>
      </c>
      <c r="J134" s="60">
        <v>-0.20252115812917282</v>
      </c>
      <c r="K134" s="5" t="s">
        <v>44</v>
      </c>
      <c r="L134" s="101" t="s">
        <v>188</v>
      </c>
      <c r="M134" s="59">
        <v>0.01</v>
      </c>
      <c r="N134" s="59">
        <v>10.019808000000001</v>
      </c>
      <c r="O134" s="59">
        <f t="shared" si="0"/>
        <v>3.6970079999999994</v>
      </c>
      <c r="AG134" s="107"/>
      <c r="AN134" s="115"/>
      <c r="BU134" s="61"/>
    </row>
    <row r="135" spans="1:73" x14ac:dyDescent="0.35">
      <c r="A135" s="7" t="s">
        <v>1379</v>
      </c>
      <c r="B135" s="7" t="s">
        <v>1382</v>
      </c>
      <c r="C135" s="17" t="s">
        <v>190</v>
      </c>
      <c r="D135" s="5" t="s">
        <v>95</v>
      </c>
      <c r="E135" s="5" t="s">
        <v>215</v>
      </c>
      <c r="F135" s="5">
        <v>250.54</v>
      </c>
      <c r="G135" s="5" t="s">
        <v>26</v>
      </c>
      <c r="H135" s="60">
        <v>66.259265033407573</v>
      </c>
      <c r="I135" s="19" t="s">
        <v>27</v>
      </c>
      <c r="J135" s="60">
        <v>-0.21926503340756653</v>
      </c>
      <c r="K135" s="5" t="s">
        <v>44</v>
      </c>
      <c r="L135" s="101" t="s">
        <v>188</v>
      </c>
      <c r="M135" s="59">
        <v>0.21668660524193992</v>
      </c>
      <c r="N135" s="59">
        <v>9.1062119911406718</v>
      </c>
      <c r="O135" s="59">
        <f t="shared" si="0"/>
        <v>2.7834119911406701</v>
      </c>
      <c r="AG135" s="107"/>
      <c r="AN135" s="115"/>
      <c r="BU135" s="61"/>
    </row>
    <row r="136" spans="1:73" x14ac:dyDescent="0.35">
      <c r="A136" s="7" t="s">
        <v>1379</v>
      </c>
      <c r="B136" s="7" t="s">
        <v>1382</v>
      </c>
      <c r="C136" s="17" t="s">
        <v>190</v>
      </c>
      <c r="D136" s="5" t="s">
        <v>95</v>
      </c>
      <c r="E136" s="5" t="s">
        <v>134</v>
      </c>
      <c r="F136" s="5">
        <v>250.67</v>
      </c>
      <c r="G136" s="5" t="s">
        <v>26</v>
      </c>
      <c r="H136" s="60">
        <v>66.269630289532287</v>
      </c>
      <c r="I136" s="19" t="s">
        <v>27</v>
      </c>
      <c r="J136" s="60">
        <v>-0.22963028953228104</v>
      </c>
      <c r="K136" s="5" t="s">
        <v>44</v>
      </c>
      <c r="L136" s="101" t="s">
        <v>188</v>
      </c>
      <c r="M136" s="59">
        <v>0.01</v>
      </c>
      <c r="N136" s="59">
        <v>10.019808000000001</v>
      </c>
      <c r="O136" s="59">
        <f t="shared" si="0"/>
        <v>3.6970079999999994</v>
      </c>
      <c r="AG136" s="107"/>
      <c r="AN136" s="115"/>
      <c r="BU136" s="61"/>
    </row>
    <row r="137" spans="1:73" x14ac:dyDescent="0.35">
      <c r="A137" s="7" t="s">
        <v>1379</v>
      </c>
      <c r="B137" s="7" t="s">
        <v>1382</v>
      </c>
      <c r="C137" s="17" t="s">
        <v>190</v>
      </c>
      <c r="D137" s="5" t="s">
        <v>95</v>
      </c>
      <c r="E137" s="5" t="s">
        <v>216</v>
      </c>
      <c r="F137" s="5">
        <v>250.87</v>
      </c>
      <c r="G137" s="5" t="s">
        <v>26</v>
      </c>
      <c r="H137" s="60">
        <v>66.285576837416485</v>
      </c>
      <c r="I137" s="19" t="s">
        <v>27</v>
      </c>
      <c r="J137" s="60">
        <v>-0.24557683741647907</v>
      </c>
      <c r="K137" s="5" t="s">
        <v>44</v>
      </c>
      <c r="L137" s="101" t="s">
        <v>188</v>
      </c>
      <c r="M137" s="59">
        <v>0.1</v>
      </c>
      <c r="N137" s="59">
        <v>9.6216750000000033</v>
      </c>
      <c r="O137" s="59">
        <f t="shared" si="0"/>
        <v>3.2988750000000016</v>
      </c>
      <c r="AG137" s="107"/>
      <c r="AN137" s="115"/>
      <c r="BU137" s="61"/>
    </row>
    <row r="138" spans="1:73" x14ac:dyDescent="0.35">
      <c r="A138" s="7" t="s">
        <v>1379</v>
      </c>
      <c r="B138" s="7" t="s">
        <v>1382</v>
      </c>
      <c r="C138" s="17" t="s">
        <v>190</v>
      </c>
      <c r="D138" s="5" t="s">
        <v>95</v>
      </c>
      <c r="E138" s="5" t="s">
        <v>217</v>
      </c>
      <c r="F138" s="5">
        <v>251.06</v>
      </c>
      <c r="G138" s="5" t="s">
        <v>26</v>
      </c>
      <c r="H138" s="60">
        <v>66.300726057906459</v>
      </c>
      <c r="I138" s="19" t="s">
        <v>27</v>
      </c>
      <c r="J138" s="60">
        <v>-0.26072605790645298</v>
      </c>
      <c r="K138" s="5" t="s">
        <v>44</v>
      </c>
      <c r="L138" s="101" t="s">
        <v>188</v>
      </c>
      <c r="M138" s="59">
        <v>0.67415616562900738</v>
      </c>
      <c r="N138" s="59">
        <v>7.093220250830055</v>
      </c>
      <c r="O138" s="59">
        <f t="shared" si="0"/>
        <v>0.77042025083005328</v>
      </c>
      <c r="AG138" s="107"/>
      <c r="AN138" s="115"/>
      <c r="BU138" s="61"/>
    </row>
    <row r="139" spans="1:73" x14ac:dyDescent="0.35">
      <c r="A139" s="7" t="s">
        <v>1379</v>
      </c>
      <c r="B139" s="7" t="s">
        <v>1382</v>
      </c>
      <c r="C139" s="17" t="s">
        <v>190</v>
      </c>
      <c r="D139" s="5" t="s">
        <v>95</v>
      </c>
      <c r="E139" s="5" t="s">
        <v>136</v>
      </c>
      <c r="F139" s="5">
        <v>251.37</v>
      </c>
      <c r="G139" s="5" t="s">
        <v>26</v>
      </c>
      <c r="H139" s="60">
        <v>66.325443207126952</v>
      </c>
      <c r="I139" s="19" t="s">
        <v>27</v>
      </c>
      <c r="J139" s="60">
        <v>-0.28544320712694571</v>
      </c>
      <c r="K139" s="5" t="s">
        <v>44</v>
      </c>
      <c r="L139" s="101" t="s">
        <v>188</v>
      </c>
      <c r="M139" s="59">
        <v>0.44</v>
      </c>
      <c r="N139" s="59">
        <v>8.1220030000000012</v>
      </c>
      <c r="O139" s="59">
        <f t="shared" si="0"/>
        <v>1.7992029999999994</v>
      </c>
      <c r="AG139" s="107"/>
      <c r="AN139" s="115"/>
      <c r="BU139" s="61"/>
    </row>
    <row r="140" spans="1:73" x14ac:dyDescent="0.35">
      <c r="A140" s="7" t="s">
        <v>1379</v>
      </c>
      <c r="B140" s="7" t="s">
        <v>1382</v>
      </c>
      <c r="C140" s="17" t="s">
        <v>190</v>
      </c>
      <c r="D140" s="5" t="s">
        <v>95</v>
      </c>
      <c r="E140" s="5" t="s">
        <v>136</v>
      </c>
      <c r="F140" s="5">
        <v>251.37</v>
      </c>
      <c r="G140" s="5" t="s">
        <v>26</v>
      </c>
      <c r="H140" s="60">
        <v>66.325443207126952</v>
      </c>
      <c r="I140" s="19" t="s">
        <v>27</v>
      </c>
      <c r="J140" s="60">
        <v>-0.28544320712694571</v>
      </c>
      <c r="K140" s="5" t="s">
        <v>44</v>
      </c>
      <c r="L140" s="101" t="s">
        <v>192</v>
      </c>
      <c r="M140" s="59">
        <v>0.59</v>
      </c>
      <c r="N140" s="59">
        <v>7.6822430000000033</v>
      </c>
      <c r="O140" s="59">
        <f t="shared" si="0"/>
        <v>1.3594430000000015</v>
      </c>
      <c r="AG140" s="107"/>
      <c r="AN140" s="115"/>
      <c r="BU140" s="61"/>
    </row>
    <row r="141" spans="1:73" x14ac:dyDescent="0.35">
      <c r="A141" s="7" t="s">
        <v>1379</v>
      </c>
      <c r="B141" s="7" t="s">
        <v>1382</v>
      </c>
      <c r="C141" s="17" t="s">
        <v>190</v>
      </c>
      <c r="D141" s="5" t="s">
        <v>95</v>
      </c>
      <c r="E141" s="5" t="s">
        <v>219</v>
      </c>
      <c r="F141" s="5">
        <v>251.60999999999999</v>
      </c>
      <c r="G141" s="5" t="s">
        <v>26</v>
      </c>
      <c r="H141" s="60">
        <v>66.344579064587975</v>
      </c>
      <c r="I141" s="19" t="s">
        <v>27</v>
      </c>
      <c r="J141" s="60">
        <v>-0.30457906458796913</v>
      </c>
      <c r="K141" s="5" t="s">
        <v>44</v>
      </c>
      <c r="L141" s="101" t="s">
        <v>188</v>
      </c>
      <c r="M141" s="59">
        <v>0.87048419145693234</v>
      </c>
      <c r="N141" s="59">
        <v>6.2331737662474573</v>
      </c>
      <c r="O141" s="59">
        <f t="shared" si="0"/>
        <v>-8.9626233752544415E-2</v>
      </c>
      <c r="AG141" s="107"/>
      <c r="AN141" s="115"/>
      <c r="BU141" s="61"/>
    </row>
    <row r="142" spans="1:73" x14ac:dyDescent="0.35">
      <c r="A142" s="7" t="s">
        <v>1379</v>
      </c>
      <c r="B142" s="7" t="s">
        <v>1382</v>
      </c>
      <c r="C142" s="17" t="s">
        <v>190</v>
      </c>
      <c r="D142" s="5" t="s">
        <v>95</v>
      </c>
      <c r="E142" s="5" t="s">
        <v>137</v>
      </c>
      <c r="F142" s="5">
        <v>251.97</v>
      </c>
      <c r="G142" s="5" t="s">
        <v>26</v>
      </c>
      <c r="H142" s="60">
        <v>66.373282850779503</v>
      </c>
      <c r="I142" s="19" t="s">
        <v>27</v>
      </c>
      <c r="J142" s="60">
        <v>-0.33328285077949715</v>
      </c>
      <c r="K142" s="5" t="s">
        <v>44</v>
      </c>
      <c r="L142" s="101" t="s">
        <v>188</v>
      </c>
      <c r="M142" s="59">
        <v>0.73</v>
      </c>
      <c r="N142" s="59">
        <v>6.8483520000000011</v>
      </c>
      <c r="O142" s="59">
        <f t="shared" si="0"/>
        <v>0.52555199999999935</v>
      </c>
      <c r="AG142" s="107"/>
      <c r="AN142" s="115"/>
      <c r="BU142" s="61"/>
    </row>
    <row r="143" spans="1:73" x14ac:dyDescent="0.35">
      <c r="A143" s="7" t="s">
        <v>1379</v>
      </c>
      <c r="B143" s="7" t="s">
        <v>1382</v>
      </c>
      <c r="C143" s="17" t="s">
        <v>190</v>
      </c>
      <c r="D143" s="5" t="s">
        <v>95</v>
      </c>
      <c r="E143" s="5" t="s">
        <v>137</v>
      </c>
      <c r="F143" s="5">
        <v>251.97</v>
      </c>
      <c r="G143" s="5" t="s">
        <v>26</v>
      </c>
      <c r="H143" s="60">
        <v>66.373282850779503</v>
      </c>
      <c r="I143" s="19" t="s">
        <v>27</v>
      </c>
      <c r="J143" s="60">
        <v>-0.33328285077949715</v>
      </c>
      <c r="K143" s="5" t="s">
        <v>44</v>
      </c>
      <c r="L143" s="101" t="s">
        <v>188</v>
      </c>
      <c r="M143" s="59">
        <v>0.64</v>
      </c>
      <c r="N143" s="59">
        <v>7.2430830000000013</v>
      </c>
      <c r="O143" s="59">
        <f t="shared" si="0"/>
        <v>0.92028299999999952</v>
      </c>
      <c r="AG143" s="107"/>
      <c r="AN143" s="115"/>
      <c r="BU143" s="61"/>
    </row>
    <row r="144" spans="1:73" x14ac:dyDescent="0.35">
      <c r="A144" s="7" t="s">
        <v>1379</v>
      </c>
      <c r="B144" s="7" t="s">
        <v>1382</v>
      </c>
      <c r="C144" s="17" t="s">
        <v>190</v>
      </c>
      <c r="D144" s="5" t="s">
        <v>95</v>
      </c>
      <c r="E144" s="5" t="s">
        <v>137</v>
      </c>
      <c r="F144" s="5">
        <v>251.97</v>
      </c>
      <c r="G144" s="5" t="s">
        <v>26</v>
      </c>
      <c r="H144" s="60">
        <v>66.373282850779503</v>
      </c>
      <c r="I144" s="19" t="s">
        <v>27</v>
      </c>
      <c r="J144" s="60">
        <v>-0.33328285077949715</v>
      </c>
      <c r="K144" s="5" t="s">
        <v>44</v>
      </c>
      <c r="L144" s="101" t="s">
        <v>192</v>
      </c>
      <c r="M144" s="59">
        <v>0.37</v>
      </c>
      <c r="N144" s="59">
        <v>8.6505070000000028</v>
      </c>
      <c r="O144" s="59">
        <f t="shared" si="0"/>
        <v>2.3277070000000011</v>
      </c>
      <c r="AG144" s="107"/>
      <c r="AN144" s="115"/>
      <c r="BU144" s="61"/>
    </row>
    <row r="145" spans="1:73" x14ac:dyDescent="0.35">
      <c r="A145" s="7" t="s">
        <v>1379</v>
      </c>
      <c r="B145" s="7" t="s">
        <v>1382</v>
      </c>
      <c r="C145" s="17" t="s">
        <v>190</v>
      </c>
      <c r="D145" s="5" t="s">
        <v>95</v>
      </c>
      <c r="E145" s="5" t="s">
        <v>221</v>
      </c>
      <c r="F145" s="5">
        <v>252.06</v>
      </c>
      <c r="G145" s="5" t="s">
        <v>26</v>
      </c>
      <c r="H145" s="60">
        <v>66.380458797327393</v>
      </c>
      <c r="I145" s="19" t="s">
        <v>27</v>
      </c>
      <c r="J145" s="60">
        <v>-0.34045879732738626</v>
      </c>
      <c r="K145" s="5" t="s">
        <v>44</v>
      </c>
      <c r="L145" s="101" t="s">
        <v>188</v>
      </c>
      <c r="M145" s="59">
        <v>1.0294494066726025</v>
      </c>
      <c r="N145" s="59">
        <v>5.5384954590873479</v>
      </c>
      <c r="O145" s="59">
        <f t="shared" si="0"/>
        <v>-0.78430454091265389</v>
      </c>
      <c r="AG145" s="107"/>
      <c r="AN145" s="115"/>
      <c r="BU145" s="61"/>
    </row>
    <row r="146" spans="1:73" x14ac:dyDescent="0.35">
      <c r="A146" s="7" t="s">
        <v>1379</v>
      </c>
      <c r="B146" s="7" t="s">
        <v>1382</v>
      </c>
      <c r="C146" s="17" t="s">
        <v>190</v>
      </c>
      <c r="D146" s="5" t="s">
        <v>95</v>
      </c>
      <c r="E146" s="5" t="s">
        <v>222</v>
      </c>
      <c r="F146" s="5">
        <v>252.42</v>
      </c>
      <c r="G146" s="5" t="s">
        <v>26</v>
      </c>
      <c r="H146" s="60">
        <v>66.417783675513263</v>
      </c>
      <c r="I146" s="19" t="s">
        <v>27</v>
      </c>
      <c r="J146" s="60">
        <v>-0.37778367551325687</v>
      </c>
      <c r="K146" s="5" t="s">
        <v>44</v>
      </c>
      <c r="L146" s="101" t="s">
        <v>188</v>
      </c>
      <c r="M146" s="59">
        <v>0.80876438678101148</v>
      </c>
      <c r="N146" s="59">
        <v>6.5032980547202222</v>
      </c>
      <c r="O146" s="59">
        <f t="shared" si="0"/>
        <v>0.1804980547202204</v>
      </c>
      <c r="AG146" s="107"/>
      <c r="AN146" s="115"/>
      <c r="BU146" s="61"/>
    </row>
    <row r="147" spans="1:73" x14ac:dyDescent="0.35">
      <c r="A147" s="7" t="s">
        <v>1379</v>
      </c>
      <c r="B147" s="7" t="s">
        <v>1382</v>
      </c>
      <c r="C147" s="17" t="s">
        <v>190</v>
      </c>
      <c r="D147" s="5" t="s">
        <v>95</v>
      </c>
      <c r="E147" s="5" t="s">
        <v>223</v>
      </c>
      <c r="F147" s="5">
        <v>252.5</v>
      </c>
      <c r="G147" s="5" t="s">
        <v>26</v>
      </c>
      <c r="H147" s="60">
        <v>66.429088632949416</v>
      </c>
      <c r="I147" s="19" t="s">
        <v>27</v>
      </c>
      <c r="J147" s="60">
        <v>-0.38908863294940943</v>
      </c>
      <c r="K147" s="5" t="s">
        <v>44</v>
      </c>
      <c r="L147" s="101" t="s">
        <v>188</v>
      </c>
      <c r="M147" s="59">
        <v>0.76</v>
      </c>
      <c r="N147" s="59">
        <v>6.7168830000000046</v>
      </c>
      <c r="O147" s="59">
        <f t="shared" si="0"/>
        <v>0.39408300000000285</v>
      </c>
      <c r="AG147" s="107"/>
      <c r="AN147" s="115"/>
      <c r="BU147" s="61"/>
    </row>
    <row r="148" spans="1:73" x14ac:dyDescent="0.35">
      <c r="A148" s="7" t="s">
        <v>1379</v>
      </c>
      <c r="B148" s="7" t="s">
        <v>1382</v>
      </c>
      <c r="C148" s="17" t="s">
        <v>190</v>
      </c>
      <c r="D148" s="5" t="s">
        <v>95</v>
      </c>
      <c r="E148" s="5" t="s">
        <v>223</v>
      </c>
      <c r="F148" s="5">
        <v>252.5</v>
      </c>
      <c r="G148" s="5" t="s">
        <v>26</v>
      </c>
      <c r="H148" s="60">
        <v>66.429088632949416</v>
      </c>
      <c r="I148" s="19" t="s">
        <v>27</v>
      </c>
      <c r="J148" s="60">
        <v>-0.38908863294940943</v>
      </c>
      <c r="K148" s="5" t="s">
        <v>44</v>
      </c>
      <c r="L148" s="101" t="s">
        <v>192</v>
      </c>
      <c r="M148" s="59">
        <v>0.78</v>
      </c>
      <c r="N148" s="59">
        <v>6.8483520000000011</v>
      </c>
      <c r="O148" s="59">
        <f t="shared" si="0"/>
        <v>0.52555199999999935</v>
      </c>
      <c r="AG148" s="107"/>
      <c r="AN148" s="115"/>
      <c r="BU148" s="61"/>
    </row>
    <row r="149" spans="1:73" x14ac:dyDescent="0.35">
      <c r="A149" s="7" t="s">
        <v>1379</v>
      </c>
      <c r="B149" s="7" t="s">
        <v>1382</v>
      </c>
      <c r="C149" s="17" t="s">
        <v>190</v>
      </c>
      <c r="D149" s="5" t="s">
        <v>95</v>
      </c>
      <c r="E149" s="5" t="s">
        <v>223</v>
      </c>
      <c r="F149" s="5">
        <v>252.5</v>
      </c>
      <c r="G149" s="5" t="s">
        <v>26</v>
      </c>
      <c r="H149" s="60">
        <v>66.429088632949416</v>
      </c>
      <c r="I149" s="19" t="s">
        <v>27</v>
      </c>
      <c r="J149" s="60">
        <v>-0.38908863294940943</v>
      </c>
      <c r="K149" s="5" t="s">
        <v>44</v>
      </c>
      <c r="L149" s="101" t="s">
        <v>192</v>
      </c>
      <c r="M149" s="59">
        <v>0.7</v>
      </c>
      <c r="N149" s="59">
        <v>7.199200000000002</v>
      </c>
      <c r="O149" s="59">
        <f t="shared" si="0"/>
        <v>0.87640000000000029</v>
      </c>
      <c r="AG149" s="107"/>
      <c r="AN149" s="115"/>
      <c r="BU149" s="61"/>
    </row>
    <row r="150" spans="1:73" x14ac:dyDescent="0.35">
      <c r="A150" s="7" t="s">
        <v>1379</v>
      </c>
      <c r="B150" s="7" t="s">
        <v>1382</v>
      </c>
      <c r="C150" s="17" t="s">
        <v>190</v>
      </c>
      <c r="D150" s="5" t="s">
        <v>95</v>
      </c>
      <c r="E150" s="5" t="s">
        <v>224</v>
      </c>
      <c r="F150" s="5">
        <v>252.89500000000001</v>
      </c>
      <c r="G150" s="5" t="s">
        <v>26</v>
      </c>
      <c r="H150" s="60">
        <v>66.484906860290437</v>
      </c>
      <c r="I150" s="19" t="s">
        <v>27</v>
      </c>
      <c r="J150" s="60">
        <v>-0.44490686029043047</v>
      </c>
      <c r="K150" s="5" t="s">
        <v>44</v>
      </c>
      <c r="L150" s="101" t="s">
        <v>188</v>
      </c>
      <c r="M150" s="59">
        <v>1.0904858305199692</v>
      </c>
      <c r="N150" s="59">
        <v>5.2721690086850428</v>
      </c>
      <c r="O150" s="59">
        <f t="shared" si="0"/>
        <v>-1.050630991314959</v>
      </c>
      <c r="AG150" s="107"/>
      <c r="AN150" s="115"/>
      <c r="BU150" s="61"/>
    </row>
    <row r="151" spans="1:73" x14ac:dyDescent="0.35">
      <c r="A151" s="7" t="s">
        <v>1379</v>
      </c>
      <c r="B151" s="7" t="s">
        <v>1382</v>
      </c>
      <c r="C151" s="17"/>
      <c r="D151" s="5"/>
      <c r="E151" s="5"/>
      <c r="F151" s="59"/>
      <c r="G151" s="5"/>
      <c r="H151" s="60"/>
      <c r="I151" s="19"/>
      <c r="J151" s="60"/>
      <c r="K151" s="5"/>
      <c r="L151" s="5"/>
      <c r="M151" s="59"/>
      <c r="N151" s="59"/>
      <c r="O151" s="59"/>
      <c r="AG151" s="107"/>
      <c r="AN151" s="115"/>
      <c r="BU151" s="61"/>
    </row>
    <row r="152" spans="1:73" x14ac:dyDescent="0.35">
      <c r="A152" s="7" t="s">
        <v>1379</v>
      </c>
      <c r="B152" s="7" t="s">
        <v>1382</v>
      </c>
      <c r="C152" s="17" t="s">
        <v>225</v>
      </c>
      <c r="D152" s="5" t="s">
        <v>226</v>
      </c>
      <c r="E152" s="5" t="s">
        <v>227</v>
      </c>
      <c r="F152" s="5">
        <v>256.25</v>
      </c>
      <c r="G152" s="5" t="s">
        <v>228</v>
      </c>
      <c r="H152" s="19">
        <v>64.703749999999999</v>
      </c>
      <c r="I152" s="19" t="s">
        <v>40</v>
      </c>
      <c r="J152" s="19">
        <v>1.3182500000000061</v>
      </c>
      <c r="K152" s="5" t="s">
        <v>44</v>
      </c>
      <c r="L152" s="101" t="s">
        <v>188</v>
      </c>
      <c r="M152" s="59">
        <v>3.32E-2</v>
      </c>
      <c r="N152" s="59">
        <v>9.9121186227200031</v>
      </c>
      <c r="O152" s="59">
        <v>2.0840334304400017</v>
      </c>
      <c r="AG152" s="107"/>
      <c r="AN152" s="115"/>
      <c r="BU152" s="61"/>
    </row>
    <row r="153" spans="1:73" x14ac:dyDescent="0.35">
      <c r="A153" s="7" t="s">
        <v>1379</v>
      </c>
      <c r="B153" s="7" t="s">
        <v>1382</v>
      </c>
      <c r="C153" s="17" t="s">
        <v>225</v>
      </c>
      <c r="D153" s="5" t="s">
        <v>226</v>
      </c>
      <c r="E153" s="5" t="s">
        <v>229</v>
      </c>
      <c r="F153" s="5">
        <v>256.29000000000002</v>
      </c>
      <c r="G153" s="5" t="s">
        <v>228</v>
      </c>
      <c r="H153" s="19">
        <v>64.712083333333339</v>
      </c>
      <c r="I153" s="19" t="s">
        <v>40</v>
      </c>
      <c r="J153" s="19">
        <v>1.3099166666666662</v>
      </c>
      <c r="K153" s="5" t="s">
        <v>44</v>
      </c>
      <c r="L153" s="101" t="s">
        <v>188</v>
      </c>
      <c r="M153" s="59">
        <v>8.2500000000000004E-2</v>
      </c>
      <c r="N153" s="59">
        <v>9.6937215750000032</v>
      </c>
      <c r="O153" s="59">
        <v>1.8656363827200018</v>
      </c>
      <c r="AG153" s="107"/>
      <c r="AN153" s="115"/>
      <c r="BU153" s="61"/>
    </row>
    <row r="154" spans="1:73" x14ac:dyDescent="0.35">
      <c r="A154" s="7" t="s">
        <v>1379</v>
      </c>
      <c r="B154" s="7" t="s">
        <v>1382</v>
      </c>
      <c r="C154" s="17" t="s">
        <v>225</v>
      </c>
      <c r="D154" s="5" t="s">
        <v>226</v>
      </c>
      <c r="E154" s="5" t="s">
        <v>230</v>
      </c>
      <c r="F154" s="5">
        <v>256.33</v>
      </c>
      <c r="G154" s="5" t="s">
        <v>228</v>
      </c>
      <c r="H154" s="19">
        <v>64.720416666666665</v>
      </c>
      <c r="I154" s="19" t="s">
        <v>40</v>
      </c>
      <c r="J154" s="19">
        <v>1.3015833333333404</v>
      </c>
      <c r="K154" s="5" t="s">
        <v>44</v>
      </c>
      <c r="L154" s="101" t="s">
        <v>188</v>
      </c>
      <c r="M154" s="59">
        <v>0.1231</v>
      </c>
      <c r="N154" s="59">
        <v>9.5139673810800023</v>
      </c>
      <c r="O154" s="59">
        <v>1.6858821888000008</v>
      </c>
      <c r="AG154" s="107"/>
      <c r="AN154" s="115"/>
      <c r="BU154" s="61"/>
    </row>
    <row r="155" spans="1:73" x14ac:dyDescent="0.35">
      <c r="A155" s="7" t="s">
        <v>1379</v>
      </c>
      <c r="B155" s="7" t="s">
        <v>1382</v>
      </c>
      <c r="C155" s="17" t="s">
        <v>225</v>
      </c>
      <c r="D155" s="5" t="s">
        <v>226</v>
      </c>
      <c r="E155" s="5" t="s">
        <v>231</v>
      </c>
      <c r="F155" s="5">
        <v>256.37</v>
      </c>
      <c r="G155" s="5" t="s">
        <v>228</v>
      </c>
      <c r="H155" s="19">
        <v>64.728750000000005</v>
      </c>
      <c r="I155" s="19" t="s">
        <v>40</v>
      </c>
      <c r="J155" s="19">
        <v>1.2932500000000005</v>
      </c>
      <c r="K155" s="5" t="s">
        <v>44</v>
      </c>
      <c r="L155" s="101" t="s">
        <v>188</v>
      </c>
      <c r="M155" s="59">
        <v>9.35E-2</v>
      </c>
      <c r="N155" s="59">
        <v>9.645010583000003</v>
      </c>
      <c r="O155" s="59">
        <v>1.8169253907200016</v>
      </c>
      <c r="AG155" s="107"/>
      <c r="AN155" s="115"/>
      <c r="BU155" s="61"/>
    </row>
    <row r="156" spans="1:73" x14ac:dyDescent="0.35">
      <c r="A156" s="7" t="s">
        <v>1379</v>
      </c>
      <c r="B156" s="7" t="s">
        <v>1382</v>
      </c>
      <c r="C156" s="17" t="s">
        <v>225</v>
      </c>
      <c r="D156" s="5" t="s">
        <v>226</v>
      </c>
      <c r="E156" s="5" t="s">
        <v>232</v>
      </c>
      <c r="F156" s="5">
        <v>256.41000000000003</v>
      </c>
      <c r="G156" s="5" t="s">
        <v>228</v>
      </c>
      <c r="H156" s="19">
        <v>64.73720454545456</v>
      </c>
      <c r="I156" s="19" t="s">
        <v>40</v>
      </c>
      <c r="J156" s="19">
        <v>1.2847954545454456</v>
      </c>
      <c r="K156" s="5" t="s">
        <v>44</v>
      </c>
      <c r="L156" s="101" t="s">
        <v>188</v>
      </c>
      <c r="M156" s="59">
        <v>0.1003</v>
      </c>
      <c r="N156" s="59">
        <v>9.6149017225200009</v>
      </c>
      <c r="O156" s="59">
        <v>1.7868165302399994</v>
      </c>
      <c r="AG156" s="107"/>
      <c r="AN156" s="115"/>
      <c r="BU156" s="61"/>
    </row>
    <row r="157" spans="1:73" x14ac:dyDescent="0.35">
      <c r="A157" s="7" t="s">
        <v>1379</v>
      </c>
      <c r="B157" s="7" t="s">
        <v>1382</v>
      </c>
      <c r="C157" s="17" t="s">
        <v>225</v>
      </c>
      <c r="D157" s="5" t="s">
        <v>226</v>
      </c>
      <c r="E157" s="5" t="s">
        <v>233</v>
      </c>
      <c r="F157" s="5">
        <v>256.45</v>
      </c>
      <c r="G157" s="5" t="s">
        <v>228</v>
      </c>
      <c r="H157" s="19">
        <v>64.746022727272731</v>
      </c>
      <c r="I157" s="19" t="s">
        <v>40</v>
      </c>
      <c r="J157" s="19">
        <v>1.2759772727272747</v>
      </c>
      <c r="K157" s="5" t="s">
        <v>44</v>
      </c>
      <c r="L157" s="101" t="s">
        <v>188</v>
      </c>
      <c r="M157" s="59">
        <v>0.19370000000000001</v>
      </c>
      <c r="N157" s="59">
        <v>9.2016097113200015</v>
      </c>
      <c r="O157" s="59">
        <v>1.3735245190400001</v>
      </c>
      <c r="AG157" s="107"/>
      <c r="AN157" s="115"/>
      <c r="BU157" s="61"/>
    </row>
    <row r="158" spans="1:73" x14ac:dyDescent="0.35">
      <c r="A158" s="7" t="s">
        <v>1379</v>
      </c>
      <c r="B158" s="7" t="s">
        <v>1382</v>
      </c>
      <c r="C158" s="17" t="s">
        <v>225</v>
      </c>
      <c r="D158" s="5" t="s">
        <v>226</v>
      </c>
      <c r="E158" s="5" t="s">
        <v>234</v>
      </c>
      <c r="F158" s="5">
        <v>256.49</v>
      </c>
      <c r="G158" s="5" t="s">
        <v>228</v>
      </c>
      <c r="H158" s="19">
        <v>64.754840909090916</v>
      </c>
      <c r="I158" s="19" t="s">
        <v>40</v>
      </c>
      <c r="J158" s="19">
        <v>1.2671590909090895</v>
      </c>
      <c r="K158" s="5" t="s">
        <v>44</v>
      </c>
      <c r="L158" s="101" t="s">
        <v>188</v>
      </c>
      <c r="M158" s="59">
        <v>0.12540000000000001</v>
      </c>
      <c r="N158" s="59">
        <v>9.5037870244800029</v>
      </c>
      <c r="O158" s="59">
        <v>1.6757018322000015</v>
      </c>
      <c r="AG158" s="107"/>
      <c r="AN158" s="115"/>
      <c r="BU158" s="61"/>
    </row>
    <row r="159" spans="1:73" x14ac:dyDescent="0.35">
      <c r="A159" s="7" t="s">
        <v>1379</v>
      </c>
      <c r="B159" s="7" t="s">
        <v>1382</v>
      </c>
      <c r="C159" s="17" t="s">
        <v>225</v>
      </c>
      <c r="D159" s="5" t="s">
        <v>226</v>
      </c>
      <c r="E159" s="5" t="s">
        <v>235</v>
      </c>
      <c r="F159" s="5">
        <v>256.52999999999997</v>
      </c>
      <c r="G159" s="5" t="s">
        <v>228</v>
      </c>
      <c r="H159" s="19">
        <v>64.763659090909087</v>
      </c>
      <c r="I159" s="19" t="s">
        <v>40</v>
      </c>
      <c r="J159" s="19">
        <v>1.2583409090909186</v>
      </c>
      <c r="K159" s="5" t="s">
        <v>44</v>
      </c>
      <c r="L159" s="101" t="s">
        <v>188</v>
      </c>
      <c r="M159" s="59">
        <v>0.15140000000000001</v>
      </c>
      <c r="N159" s="59">
        <v>9.3887253348800019</v>
      </c>
      <c r="O159" s="59">
        <v>1.5606401426000005</v>
      </c>
      <c r="AG159" s="107"/>
      <c r="AN159" s="115"/>
      <c r="BU159" s="61"/>
    </row>
    <row r="160" spans="1:73" x14ac:dyDescent="0.35">
      <c r="A160" s="7" t="s">
        <v>1379</v>
      </c>
      <c r="B160" s="7" t="s">
        <v>1382</v>
      </c>
      <c r="C160" s="17" t="s">
        <v>225</v>
      </c>
      <c r="D160" s="5" t="s">
        <v>226</v>
      </c>
      <c r="E160" s="5" t="s">
        <v>236</v>
      </c>
      <c r="F160" s="5">
        <v>256.57</v>
      </c>
      <c r="G160" s="5" t="s">
        <v>228</v>
      </c>
      <c r="H160" s="19">
        <v>64.772477272727272</v>
      </c>
      <c r="I160" s="19" t="s">
        <v>40</v>
      </c>
      <c r="J160" s="19">
        <v>1.2495227272727334</v>
      </c>
      <c r="K160" s="5" t="s">
        <v>44</v>
      </c>
      <c r="L160" s="101" t="s">
        <v>188</v>
      </c>
      <c r="M160" s="59">
        <v>0.20219999999999999</v>
      </c>
      <c r="N160" s="59">
        <v>9.1640217355200022</v>
      </c>
      <c r="O160" s="59">
        <v>1.3359365432400008</v>
      </c>
      <c r="AG160" s="107"/>
      <c r="AN160" s="115"/>
      <c r="BU160" s="61"/>
    </row>
    <row r="161" spans="1:73" x14ac:dyDescent="0.35">
      <c r="A161" s="7" t="s">
        <v>1379</v>
      </c>
      <c r="B161" s="7" t="s">
        <v>1382</v>
      </c>
      <c r="C161" s="17" t="s">
        <v>225</v>
      </c>
      <c r="D161" s="5" t="s">
        <v>226</v>
      </c>
      <c r="E161" s="5" t="s">
        <v>237</v>
      </c>
      <c r="F161" s="5">
        <v>256.61</v>
      </c>
      <c r="G161" s="5" t="s">
        <v>228</v>
      </c>
      <c r="H161" s="19">
        <v>64.781295454545457</v>
      </c>
      <c r="I161" s="19" t="s">
        <v>40</v>
      </c>
      <c r="J161" s="19">
        <v>1.2407045454545482</v>
      </c>
      <c r="K161" s="5" t="s">
        <v>44</v>
      </c>
      <c r="L161" s="101" t="s">
        <v>188</v>
      </c>
      <c r="M161" s="59">
        <v>0.16450000000000001</v>
      </c>
      <c r="N161" s="59">
        <v>9.3307662870000012</v>
      </c>
      <c r="O161" s="59">
        <v>1.5026810947199998</v>
      </c>
      <c r="AG161" s="107"/>
      <c r="AN161" s="115"/>
      <c r="BU161" s="61"/>
    </row>
    <row r="162" spans="1:73" x14ac:dyDescent="0.35">
      <c r="A162" s="7" t="s">
        <v>1379</v>
      </c>
      <c r="B162" s="7" t="s">
        <v>1382</v>
      </c>
      <c r="C162" s="17" t="s">
        <v>225</v>
      </c>
      <c r="D162" s="5" t="s">
        <v>226</v>
      </c>
      <c r="E162" s="5" t="s">
        <v>238</v>
      </c>
      <c r="F162" s="5">
        <v>256.64999999999998</v>
      </c>
      <c r="G162" s="5" t="s">
        <v>228</v>
      </c>
      <c r="H162" s="19">
        <v>64.790113636363628</v>
      </c>
      <c r="I162" s="19" t="s">
        <v>40</v>
      </c>
      <c r="J162" s="19">
        <v>1.2318863636363773</v>
      </c>
      <c r="K162" s="5" t="s">
        <v>44</v>
      </c>
      <c r="L162" s="101" t="s">
        <v>188</v>
      </c>
      <c r="M162" s="59">
        <v>0.1822</v>
      </c>
      <c r="N162" s="59">
        <v>9.2524704715200023</v>
      </c>
      <c r="O162" s="59">
        <v>1.4243852792400009</v>
      </c>
      <c r="AG162" s="107"/>
      <c r="AN162" s="115"/>
      <c r="BU162" s="61"/>
    </row>
    <row r="163" spans="1:73" x14ac:dyDescent="0.35">
      <c r="A163" s="7" t="s">
        <v>1379</v>
      </c>
      <c r="B163" s="7" t="s">
        <v>1382</v>
      </c>
      <c r="C163" s="17" t="s">
        <v>225</v>
      </c>
      <c r="D163" s="5" t="s">
        <v>226</v>
      </c>
      <c r="E163" s="5" t="s">
        <v>239</v>
      </c>
      <c r="F163" s="5">
        <v>256.69</v>
      </c>
      <c r="G163" s="5" t="s">
        <v>228</v>
      </c>
      <c r="H163" s="19">
        <v>64.798931818181813</v>
      </c>
      <c r="I163" s="19" t="s">
        <v>40</v>
      </c>
      <c r="J163" s="19">
        <v>1.2230681818181921</v>
      </c>
      <c r="K163" s="5" t="s">
        <v>44</v>
      </c>
      <c r="L163" s="101" t="s">
        <v>188</v>
      </c>
      <c r="M163" s="59">
        <v>0.1822</v>
      </c>
      <c r="N163" s="59">
        <v>9.2524704715200023</v>
      </c>
      <c r="O163" s="59">
        <v>1.4243852792400009</v>
      </c>
      <c r="AG163" s="107"/>
      <c r="AN163" s="115"/>
      <c r="BU163" s="61"/>
    </row>
    <row r="164" spans="1:73" x14ac:dyDescent="0.35">
      <c r="A164" s="7" t="s">
        <v>1379</v>
      </c>
      <c r="B164" s="7" t="s">
        <v>1382</v>
      </c>
      <c r="C164" s="17" t="s">
        <v>225</v>
      </c>
      <c r="D164" s="5" t="s">
        <v>226</v>
      </c>
      <c r="E164" s="5" t="s">
        <v>240</v>
      </c>
      <c r="F164" s="5">
        <v>256.73</v>
      </c>
      <c r="G164" s="5" t="s">
        <v>228</v>
      </c>
      <c r="H164" s="19">
        <v>64.807749999999999</v>
      </c>
      <c r="I164" s="19" t="s">
        <v>40</v>
      </c>
      <c r="J164" s="19">
        <v>1.2142500000000069</v>
      </c>
      <c r="K164" s="5" t="s">
        <v>44</v>
      </c>
      <c r="L164" s="101" t="s">
        <v>188</v>
      </c>
      <c r="M164" s="59">
        <v>0.1709</v>
      </c>
      <c r="N164" s="59">
        <v>9.3024539106800024</v>
      </c>
      <c r="O164" s="59">
        <v>1.4743687184000009</v>
      </c>
      <c r="AG164" s="107"/>
      <c r="AN164" s="115"/>
      <c r="BU164" s="61"/>
    </row>
    <row r="165" spans="1:73" x14ac:dyDescent="0.35">
      <c r="A165" s="7" t="s">
        <v>1379</v>
      </c>
      <c r="B165" s="7" t="s">
        <v>1382</v>
      </c>
      <c r="C165" s="17" t="s">
        <v>225</v>
      </c>
      <c r="D165" s="5" t="s">
        <v>226</v>
      </c>
      <c r="E165" s="5" t="s">
        <v>241</v>
      </c>
      <c r="F165" s="5">
        <v>256.77</v>
      </c>
      <c r="G165" s="5" t="s">
        <v>228</v>
      </c>
      <c r="H165" s="19">
        <v>64.816568181818184</v>
      </c>
      <c r="I165" s="19" t="s">
        <v>40</v>
      </c>
      <c r="J165" s="19">
        <v>1.2054318181818218</v>
      </c>
      <c r="K165" s="5" t="s">
        <v>44</v>
      </c>
      <c r="L165" s="101" t="s">
        <v>188</v>
      </c>
      <c r="M165" s="59">
        <v>0.16139999999999999</v>
      </c>
      <c r="N165" s="59">
        <v>9.3444809188800022</v>
      </c>
      <c r="O165" s="59">
        <v>1.5163957266000008</v>
      </c>
      <c r="AG165" s="107"/>
      <c r="AN165" s="115"/>
      <c r="BU165" s="61"/>
    </row>
    <row r="166" spans="1:73" x14ac:dyDescent="0.35">
      <c r="A166" s="7" t="s">
        <v>1379</v>
      </c>
      <c r="B166" s="7" t="s">
        <v>1382</v>
      </c>
      <c r="C166" s="17" t="s">
        <v>225</v>
      </c>
      <c r="D166" s="5" t="s">
        <v>226</v>
      </c>
      <c r="E166" s="5" t="s">
        <v>242</v>
      </c>
      <c r="F166" s="5">
        <v>256.81</v>
      </c>
      <c r="G166" s="5" t="s">
        <v>228</v>
      </c>
      <c r="H166" s="19">
        <v>64.825386363636369</v>
      </c>
      <c r="I166" s="19" t="s">
        <v>40</v>
      </c>
      <c r="J166" s="19">
        <v>1.1966136363636366</v>
      </c>
      <c r="K166" s="5" t="s">
        <v>44</v>
      </c>
      <c r="L166" s="101" t="s">
        <v>188</v>
      </c>
      <c r="M166" s="59">
        <v>0.19689999999999999</v>
      </c>
      <c r="N166" s="59">
        <v>9.1874584690800027</v>
      </c>
      <c r="O166" s="59">
        <v>1.3593732768000013</v>
      </c>
      <c r="AG166" s="107"/>
      <c r="AN166" s="115"/>
      <c r="BU166" s="61"/>
    </row>
    <row r="167" spans="1:73" x14ac:dyDescent="0.35">
      <c r="A167" s="7" t="s">
        <v>1379</v>
      </c>
      <c r="B167" s="7" t="s">
        <v>1382</v>
      </c>
      <c r="C167" s="17" t="s">
        <v>225</v>
      </c>
      <c r="D167" s="5" t="s">
        <v>226</v>
      </c>
      <c r="E167" s="5" t="s">
        <v>243</v>
      </c>
      <c r="F167" s="5">
        <v>256.85000000000002</v>
      </c>
      <c r="G167" s="5" t="s">
        <v>228</v>
      </c>
      <c r="H167" s="19">
        <v>64.835846153846163</v>
      </c>
      <c r="I167" s="19" t="s">
        <v>40</v>
      </c>
      <c r="J167" s="19">
        <v>1.186153846153843</v>
      </c>
      <c r="K167" s="5" t="s">
        <v>44</v>
      </c>
      <c r="L167" s="101" t="s">
        <v>188</v>
      </c>
      <c r="M167" s="59">
        <v>8.9300000000000004E-2</v>
      </c>
      <c r="N167" s="59">
        <v>9.6636085257200026</v>
      </c>
      <c r="O167" s="59">
        <v>1.8355233334400012</v>
      </c>
      <c r="AG167" s="107"/>
      <c r="AN167" s="115"/>
      <c r="BU167" s="61"/>
    </row>
    <row r="168" spans="1:73" x14ac:dyDescent="0.35">
      <c r="A168" s="7" t="s">
        <v>1379</v>
      </c>
      <c r="B168" s="7" t="s">
        <v>1382</v>
      </c>
      <c r="C168" s="17" t="s">
        <v>225</v>
      </c>
      <c r="D168" s="5" t="s">
        <v>226</v>
      </c>
      <c r="E168" s="5" t="s">
        <v>244</v>
      </c>
      <c r="F168" s="5">
        <v>256.89</v>
      </c>
      <c r="G168" s="5" t="s">
        <v>228</v>
      </c>
      <c r="H168" s="19">
        <v>64.851230769230767</v>
      </c>
      <c r="I168" s="19" t="s">
        <v>40</v>
      </c>
      <c r="J168" s="19">
        <v>1.1707692307692383</v>
      </c>
      <c r="K168" s="5" t="s">
        <v>44</v>
      </c>
      <c r="L168" s="101" t="s">
        <v>188</v>
      </c>
      <c r="M168" s="59">
        <v>8.72E-2</v>
      </c>
      <c r="N168" s="59">
        <v>9.6729078675200011</v>
      </c>
      <c r="O168" s="59">
        <v>1.8448226752399997</v>
      </c>
      <c r="AG168" s="107"/>
      <c r="AN168" s="115"/>
      <c r="BU168" s="61"/>
    </row>
    <row r="169" spans="1:73" x14ac:dyDescent="0.35">
      <c r="A169" s="7" t="s">
        <v>1379</v>
      </c>
      <c r="B169" s="7" t="s">
        <v>1382</v>
      </c>
      <c r="C169" s="17" t="s">
        <v>225</v>
      </c>
      <c r="D169" s="5" t="s">
        <v>226</v>
      </c>
      <c r="E169" s="5" t="s">
        <v>245</v>
      </c>
      <c r="F169" s="5">
        <v>256.93</v>
      </c>
      <c r="G169" s="5" t="s">
        <v>228</v>
      </c>
      <c r="H169" s="19">
        <v>64.866615384615386</v>
      </c>
      <c r="I169" s="19" t="s">
        <v>40</v>
      </c>
      <c r="J169" s="19">
        <v>1.1553846153846195</v>
      </c>
      <c r="K169" s="5" t="s">
        <v>44</v>
      </c>
      <c r="L169" s="101" t="s">
        <v>188</v>
      </c>
      <c r="M169" s="59">
        <v>0.13830000000000001</v>
      </c>
      <c r="N169" s="59">
        <v>9.446693992920002</v>
      </c>
      <c r="O169" s="59">
        <v>1.6186088006400006</v>
      </c>
      <c r="AG169" s="107"/>
      <c r="AN169" s="115"/>
      <c r="BU169" s="61"/>
    </row>
    <row r="170" spans="1:73" x14ac:dyDescent="0.35">
      <c r="A170" s="7" t="s">
        <v>1379</v>
      </c>
      <c r="B170" s="7" t="s">
        <v>1382</v>
      </c>
      <c r="C170" s="17" t="s">
        <v>225</v>
      </c>
      <c r="D170" s="5" t="s">
        <v>226</v>
      </c>
      <c r="E170" s="5" t="s">
        <v>246</v>
      </c>
      <c r="F170" s="5">
        <v>256.97000000000003</v>
      </c>
      <c r="G170" s="5" t="s">
        <v>228</v>
      </c>
      <c r="H170" s="19">
        <v>64.882000000000005</v>
      </c>
      <c r="I170" s="19" t="s">
        <v>40</v>
      </c>
      <c r="J170" s="19">
        <v>1.1400000000000006</v>
      </c>
      <c r="K170" s="5" t="s">
        <v>44</v>
      </c>
      <c r="L170" s="101" t="s">
        <v>188</v>
      </c>
      <c r="M170" s="59">
        <v>0.16320000000000001</v>
      </c>
      <c r="N170" s="59">
        <v>9.3365175187200027</v>
      </c>
      <c r="O170" s="59">
        <v>1.5084323264400012</v>
      </c>
      <c r="AG170" s="107"/>
      <c r="AN170" s="115"/>
      <c r="BU170" s="61"/>
    </row>
    <row r="171" spans="1:73" x14ac:dyDescent="0.35">
      <c r="A171" s="7" t="s">
        <v>1379</v>
      </c>
      <c r="B171" s="7" t="s">
        <v>1382</v>
      </c>
      <c r="C171" s="17" t="s">
        <v>225</v>
      </c>
      <c r="D171" s="5" t="s">
        <v>226</v>
      </c>
      <c r="E171" s="5" t="s">
        <v>247</v>
      </c>
      <c r="F171" s="5">
        <v>257.01</v>
      </c>
      <c r="G171" s="5" t="s">
        <v>228</v>
      </c>
      <c r="H171" s="19">
        <v>64.89738461538461</v>
      </c>
      <c r="I171" s="19" t="s">
        <v>40</v>
      </c>
      <c r="J171" s="19">
        <v>1.1246153846153959</v>
      </c>
      <c r="K171" s="5" t="s">
        <v>44</v>
      </c>
      <c r="L171" s="101" t="s">
        <v>188</v>
      </c>
      <c r="M171" s="59">
        <v>0.11169999999999999</v>
      </c>
      <c r="N171" s="59">
        <v>9.5644309129200025</v>
      </c>
      <c r="O171" s="59">
        <v>1.736345720640001</v>
      </c>
      <c r="AG171" s="107"/>
      <c r="AN171" s="115"/>
      <c r="BU171" s="61"/>
    </row>
    <row r="172" spans="1:73" x14ac:dyDescent="0.35">
      <c r="A172" s="7" t="s">
        <v>1379</v>
      </c>
      <c r="B172" s="7" t="s">
        <v>1382</v>
      </c>
      <c r="C172" s="17" t="s">
        <v>225</v>
      </c>
      <c r="D172" s="5" t="s">
        <v>226</v>
      </c>
      <c r="E172" s="5" t="s">
        <v>248</v>
      </c>
      <c r="F172" s="5">
        <v>257.08999999999997</v>
      </c>
      <c r="G172" s="5" t="s">
        <v>228</v>
      </c>
      <c r="H172" s="19">
        <v>64.928153846153833</v>
      </c>
      <c r="I172" s="19" t="s">
        <v>40</v>
      </c>
      <c r="J172" s="19">
        <v>1.0938461538461723</v>
      </c>
      <c r="K172" s="5" t="s">
        <v>44</v>
      </c>
      <c r="L172" s="101" t="s">
        <v>188</v>
      </c>
      <c r="M172" s="59">
        <v>0.16420000000000001</v>
      </c>
      <c r="N172" s="59">
        <v>9.3320934859200033</v>
      </c>
      <c r="O172" s="59">
        <v>1.5040082936400019</v>
      </c>
      <c r="AG172" s="107"/>
      <c r="AN172" s="115"/>
      <c r="BU172" s="61"/>
    </row>
    <row r="173" spans="1:73" x14ac:dyDescent="0.35">
      <c r="A173" s="7" t="s">
        <v>1379</v>
      </c>
      <c r="B173" s="7" t="s">
        <v>1382</v>
      </c>
      <c r="C173" s="17" t="s">
        <v>225</v>
      </c>
      <c r="D173" s="5" t="s">
        <v>226</v>
      </c>
      <c r="E173" s="5" t="s">
        <v>249</v>
      </c>
      <c r="F173" s="5">
        <v>257.13</v>
      </c>
      <c r="G173" s="5" t="s">
        <v>228</v>
      </c>
      <c r="H173" s="19">
        <v>64.939022727272729</v>
      </c>
      <c r="I173" s="19" t="s">
        <v>40</v>
      </c>
      <c r="J173" s="19">
        <v>1.0829772727272768</v>
      </c>
      <c r="K173" s="5" t="s">
        <v>44</v>
      </c>
      <c r="L173" s="101" t="s">
        <v>188</v>
      </c>
      <c r="M173" s="59">
        <v>0.11749999999999999</v>
      </c>
      <c r="N173" s="59">
        <v>9.5387555750000015</v>
      </c>
      <c r="O173" s="59">
        <v>1.71067038272</v>
      </c>
      <c r="AG173" s="107"/>
      <c r="AN173" s="115"/>
      <c r="BU173" s="61"/>
    </row>
    <row r="174" spans="1:73" x14ac:dyDescent="0.35">
      <c r="A174" s="7" t="s">
        <v>1379</v>
      </c>
      <c r="B174" s="7" t="s">
        <v>1382</v>
      </c>
      <c r="C174" s="17" t="s">
        <v>225</v>
      </c>
      <c r="D174" s="5" t="s">
        <v>226</v>
      </c>
      <c r="E174" s="5" t="s">
        <v>250</v>
      </c>
      <c r="F174" s="5">
        <v>257.17</v>
      </c>
      <c r="G174" s="5" t="s">
        <v>228</v>
      </c>
      <c r="H174" s="19">
        <v>64.948386363636359</v>
      </c>
      <c r="I174" s="19" t="s">
        <v>40</v>
      </c>
      <c r="J174" s="19">
        <v>1.0736136363636462</v>
      </c>
      <c r="K174" s="5" t="s">
        <v>44</v>
      </c>
      <c r="L174" s="101" t="s">
        <v>188</v>
      </c>
      <c r="M174" s="59">
        <v>0.15279999999999999</v>
      </c>
      <c r="N174" s="59">
        <v>9.3825307795200015</v>
      </c>
      <c r="O174" s="59">
        <v>1.55444558724</v>
      </c>
      <c r="AG174" s="107"/>
      <c r="AN174" s="115"/>
      <c r="BU174" s="61"/>
    </row>
    <row r="175" spans="1:73" x14ac:dyDescent="0.35">
      <c r="A175" s="7" t="s">
        <v>1379</v>
      </c>
      <c r="B175" s="7" t="s">
        <v>1382</v>
      </c>
      <c r="C175" s="17" t="s">
        <v>225</v>
      </c>
      <c r="D175" s="5" t="s">
        <v>226</v>
      </c>
      <c r="E175" s="5" t="s">
        <v>251</v>
      </c>
      <c r="F175" s="5">
        <v>257.20999999999998</v>
      </c>
      <c r="G175" s="5" t="s">
        <v>228</v>
      </c>
      <c r="H175" s="19">
        <v>64.95774999999999</v>
      </c>
      <c r="I175" s="19" t="s">
        <v>40</v>
      </c>
      <c r="J175" s="19">
        <v>1.0642500000000155</v>
      </c>
      <c r="K175" s="5" t="s">
        <v>44</v>
      </c>
      <c r="L175" s="101" t="s">
        <v>188</v>
      </c>
      <c r="M175" s="59">
        <v>0.17960000000000001</v>
      </c>
      <c r="N175" s="59">
        <v>9.2639704524800024</v>
      </c>
      <c r="O175" s="59">
        <v>1.435885260200001</v>
      </c>
      <c r="AG175" s="107"/>
      <c r="AN175" s="115"/>
      <c r="BU175" s="61"/>
    </row>
    <row r="176" spans="1:73" x14ac:dyDescent="0.35">
      <c r="A176" s="7" t="s">
        <v>1379</v>
      </c>
      <c r="B176" s="7" t="s">
        <v>1382</v>
      </c>
      <c r="C176" s="17" t="s">
        <v>225</v>
      </c>
      <c r="D176" s="5" t="s">
        <v>226</v>
      </c>
      <c r="E176" s="5" t="s">
        <v>252</v>
      </c>
      <c r="F176" s="5">
        <v>257.25</v>
      </c>
      <c r="G176" s="5" t="s">
        <v>228</v>
      </c>
      <c r="H176" s="19">
        <v>64.967113636363635</v>
      </c>
      <c r="I176" s="19" t="s">
        <v>40</v>
      </c>
      <c r="J176" s="19">
        <v>1.0548863636363706</v>
      </c>
      <c r="K176" s="5" t="s">
        <v>44</v>
      </c>
      <c r="L176" s="101" t="s">
        <v>188</v>
      </c>
      <c r="M176" s="59">
        <v>0.1479</v>
      </c>
      <c r="N176" s="59">
        <v>9.404212203480002</v>
      </c>
      <c r="O176" s="59">
        <v>1.5761270112000005</v>
      </c>
      <c r="AG176" s="107"/>
      <c r="AN176" s="115"/>
      <c r="BU176" s="61"/>
    </row>
    <row r="177" spans="1:73" x14ac:dyDescent="0.35">
      <c r="A177" s="7" t="s">
        <v>1379</v>
      </c>
      <c r="B177" s="7" t="s">
        <v>1382</v>
      </c>
      <c r="C177" s="17" t="s">
        <v>225</v>
      </c>
      <c r="D177" s="5" t="s">
        <v>226</v>
      </c>
      <c r="E177" s="5" t="s">
        <v>253</v>
      </c>
      <c r="F177" s="5">
        <v>257.29000000000002</v>
      </c>
      <c r="G177" s="5" t="s">
        <v>228</v>
      </c>
      <c r="H177" s="19">
        <v>64.976477272727266</v>
      </c>
      <c r="I177" s="19" t="s">
        <v>40</v>
      </c>
      <c r="J177" s="19">
        <v>1.0455227272727399</v>
      </c>
      <c r="K177" s="5" t="s">
        <v>44</v>
      </c>
      <c r="L177" s="101" t="s">
        <v>188</v>
      </c>
      <c r="M177" s="59">
        <v>0.20319999999999999</v>
      </c>
      <c r="N177" s="59">
        <v>9.1595998867200024</v>
      </c>
      <c r="O177" s="59">
        <v>1.3315146944400009</v>
      </c>
      <c r="AG177" s="107"/>
      <c r="AN177" s="115"/>
      <c r="BU177" s="61"/>
    </row>
    <row r="178" spans="1:73" x14ac:dyDescent="0.35">
      <c r="A178" s="7" t="s">
        <v>1379</v>
      </c>
      <c r="B178" s="7" t="s">
        <v>1382</v>
      </c>
      <c r="C178" s="17" t="s">
        <v>225</v>
      </c>
      <c r="D178" s="5" t="s">
        <v>226</v>
      </c>
      <c r="E178" s="5" t="s">
        <v>254</v>
      </c>
      <c r="F178" s="5">
        <v>257.33</v>
      </c>
      <c r="G178" s="5" t="s">
        <v>228</v>
      </c>
      <c r="H178" s="19">
        <v>64.985840909090896</v>
      </c>
      <c r="I178" s="19" t="s">
        <v>40</v>
      </c>
      <c r="J178" s="19">
        <v>1.0361590909091092</v>
      </c>
      <c r="K178" s="5" t="s">
        <v>44</v>
      </c>
      <c r="L178" s="101" t="s">
        <v>188</v>
      </c>
      <c r="M178" s="59">
        <v>0.1361</v>
      </c>
      <c r="N178" s="59">
        <v>9.4564301298800029</v>
      </c>
      <c r="O178" s="59">
        <v>1.6283449376000014</v>
      </c>
      <c r="AG178" s="107"/>
      <c r="AN178" s="115"/>
      <c r="BU178" s="61"/>
    </row>
    <row r="179" spans="1:73" x14ac:dyDescent="0.35">
      <c r="A179" s="7" t="s">
        <v>1379</v>
      </c>
      <c r="B179" s="7" t="s">
        <v>1382</v>
      </c>
      <c r="C179" s="17" t="s">
        <v>225</v>
      </c>
      <c r="D179" s="5" t="s">
        <v>226</v>
      </c>
      <c r="E179" s="5" t="s">
        <v>255</v>
      </c>
      <c r="F179" s="5">
        <v>257.37</v>
      </c>
      <c r="G179" s="5" t="s">
        <v>228</v>
      </c>
      <c r="H179" s="19">
        <v>64.995204545454541</v>
      </c>
      <c r="I179" s="19" t="s">
        <v>40</v>
      </c>
      <c r="J179" s="19">
        <v>1.0267954545454643</v>
      </c>
      <c r="K179" s="5" t="s">
        <v>44</v>
      </c>
      <c r="L179" s="101" t="s">
        <v>188</v>
      </c>
      <c r="M179" s="59">
        <v>0.10290000000000001</v>
      </c>
      <c r="N179" s="59">
        <v>9.6033901954800029</v>
      </c>
      <c r="O179" s="59">
        <v>1.7753050032000015</v>
      </c>
      <c r="AG179" s="107"/>
      <c r="AN179" s="115"/>
      <c r="BU179" s="61"/>
    </row>
    <row r="180" spans="1:73" x14ac:dyDescent="0.35">
      <c r="A180" s="7" t="s">
        <v>1379</v>
      </c>
      <c r="B180" s="7" t="s">
        <v>1382</v>
      </c>
      <c r="C180" s="17" t="s">
        <v>225</v>
      </c>
      <c r="D180" s="5" t="s">
        <v>226</v>
      </c>
      <c r="E180" s="5" t="s">
        <v>256</v>
      </c>
      <c r="F180" s="5">
        <v>257.41000000000003</v>
      </c>
      <c r="G180" s="5" t="s">
        <v>228</v>
      </c>
      <c r="H180" s="19">
        <v>65.004568181818186</v>
      </c>
      <c r="I180" s="19" t="s">
        <v>40</v>
      </c>
      <c r="J180" s="19">
        <v>1.0174318181818194</v>
      </c>
      <c r="K180" s="5" t="s">
        <v>44</v>
      </c>
      <c r="L180" s="101" t="s">
        <v>188</v>
      </c>
      <c r="M180" s="59">
        <v>0.1764</v>
      </c>
      <c r="N180" s="59">
        <v>9.2781247948800019</v>
      </c>
      <c r="O180" s="59">
        <v>1.4500396026000004</v>
      </c>
      <c r="AG180" s="107"/>
      <c r="AN180" s="115"/>
      <c r="BU180" s="61"/>
    </row>
    <row r="181" spans="1:73" x14ac:dyDescent="0.35">
      <c r="A181" s="7" t="s">
        <v>1379</v>
      </c>
      <c r="B181" s="7" t="s">
        <v>1382</v>
      </c>
      <c r="C181" s="17" t="s">
        <v>225</v>
      </c>
      <c r="D181" s="5" t="s">
        <v>226</v>
      </c>
      <c r="E181" s="5" t="s">
        <v>257</v>
      </c>
      <c r="F181" s="5">
        <v>257.45</v>
      </c>
      <c r="G181" s="5" t="s">
        <v>228</v>
      </c>
      <c r="H181" s="19">
        <v>65.013931818181803</v>
      </c>
      <c r="I181" s="19" t="s">
        <v>40</v>
      </c>
      <c r="J181" s="19">
        <v>1.0080681818182029</v>
      </c>
      <c r="K181" s="5" t="s">
        <v>44</v>
      </c>
      <c r="L181" s="101" t="s">
        <v>188</v>
      </c>
      <c r="M181" s="59">
        <v>8.3599999999999994E-2</v>
      </c>
      <c r="N181" s="59">
        <v>9.6888501708800003</v>
      </c>
      <c r="O181" s="59">
        <v>1.8607649785999989</v>
      </c>
      <c r="AG181" s="107"/>
      <c r="AN181" s="115"/>
      <c r="BU181" s="61"/>
    </row>
    <row r="182" spans="1:73" x14ac:dyDescent="0.35">
      <c r="A182" s="7" t="s">
        <v>1379</v>
      </c>
      <c r="B182" s="7" t="s">
        <v>1382</v>
      </c>
      <c r="C182" s="17" t="s">
        <v>225</v>
      </c>
      <c r="D182" s="5" t="s">
        <v>226</v>
      </c>
      <c r="E182" s="5" t="s">
        <v>258</v>
      </c>
      <c r="F182" s="5">
        <v>257.49</v>
      </c>
      <c r="G182" s="5" t="s">
        <v>228</v>
      </c>
      <c r="H182" s="19">
        <v>65.023295454545448</v>
      </c>
      <c r="I182" s="19" t="s">
        <v>40</v>
      </c>
      <c r="J182" s="19">
        <v>0.998704545454558</v>
      </c>
      <c r="K182" s="5" t="s">
        <v>44</v>
      </c>
      <c r="L182" s="101" t="s">
        <v>188</v>
      </c>
      <c r="M182" s="59">
        <v>0.1246</v>
      </c>
      <c r="N182" s="59">
        <v>9.5073279844800034</v>
      </c>
      <c r="O182" s="59">
        <v>1.6792427922000019</v>
      </c>
      <c r="AG182" s="107"/>
      <c r="AN182" s="115"/>
      <c r="BU182" s="61"/>
    </row>
    <row r="183" spans="1:73" x14ac:dyDescent="0.35">
      <c r="A183" s="7" t="s">
        <v>1379</v>
      </c>
      <c r="B183" s="7" t="s">
        <v>1382</v>
      </c>
      <c r="C183" s="17" t="s">
        <v>225</v>
      </c>
      <c r="D183" s="5" t="s">
        <v>226</v>
      </c>
      <c r="E183" s="5" t="s">
        <v>259</v>
      </c>
      <c r="F183" s="5">
        <v>257.52999999999997</v>
      </c>
      <c r="G183" s="5" t="s">
        <v>228</v>
      </c>
      <c r="H183" s="19">
        <v>65.032659090909078</v>
      </c>
      <c r="I183" s="19" t="s">
        <v>40</v>
      </c>
      <c r="J183" s="19">
        <v>0.98934090909092731</v>
      </c>
      <c r="K183" s="5" t="s">
        <v>44</v>
      </c>
      <c r="L183" s="101" t="s">
        <v>188</v>
      </c>
      <c r="M183" s="59">
        <v>5.5100000000000003E-2</v>
      </c>
      <c r="N183" s="59">
        <v>9.8150856882800017</v>
      </c>
      <c r="O183" s="59">
        <v>1.9870004960000003</v>
      </c>
      <c r="AG183" s="107"/>
      <c r="AN183" s="115"/>
      <c r="BU183" s="61"/>
    </row>
    <row r="184" spans="1:73" x14ac:dyDescent="0.35">
      <c r="A184" s="7" t="s">
        <v>1379</v>
      </c>
      <c r="B184" s="7" t="s">
        <v>1382</v>
      </c>
      <c r="C184" s="17" t="s">
        <v>225</v>
      </c>
      <c r="D184" s="5" t="s">
        <v>226</v>
      </c>
      <c r="E184" s="5" t="s">
        <v>260</v>
      </c>
      <c r="F184" s="5">
        <v>257.57</v>
      </c>
      <c r="G184" s="5" t="s">
        <v>228</v>
      </c>
      <c r="H184" s="19">
        <v>65.039546874999999</v>
      </c>
      <c r="I184" s="19" t="s">
        <v>40</v>
      </c>
      <c r="J184" s="19">
        <v>0.98245312500000637</v>
      </c>
      <c r="K184" s="5" t="s">
        <v>44</v>
      </c>
      <c r="L184" s="101" t="s">
        <v>188</v>
      </c>
      <c r="M184" s="59">
        <v>8.0500000000000002E-2</v>
      </c>
      <c r="N184" s="59">
        <v>9.7025788470000016</v>
      </c>
      <c r="O184" s="59">
        <v>1.8744936547200002</v>
      </c>
      <c r="AG184" s="107"/>
      <c r="AN184" s="115"/>
      <c r="BU184" s="61"/>
    </row>
    <row r="185" spans="1:73" x14ac:dyDescent="0.35">
      <c r="A185" s="7" t="s">
        <v>1379</v>
      </c>
      <c r="B185" s="7" t="s">
        <v>1382</v>
      </c>
      <c r="C185" s="17" t="s">
        <v>225</v>
      </c>
      <c r="D185" s="5" t="s">
        <v>226</v>
      </c>
      <c r="E185" s="5" t="s">
        <v>261</v>
      </c>
      <c r="F185" s="5">
        <v>257.61</v>
      </c>
      <c r="G185" s="5" t="s">
        <v>228</v>
      </c>
      <c r="H185" s="19">
        <v>65.045609374999998</v>
      </c>
      <c r="I185" s="19" t="s">
        <v>40</v>
      </c>
      <c r="J185" s="19">
        <v>0.97639062500000762</v>
      </c>
      <c r="K185" s="5" t="s">
        <v>44</v>
      </c>
      <c r="L185" s="101" t="s">
        <v>188</v>
      </c>
      <c r="M185" s="59">
        <v>6.7999999999999996E-3</v>
      </c>
      <c r="N185" s="59">
        <v>10.029125534720002</v>
      </c>
      <c r="O185" s="59">
        <v>2.2010403424400007</v>
      </c>
      <c r="AG185" s="107"/>
      <c r="AN185" s="115"/>
      <c r="BU185" s="61"/>
    </row>
    <row r="186" spans="1:73" x14ac:dyDescent="0.35">
      <c r="A186" s="7" t="s">
        <v>1379</v>
      </c>
      <c r="B186" s="7" t="s">
        <v>1382</v>
      </c>
      <c r="C186" s="17" t="s">
        <v>225</v>
      </c>
      <c r="D186" s="5" t="s">
        <v>226</v>
      </c>
      <c r="E186" s="5" t="s">
        <v>262</v>
      </c>
      <c r="F186" s="5">
        <v>257.64999999999998</v>
      </c>
      <c r="G186" s="5" t="s">
        <v>228</v>
      </c>
      <c r="H186" s="19">
        <v>65.051671874999997</v>
      </c>
      <c r="I186" s="19" t="s">
        <v>40</v>
      </c>
      <c r="J186" s="19">
        <v>0.97032812500000887</v>
      </c>
      <c r="K186" s="5" t="s">
        <v>44</v>
      </c>
      <c r="L186" s="101" t="s">
        <v>188</v>
      </c>
      <c r="M186" s="59">
        <v>0.11360000000000001</v>
      </c>
      <c r="N186" s="59">
        <v>9.5560198188800012</v>
      </c>
      <c r="O186" s="59">
        <v>1.7279346265999997</v>
      </c>
      <c r="AG186" s="107"/>
      <c r="AN186" s="115"/>
      <c r="BU186" s="61"/>
    </row>
    <row r="187" spans="1:73" x14ac:dyDescent="0.35">
      <c r="A187" s="7" t="s">
        <v>1379</v>
      </c>
      <c r="B187" s="7" t="s">
        <v>1382</v>
      </c>
      <c r="C187" s="17" t="s">
        <v>225</v>
      </c>
      <c r="D187" s="5" t="s">
        <v>226</v>
      </c>
      <c r="E187" s="5" t="s">
        <v>263</v>
      </c>
      <c r="F187" s="5">
        <v>257.69</v>
      </c>
      <c r="G187" s="5" t="s">
        <v>228</v>
      </c>
      <c r="H187" s="19">
        <v>65.057734374999995</v>
      </c>
      <c r="I187" s="19" t="s">
        <v>40</v>
      </c>
      <c r="J187" s="19">
        <v>0.96426562500001012</v>
      </c>
      <c r="K187" s="5" t="s">
        <v>44</v>
      </c>
      <c r="L187" s="101" t="s">
        <v>188</v>
      </c>
      <c r="M187" s="59">
        <v>0.13150000000000001</v>
      </c>
      <c r="N187" s="59">
        <v>9.4767883830000024</v>
      </c>
      <c r="O187" s="59">
        <v>1.6487031907200009</v>
      </c>
      <c r="AG187" s="107"/>
      <c r="AN187" s="115"/>
      <c r="BU187" s="61"/>
    </row>
    <row r="188" spans="1:73" x14ac:dyDescent="0.35">
      <c r="A188" s="7" t="s">
        <v>1379</v>
      </c>
      <c r="B188" s="7" t="s">
        <v>1382</v>
      </c>
      <c r="C188" s="17" t="s">
        <v>225</v>
      </c>
      <c r="D188" s="5" t="s">
        <v>226</v>
      </c>
      <c r="E188" s="5" t="s">
        <v>264</v>
      </c>
      <c r="F188" s="5">
        <v>257.73</v>
      </c>
      <c r="G188" s="5" t="s">
        <v>228</v>
      </c>
      <c r="H188" s="19">
        <v>65.063796874999994</v>
      </c>
      <c r="I188" s="19" t="s">
        <v>40</v>
      </c>
      <c r="J188" s="19">
        <v>0.95820312500001137</v>
      </c>
      <c r="K188" s="5" t="s">
        <v>44</v>
      </c>
      <c r="L188" s="101" t="s">
        <v>188</v>
      </c>
      <c r="M188" s="59">
        <v>0.10580000000000001</v>
      </c>
      <c r="N188" s="59">
        <v>9.5905508619200006</v>
      </c>
      <c r="O188" s="59">
        <v>1.7624656696399992</v>
      </c>
      <c r="AG188" s="107"/>
      <c r="AN188" s="115"/>
      <c r="BU188" s="61"/>
    </row>
    <row r="189" spans="1:73" x14ac:dyDescent="0.35">
      <c r="A189" s="7" t="s">
        <v>1379</v>
      </c>
      <c r="B189" s="7" t="s">
        <v>1382</v>
      </c>
      <c r="C189" s="17" t="s">
        <v>225</v>
      </c>
      <c r="D189" s="5" t="s">
        <v>226</v>
      </c>
      <c r="E189" s="5" t="s">
        <v>265</v>
      </c>
      <c r="F189" s="5">
        <v>257.77</v>
      </c>
      <c r="G189" s="5" t="s">
        <v>228</v>
      </c>
      <c r="H189" s="19">
        <v>65.069859374999993</v>
      </c>
      <c r="I189" s="19" t="s">
        <v>40</v>
      </c>
      <c r="J189" s="19">
        <v>0.95214062500001262</v>
      </c>
      <c r="K189" s="5" t="s">
        <v>44</v>
      </c>
      <c r="L189" s="101" t="s">
        <v>188</v>
      </c>
      <c r="M189" s="59">
        <v>0.108</v>
      </c>
      <c r="N189" s="59">
        <v>9.5808109920000017</v>
      </c>
      <c r="O189" s="59">
        <v>1.7527257997200003</v>
      </c>
      <c r="AG189" s="107"/>
      <c r="AN189" s="115"/>
      <c r="BU189" s="61"/>
    </row>
    <row r="190" spans="1:73" x14ac:dyDescent="0.35">
      <c r="A190" s="7" t="s">
        <v>1379</v>
      </c>
      <c r="B190" s="7" t="s">
        <v>1382</v>
      </c>
      <c r="C190" s="17" t="s">
        <v>225</v>
      </c>
      <c r="D190" s="5" t="s">
        <v>226</v>
      </c>
      <c r="E190" s="5" t="s">
        <v>266</v>
      </c>
      <c r="F190" s="5">
        <v>257.81</v>
      </c>
      <c r="G190" s="5" t="s">
        <v>228</v>
      </c>
      <c r="H190" s="19">
        <v>65.075921874999992</v>
      </c>
      <c r="I190" s="19" t="s">
        <v>40</v>
      </c>
      <c r="J190" s="19">
        <v>0.94607812500001387</v>
      </c>
      <c r="K190" s="5" t="s">
        <v>44</v>
      </c>
      <c r="L190" s="101" t="s">
        <v>188</v>
      </c>
      <c r="M190" s="59">
        <v>8.1799999999999998E-2</v>
      </c>
      <c r="N190" s="59">
        <v>9.6968215947200012</v>
      </c>
      <c r="O190" s="59">
        <v>1.8687364024399997</v>
      </c>
      <c r="AG190" s="107"/>
      <c r="AN190" s="115"/>
      <c r="BU190" s="61"/>
    </row>
    <row r="191" spans="1:73" x14ac:dyDescent="0.35">
      <c r="A191" s="7" t="s">
        <v>1379</v>
      </c>
      <c r="B191" s="7" t="s">
        <v>1382</v>
      </c>
      <c r="C191" s="17" t="s">
        <v>225</v>
      </c>
      <c r="D191" s="5" t="s">
        <v>226</v>
      </c>
      <c r="E191" s="5" t="s">
        <v>267</v>
      </c>
      <c r="F191" s="5">
        <v>257.85000000000002</v>
      </c>
      <c r="G191" s="5" t="s">
        <v>228</v>
      </c>
      <c r="H191" s="19">
        <v>65.081984375000005</v>
      </c>
      <c r="I191" s="19" t="s">
        <v>40</v>
      </c>
      <c r="J191" s="19">
        <v>0.94001562500000091</v>
      </c>
      <c r="K191" s="5" t="s">
        <v>44</v>
      </c>
      <c r="L191" s="101" t="s">
        <v>188</v>
      </c>
      <c r="M191" s="59">
        <v>4.6899999999999997E-2</v>
      </c>
      <c r="N191" s="59">
        <v>9.8514145090800032</v>
      </c>
      <c r="O191" s="59">
        <v>2.0233293168000017</v>
      </c>
      <c r="AG191" s="107"/>
      <c r="AN191" s="115"/>
      <c r="BU191" s="61"/>
    </row>
    <row r="192" spans="1:73" x14ac:dyDescent="0.35">
      <c r="A192" s="7" t="s">
        <v>1379</v>
      </c>
      <c r="B192" s="7" t="s">
        <v>1382</v>
      </c>
      <c r="C192" s="17" t="s">
        <v>225</v>
      </c>
      <c r="D192" s="5" t="s">
        <v>226</v>
      </c>
      <c r="E192" s="5" t="s">
        <v>268</v>
      </c>
      <c r="F192" s="5">
        <v>257.89</v>
      </c>
      <c r="G192" s="5" t="s">
        <v>228</v>
      </c>
      <c r="H192" s="19">
        <v>65.088046875000003</v>
      </c>
      <c r="I192" s="19" t="s">
        <v>40</v>
      </c>
      <c r="J192" s="19">
        <v>0.93395312500000216</v>
      </c>
      <c r="K192" s="5" t="s">
        <v>44</v>
      </c>
      <c r="L192" s="101" t="s">
        <v>188</v>
      </c>
      <c r="M192" s="59">
        <v>-1.0500000000000001E-2</v>
      </c>
      <c r="N192" s="59">
        <v>10.105821687000002</v>
      </c>
      <c r="O192" s="59">
        <v>2.2777364947200009</v>
      </c>
      <c r="AG192" s="107"/>
      <c r="AN192" s="115"/>
      <c r="BU192" s="61"/>
    </row>
    <row r="193" spans="1:73" x14ac:dyDescent="0.35">
      <c r="A193" s="7" t="s">
        <v>1379</v>
      </c>
      <c r="B193" s="7" t="s">
        <v>1382</v>
      </c>
      <c r="C193" s="17" t="s">
        <v>225</v>
      </c>
      <c r="D193" s="5" t="s">
        <v>226</v>
      </c>
      <c r="E193" s="5" t="s">
        <v>269</v>
      </c>
      <c r="F193" s="5">
        <v>257.93</v>
      </c>
      <c r="G193" s="5" t="s">
        <v>228</v>
      </c>
      <c r="H193" s="19">
        <v>65.094109375000002</v>
      </c>
      <c r="I193" s="19" t="s">
        <v>40</v>
      </c>
      <c r="J193" s="19">
        <v>0.92789062500000341</v>
      </c>
      <c r="K193" s="5" t="s">
        <v>44</v>
      </c>
      <c r="L193" s="101" t="s">
        <v>188</v>
      </c>
      <c r="M193" s="59">
        <v>1.35E-2</v>
      </c>
      <c r="N193" s="59">
        <v>9.9994269030000016</v>
      </c>
      <c r="O193" s="59">
        <v>2.1713417107200002</v>
      </c>
      <c r="AG193" s="107"/>
      <c r="AN193" s="115"/>
      <c r="BU193" s="61"/>
    </row>
    <row r="194" spans="1:73" x14ac:dyDescent="0.35">
      <c r="A194" s="7" t="s">
        <v>1379</v>
      </c>
      <c r="B194" s="7" t="s">
        <v>1382</v>
      </c>
      <c r="C194" s="17" t="s">
        <v>225</v>
      </c>
      <c r="D194" s="5" t="s">
        <v>226</v>
      </c>
      <c r="E194" s="5" t="s">
        <v>270</v>
      </c>
      <c r="F194" s="5">
        <v>257.97000000000003</v>
      </c>
      <c r="G194" s="5" t="s">
        <v>228</v>
      </c>
      <c r="H194" s="19">
        <v>65.100171875000001</v>
      </c>
      <c r="I194" s="19" t="s">
        <v>40</v>
      </c>
      <c r="J194" s="19">
        <v>0.92182812500000466</v>
      </c>
      <c r="K194" s="5" t="s">
        <v>44</v>
      </c>
      <c r="L194" s="101" t="s">
        <v>188</v>
      </c>
      <c r="M194" s="59">
        <v>4.4999999999999997E-3</v>
      </c>
      <c r="N194" s="59">
        <v>10.039321167000002</v>
      </c>
      <c r="O194" s="59">
        <v>2.211235974720001</v>
      </c>
      <c r="AG194" s="107"/>
      <c r="AN194" s="115"/>
      <c r="BU194" s="61"/>
    </row>
    <row r="195" spans="1:73" x14ac:dyDescent="0.35">
      <c r="A195" s="7" t="s">
        <v>1379</v>
      </c>
      <c r="B195" s="7" t="s">
        <v>1382</v>
      </c>
      <c r="C195" s="17" t="s">
        <v>225</v>
      </c>
      <c r="D195" s="5" t="s">
        <v>226</v>
      </c>
      <c r="E195" s="5" t="s">
        <v>271</v>
      </c>
      <c r="F195" s="5">
        <v>258.01</v>
      </c>
      <c r="G195" s="5" t="s">
        <v>228</v>
      </c>
      <c r="H195" s="19">
        <v>65.106234375</v>
      </c>
      <c r="I195" s="19" t="s">
        <v>40</v>
      </c>
      <c r="J195" s="19">
        <v>0.91576562500000591</v>
      </c>
      <c r="K195" s="5" t="s">
        <v>44</v>
      </c>
      <c r="L195" s="101" t="s">
        <v>188</v>
      </c>
      <c r="M195" s="59">
        <v>3.1899999999999998E-2</v>
      </c>
      <c r="N195" s="59">
        <v>9.9178794130800014</v>
      </c>
      <c r="O195" s="59">
        <v>2.0897942208</v>
      </c>
      <c r="AG195" s="107"/>
      <c r="AN195" s="115"/>
      <c r="BU195" s="61"/>
    </row>
    <row r="196" spans="1:73" x14ac:dyDescent="0.35">
      <c r="A196" s="7" t="s">
        <v>1379</v>
      </c>
      <c r="B196" s="7" t="s">
        <v>1382</v>
      </c>
      <c r="C196" s="17" t="s">
        <v>225</v>
      </c>
      <c r="D196" s="5" t="s">
        <v>226</v>
      </c>
      <c r="E196" s="5" t="s">
        <v>272</v>
      </c>
      <c r="F196" s="5">
        <v>258.04599999999999</v>
      </c>
      <c r="G196" s="5" t="s">
        <v>228</v>
      </c>
      <c r="H196" s="19">
        <v>65.111690624999994</v>
      </c>
      <c r="I196" s="19" t="s">
        <v>40</v>
      </c>
      <c r="J196" s="19">
        <v>0.9103093750000113</v>
      </c>
      <c r="K196" s="5" t="s">
        <v>44</v>
      </c>
      <c r="L196" s="101" t="s">
        <v>188</v>
      </c>
      <c r="M196" s="59">
        <v>0.12989999999999999</v>
      </c>
      <c r="N196" s="59">
        <v>9.4838697922800019</v>
      </c>
      <c r="O196" s="59">
        <v>1.6557846000000005</v>
      </c>
      <c r="AG196" s="107"/>
      <c r="AN196" s="115"/>
      <c r="BU196" s="61"/>
    </row>
    <row r="197" spans="1:73" x14ac:dyDescent="0.35">
      <c r="A197" s="7" t="s">
        <v>1379</v>
      </c>
      <c r="B197" s="7" t="s">
        <v>1382</v>
      </c>
      <c r="C197" s="17" t="s">
        <v>225</v>
      </c>
      <c r="D197" s="5" t="s">
        <v>226</v>
      </c>
      <c r="E197" s="5" t="s">
        <v>273</v>
      </c>
      <c r="F197" s="5">
        <v>258.08100000000002</v>
      </c>
      <c r="G197" s="5" t="s">
        <v>228</v>
      </c>
      <c r="H197" s="19">
        <v>65.116995312500009</v>
      </c>
      <c r="I197" s="19" t="s">
        <v>40</v>
      </c>
      <c r="J197" s="19">
        <v>0.90500468749999641</v>
      </c>
      <c r="K197" s="5" t="s">
        <v>44</v>
      </c>
      <c r="L197" s="101" t="s">
        <v>188</v>
      </c>
      <c r="M197" s="59">
        <v>4.4400000000000002E-2</v>
      </c>
      <c r="N197" s="59">
        <v>9.8624911180800012</v>
      </c>
      <c r="O197" s="59">
        <v>2.0344059257999998</v>
      </c>
      <c r="AG197" s="107"/>
      <c r="AN197" s="115"/>
      <c r="BU197" s="61"/>
    </row>
    <row r="198" spans="1:73" x14ac:dyDescent="0.35">
      <c r="A198" s="7" t="s">
        <v>1379</v>
      </c>
      <c r="B198" s="7" t="s">
        <v>1382</v>
      </c>
      <c r="C198" s="17" t="s">
        <v>225</v>
      </c>
      <c r="D198" s="5" t="s">
        <v>226</v>
      </c>
      <c r="E198" s="5" t="s">
        <v>274</v>
      </c>
      <c r="F198" s="5">
        <v>258.08999999999997</v>
      </c>
      <c r="G198" s="5" t="s">
        <v>228</v>
      </c>
      <c r="H198" s="19">
        <v>65.118359374999997</v>
      </c>
      <c r="I198" s="19" t="s">
        <v>40</v>
      </c>
      <c r="J198" s="19">
        <v>0.90364062500000841</v>
      </c>
      <c r="K198" s="5" t="s">
        <v>44</v>
      </c>
      <c r="L198" s="101" t="s">
        <v>188</v>
      </c>
      <c r="M198" s="59">
        <v>4.65E-2</v>
      </c>
      <c r="N198" s="59">
        <v>9.8531867430000037</v>
      </c>
      <c r="O198" s="59">
        <v>2.0251015507200023</v>
      </c>
      <c r="AG198" s="107"/>
      <c r="AN198" s="115"/>
      <c r="BU198" s="61"/>
    </row>
    <row r="199" spans="1:73" x14ac:dyDescent="0.35">
      <c r="A199" s="7" t="s">
        <v>1379</v>
      </c>
      <c r="B199" s="7" t="s">
        <v>1382</v>
      </c>
      <c r="C199" s="17" t="s">
        <v>225</v>
      </c>
      <c r="D199" s="5" t="s">
        <v>226</v>
      </c>
      <c r="E199" s="5" t="s">
        <v>275</v>
      </c>
      <c r="F199" s="5">
        <v>258.13099999999997</v>
      </c>
      <c r="G199" s="5" t="s">
        <v>228</v>
      </c>
      <c r="H199" s="19">
        <v>65.124573437500004</v>
      </c>
      <c r="I199" s="19" t="s">
        <v>40</v>
      </c>
      <c r="J199" s="19">
        <v>0.89742656250000152</v>
      </c>
      <c r="K199" s="5" t="s">
        <v>44</v>
      </c>
      <c r="L199" s="101" t="s">
        <v>188</v>
      </c>
      <c r="M199" s="59">
        <v>7.4399999999999994E-2</v>
      </c>
      <c r="N199" s="59">
        <v>9.7295949100800012</v>
      </c>
      <c r="O199" s="59">
        <v>1.9015097177999998</v>
      </c>
      <c r="AG199" s="107"/>
      <c r="AN199" s="115"/>
      <c r="BU199" s="61"/>
    </row>
    <row r="200" spans="1:73" x14ac:dyDescent="0.35">
      <c r="A200" s="7" t="s">
        <v>1379</v>
      </c>
      <c r="B200" s="7" t="s">
        <v>1382</v>
      </c>
      <c r="C200" s="17" t="s">
        <v>225</v>
      </c>
      <c r="D200" s="5" t="s">
        <v>226</v>
      </c>
      <c r="E200" s="5" t="s">
        <v>276</v>
      </c>
      <c r="F200" s="5">
        <v>258.17099999999999</v>
      </c>
      <c r="G200" s="5" t="s">
        <v>228</v>
      </c>
      <c r="H200" s="19">
        <v>65.130635937500003</v>
      </c>
      <c r="I200" s="19" t="s">
        <v>40</v>
      </c>
      <c r="J200" s="19">
        <v>0.89136406250000277</v>
      </c>
      <c r="K200" s="5" t="s">
        <v>44</v>
      </c>
      <c r="L200" s="101" t="s">
        <v>188</v>
      </c>
      <c r="M200" s="59">
        <v>0.12139999999999999</v>
      </c>
      <c r="N200" s="59">
        <v>9.521492182880003</v>
      </c>
      <c r="O200" s="59">
        <v>1.6934069906000015</v>
      </c>
      <c r="AG200" s="107"/>
      <c r="AN200" s="115"/>
      <c r="BU200" s="61"/>
    </row>
    <row r="201" spans="1:73" x14ac:dyDescent="0.35">
      <c r="A201" s="7" t="s">
        <v>1379</v>
      </c>
      <c r="B201" s="7" t="s">
        <v>1382</v>
      </c>
      <c r="C201" s="17" t="s">
        <v>225</v>
      </c>
      <c r="D201" s="5" t="s">
        <v>226</v>
      </c>
      <c r="E201" s="5" t="s">
        <v>277</v>
      </c>
      <c r="F201" s="5">
        <v>258.18599999999998</v>
      </c>
      <c r="G201" s="5" t="s">
        <v>228</v>
      </c>
      <c r="H201" s="19">
        <v>65.135099999999994</v>
      </c>
      <c r="I201" s="19" t="s">
        <v>40</v>
      </c>
      <c r="J201" s="19">
        <v>0.88690000000001135</v>
      </c>
      <c r="K201" s="5" t="s">
        <v>44</v>
      </c>
      <c r="L201" s="101" t="s">
        <v>188</v>
      </c>
      <c r="M201" s="59">
        <v>0.1386</v>
      </c>
      <c r="N201" s="59">
        <v>9.4453663588800012</v>
      </c>
      <c r="O201" s="59">
        <v>1.6172811665999998</v>
      </c>
      <c r="AG201" s="107"/>
      <c r="AN201" s="115"/>
      <c r="BU201" s="61"/>
    </row>
    <row r="202" spans="1:73" x14ac:dyDescent="0.35">
      <c r="A202" s="7" t="s">
        <v>1379</v>
      </c>
      <c r="B202" s="7" t="s">
        <v>1382</v>
      </c>
      <c r="C202" s="17" t="s">
        <v>225</v>
      </c>
      <c r="D202" s="5" t="s">
        <v>226</v>
      </c>
      <c r="E202" s="5" t="s">
        <v>278</v>
      </c>
      <c r="F202" s="5">
        <v>258.21100000000001</v>
      </c>
      <c r="G202" s="5" t="s">
        <v>228</v>
      </c>
      <c r="H202" s="19">
        <v>65.148016666666678</v>
      </c>
      <c r="I202" s="19" t="s">
        <v>40</v>
      </c>
      <c r="J202" s="19">
        <v>0.87398333333332801</v>
      </c>
      <c r="K202" s="5" t="s">
        <v>44</v>
      </c>
      <c r="L202" s="101" t="s">
        <v>188</v>
      </c>
      <c r="M202" s="59">
        <v>0.11990000000000001</v>
      </c>
      <c r="N202" s="59">
        <v>9.5281318482800028</v>
      </c>
      <c r="O202" s="59">
        <v>1.7000466560000014</v>
      </c>
      <c r="AG202" s="107"/>
      <c r="AN202" s="115"/>
      <c r="BU202" s="61"/>
    </row>
    <row r="203" spans="1:73" x14ac:dyDescent="0.35">
      <c r="A203" s="7" t="s">
        <v>1379</v>
      </c>
      <c r="B203" s="7" t="s">
        <v>1382</v>
      </c>
      <c r="C203" s="17" t="s">
        <v>225</v>
      </c>
      <c r="D203" s="5" t="s">
        <v>226</v>
      </c>
      <c r="E203" s="5" t="s">
        <v>279</v>
      </c>
      <c r="F203" s="5">
        <v>258.221</v>
      </c>
      <c r="G203" s="5" t="s">
        <v>228</v>
      </c>
      <c r="H203" s="19">
        <v>65.153183333333331</v>
      </c>
      <c r="I203" s="19" t="s">
        <v>40</v>
      </c>
      <c r="J203" s="19">
        <v>0.86881666666667456</v>
      </c>
      <c r="K203" s="5" t="s">
        <v>44</v>
      </c>
      <c r="L203" s="101" t="s">
        <v>188</v>
      </c>
      <c r="M203" s="59">
        <v>0.11840000000000001</v>
      </c>
      <c r="N203" s="59">
        <v>9.5347716396800024</v>
      </c>
      <c r="O203" s="59">
        <v>1.706686447400001</v>
      </c>
      <c r="AG203" s="107"/>
      <c r="AN203" s="115"/>
      <c r="BU203" s="61"/>
    </row>
    <row r="204" spans="1:73" x14ac:dyDescent="0.35">
      <c r="A204" s="7" t="s">
        <v>1379</v>
      </c>
      <c r="B204" s="7" t="s">
        <v>1382</v>
      </c>
      <c r="C204" s="17" t="s">
        <v>225</v>
      </c>
      <c r="D204" s="5" t="s">
        <v>226</v>
      </c>
      <c r="E204" s="5" t="s">
        <v>280</v>
      </c>
      <c r="F204" s="5">
        <v>258.25099999999998</v>
      </c>
      <c r="G204" s="5" t="s">
        <v>228</v>
      </c>
      <c r="H204" s="19">
        <v>65.16868333333332</v>
      </c>
      <c r="I204" s="19" t="s">
        <v>40</v>
      </c>
      <c r="J204" s="19">
        <v>0.85331666666668582</v>
      </c>
      <c r="K204" s="5" t="s">
        <v>44</v>
      </c>
      <c r="L204" s="101" t="s">
        <v>188</v>
      </c>
      <c r="M204" s="59">
        <v>3.5000000000000003E-2</v>
      </c>
      <c r="N204" s="59">
        <v>9.904142300000002</v>
      </c>
      <c r="O204" s="59">
        <v>2.0760571077200005</v>
      </c>
      <c r="AG204" s="107"/>
      <c r="AN204" s="115"/>
      <c r="BU204" s="61"/>
    </row>
    <row r="205" spans="1:73" x14ac:dyDescent="0.35">
      <c r="A205" s="7" t="s">
        <v>1379</v>
      </c>
      <c r="B205" s="7" t="s">
        <v>1382</v>
      </c>
      <c r="C205" s="17" t="s">
        <v>225</v>
      </c>
      <c r="D205" s="5" t="s">
        <v>226</v>
      </c>
      <c r="E205" s="5" t="s">
        <v>281</v>
      </c>
      <c r="F205" s="5">
        <v>258.25599999999997</v>
      </c>
      <c r="G205" s="5" t="s">
        <v>228</v>
      </c>
      <c r="H205" s="19">
        <v>65.171266666666654</v>
      </c>
      <c r="I205" s="19" t="s">
        <v>40</v>
      </c>
      <c r="J205" s="19">
        <v>0.85073333333335199</v>
      </c>
      <c r="K205" s="5" t="s">
        <v>44</v>
      </c>
      <c r="L205" s="101" t="s">
        <v>188</v>
      </c>
      <c r="M205" s="59">
        <v>-1.15E-2</v>
      </c>
      <c r="N205" s="59">
        <v>10.110255503000001</v>
      </c>
      <c r="O205" s="59">
        <v>2.2821703107199998</v>
      </c>
      <c r="AG205" s="107"/>
      <c r="AN205" s="115"/>
      <c r="BU205" s="61"/>
    </row>
    <row r="206" spans="1:73" x14ac:dyDescent="0.35">
      <c r="A206" s="7" t="s">
        <v>1379</v>
      </c>
      <c r="B206" s="7" t="s">
        <v>1382</v>
      </c>
      <c r="C206" s="17" t="s">
        <v>225</v>
      </c>
      <c r="D206" s="5" t="s">
        <v>226</v>
      </c>
      <c r="E206" s="5" t="s">
        <v>282</v>
      </c>
      <c r="F206" s="5">
        <v>258.291</v>
      </c>
      <c r="G206" s="5" t="s">
        <v>228</v>
      </c>
      <c r="H206" s="19">
        <v>65.18934999999999</v>
      </c>
      <c r="I206" s="19" t="s">
        <v>40</v>
      </c>
      <c r="J206" s="19">
        <v>0.83265000000001521</v>
      </c>
      <c r="K206" s="5" t="s">
        <v>44</v>
      </c>
      <c r="L206" s="101" t="s">
        <v>188</v>
      </c>
      <c r="M206" s="59">
        <v>3.0099999999999998E-2</v>
      </c>
      <c r="N206" s="59">
        <v>9.9258560482800018</v>
      </c>
      <c r="O206" s="59">
        <v>2.0977708560000004</v>
      </c>
      <c r="AG206" s="107"/>
      <c r="AN206" s="115"/>
      <c r="BU206" s="61"/>
    </row>
    <row r="207" spans="1:73" x14ac:dyDescent="0.35">
      <c r="A207" s="7" t="s">
        <v>1379</v>
      </c>
      <c r="B207" s="7" t="s">
        <v>1382</v>
      </c>
      <c r="C207" s="17" t="s">
        <v>225</v>
      </c>
      <c r="D207" s="5" t="s">
        <v>226</v>
      </c>
      <c r="E207" s="5" t="s">
        <v>283</v>
      </c>
      <c r="F207" s="5">
        <v>258.29199999999997</v>
      </c>
      <c r="G207" s="5" t="s">
        <v>228</v>
      </c>
      <c r="H207" s="19">
        <v>65.189866666666646</v>
      </c>
      <c r="I207" s="19" t="s">
        <v>40</v>
      </c>
      <c r="J207" s="19">
        <v>0.83213333333335981</v>
      </c>
      <c r="K207" s="5" t="s">
        <v>44</v>
      </c>
      <c r="L207" s="101" t="s">
        <v>188</v>
      </c>
      <c r="M207" s="59">
        <v>4.6300000000000001E-2</v>
      </c>
      <c r="N207" s="59">
        <v>9.8540728633200025</v>
      </c>
      <c r="O207" s="59">
        <v>2.0259876710400011</v>
      </c>
      <c r="AG207" s="107"/>
      <c r="AN207" s="115"/>
      <c r="BU207" s="61"/>
    </row>
    <row r="208" spans="1:73" x14ac:dyDescent="0.35">
      <c r="A208" s="7" t="s">
        <v>1379</v>
      </c>
      <c r="B208" s="7" t="s">
        <v>1382</v>
      </c>
      <c r="C208" s="17" t="s">
        <v>225</v>
      </c>
      <c r="D208" s="5" t="s">
        <v>226</v>
      </c>
      <c r="E208" s="5" t="s">
        <v>284</v>
      </c>
      <c r="F208" s="5">
        <v>258.32600000000002</v>
      </c>
      <c r="G208" s="5" t="s">
        <v>228</v>
      </c>
      <c r="H208" s="19">
        <v>65.207433333333341</v>
      </c>
      <c r="I208" s="19" t="s">
        <v>40</v>
      </c>
      <c r="J208" s="19">
        <v>0.81456666666666422</v>
      </c>
      <c r="K208" s="5" t="s">
        <v>44</v>
      </c>
      <c r="L208" s="101" t="s">
        <v>188</v>
      </c>
      <c r="M208" s="59">
        <v>-5.6099999999999997E-2</v>
      </c>
      <c r="N208" s="59">
        <v>10.308060641880003</v>
      </c>
      <c r="O208" s="59">
        <v>2.4799754496000013</v>
      </c>
      <c r="AG208" s="107"/>
      <c r="AN208" s="115"/>
      <c r="BU208" s="61"/>
    </row>
    <row r="209" spans="1:73" x14ac:dyDescent="0.35">
      <c r="A209" s="7" t="s">
        <v>1379</v>
      </c>
      <c r="B209" s="7" t="s">
        <v>1382</v>
      </c>
      <c r="C209" s="17" t="s">
        <v>225</v>
      </c>
      <c r="D209" s="5" t="s">
        <v>226</v>
      </c>
      <c r="E209" s="5" t="s">
        <v>285</v>
      </c>
      <c r="F209" s="5">
        <v>258.33199999999999</v>
      </c>
      <c r="G209" s="5" t="s">
        <v>228</v>
      </c>
      <c r="H209" s="19">
        <v>65.210533333333316</v>
      </c>
      <c r="I209" s="19" t="s">
        <v>40</v>
      </c>
      <c r="J209" s="19">
        <v>0.81146666666668921</v>
      </c>
      <c r="K209" s="5" t="s">
        <v>44</v>
      </c>
      <c r="L209" s="101" t="s">
        <v>188</v>
      </c>
      <c r="M209" s="59">
        <v>-3.3000000000000002E-2</v>
      </c>
      <c r="N209" s="59">
        <v>10.205596092000002</v>
      </c>
      <c r="O209" s="59">
        <v>2.3775108997200007</v>
      </c>
      <c r="AG209" s="107"/>
      <c r="AN209" s="115"/>
      <c r="BU209" s="61"/>
    </row>
    <row r="210" spans="1:73" x14ac:dyDescent="0.35">
      <c r="A210" s="7" t="s">
        <v>1379</v>
      </c>
      <c r="B210" s="7" t="s">
        <v>1382</v>
      </c>
      <c r="C210" s="17" t="s">
        <v>225</v>
      </c>
      <c r="D210" s="5" t="s">
        <v>226</v>
      </c>
      <c r="E210" s="5" t="s">
        <v>286</v>
      </c>
      <c r="F210" s="5">
        <v>258.36099999999999</v>
      </c>
      <c r="G210" s="5" t="s">
        <v>228</v>
      </c>
      <c r="H210" s="19">
        <v>65.225236363636355</v>
      </c>
      <c r="I210" s="19" t="s">
        <v>40</v>
      </c>
      <c r="J210" s="19">
        <v>0.79676363636365011</v>
      </c>
      <c r="K210" s="5" t="s">
        <v>44</v>
      </c>
      <c r="L210" s="101" t="s">
        <v>188</v>
      </c>
      <c r="M210" s="59">
        <v>4.0899999999999999E-2</v>
      </c>
      <c r="N210" s="59">
        <v>9.8779989586800028</v>
      </c>
      <c r="O210" s="59">
        <v>2.0499137664000013</v>
      </c>
      <c r="AG210" s="107"/>
      <c r="AN210" s="115"/>
      <c r="BU210" s="61"/>
    </row>
    <row r="211" spans="1:73" x14ac:dyDescent="0.35">
      <c r="A211" s="7" t="s">
        <v>1379</v>
      </c>
      <c r="B211" s="7" t="s">
        <v>1382</v>
      </c>
      <c r="C211" s="17" t="s">
        <v>225</v>
      </c>
      <c r="D211" s="5" t="s">
        <v>226</v>
      </c>
      <c r="E211" s="5" t="s">
        <v>287</v>
      </c>
      <c r="F211" s="5">
        <v>258.37200000000001</v>
      </c>
      <c r="G211" s="5" t="s">
        <v>228</v>
      </c>
      <c r="H211" s="19">
        <v>65.227836363636357</v>
      </c>
      <c r="I211" s="19" t="s">
        <v>40</v>
      </c>
      <c r="J211" s="19">
        <v>0.79416363636364906</v>
      </c>
      <c r="K211" s="5" t="s">
        <v>44</v>
      </c>
      <c r="L211" s="101" t="s">
        <v>188</v>
      </c>
      <c r="M211" s="59">
        <v>0.11070000000000001</v>
      </c>
      <c r="N211" s="59">
        <v>9.5688578857200035</v>
      </c>
      <c r="O211" s="59">
        <v>1.7407726934400021</v>
      </c>
      <c r="AG211" s="107"/>
      <c r="AN211" s="115"/>
      <c r="BU211" s="61"/>
    </row>
    <row r="212" spans="1:73" x14ac:dyDescent="0.35">
      <c r="A212" s="7" t="s">
        <v>1379</v>
      </c>
      <c r="B212" s="7" t="s">
        <v>1382</v>
      </c>
      <c r="C212" s="17" t="s">
        <v>225</v>
      </c>
      <c r="D212" s="5" t="s">
        <v>226</v>
      </c>
      <c r="E212" s="5" t="s">
        <v>288</v>
      </c>
      <c r="F212" s="5">
        <v>258.39600000000002</v>
      </c>
      <c r="G212" s="5" t="s">
        <v>228</v>
      </c>
      <c r="H212" s="19">
        <v>65.233509090909081</v>
      </c>
      <c r="I212" s="19" t="s">
        <v>40</v>
      </c>
      <c r="J212" s="19">
        <v>0.78849090909092467</v>
      </c>
      <c r="K212" s="5" t="s">
        <v>44</v>
      </c>
      <c r="L212" s="101" t="s">
        <v>188</v>
      </c>
      <c r="M212" s="59">
        <v>0.20449999999999999</v>
      </c>
      <c r="N212" s="59">
        <v>9.153851567000002</v>
      </c>
      <c r="O212" s="59">
        <v>1.3257663747200006</v>
      </c>
      <c r="AG212" s="107"/>
      <c r="AN212" s="115"/>
      <c r="BU212" s="61"/>
    </row>
    <row r="213" spans="1:73" x14ac:dyDescent="0.35">
      <c r="A213" s="7" t="s">
        <v>1379</v>
      </c>
      <c r="B213" s="7" t="s">
        <v>1382</v>
      </c>
      <c r="C213" s="17" t="s">
        <v>225</v>
      </c>
      <c r="D213" s="5" t="s">
        <v>226</v>
      </c>
      <c r="E213" s="5" t="s">
        <v>289</v>
      </c>
      <c r="F213" s="5">
        <v>258.41300000000001</v>
      </c>
      <c r="G213" s="5" t="s">
        <v>228</v>
      </c>
      <c r="H213" s="19">
        <v>65.237527272727263</v>
      </c>
      <c r="I213" s="19" t="s">
        <v>40</v>
      </c>
      <c r="J213" s="19">
        <v>0.78447272727274253</v>
      </c>
      <c r="K213" s="5" t="s">
        <v>44</v>
      </c>
      <c r="L213" s="101" t="s">
        <v>188</v>
      </c>
      <c r="M213" s="59">
        <v>0.1457</v>
      </c>
      <c r="N213" s="59">
        <v>9.4139471577200027</v>
      </c>
      <c r="O213" s="59">
        <v>1.5858619654400012</v>
      </c>
      <c r="AG213" s="107"/>
      <c r="AN213" s="115"/>
      <c r="BU213" s="61"/>
    </row>
    <row r="214" spans="1:73" x14ac:dyDescent="0.35">
      <c r="A214" s="7" t="s">
        <v>1379</v>
      </c>
      <c r="B214" s="7" t="s">
        <v>1382</v>
      </c>
      <c r="C214" s="17" t="s">
        <v>225</v>
      </c>
      <c r="D214" s="5" t="s">
        <v>226</v>
      </c>
      <c r="E214" s="5" t="s">
        <v>290</v>
      </c>
      <c r="F214" s="5">
        <v>258.43</v>
      </c>
      <c r="G214" s="5" t="s">
        <v>228</v>
      </c>
      <c r="H214" s="19">
        <v>65.241545454545445</v>
      </c>
      <c r="I214" s="19" t="s">
        <v>40</v>
      </c>
      <c r="J214" s="19">
        <v>0.78045454545456039</v>
      </c>
      <c r="K214" s="5" t="s">
        <v>44</v>
      </c>
      <c r="L214" s="101" t="s">
        <v>188</v>
      </c>
      <c r="M214" s="59">
        <v>0.1036</v>
      </c>
      <c r="N214" s="59">
        <v>9.6002910028800024</v>
      </c>
      <c r="O214" s="59">
        <v>1.7722058106000009</v>
      </c>
      <c r="AG214" s="107"/>
      <c r="AN214" s="115"/>
      <c r="BU214" s="61"/>
    </row>
    <row r="215" spans="1:73" x14ac:dyDescent="0.35">
      <c r="A215" s="7" t="s">
        <v>1379</v>
      </c>
      <c r="B215" s="7" t="s">
        <v>1382</v>
      </c>
      <c r="C215" s="17" t="s">
        <v>225</v>
      </c>
      <c r="D215" s="5" t="s">
        <v>226</v>
      </c>
      <c r="E215" s="5" t="s">
        <v>291</v>
      </c>
      <c r="F215" s="5">
        <v>258.45299999999997</v>
      </c>
      <c r="G215" s="5" t="s">
        <v>228</v>
      </c>
      <c r="H215" s="19">
        <v>65.246981818181808</v>
      </c>
      <c r="I215" s="19" t="s">
        <v>40</v>
      </c>
      <c r="J215" s="19">
        <v>0.77501818181819715</v>
      </c>
      <c r="K215" s="5" t="s">
        <v>44</v>
      </c>
      <c r="L215" s="101" t="s">
        <v>188</v>
      </c>
      <c r="M215" s="59">
        <v>0.1472</v>
      </c>
      <c r="N215" s="59">
        <v>9.407309659520001</v>
      </c>
      <c r="O215" s="59">
        <v>1.5792244672399995</v>
      </c>
      <c r="AG215" s="107"/>
      <c r="AN215" s="115"/>
      <c r="BU215" s="61"/>
    </row>
    <row r="216" spans="1:73" x14ac:dyDescent="0.35">
      <c r="A216" s="7" t="s">
        <v>1379</v>
      </c>
      <c r="B216" s="7" t="s">
        <v>1382</v>
      </c>
      <c r="C216" s="17" t="s">
        <v>225</v>
      </c>
      <c r="D216" s="5" t="s">
        <v>226</v>
      </c>
      <c r="E216" s="5" t="s">
        <v>292</v>
      </c>
      <c r="F216" s="5">
        <v>258.49299999999999</v>
      </c>
      <c r="G216" s="5" t="s">
        <v>228</v>
      </c>
      <c r="H216" s="19">
        <v>65.256436363636354</v>
      </c>
      <c r="I216" s="19" t="s">
        <v>40</v>
      </c>
      <c r="J216" s="19">
        <v>0.76556363636365177</v>
      </c>
      <c r="K216" s="5" t="s">
        <v>44</v>
      </c>
      <c r="L216" s="101" t="s">
        <v>188</v>
      </c>
      <c r="M216" s="59">
        <v>0.18540000000000001</v>
      </c>
      <c r="N216" s="59">
        <v>9.2383171684800018</v>
      </c>
      <c r="O216" s="59">
        <v>1.4102319762000004</v>
      </c>
      <c r="AG216" s="107"/>
      <c r="AN216" s="115"/>
      <c r="BU216" s="61"/>
    </row>
    <row r="217" spans="1:73" x14ac:dyDescent="0.35">
      <c r="A217" s="7" t="s">
        <v>1379</v>
      </c>
      <c r="B217" s="7" t="s">
        <v>1382</v>
      </c>
      <c r="C217" s="17" t="s">
        <v>225</v>
      </c>
      <c r="D217" s="5" t="s">
        <v>226</v>
      </c>
      <c r="E217" s="5" t="s">
        <v>293</v>
      </c>
      <c r="F217" s="5">
        <v>258.53300000000002</v>
      </c>
      <c r="G217" s="5" t="s">
        <v>228</v>
      </c>
      <c r="H217" s="19">
        <v>65.265890909090899</v>
      </c>
      <c r="I217" s="19" t="s">
        <v>40</v>
      </c>
      <c r="J217" s="19">
        <v>0.75610909090910638</v>
      </c>
      <c r="K217" s="5" t="s">
        <v>44</v>
      </c>
      <c r="L217" s="101" t="s">
        <v>188</v>
      </c>
      <c r="M217" s="59">
        <v>5.7200000000000001E-2</v>
      </c>
      <c r="N217" s="59">
        <v>9.8057825715200018</v>
      </c>
      <c r="O217" s="59">
        <v>1.9776973792400003</v>
      </c>
      <c r="AG217" s="107"/>
      <c r="AN217" s="115"/>
      <c r="BU217" s="61"/>
    </row>
    <row r="218" spans="1:73" x14ac:dyDescent="0.35">
      <c r="A218" s="7" t="s">
        <v>1379</v>
      </c>
      <c r="B218" s="7" t="s">
        <v>1382</v>
      </c>
      <c r="C218" s="17" t="s">
        <v>225</v>
      </c>
      <c r="D218" s="5" t="s">
        <v>226</v>
      </c>
      <c r="E218" s="5" t="s">
        <v>294</v>
      </c>
      <c r="F218" s="5">
        <v>258.57400000000001</v>
      </c>
      <c r="G218" s="5" t="s">
        <v>228</v>
      </c>
      <c r="H218" s="19">
        <v>65.275581818181806</v>
      </c>
      <c r="I218" s="19" t="s">
        <v>40</v>
      </c>
      <c r="J218" s="19">
        <v>0.74641818181819986</v>
      </c>
      <c r="K218" s="5" t="s">
        <v>44</v>
      </c>
      <c r="L218" s="101" t="s">
        <v>188</v>
      </c>
      <c r="M218" s="59">
        <v>0.20669999999999999</v>
      </c>
      <c r="N218" s="59">
        <v>9.1441238569200021</v>
      </c>
      <c r="O218" s="59">
        <v>1.3160386646400006</v>
      </c>
      <c r="AG218" s="107"/>
      <c r="AN218" s="115"/>
      <c r="BU218" s="61"/>
    </row>
    <row r="219" spans="1:73" x14ac:dyDescent="0.35">
      <c r="A219" s="7" t="s">
        <v>1379</v>
      </c>
      <c r="B219" s="7" t="s">
        <v>1382</v>
      </c>
      <c r="C219" s="17" t="s">
        <v>225</v>
      </c>
      <c r="D219" s="5" t="s">
        <v>226</v>
      </c>
      <c r="E219" s="5" t="s">
        <v>295</v>
      </c>
      <c r="F219" s="5">
        <v>258.61399999999998</v>
      </c>
      <c r="G219" s="5" t="s">
        <v>228</v>
      </c>
      <c r="H219" s="19">
        <v>65.285036363636351</v>
      </c>
      <c r="I219" s="19" t="s">
        <v>40</v>
      </c>
      <c r="J219" s="19">
        <v>0.73696363636365447</v>
      </c>
      <c r="K219" s="5" t="s">
        <v>44</v>
      </c>
      <c r="L219" s="101" t="s">
        <v>188</v>
      </c>
      <c r="M219" s="59">
        <v>0.24199999999999999</v>
      </c>
      <c r="N219" s="59">
        <v>8.9880753920000025</v>
      </c>
      <c r="O219" s="59">
        <v>1.1599901997200011</v>
      </c>
      <c r="AG219" s="107"/>
      <c r="AN219" s="115"/>
      <c r="BU219" s="61"/>
    </row>
    <row r="220" spans="1:73" x14ac:dyDescent="0.35">
      <c r="A220" s="7" t="s">
        <v>1379</v>
      </c>
      <c r="B220" s="7" t="s">
        <v>1382</v>
      </c>
      <c r="C220" s="17" t="s">
        <v>225</v>
      </c>
      <c r="D220" s="5" t="s">
        <v>226</v>
      </c>
      <c r="E220" s="5" t="s">
        <v>296</v>
      </c>
      <c r="F220" s="5">
        <v>258.654</v>
      </c>
      <c r="G220" s="5" t="s">
        <v>228</v>
      </c>
      <c r="H220" s="19">
        <v>65.294490909090896</v>
      </c>
      <c r="I220" s="19" t="s">
        <v>40</v>
      </c>
      <c r="J220" s="19">
        <v>0.72750909090910909</v>
      </c>
      <c r="K220" s="5" t="s">
        <v>44</v>
      </c>
      <c r="L220" s="101" t="s">
        <v>188</v>
      </c>
      <c r="M220" s="59">
        <v>0.20669999999999999</v>
      </c>
      <c r="N220" s="59">
        <v>9.1441238569200021</v>
      </c>
      <c r="O220" s="59">
        <v>1.3160386646400006</v>
      </c>
      <c r="AG220" s="107"/>
      <c r="AN220" s="115"/>
      <c r="BU220" s="61"/>
    </row>
    <row r="221" spans="1:73" x14ac:dyDescent="0.35">
      <c r="A221" s="7" t="s">
        <v>1379</v>
      </c>
      <c r="B221" s="7" t="s">
        <v>1382</v>
      </c>
      <c r="C221" s="17" t="s">
        <v>225</v>
      </c>
      <c r="D221" s="5" t="s">
        <v>226</v>
      </c>
      <c r="E221" s="5" t="s">
        <v>297</v>
      </c>
      <c r="F221" s="5">
        <v>258.69400000000002</v>
      </c>
      <c r="G221" s="5" t="s">
        <v>228</v>
      </c>
      <c r="H221" s="19">
        <v>65.303945454545456</v>
      </c>
      <c r="I221" s="19" t="s">
        <v>40</v>
      </c>
      <c r="J221" s="19">
        <v>0.7180545454545495</v>
      </c>
      <c r="K221" s="5" t="s">
        <v>44</v>
      </c>
      <c r="L221" s="101" t="s">
        <v>188</v>
      </c>
      <c r="M221" s="59">
        <v>0.24</v>
      </c>
      <c r="N221" s="59">
        <v>8.9969148000000008</v>
      </c>
      <c r="O221" s="59">
        <v>1.1688296077199993</v>
      </c>
      <c r="AG221" s="107"/>
      <c r="AN221" s="115"/>
      <c r="BU221" s="61"/>
    </row>
    <row r="222" spans="1:73" x14ac:dyDescent="0.35">
      <c r="A222" s="7" t="s">
        <v>1379</v>
      </c>
      <c r="B222" s="7" t="s">
        <v>1382</v>
      </c>
      <c r="C222" s="17" t="s">
        <v>225</v>
      </c>
      <c r="D222" s="5" t="s">
        <v>226</v>
      </c>
      <c r="E222" s="5" t="s">
        <v>298</v>
      </c>
      <c r="F222" s="5">
        <v>258.73500000000001</v>
      </c>
      <c r="G222" s="5" t="s">
        <v>228</v>
      </c>
      <c r="H222" s="19">
        <v>65.313636363636363</v>
      </c>
      <c r="I222" s="19" t="s">
        <v>40</v>
      </c>
      <c r="J222" s="19">
        <v>0.70836363636364297</v>
      </c>
      <c r="K222" s="5" t="s">
        <v>44</v>
      </c>
      <c r="L222" s="101" t="s">
        <v>188</v>
      </c>
      <c r="M222" s="59">
        <v>0.2382</v>
      </c>
      <c r="N222" s="59">
        <v>9.0048704587200028</v>
      </c>
      <c r="O222" s="59">
        <v>1.1767852664400014</v>
      </c>
      <c r="AG222" s="107"/>
      <c r="AN222" s="115"/>
      <c r="BU222" s="61"/>
    </row>
    <row r="223" spans="1:73" x14ac:dyDescent="0.35">
      <c r="A223" s="7" t="s">
        <v>1379</v>
      </c>
      <c r="B223" s="7" t="s">
        <v>1382</v>
      </c>
      <c r="C223" s="17" t="s">
        <v>225</v>
      </c>
      <c r="D223" s="5" t="s">
        <v>226</v>
      </c>
      <c r="E223" s="5" t="s">
        <v>299</v>
      </c>
      <c r="F223" s="5">
        <v>258.77499999999998</v>
      </c>
      <c r="G223" s="5" t="s">
        <v>228</v>
      </c>
      <c r="H223" s="19">
        <v>65.323090909090894</v>
      </c>
      <c r="I223" s="19" t="s">
        <v>40</v>
      </c>
      <c r="J223" s="19">
        <v>0.6989090909091118</v>
      </c>
      <c r="K223" s="5" t="s">
        <v>44</v>
      </c>
      <c r="L223" s="101" t="s">
        <v>188</v>
      </c>
      <c r="M223" s="59">
        <v>0.18679999999999999</v>
      </c>
      <c r="N223" s="59">
        <v>9.2321252787200017</v>
      </c>
      <c r="O223" s="59">
        <v>1.4040400864400002</v>
      </c>
      <c r="AG223" s="107"/>
      <c r="AN223" s="115"/>
      <c r="BU223" s="61"/>
    </row>
    <row r="224" spans="1:73" x14ac:dyDescent="0.35">
      <c r="A224" s="7" t="s">
        <v>1379</v>
      </c>
      <c r="B224" s="7" t="s">
        <v>1382</v>
      </c>
      <c r="C224" s="17" t="s">
        <v>225</v>
      </c>
      <c r="D224" s="5" t="s">
        <v>226</v>
      </c>
      <c r="E224" s="5" t="s">
        <v>300</v>
      </c>
      <c r="F224" s="5">
        <v>258.81400000000002</v>
      </c>
      <c r="G224" s="5" t="s">
        <v>228</v>
      </c>
      <c r="H224" s="19">
        <v>65.334653846153842</v>
      </c>
      <c r="I224" s="19" t="s">
        <v>40</v>
      </c>
      <c r="J224" s="19">
        <v>0.68734615384616404</v>
      </c>
      <c r="K224" s="5" t="s">
        <v>44</v>
      </c>
      <c r="L224" s="101" t="s">
        <v>188</v>
      </c>
      <c r="M224" s="59">
        <v>0.2802</v>
      </c>
      <c r="N224" s="59">
        <v>8.8192856971200015</v>
      </c>
      <c r="O224" s="59">
        <v>0.99120050484000011</v>
      </c>
      <c r="AG224" s="107"/>
      <c r="AN224" s="115"/>
      <c r="BU224" s="61"/>
    </row>
    <row r="225" spans="1:73" x14ac:dyDescent="0.35">
      <c r="A225" s="7" t="s">
        <v>1379</v>
      </c>
      <c r="B225" s="7" t="s">
        <v>1382</v>
      </c>
      <c r="C225" s="17" t="s">
        <v>225</v>
      </c>
      <c r="D225" s="5" t="s">
        <v>226</v>
      </c>
      <c r="E225" s="5" t="s">
        <v>301</v>
      </c>
      <c r="F225" s="5">
        <v>258.851</v>
      </c>
      <c r="G225" s="5" t="s">
        <v>228</v>
      </c>
      <c r="H225" s="19">
        <v>65.34959615384615</v>
      </c>
      <c r="I225" s="19" t="s">
        <v>40</v>
      </c>
      <c r="J225" s="19">
        <v>0.67240384615385551</v>
      </c>
      <c r="K225" s="5" t="s">
        <v>44</v>
      </c>
      <c r="L225" s="101" t="s">
        <v>188</v>
      </c>
      <c r="M225" s="59">
        <v>0.20799999999999999</v>
      </c>
      <c r="N225" s="59">
        <v>9.1383757920000015</v>
      </c>
      <c r="O225" s="59">
        <v>1.3102905997200001</v>
      </c>
      <c r="AG225" s="107"/>
      <c r="AN225" s="115"/>
      <c r="BU225" s="61"/>
    </row>
    <row r="226" spans="1:73" x14ac:dyDescent="0.35">
      <c r="A226" s="7" t="s">
        <v>1379</v>
      </c>
      <c r="B226" s="7" t="s">
        <v>1382</v>
      </c>
      <c r="C226" s="17" t="s">
        <v>225</v>
      </c>
      <c r="D226" s="5" t="s">
        <v>226</v>
      </c>
      <c r="E226" s="5" t="s">
        <v>302</v>
      </c>
      <c r="F226" s="5">
        <v>258.88799999999998</v>
      </c>
      <c r="G226" s="5" t="s">
        <v>228</v>
      </c>
      <c r="H226" s="19">
        <v>65.364538461538444</v>
      </c>
      <c r="I226" s="19" t="s">
        <v>40</v>
      </c>
      <c r="J226" s="19">
        <v>0.65746153846156119</v>
      </c>
      <c r="K226" s="5" t="s">
        <v>44</v>
      </c>
      <c r="L226" s="101" t="s">
        <v>188</v>
      </c>
      <c r="M226" s="59">
        <v>0.18559999999999999</v>
      </c>
      <c r="N226" s="59">
        <v>9.237432606080004</v>
      </c>
      <c r="O226" s="59">
        <v>1.4093474138000026</v>
      </c>
      <c r="AG226" s="107"/>
      <c r="AN226" s="115"/>
      <c r="BU226" s="61"/>
    </row>
    <row r="227" spans="1:73" x14ac:dyDescent="0.35">
      <c r="A227" s="7" t="s">
        <v>1379</v>
      </c>
      <c r="B227" s="7" t="s">
        <v>1382</v>
      </c>
      <c r="C227" s="17" t="s">
        <v>225</v>
      </c>
      <c r="D227" s="5" t="s">
        <v>226</v>
      </c>
      <c r="E227" s="5" t="s">
        <v>303</v>
      </c>
      <c r="F227" s="5">
        <v>259.03500000000003</v>
      </c>
      <c r="G227" s="5" t="s">
        <v>228</v>
      </c>
      <c r="H227" s="19">
        <v>65.423903846153848</v>
      </c>
      <c r="I227" s="19" t="s">
        <v>40</v>
      </c>
      <c r="J227" s="19">
        <v>0.59809615384615711</v>
      </c>
      <c r="K227" s="5" t="s">
        <v>44</v>
      </c>
      <c r="L227" s="101" t="s">
        <v>188</v>
      </c>
      <c r="M227" s="59">
        <v>0.18</v>
      </c>
      <c r="N227" s="59">
        <v>9.2622012000000016</v>
      </c>
      <c r="O227" s="59">
        <v>1.4341160077200001</v>
      </c>
      <c r="AG227" s="107"/>
      <c r="AN227" s="115"/>
      <c r="BU227" s="61"/>
    </row>
    <row r="228" spans="1:73" x14ac:dyDescent="0.35">
      <c r="A228" s="7" t="s">
        <v>1379</v>
      </c>
      <c r="B228" s="7" t="s">
        <v>1382</v>
      </c>
      <c r="C228" s="17" t="s">
        <v>225</v>
      </c>
      <c r="D228" s="5" t="s">
        <v>226</v>
      </c>
      <c r="E228" s="5" t="s">
        <v>304</v>
      </c>
      <c r="F228" s="5">
        <v>259.072</v>
      </c>
      <c r="G228" s="5" t="s">
        <v>228</v>
      </c>
      <c r="H228" s="19">
        <v>65.435924137931039</v>
      </c>
      <c r="I228" s="19" t="s">
        <v>40</v>
      </c>
      <c r="J228" s="19">
        <v>0.58607586206896656</v>
      </c>
      <c r="K228" s="5" t="s">
        <v>44</v>
      </c>
      <c r="L228" s="101" t="s">
        <v>188</v>
      </c>
      <c r="M228" s="59">
        <v>0.34150000000000003</v>
      </c>
      <c r="N228" s="59">
        <v>8.5485976230000027</v>
      </c>
      <c r="O228" s="59">
        <v>0.72051243072000126</v>
      </c>
      <c r="AG228" s="107"/>
      <c r="AN228" s="115"/>
      <c r="BU228" s="61"/>
    </row>
    <row r="229" spans="1:73" x14ac:dyDescent="0.35">
      <c r="A229" s="7" t="s">
        <v>1379</v>
      </c>
      <c r="B229" s="7" t="s">
        <v>1382</v>
      </c>
      <c r="C229" s="17" t="s">
        <v>225</v>
      </c>
      <c r="D229" s="5" t="s">
        <v>226</v>
      </c>
      <c r="E229" s="5" t="s">
        <v>305</v>
      </c>
      <c r="F229" s="5">
        <v>259.10899999999998</v>
      </c>
      <c r="G229" s="5" t="s">
        <v>228</v>
      </c>
      <c r="H229" s="19">
        <v>65.441856896551712</v>
      </c>
      <c r="I229" s="19" t="s">
        <v>40</v>
      </c>
      <c r="J229" s="19">
        <v>0.58014310344829312</v>
      </c>
      <c r="K229" s="5" t="s">
        <v>44</v>
      </c>
      <c r="L229" s="101" t="s">
        <v>188</v>
      </c>
      <c r="M229" s="59">
        <v>0.29630000000000001</v>
      </c>
      <c r="N229" s="59">
        <v>8.7481710633200027</v>
      </c>
      <c r="O229" s="59">
        <v>0.92008587104000128</v>
      </c>
      <c r="AG229" s="107"/>
      <c r="AN229" s="115"/>
      <c r="BU229" s="61"/>
    </row>
    <row r="230" spans="1:73" x14ac:dyDescent="0.35">
      <c r="A230" s="7" t="s">
        <v>1379</v>
      </c>
      <c r="B230" s="7" t="s">
        <v>1382</v>
      </c>
      <c r="C230" s="17" t="s">
        <v>225</v>
      </c>
      <c r="D230" s="5" t="s">
        <v>226</v>
      </c>
      <c r="E230" s="5" t="s">
        <v>306</v>
      </c>
      <c r="F230" s="5">
        <v>259.25700000000001</v>
      </c>
      <c r="G230" s="5" t="s">
        <v>228</v>
      </c>
      <c r="H230" s="19">
        <v>65.465587931034477</v>
      </c>
      <c r="I230" s="19" t="s">
        <v>40</v>
      </c>
      <c r="J230" s="19">
        <v>0.55641206896552831</v>
      </c>
      <c r="K230" s="5" t="s">
        <v>44</v>
      </c>
      <c r="L230" s="101" t="s">
        <v>188</v>
      </c>
      <c r="M230" s="59">
        <v>0.28520000000000001</v>
      </c>
      <c r="N230" s="59">
        <v>8.7971988531200029</v>
      </c>
      <c r="O230" s="59">
        <v>0.9691136608400015</v>
      </c>
      <c r="AG230" s="107"/>
      <c r="AN230" s="115"/>
      <c r="BU230" s="61"/>
    </row>
    <row r="231" spans="1:73" x14ac:dyDescent="0.35">
      <c r="A231" s="7" t="s">
        <v>1379</v>
      </c>
      <c r="B231" s="7" t="s">
        <v>1382</v>
      </c>
      <c r="C231" s="17" t="s">
        <v>225</v>
      </c>
      <c r="D231" s="5" t="s">
        <v>226</v>
      </c>
      <c r="E231" s="5" t="s">
        <v>307</v>
      </c>
      <c r="F231" s="5">
        <v>259.33100000000002</v>
      </c>
      <c r="G231" s="5" t="s">
        <v>228</v>
      </c>
      <c r="H231" s="19">
        <v>65.477453448275867</v>
      </c>
      <c r="I231" s="19" t="s">
        <v>40</v>
      </c>
      <c r="J231" s="19">
        <v>0.54454655172413879</v>
      </c>
      <c r="K231" s="5" t="s">
        <v>44</v>
      </c>
      <c r="L231" s="101" t="s">
        <v>188</v>
      </c>
      <c r="M231" s="59">
        <v>0.22989999999999999</v>
      </c>
      <c r="N231" s="59">
        <v>9.0415572322800024</v>
      </c>
      <c r="O231" s="59">
        <v>1.213472040000001</v>
      </c>
      <c r="AG231" s="107"/>
      <c r="AN231" s="115"/>
      <c r="BU231" s="61"/>
    </row>
    <row r="232" spans="1:73" x14ac:dyDescent="0.35">
      <c r="A232" s="7" t="s">
        <v>1379</v>
      </c>
      <c r="B232" s="7" t="s">
        <v>1382</v>
      </c>
      <c r="C232" s="17" t="s">
        <v>225</v>
      </c>
      <c r="D232" s="5" t="s">
        <v>226</v>
      </c>
      <c r="E232" s="5" t="s">
        <v>308</v>
      </c>
      <c r="F232" s="5">
        <v>259.36700000000002</v>
      </c>
      <c r="G232" s="5" t="s">
        <v>228</v>
      </c>
      <c r="H232" s="19">
        <v>65.483225862068963</v>
      </c>
      <c r="I232" s="19" t="s">
        <v>40</v>
      </c>
      <c r="J232" s="19">
        <v>0.53877413793104267</v>
      </c>
      <c r="K232" s="5" t="s">
        <v>44</v>
      </c>
      <c r="L232" s="101" t="s">
        <v>188</v>
      </c>
      <c r="M232" s="59">
        <v>0.20660000000000001</v>
      </c>
      <c r="N232" s="59">
        <v>9.1445660196800027</v>
      </c>
      <c r="O232" s="59">
        <v>1.3164808274000013</v>
      </c>
      <c r="AG232" s="107"/>
      <c r="AN232" s="115"/>
      <c r="BU232" s="61"/>
    </row>
    <row r="233" spans="1:73" x14ac:dyDescent="0.35">
      <c r="A233" s="7" t="s">
        <v>1379</v>
      </c>
      <c r="B233" s="7" t="s">
        <v>1382</v>
      </c>
      <c r="C233" s="17" t="s">
        <v>225</v>
      </c>
      <c r="D233" s="5" t="s">
        <v>226</v>
      </c>
      <c r="E233" s="5" t="s">
        <v>309</v>
      </c>
      <c r="F233" s="5">
        <v>259.404</v>
      </c>
      <c r="G233" s="5" t="s">
        <v>228</v>
      </c>
      <c r="H233" s="19">
        <v>65.489158620689651</v>
      </c>
      <c r="I233" s="19" t="s">
        <v>40</v>
      </c>
      <c r="J233" s="19">
        <v>0.53284137931035502</v>
      </c>
      <c r="K233" s="5" t="s">
        <v>44</v>
      </c>
      <c r="L233" s="101" t="s">
        <v>188</v>
      </c>
      <c r="M233" s="59">
        <v>0.29299999999999998</v>
      </c>
      <c r="N233" s="59">
        <v>8.7627461720000017</v>
      </c>
      <c r="O233" s="59">
        <v>0.93466097972000028</v>
      </c>
      <c r="AG233" s="107"/>
      <c r="AN233" s="115"/>
      <c r="BU233" s="61"/>
    </row>
    <row r="234" spans="1:73" x14ac:dyDescent="0.35">
      <c r="A234" s="7" t="s">
        <v>1379</v>
      </c>
      <c r="B234" s="7" t="s">
        <v>1382</v>
      </c>
      <c r="C234" s="17" t="s">
        <v>225</v>
      </c>
      <c r="D234" s="5" t="s">
        <v>226</v>
      </c>
      <c r="E234" s="5" t="s">
        <v>310</v>
      </c>
      <c r="F234" s="5">
        <v>259.44099999999997</v>
      </c>
      <c r="G234" s="5" t="s">
        <v>228</v>
      </c>
      <c r="H234" s="19">
        <v>65.495091379310338</v>
      </c>
      <c r="I234" s="19" t="s">
        <v>40</v>
      </c>
      <c r="J234" s="19">
        <v>0.52690862068966737</v>
      </c>
      <c r="K234" s="5" t="s">
        <v>44</v>
      </c>
      <c r="L234" s="101" t="s">
        <v>188</v>
      </c>
      <c r="M234" s="59">
        <v>0.3276</v>
      </c>
      <c r="N234" s="59">
        <v>8.6099586892800026</v>
      </c>
      <c r="O234" s="59">
        <v>0.78187349700000119</v>
      </c>
      <c r="AG234" s="107"/>
      <c r="AN234" s="115"/>
      <c r="BU234" s="61"/>
    </row>
    <row r="235" spans="1:73" x14ac:dyDescent="0.35">
      <c r="A235" s="7" t="s">
        <v>1379</v>
      </c>
      <c r="B235" s="7" t="s">
        <v>1382</v>
      </c>
      <c r="C235" s="17" t="s">
        <v>225</v>
      </c>
      <c r="D235" s="5" t="s">
        <v>226</v>
      </c>
      <c r="E235" s="5" t="s">
        <v>311</v>
      </c>
      <c r="F235" s="5">
        <v>259.47800000000001</v>
      </c>
      <c r="G235" s="5" t="s">
        <v>228</v>
      </c>
      <c r="H235" s="19">
        <v>65.50102413793104</v>
      </c>
      <c r="I235" s="19" t="s">
        <v>40</v>
      </c>
      <c r="J235" s="19">
        <v>0.52097586206896551</v>
      </c>
      <c r="K235" s="5" t="s">
        <v>44</v>
      </c>
      <c r="L235" s="101" t="s">
        <v>188</v>
      </c>
      <c r="M235" s="59">
        <v>0.32050000000000001</v>
      </c>
      <c r="N235" s="59">
        <v>8.6413055670000016</v>
      </c>
      <c r="O235" s="59">
        <v>0.81322037472000019</v>
      </c>
      <c r="AG235" s="107"/>
      <c r="AN235" s="115"/>
      <c r="BU235" s="61"/>
    </row>
    <row r="236" spans="1:73" x14ac:dyDescent="0.35">
      <c r="A236" s="7" t="s">
        <v>1379</v>
      </c>
      <c r="B236" s="7" t="s">
        <v>1382</v>
      </c>
      <c r="C236" s="17" t="s">
        <v>225</v>
      </c>
      <c r="D236" s="5" t="s">
        <v>226</v>
      </c>
      <c r="E236" s="5" t="s">
        <v>312</v>
      </c>
      <c r="F236" s="5">
        <v>259.51499999999999</v>
      </c>
      <c r="G236" s="5" t="s">
        <v>228</v>
      </c>
      <c r="H236" s="19">
        <v>65.506956896551728</v>
      </c>
      <c r="I236" s="19" t="s">
        <v>40</v>
      </c>
      <c r="J236" s="19">
        <v>0.51504310344827786</v>
      </c>
      <c r="K236" s="5" t="s">
        <v>44</v>
      </c>
      <c r="L236" s="101" t="s">
        <v>188</v>
      </c>
      <c r="M236" s="59">
        <v>0.2656</v>
      </c>
      <c r="N236" s="59">
        <v>8.8837872940800029</v>
      </c>
      <c r="O236" s="59">
        <v>1.0557021018000015</v>
      </c>
      <c r="AG236" s="107"/>
      <c r="AN236" s="115"/>
      <c r="BU236" s="61"/>
    </row>
    <row r="237" spans="1:73" x14ac:dyDescent="0.35">
      <c r="A237" s="7" t="s">
        <v>1379</v>
      </c>
      <c r="B237" s="7" t="s">
        <v>1382</v>
      </c>
      <c r="C237" s="17" t="s">
        <v>225</v>
      </c>
      <c r="D237" s="5" t="s">
        <v>226</v>
      </c>
      <c r="E237" s="5" t="s">
        <v>313</v>
      </c>
      <c r="F237" s="5">
        <v>259.55200000000002</v>
      </c>
      <c r="G237" s="5" t="s">
        <v>228</v>
      </c>
      <c r="H237" s="19">
        <v>65.512889655172415</v>
      </c>
      <c r="I237" s="19" t="s">
        <v>40</v>
      </c>
      <c r="J237" s="19">
        <v>0.50911034482759021</v>
      </c>
      <c r="K237" s="5" t="s">
        <v>44</v>
      </c>
      <c r="L237" s="101" t="s">
        <v>188</v>
      </c>
      <c r="M237" s="59">
        <v>0.26540000000000002</v>
      </c>
      <c r="N237" s="59">
        <v>8.8846709604800029</v>
      </c>
      <c r="O237" s="59">
        <v>1.0565857682000015</v>
      </c>
      <c r="AG237" s="107"/>
      <c r="AN237" s="115"/>
      <c r="BU237" s="61"/>
    </row>
    <row r="238" spans="1:73" x14ac:dyDescent="0.35">
      <c r="A238" s="7" t="s">
        <v>1379</v>
      </c>
      <c r="B238" s="7" t="s">
        <v>1382</v>
      </c>
      <c r="C238" s="17" t="s">
        <v>225</v>
      </c>
      <c r="D238" s="5" t="s">
        <v>226</v>
      </c>
      <c r="E238" s="5" t="s">
        <v>314</v>
      </c>
      <c r="F238" s="5">
        <v>259.589</v>
      </c>
      <c r="G238" s="5" t="s">
        <v>228</v>
      </c>
      <c r="H238" s="19">
        <v>65.518822413793103</v>
      </c>
      <c r="I238" s="19" t="s">
        <v>40</v>
      </c>
      <c r="J238" s="19">
        <v>0.50317758620690256</v>
      </c>
      <c r="K238" s="5" t="s">
        <v>44</v>
      </c>
      <c r="L238" s="101" t="s">
        <v>188</v>
      </c>
      <c r="M238" s="59">
        <v>0.22839999999999999</v>
      </c>
      <c r="N238" s="59">
        <v>9.0481877836800031</v>
      </c>
      <c r="O238" s="59">
        <v>1.2201025914000017</v>
      </c>
      <c r="AG238" s="107"/>
      <c r="AN238" s="115"/>
      <c r="BU238" s="61"/>
    </row>
    <row r="239" spans="1:73" x14ac:dyDescent="0.35">
      <c r="A239" s="7" t="s">
        <v>1379</v>
      </c>
      <c r="B239" s="7" t="s">
        <v>1382</v>
      </c>
      <c r="C239" s="17" t="s">
        <v>225</v>
      </c>
      <c r="D239" s="5" t="s">
        <v>226</v>
      </c>
      <c r="E239" s="5" t="s">
        <v>315</v>
      </c>
      <c r="F239" s="5">
        <v>259.62599999999998</v>
      </c>
      <c r="G239" s="5" t="s">
        <v>228</v>
      </c>
      <c r="H239" s="19">
        <v>65.524755172413791</v>
      </c>
      <c r="I239" s="19" t="s">
        <v>40</v>
      </c>
      <c r="J239" s="19">
        <v>0.49724482758621491</v>
      </c>
      <c r="K239" s="5" t="s">
        <v>44</v>
      </c>
      <c r="L239" s="101" t="s">
        <v>188</v>
      </c>
      <c r="M239" s="59">
        <v>0.3115</v>
      </c>
      <c r="N239" s="59">
        <v>8.6810451030000024</v>
      </c>
      <c r="O239" s="59">
        <v>0.85295991072000099</v>
      </c>
      <c r="AG239" s="107"/>
      <c r="AN239" s="115"/>
      <c r="BU239" s="61"/>
    </row>
    <row r="240" spans="1:73" x14ac:dyDescent="0.35">
      <c r="A240" s="7" t="s">
        <v>1379</v>
      </c>
      <c r="B240" s="7" t="s">
        <v>1382</v>
      </c>
      <c r="C240" s="17" t="s">
        <v>225</v>
      </c>
      <c r="D240" s="5" t="s">
        <v>226</v>
      </c>
      <c r="E240" s="5" t="s">
        <v>316</v>
      </c>
      <c r="F240" s="5">
        <v>259.66199999999998</v>
      </c>
      <c r="G240" s="5" t="s">
        <v>228</v>
      </c>
      <c r="H240" s="19">
        <v>65.532426666666666</v>
      </c>
      <c r="I240" s="19" t="s">
        <v>40</v>
      </c>
      <c r="J240" s="19">
        <v>0.48957333333333963</v>
      </c>
      <c r="K240" s="5" t="s">
        <v>44</v>
      </c>
      <c r="L240" s="101" t="s">
        <v>188</v>
      </c>
      <c r="M240" s="59">
        <v>0.3246</v>
      </c>
      <c r="N240" s="59">
        <v>8.6232035044800028</v>
      </c>
      <c r="O240" s="59">
        <v>0.7951183122000014</v>
      </c>
      <c r="AG240" s="107"/>
      <c r="AN240" s="115"/>
      <c r="BU240" s="61"/>
    </row>
    <row r="241" spans="1:73" x14ac:dyDescent="0.35">
      <c r="A241" s="7" t="s">
        <v>1379</v>
      </c>
      <c r="B241" s="7" t="s">
        <v>1382</v>
      </c>
      <c r="C241" s="17" t="s">
        <v>225</v>
      </c>
      <c r="D241" s="5" t="s">
        <v>226</v>
      </c>
      <c r="E241" s="5" t="s">
        <v>317</v>
      </c>
      <c r="F241" s="5">
        <v>259.69900000000001</v>
      </c>
      <c r="G241" s="5" t="s">
        <v>228</v>
      </c>
      <c r="H241" s="19">
        <v>65.54155333333334</v>
      </c>
      <c r="I241" s="19" t="s">
        <v>40</v>
      </c>
      <c r="J241" s="19">
        <v>0.48044666666666558</v>
      </c>
      <c r="K241" s="5" t="s">
        <v>44</v>
      </c>
      <c r="L241" s="101" t="s">
        <v>188</v>
      </c>
      <c r="M241" s="59">
        <v>0.3014</v>
      </c>
      <c r="N241" s="59">
        <v>8.7256470948800029</v>
      </c>
      <c r="O241" s="59">
        <v>0.89756190260000146</v>
      </c>
      <c r="AG241" s="107"/>
      <c r="AN241" s="115"/>
      <c r="BU241" s="61"/>
    </row>
    <row r="242" spans="1:73" x14ac:dyDescent="0.35">
      <c r="A242" s="7" t="s">
        <v>1379</v>
      </c>
      <c r="B242" s="7" t="s">
        <v>1382</v>
      </c>
      <c r="C242" s="17" t="s">
        <v>225</v>
      </c>
      <c r="D242" s="5" t="s">
        <v>226</v>
      </c>
      <c r="E242" s="5" t="s">
        <v>318</v>
      </c>
      <c r="F242" s="5">
        <v>259.73599999999999</v>
      </c>
      <c r="G242" s="5" t="s">
        <v>228</v>
      </c>
      <c r="H242" s="19">
        <v>65.55068</v>
      </c>
      <c r="I242" s="19" t="s">
        <v>40</v>
      </c>
      <c r="J242" s="19">
        <v>0.47132000000000573</v>
      </c>
      <c r="K242" s="5" t="s">
        <v>44</v>
      </c>
      <c r="L242" s="101" t="s">
        <v>188</v>
      </c>
      <c r="M242" s="59">
        <v>0.30809999999999998</v>
      </c>
      <c r="N242" s="59">
        <v>8.6960589970800033</v>
      </c>
      <c r="O242" s="59">
        <v>0.86797380480000186</v>
      </c>
      <c r="AG242" s="107"/>
      <c r="AN242" s="115"/>
      <c r="BU242" s="61"/>
    </row>
    <row r="243" spans="1:73" x14ac:dyDescent="0.35">
      <c r="A243" s="7" t="s">
        <v>1379</v>
      </c>
      <c r="B243" s="7" t="s">
        <v>1382</v>
      </c>
      <c r="C243" s="17" t="s">
        <v>225</v>
      </c>
      <c r="D243" s="5" t="s">
        <v>226</v>
      </c>
      <c r="E243" s="5" t="s">
        <v>319</v>
      </c>
      <c r="F243" s="5">
        <v>259.77300000000002</v>
      </c>
      <c r="G243" s="5" t="s">
        <v>228</v>
      </c>
      <c r="H243" s="19">
        <v>65.559806666666674</v>
      </c>
      <c r="I243" s="19" t="s">
        <v>40</v>
      </c>
      <c r="J243" s="19">
        <v>0.46219333333333168</v>
      </c>
      <c r="K243" s="5" t="s">
        <v>44</v>
      </c>
      <c r="L243" s="101" t="s">
        <v>188</v>
      </c>
      <c r="M243" s="59">
        <v>0.26679999999999998</v>
      </c>
      <c r="N243" s="59">
        <v>8.8784853427200012</v>
      </c>
      <c r="O243" s="59">
        <v>1.0504001504399998</v>
      </c>
      <c r="AG243" s="107"/>
      <c r="AN243" s="115"/>
      <c r="BU243" s="61"/>
    </row>
    <row r="244" spans="1:73" x14ac:dyDescent="0.35">
      <c r="A244" s="7" t="s">
        <v>1379</v>
      </c>
      <c r="B244" s="7" t="s">
        <v>1382</v>
      </c>
      <c r="C244" s="17" t="s">
        <v>225</v>
      </c>
      <c r="D244" s="5" t="s">
        <v>226</v>
      </c>
      <c r="E244" s="5" t="s">
        <v>320</v>
      </c>
      <c r="F244" s="5">
        <v>259.81</v>
      </c>
      <c r="G244" s="5" t="s">
        <v>228</v>
      </c>
      <c r="H244" s="19">
        <v>65.568933333333334</v>
      </c>
      <c r="I244" s="19" t="s">
        <v>40</v>
      </c>
      <c r="J244" s="19">
        <v>0.45306666666667184</v>
      </c>
      <c r="K244" s="5" t="s">
        <v>44</v>
      </c>
      <c r="L244" s="101" t="s">
        <v>188</v>
      </c>
      <c r="M244" s="59">
        <v>0.27389999999999998</v>
      </c>
      <c r="N244" s="59">
        <v>8.8471171138800031</v>
      </c>
      <c r="O244" s="59">
        <v>1.0190319216000017</v>
      </c>
      <c r="AG244" s="107"/>
      <c r="AN244" s="115"/>
      <c r="BU244" s="61"/>
    </row>
    <row r="245" spans="1:73" x14ac:dyDescent="0.35">
      <c r="A245" s="7" t="s">
        <v>1379</v>
      </c>
      <c r="B245" s="7" t="s">
        <v>1382</v>
      </c>
      <c r="C245" s="17" t="s">
        <v>225</v>
      </c>
      <c r="D245" s="5" t="s">
        <v>226</v>
      </c>
      <c r="E245" s="5" t="s">
        <v>321</v>
      </c>
      <c r="F245" s="5">
        <v>259.84699999999998</v>
      </c>
      <c r="G245" s="5" t="s">
        <v>228</v>
      </c>
      <c r="H245" s="19">
        <v>65.578059999999994</v>
      </c>
      <c r="I245" s="19" t="s">
        <v>40</v>
      </c>
      <c r="J245" s="19">
        <v>0.44394000000001199</v>
      </c>
      <c r="K245" s="5" t="s">
        <v>44</v>
      </c>
      <c r="L245" s="101" t="s">
        <v>188</v>
      </c>
      <c r="M245" s="59">
        <v>0.33139999999999997</v>
      </c>
      <c r="N245" s="59">
        <v>8.5931826468800026</v>
      </c>
      <c r="O245" s="59">
        <v>0.76509745460000111</v>
      </c>
      <c r="AG245" s="107"/>
      <c r="AN245" s="115"/>
      <c r="BU245" s="61"/>
    </row>
    <row r="246" spans="1:73" x14ac:dyDescent="0.35">
      <c r="A246" s="7" t="s">
        <v>1379</v>
      </c>
      <c r="B246" s="7" t="s">
        <v>1382</v>
      </c>
      <c r="C246" s="17" t="s">
        <v>225</v>
      </c>
      <c r="D246" s="5" t="s">
        <v>226</v>
      </c>
      <c r="E246" s="5" t="s">
        <v>322</v>
      </c>
      <c r="F246" s="5">
        <v>259.88400000000001</v>
      </c>
      <c r="G246" s="5" t="s">
        <v>228</v>
      </c>
      <c r="H246" s="19">
        <v>65.587186666666668</v>
      </c>
      <c r="I246" s="19" t="s">
        <v>40</v>
      </c>
      <c r="J246" s="19">
        <v>0.43481333333333794</v>
      </c>
      <c r="K246" s="5" t="s">
        <v>44</v>
      </c>
      <c r="L246" s="101" t="s">
        <v>188</v>
      </c>
      <c r="M246" s="59">
        <v>0.29110000000000003</v>
      </c>
      <c r="N246" s="59">
        <v>8.7711381778800011</v>
      </c>
      <c r="O246" s="59">
        <v>0.94305298559999962</v>
      </c>
      <c r="AG246" s="107"/>
      <c r="AN246" s="115"/>
      <c r="BU246" s="61"/>
    </row>
    <row r="247" spans="1:73" x14ac:dyDescent="0.35">
      <c r="A247" s="7" t="s">
        <v>1379</v>
      </c>
      <c r="B247" s="7" t="s">
        <v>1382</v>
      </c>
      <c r="C247" s="17" t="s">
        <v>225</v>
      </c>
      <c r="D247" s="5" t="s">
        <v>226</v>
      </c>
      <c r="E247" s="5" t="s">
        <v>323</v>
      </c>
      <c r="F247" s="5">
        <v>259.92099999999999</v>
      </c>
      <c r="G247" s="5" t="s">
        <v>228</v>
      </c>
      <c r="H247" s="19">
        <v>65.596313333333327</v>
      </c>
      <c r="I247" s="19" t="s">
        <v>40</v>
      </c>
      <c r="J247" s="19">
        <v>0.42568666666667809</v>
      </c>
      <c r="K247" s="5" t="s">
        <v>44</v>
      </c>
      <c r="L247" s="101" t="s">
        <v>188</v>
      </c>
      <c r="M247" s="59">
        <v>0.24859999999999999</v>
      </c>
      <c r="N247" s="59">
        <v>8.9589069348800017</v>
      </c>
      <c r="O247" s="59">
        <v>1.1308217426000002</v>
      </c>
      <c r="AG247" s="107"/>
      <c r="AN247" s="115"/>
      <c r="BU247" s="61"/>
    </row>
    <row r="248" spans="1:73" x14ac:dyDescent="0.35">
      <c r="A248" s="7" t="s">
        <v>1379</v>
      </c>
      <c r="B248" s="7" t="s">
        <v>1382</v>
      </c>
      <c r="C248" s="17" t="s">
        <v>225</v>
      </c>
      <c r="D248" s="5" t="s">
        <v>226</v>
      </c>
      <c r="E248" s="5" t="s">
        <v>324</v>
      </c>
      <c r="F248" s="5">
        <v>259.95699999999999</v>
      </c>
      <c r="G248" s="5" t="s">
        <v>228</v>
      </c>
      <c r="H248" s="19">
        <v>65.6122625</v>
      </c>
      <c r="I248" s="19" t="s">
        <v>40</v>
      </c>
      <c r="J248" s="19">
        <v>0.40973750000000564</v>
      </c>
      <c r="K248" s="5" t="s">
        <v>44</v>
      </c>
      <c r="L248" s="101" t="s">
        <v>188</v>
      </c>
      <c r="M248" s="59">
        <v>0.28960000000000002</v>
      </c>
      <c r="N248" s="59">
        <v>8.7777635884800027</v>
      </c>
      <c r="O248" s="59">
        <v>0.94967839620000127</v>
      </c>
      <c r="AG248" s="107"/>
      <c r="AN248" s="115"/>
      <c r="BU248" s="61"/>
    </row>
    <row r="249" spans="1:73" x14ac:dyDescent="0.35">
      <c r="A249" s="7" t="s">
        <v>1379</v>
      </c>
      <c r="B249" s="7" t="s">
        <v>1382</v>
      </c>
      <c r="C249" s="17" t="s">
        <v>225</v>
      </c>
      <c r="D249" s="5" t="s">
        <v>226</v>
      </c>
      <c r="E249" s="5" t="s">
        <v>325</v>
      </c>
      <c r="F249" s="5">
        <v>259.99400000000003</v>
      </c>
      <c r="G249" s="5" t="s">
        <v>228</v>
      </c>
      <c r="H249" s="19">
        <v>65.636775000000014</v>
      </c>
      <c r="I249" s="19" t="s">
        <v>40</v>
      </c>
      <c r="J249" s="19">
        <v>0.38522499999999127</v>
      </c>
      <c r="K249" s="5" t="s">
        <v>44</v>
      </c>
      <c r="L249" s="101" t="s">
        <v>188</v>
      </c>
      <c r="M249" s="59">
        <v>0.2402</v>
      </c>
      <c r="N249" s="59">
        <v>8.9960308491200003</v>
      </c>
      <c r="O249" s="59">
        <v>1.1679456568399988</v>
      </c>
      <c r="AG249" s="107"/>
      <c r="AN249" s="115"/>
      <c r="BU249" s="61"/>
    </row>
    <row r="250" spans="1:73" x14ac:dyDescent="0.35">
      <c r="A250" s="7" t="s">
        <v>1379</v>
      </c>
      <c r="B250" s="7" t="s">
        <v>1382</v>
      </c>
      <c r="C250" s="17" t="s">
        <v>225</v>
      </c>
      <c r="D250" s="5" t="s">
        <v>226</v>
      </c>
      <c r="E250" s="5" t="s">
        <v>326</v>
      </c>
      <c r="F250" s="5">
        <v>260.03100000000001</v>
      </c>
      <c r="G250" s="5" t="s">
        <v>228</v>
      </c>
      <c r="H250" s="19">
        <v>65.661287499999986</v>
      </c>
      <c r="I250" s="19" t="s">
        <v>40</v>
      </c>
      <c r="J250" s="19">
        <v>0.36071250000001953</v>
      </c>
      <c r="K250" s="5" t="s">
        <v>44</v>
      </c>
      <c r="L250" s="101" t="s">
        <v>188</v>
      </c>
      <c r="M250" s="59">
        <v>0.33189999999999997</v>
      </c>
      <c r="N250" s="59">
        <v>8.5909753330800029</v>
      </c>
      <c r="O250" s="59">
        <v>0.7628901408000015</v>
      </c>
      <c r="AG250" s="107"/>
      <c r="AN250" s="115"/>
      <c r="BU250" s="61"/>
    </row>
    <row r="251" spans="1:73" x14ac:dyDescent="0.35">
      <c r="A251" s="7" t="s">
        <v>1379</v>
      </c>
      <c r="B251" s="7" t="s">
        <v>1382</v>
      </c>
      <c r="C251" s="17" t="s">
        <v>225</v>
      </c>
      <c r="D251" s="5" t="s">
        <v>226</v>
      </c>
      <c r="E251" s="5" t="s">
        <v>327</v>
      </c>
      <c r="F251" s="5">
        <v>260.06799999999998</v>
      </c>
      <c r="G251" s="5" t="s">
        <v>228</v>
      </c>
      <c r="H251" s="19">
        <v>65.685799999999972</v>
      </c>
      <c r="I251" s="19" t="s">
        <v>40</v>
      </c>
      <c r="J251" s="19">
        <v>0.33620000000003358</v>
      </c>
      <c r="K251" s="5" t="s">
        <v>44</v>
      </c>
      <c r="L251" s="101" t="s">
        <v>188</v>
      </c>
      <c r="M251" s="59">
        <v>0.27339999999999998</v>
      </c>
      <c r="N251" s="59">
        <v>8.8493260516800021</v>
      </c>
      <c r="O251" s="59">
        <v>1.0212408594000006</v>
      </c>
      <c r="AG251" s="107"/>
      <c r="AN251" s="115"/>
      <c r="BU251" s="61"/>
    </row>
    <row r="252" spans="1:73" x14ac:dyDescent="0.35">
      <c r="A252" s="7" t="s">
        <v>1379</v>
      </c>
      <c r="B252" s="7" t="s">
        <v>1382</v>
      </c>
      <c r="C252" s="17" t="s">
        <v>225</v>
      </c>
      <c r="D252" s="5" t="s">
        <v>226</v>
      </c>
      <c r="E252" s="5" t="s">
        <v>328</v>
      </c>
      <c r="F252" s="5">
        <v>260.10500000000002</v>
      </c>
      <c r="G252" s="5" t="s">
        <v>228</v>
      </c>
      <c r="H252" s="19">
        <v>65.7079375</v>
      </c>
      <c r="I252" s="19" t="s">
        <v>40</v>
      </c>
      <c r="J252" s="19">
        <v>0.31406250000000568</v>
      </c>
      <c r="K252" s="5" t="s">
        <v>44</v>
      </c>
      <c r="L252" s="101" t="s">
        <v>188</v>
      </c>
      <c r="M252" s="59">
        <v>0.29089999999999999</v>
      </c>
      <c r="N252" s="59">
        <v>8.7720215586800023</v>
      </c>
      <c r="O252" s="59">
        <v>0.94393636640000089</v>
      </c>
      <c r="AG252" s="107"/>
      <c r="AN252" s="115"/>
      <c r="BU252" s="61"/>
    </row>
    <row r="253" spans="1:73" x14ac:dyDescent="0.35">
      <c r="A253" s="7" t="s">
        <v>1379</v>
      </c>
      <c r="B253" s="7" t="s">
        <v>1382</v>
      </c>
      <c r="C253" s="17" t="s">
        <v>225</v>
      </c>
      <c r="D253" s="5" t="s">
        <v>226</v>
      </c>
      <c r="E253" s="5" t="s">
        <v>329</v>
      </c>
      <c r="F253" s="5">
        <v>260.14800000000002</v>
      </c>
      <c r="G253" s="5" t="s">
        <v>228</v>
      </c>
      <c r="H253" s="19">
        <v>65.715999999999994</v>
      </c>
      <c r="I253" s="19" t="s">
        <v>40</v>
      </c>
      <c r="J253" s="19">
        <v>0.3060000000000116</v>
      </c>
      <c r="K253" s="5" t="s">
        <v>44</v>
      </c>
      <c r="L253" s="101" t="s">
        <v>188</v>
      </c>
      <c r="M253" s="59">
        <v>0.19</v>
      </c>
      <c r="N253" s="59">
        <v>9.2179728000000019</v>
      </c>
      <c r="O253" s="59">
        <v>1.3898876077200004</v>
      </c>
      <c r="AG253" s="107"/>
      <c r="AN253" s="115"/>
      <c r="BU253" s="61"/>
    </row>
    <row r="254" spans="1:73" x14ac:dyDescent="0.35">
      <c r="A254" s="7" t="s">
        <v>1379</v>
      </c>
      <c r="B254" s="7" t="s">
        <v>1382</v>
      </c>
      <c r="C254" s="17" t="s">
        <v>225</v>
      </c>
      <c r="D254" s="5" t="s">
        <v>226</v>
      </c>
      <c r="E254" s="5" t="s">
        <v>330</v>
      </c>
      <c r="F254" s="5">
        <v>260.19200000000001</v>
      </c>
      <c r="G254" s="5" t="s">
        <v>228</v>
      </c>
      <c r="H254" s="19">
        <v>65.724249999999998</v>
      </c>
      <c r="I254" s="19" t="s">
        <v>40</v>
      </c>
      <c r="J254" s="19">
        <v>0.29775000000000773</v>
      </c>
      <c r="K254" s="5" t="s">
        <v>44</v>
      </c>
      <c r="L254" s="101" t="s">
        <v>188</v>
      </c>
      <c r="M254" s="59">
        <v>0.2135</v>
      </c>
      <c r="N254" s="59">
        <v>9.1140581030000014</v>
      </c>
      <c r="O254" s="59">
        <v>1.28597291072</v>
      </c>
      <c r="AG254" s="107"/>
      <c r="AN254" s="115"/>
      <c r="BU254" s="61"/>
    </row>
    <row r="255" spans="1:73" x14ac:dyDescent="0.35">
      <c r="A255" s="7" t="s">
        <v>1379</v>
      </c>
      <c r="B255" s="7" t="s">
        <v>1382</v>
      </c>
      <c r="C255" s="17" t="s">
        <v>225</v>
      </c>
      <c r="D255" s="5" t="s">
        <v>226</v>
      </c>
      <c r="E255" s="5" t="s">
        <v>331</v>
      </c>
      <c r="F255" s="5">
        <v>260.23500000000001</v>
      </c>
      <c r="G255" s="5" t="s">
        <v>228</v>
      </c>
      <c r="H255" s="19">
        <v>65.732312499999992</v>
      </c>
      <c r="I255" s="19" t="s">
        <v>40</v>
      </c>
      <c r="J255" s="19">
        <v>0.28968750000001364</v>
      </c>
      <c r="K255" s="5" t="s">
        <v>44</v>
      </c>
      <c r="L255" s="101" t="s">
        <v>188</v>
      </c>
      <c r="M255" s="59">
        <v>0.3342</v>
      </c>
      <c r="N255" s="59">
        <v>8.580821869920003</v>
      </c>
      <c r="O255" s="59">
        <v>0.75273667764000152</v>
      </c>
      <c r="AG255" s="107"/>
      <c r="AN255" s="115"/>
      <c r="BU255" s="61"/>
    </row>
    <row r="256" spans="1:73" x14ac:dyDescent="0.35">
      <c r="A256" s="7" t="s">
        <v>1379</v>
      </c>
      <c r="B256" s="7" t="s">
        <v>1382</v>
      </c>
      <c r="C256" s="17" t="s">
        <v>225</v>
      </c>
      <c r="D256" s="5" t="s">
        <v>226</v>
      </c>
      <c r="E256" s="5" t="s">
        <v>332</v>
      </c>
      <c r="F256" s="5">
        <v>260.322</v>
      </c>
      <c r="G256" s="5" t="s">
        <v>228</v>
      </c>
      <c r="H256" s="19">
        <v>65.74862499999999</v>
      </c>
      <c r="I256" s="19" t="s">
        <v>40</v>
      </c>
      <c r="J256" s="19">
        <v>0.27337500000001569</v>
      </c>
      <c r="K256" s="5" t="s">
        <v>44</v>
      </c>
      <c r="L256" s="101" t="s">
        <v>188</v>
      </c>
      <c r="M256" s="59">
        <v>0.2898</v>
      </c>
      <c r="N256" s="59">
        <v>8.776880193120002</v>
      </c>
      <c r="O256" s="59">
        <v>0.94879500084000057</v>
      </c>
      <c r="AG256" s="107"/>
      <c r="AN256" s="115"/>
      <c r="BU256" s="61"/>
    </row>
    <row r="257" spans="1:73" x14ac:dyDescent="0.35">
      <c r="A257" s="7" t="s">
        <v>1379</v>
      </c>
      <c r="B257" s="7" t="s">
        <v>1382</v>
      </c>
      <c r="C257" s="17" t="s">
        <v>225</v>
      </c>
      <c r="D257" s="5" t="s">
        <v>226</v>
      </c>
      <c r="E257" s="5" t="s">
        <v>333</v>
      </c>
      <c r="F257" s="5">
        <v>261.04000000000002</v>
      </c>
      <c r="G257" s="5" t="s">
        <v>228</v>
      </c>
      <c r="H257" s="19">
        <v>65.893782608695659</v>
      </c>
      <c r="I257" s="19" t="s">
        <v>40</v>
      </c>
      <c r="J257" s="19">
        <v>0.12821739130434651</v>
      </c>
      <c r="K257" s="5" t="s">
        <v>44</v>
      </c>
      <c r="L257" s="101" t="s">
        <v>188</v>
      </c>
      <c r="M257" s="59">
        <v>0.39879999999999999</v>
      </c>
      <c r="N257" s="59">
        <v>8.2957630003200027</v>
      </c>
      <c r="O257" s="59">
        <v>0.46767780804000125</v>
      </c>
      <c r="AG257" s="107"/>
      <c r="AN257" s="115"/>
      <c r="BU257" s="61"/>
    </row>
    <row r="258" spans="1:73" x14ac:dyDescent="0.35">
      <c r="A258" s="7" t="s">
        <v>1379</v>
      </c>
      <c r="B258" s="7" t="s">
        <v>1382</v>
      </c>
      <c r="C258" s="17" t="s">
        <v>225</v>
      </c>
      <c r="D258" s="5" t="s">
        <v>226</v>
      </c>
      <c r="E258" s="5" t="s">
        <v>334</v>
      </c>
      <c r="F258" s="5">
        <v>261.08</v>
      </c>
      <c r="G258" s="5" t="s">
        <v>228</v>
      </c>
      <c r="H258" s="19">
        <v>65.902391304347816</v>
      </c>
      <c r="I258" s="19" t="s">
        <v>40</v>
      </c>
      <c r="J258" s="19">
        <v>0.11960869565218957</v>
      </c>
      <c r="K258" s="5" t="s">
        <v>44</v>
      </c>
      <c r="L258" s="101" t="s">
        <v>188</v>
      </c>
      <c r="M258" s="59">
        <v>0.43440000000000001</v>
      </c>
      <c r="N258" s="59">
        <v>8.138771614080003</v>
      </c>
      <c r="O258" s="59">
        <v>0.31068642180000161</v>
      </c>
      <c r="AG258" s="107"/>
      <c r="AN258" s="115"/>
      <c r="BU258" s="61"/>
    </row>
    <row r="259" spans="1:73" x14ac:dyDescent="0.35">
      <c r="A259" s="7" t="s">
        <v>1379</v>
      </c>
      <c r="B259" s="7" t="s">
        <v>1382</v>
      </c>
      <c r="C259" s="17" t="s">
        <v>225</v>
      </c>
      <c r="D259" s="5" t="s">
        <v>226</v>
      </c>
      <c r="E259" s="5" t="s">
        <v>335</v>
      </c>
      <c r="F259" s="5">
        <v>261.12</v>
      </c>
      <c r="G259" s="5" t="s">
        <v>228</v>
      </c>
      <c r="H259" s="19">
        <v>65.911000000000001</v>
      </c>
      <c r="I259" s="19" t="s">
        <v>40</v>
      </c>
      <c r="J259" s="19">
        <v>0.11100000000000421</v>
      </c>
      <c r="K259" s="5" t="s">
        <v>44</v>
      </c>
      <c r="L259" s="101" t="s">
        <v>188</v>
      </c>
      <c r="M259" s="59">
        <v>0.44950000000000001</v>
      </c>
      <c r="N259" s="59">
        <v>8.0722040070000034</v>
      </c>
      <c r="O259" s="59">
        <v>0.24411881472000196</v>
      </c>
      <c r="AG259" s="107"/>
      <c r="AN259" s="115"/>
      <c r="BU259" s="61"/>
    </row>
    <row r="260" spans="1:73" x14ac:dyDescent="0.35">
      <c r="A260" s="7" t="s">
        <v>1379</v>
      </c>
      <c r="B260" s="7" t="s">
        <v>1382</v>
      </c>
      <c r="C260" s="17" t="s">
        <v>225</v>
      </c>
      <c r="D260" s="5" t="s">
        <v>226</v>
      </c>
      <c r="E260" s="5" t="s">
        <v>336</v>
      </c>
      <c r="F260" s="5">
        <v>261.62</v>
      </c>
      <c r="G260" s="5" t="s">
        <v>228</v>
      </c>
      <c r="H260" s="19">
        <v>66.028699999999986</v>
      </c>
      <c r="I260" s="19" t="s">
        <v>40</v>
      </c>
      <c r="J260" s="19">
        <v>-6.6999999999808324E-3</v>
      </c>
      <c r="K260" s="5" t="s">
        <v>44</v>
      </c>
      <c r="L260" s="101" t="s">
        <v>188</v>
      </c>
      <c r="M260" s="59">
        <v>0.50490000000000002</v>
      </c>
      <c r="N260" s="59">
        <v>7.8280851922800014</v>
      </c>
      <c r="O260" s="59">
        <v>0</v>
      </c>
      <c r="AG260" s="107"/>
      <c r="AN260" s="115"/>
      <c r="BU260" s="61"/>
    </row>
    <row r="261" spans="1:73" x14ac:dyDescent="0.35">
      <c r="A261" s="7" t="s">
        <v>1379</v>
      </c>
      <c r="B261" s="7" t="s">
        <v>1382</v>
      </c>
      <c r="C261" s="17" t="s">
        <v>225</v>
      </c>
      <c r="D261" s="5" t="s">
        <v>226</v>
      </c>
      <c r="E261" s="5" t="s">
        <v>337</v>
      </c>
      <c r="F261" s="5">
        <v>261.66000000000003</v>
      </c>
      <c r="G261" s="5" t="s">
        <v>228</v>
      </c>
      <c r="H261" s="19">
        <v>66.035299999999992</v>
      </c>
      <c r="I261" s="19" t="s">
        <v>40</v>
      </c>
      <c r="J261" s="19">
        <v>-1.3299999999986767E-2</v>
      </c>
      <c r="K261" s="5" t="s">
        <v>44</v>
      </c>
      <c r="L261" s="101" t="s">
        <v>188</v>
      </c>
      <c r="M261" s="59">
        <v>0.46660000000000001</v>
      </c>
      <c r="N261" s="59">
        <v>7.9968349156800018</v>
      </c>
      <c r="O261" s="59">
        <v>0.16874972340000038</v>
      </c>
      <c r="AG261" s="107"/>
      <c r="AN261" s="115"/>
      <c r="BU261" s="61"/>
    </row>
    <row r="262" spans="1:73" x14ac:dyDescent="0.35">
      <c r="A262" s="7" t="s">
        <v>1379</v>
      </c>
      <c r="B262" s="7" t="s">
        <v>1382</v>
      </c>
      <c r="C262" s="17" t="s">
        <v>225</v>
      </c>
      <c r="D262" s="5" t="s">
        <v>226</v>
      </c>
      <c r="E262" s="5" t="s">
        <v>338</v>
      </c>
      <c r="F262" s="5">
        <v>261.7</v>
      </c>
      <c r="G262" s="5" t="s">
        <v>228</v>
      </c>
      <c r="H262" s="19">
        <v>66.041999999999987</v>
      </c>
      <c r="I262" s="19" t="s">
        <v>40</v>
      </c>
      <c r="J262" s="19">
        <v>-1.999999999998181E-2</v>
      </c>
      <c r="K262" s="5" t="s">
        <v>44</v>
      </c>
      <c r="L262" s="101" t="s">
        <v>188</v>
      </c>
      <c r="M262" s="59">
        <v>0.47270000000000001</v>
      </c>
      <c r="N262" s="59">
        <v>7.9699528281200021</v>
      </c>
      <c r="O262" s="59">
        <v>0.14186763584000062</v>
      </c>
      <c r="AG262" s="107"/>
      <c r="AN262" s="115"/>
      <c r="BU262" s="61"/>
    </row>
    <row r="263" spans="1:73" x14ac:dyDescent="0.35">
      <c r="A263" s="7" t="s">
        <v>1379</v>
      </c>
      <c r="B263" s="7" t="s">
        <v>1382</v>
      </c>
      <c r="C263" s="17" t="s">
        <v>225</v>
      </c>
      <c r="D263" s="5" t="s">
        <v>226</v>
      </c>
      <c r="E263" s="5" t="s">
        <v>339</v>
      </c>
      <c r="F263" s="5">
        <v>261.74</v>
      </c>
      <c r="G263" s="5" t="s">
        <v>228</v>
      </c>
      <c r="H263" s="19">
        <v>66.048699999999997</v>
      </c>
      <c r="I263" s="19" t="s">
        <v>40</v>
      </c>
      <c r="J263" s="19">
        <v>-2.6699999999991064E-2</v>
      </c>
      <c r="K263" s="5" t="s">
        <v>44</v>
      </c>
      <c r="L263" s="101" t="s">
        <v>188</v>
      </c>
      <c r="M263" s="59">
        <v>0.38600000000000001</v>
      </c>
      <c r="N263" s="59">
        <v>8.3522266880000018</v>
      </c>
      <c r="O263" s="59">
        <v>0.52414149572000035</v>
      </c>
      <c r="AG263" s="107"/>
      <c r="AN263" s="115"/>
      <c r="BU263" s="61"/>
    </row>
    <row r="264" spans="1:73" x14ac:dyDescent="0.35">
      <c r="A264" s="7" t="s">
        <v>1379</v>
      </c>
      <c r="B264" s="7" t="s">
        <v>1382</v>
      </c>
      <c r="C264" s="17" t="s">
        <v>225</v>
      </c>
      <c r="D264" s="5" t="s">
        <v>226</v>
      </c>
      <c r="E264" s="5" t="s">
        <v>340</v>
      </c>
      <c r="F264" s="5">
        <v>261.86</v>
      </c>
      <c r="G264" s="5" t="s">
        <v>228</v>
      </c>
      <c r="H264" s="19">
        <v>66.068699999999993</v>
      </c>
      <c r="I264" s="19" t="s">
        <v>40</v>
      </c>
      <c r="J264" s="19">
        <v>-4.6699999999987085E-2</v>
      </c>
      <c r="K264" s="5" t="s">
        <v>44</v>
      </c>
      <c r="L264" s="101" t="s">
        <v>188</v>
      </c>
      <c r="M264" s="59">
        <v>0.3216</v>
      </c>
      <c r="N264" s="59">
        <v>8.6364488236800021</v>
      </c>
      <c r="O264" s="59">
        <v>0.80836363140000067</v>
      </c>
      <c r="AG264" s="107"/>
      <c r="AN264" s="115"/>
      <c r="BU264" s="61"/>
    </row>
    <row r="265" spans="1:73" x14ac:dyDescent="0.35">
      <c r="A265" s="7" t="s">
        <v>1379</v>
      </c>
      <c r="B265" s="7" t="s">
        <v>1382</v>
      </c>
      <c r="C265" s="17" t="s">
        <v>225</v>
      </c>
      <c r="D265" s="5" t="s">
        <v>226</v>
      </c>
      <c r="E265" s="5" t="s">
        <v>341</v>
      </c>
      <c r="F265" s="5">
        <v>261.89999999999998</v>
      </c>
      <c r="G265" s="5" t="s">
        <v>228</v>
      </c>
      <c r="H265" s="19">
        <v>66.075299999999999</v>
      </c>
      <c r="I265" s="19" t="s">
        <v>40</v>
      </c>
      <c r="J265" s="19">
        <v>-5.329999999999302E-2</v>
      </c>
      <c r="K265" s="5" t="s">
        <v>44</v>
      </c>
      <c r="L265" s="101" t="s">
        <v>188</v>
      </c>
      <c r="M265" s="59">
        <v>0.34089999999999998</v>
      </c>
      <c r="N265" s="59">
        <v>8.5512460786800037</v>
      </c>
      <c r="O265" s="59">
        <v>0.72316088640000231</v>
      </c>
      <c r="AG265" s="107"/>
      <c r="AN265" s="115"/>
      <c r="BU265" s="61"/>
    </row>
    <row r="266" spans="1:73" x14ac:dyDescent="0.35">
      <c r="A266" s="7" t="s">
        <v>1379</v>
      </c>
      <c r="B266" s="7" t="s">
        <v>1382</v>
      </c>
      <c r="C266" s="17" t="s">
        <v>225</v>
      </c>
      <c r="D266" s="5" t="s">
        <v>226</v>
      </c>
      <c r="E266" s="5" t="s">
        <v>342</v>
      </c>
      <c r="F266" s="5">
        <v>261.94</v>
      </c>
      <c r="G266" s="5" t="s">
        <v>228</v>
      </c>
      <c r="H266" s="19">
        <v>66.081999999999994</v>
      </c>
      <c r="I266" s="19" t="s">
        <v>40</v>
      </c>
      <c r="J266" s="19">
        <v>-5.9999999999988063E-2</v>
      </c>
      <c r="K266" s="5" t="s">
        <v>44</v>
      </c>
      <c r="L266" s="101" t="s">
        <v>188</v>
      </c>
      <c r="M266" s="59">
        <v>0.23369999999999999</v>
      </c>
      <c r="N266" s="59">
        <v>9.0247603993200016</v>
      </c>
      <c r="O266" s="59">
        <v>1.1966752070400002</v>
      </c>
      <c r="AG266" s="107"/>
      <c r="AN266" s="115"/>
      <c r="BU266" s="61"/>
    </row>
    <row r="267" spans="1:73" x14ac:dyDescent="0.35">
      <c r="A267" s="7" t="s">
        <v>1379</v>
      </c>
      <c r="B267" s="7" t="s">
        <v>1382</v>
      </c>
      <c r="C267" s="17" t="s">
        <v>225</v>
      </c>
      <c r="D267" s="5" t="s">
        <v>226</v>
      </c>
      <c r="E267" s="5" t="s">
        <v>343</v>
      </c>
      <c r="F267" s="5">
        <v>261.95999999999998</v>
      </c>
      <c r="G267" s="5" t="s">
        <v>228</v>
      </c>
      <c r="H267" s="19">
        <v>66.085300000000004</v>
      </c>
      <c r="I267" s="19" t="s">
        <v>40</v>
      </c>
      <c r="J267" s="19">
        <v>-6.3299999999998136E-2</v>
      </c>
      <c r="K267" s="5" t="s">
        <v>44</v>
      </c>
      <c r="L267" s="101" t="s">
        <v>188</v>
      </c>
      <c r="M267" s="59">
        <v>0.38950000000000001</v>
      </c>
      <c r="N267" s="59">
        <v>8.3367864870000012</v>
      </c>
      <c r="O267" s="59">
        <v>0.50870129471999981</v>
      </c>
      <c r="AG267" s="107"/>
      <c r="AN267" s="115"/>
      <c r="BU267" s="61"/>
    </row>
    <row r="268" spans="1:73" x14ac:dyDescent="0.35">
      <c r="A268" s="7" t="s">
        <v>1379</v>
      </c>
      <c r="B268" s="7" t="s">
        <v>1382</v>
      </c>
      <c r="C268" s="17" t="s">
        <v>225</v>
      </c>
      <c r="D268" s="5" t="s">
        <v>226</v>
      </c>
      <c r="E268" s="5" t="s">
        <v>344</v>
      </c>
      <c r="F268" s="5">
        <v>261.98</v>
      </c>
      <c r="G268" s="5" t="s">
        <v>228</v>
      </c>
      <c r="H268" s="19">
        <v>66.088699999999989</v>
      </c>
      <c r="I268" s="19" t="s">
        <v>40</v>
      </c>
      <c r="J268" s="19">
        <v>-6.6699999999983106E-2</v>
      </c>
      <c r="K268" s="5" t="s">
        <v>44</v>
      </c>
      <c r="L268" s="101" t="s">
        <v>188</v>
      </c>
      <c r="M268" s="59">
        <v>0.28510000000000002</v>
      </c>
      <c r="N268" s="59">
        <v>8.7976405762800027</v>
      </c>
      <c r="O268" s="59">
        <v>0.9695553840000013</v>
      </c>
      <c r="AG268" s="107"/>
      <c r="AN268" s="115"/>
      <c r="BU268" s="61"/>
    </row>
    <row r="269" spans="1:73" x14ac:dyDescent="0.35">
      <c r="A269" s="7" t="s">
        <v>1379</v>
      </c>
      <c r="B269" s="7" t="s">
        <v>1382</v>
      </c>
      <c r="C269" s="17" t="s">
        <v>225</v>
      </c>
      <c r="D269" s="5" t="s">
        <v>226</v>
      </c>
      <c r="E269" s="5" t="s">
        <v>345</v>
      </c>
      <c r="F269" s="5">
        <v>262</v>
      </c>
      <c r="G269" s="5" t="s">
        <v>228</v>
      </c>
      <c r="H269" s="19">
        <v>66.091999999999999</v>
      </c>
      <c r="I269" s="19" t="s">
        <v>40</v>
      </c>
      <c r="J269" s="19">
        <v>-6.9999999999993179E-2</v>
      </c>
      <c r="K269" s="5" t="s">
        <v>44</v>
      </c>
      <c r="L269" s="101" t="s">
        <v>188</v>
      </c>
      <c r="M269" s="59">
        <v>0.31069999999999998</v>
      </c>
      <c r="N269" s="59">
        <v>8.6845777257200023</v>
      </c>
      <c r="O269" s="59">
        <v>0.85649253344000087</v>
      </c>
      <c r="AG269" s="107"/>
      <c r="AN269" s="115"/>
      <c r="BU269" s="61"/>
    </row>
    <row r="270" spans="1:73" x14ac:dyDescent="0.35">
      <c r="A270" s="7" t="s">
        <v>1379</v>
      </c>
      <c r="B270" s="7" t="s">
        <v>1382</v>
      </c>
      <c r="C270" s="17" t="s">
        <v>225</v>
      </c>
      <c r="D270" s="5" t="s">
        <v>226</v>
      </c>
      <c r="E270" s="5" t="s">
        <v>346</v>
      </c>
      <c r="F270" s="5">
        <v>262.02</v>
      </c>
      <c r="G270" s="5" t="s">
        <v>228</v>
      </c>
      <c r="H270" s="19">
        <v>66.096599999999995</v>
      </c>
      <c r="I270" s="19" t="s">
        <v>40</v>
      </c>
      <c r="J270" s="19">
        <v>-7.4599999999989564E-2</v>
      </c>
      <c r="K270" s="5" t="s">
        <v>44</v>
      </c>
      <c r="L270" s="101" t="s">
        <v>188</v>
      </c>
      <c r="M270" s="59">
        <v>0.19239999999999999</v>
      </c>
      <c r="N270" s="59">
        <v>9.2073588172800029</v>
      </c>
      <c r="O270" s="59">
        <v>1.3792736250000015</v>
      </c>
      <c r="AG270" s="107"/>
      <c r="AN270" s="115"/>
      <c r="BU270" s="61"/>
    </row>
    <row r="271" spans="1:73" x14ac:dyDescent="0.35">
      <c r="A271" s="7" t="s">
        <v>1379</v>
      </c>
      <c r="B271" s="7" t="s">
        <v>1382</v>
      </c>
      <c r="C271" s="17" t="s">
        <v>225</v>
      </c>
      <c r="D271" s="5" t="s">
        <v>226</v>
      </c>
      <c r="E271" s="5" t="s">
        <v>347</v>
      </c>
      <c r="F271" s="5">
        <v>262.04000000000002</v>
      </c>
      <c r="G271" s="5" t="s">
        <v>228</v>
      </c>
      <c r="H271" s="19">
        <v>66.101100000000002</v>
      </c>
      <c r="I271" s="19" t="s">
        <v>40</v>
      </c>
      <c r="J271" s="19">
        <v>-7.909999999999684E-2</v>
      </c>
      <c r="K271" s="5" t="s">
        <v>44</v>
      </c>
      <c r="L271" s="101" t="s">
        <v>188</v>
      </c>
      <c r="M271" s="59">
        <v>0.19989999999999999</v>
      </c>
      <c r="N271" s="59">
        <v>9.1741922002800038</v>
      </c>
      <c r="O271" s="59">
        <v>1.3461070080000024</v>
      </c>
      <c r="AG271" s="107"/>
      <c r="AN271" s="115"/>
      <c r="BU271" s="61"/>
    </row>
    <row r="272" spans="1:73" x14ac:dyDescent="0.35">
      <c r="A272" s="7" t="s">
        <v>1379</v>
      </c>
      <c r="B272" s="7" t="s">
        <v>1382</v>
      </c>
      <c r="C272" s="17" t="s">
        <v>225</v>
      </c>
      <c r="D272" s="5" t="s">
        <v>226</v>
      </c>
      <c r="E272" s="5" t="s">
        <v>348</v>
      </c>
      <c r="F272" s="5">
        <v>262.06</v>
      </c>
      <c r="G272" s="5" t="s">
        <v>228</v>
      </c>
      <c r="H272" s="19">
        <v>66.105699999999985</v>
      </c>
      <c r="I272" s="19" t="s">
        <v>40</v>
      </c>
      <c r="J272" s="19">
        <v>-8.3699999999979013E-2</v>
      </c>
      <c r="K272" s="5" t="s">
        <v>44</v>
      </c>
      <c r="L272" s="101" t="s">
        <v>188</v>
      </c>
      <c r="M272" s="59">
        <v>0.26950000000000002</v>
      </c>
      <c r="N272" s="59">
        <v>8.8665562470000019</v>
      </c>
      <c r="O272" s="59">
        <v>1.0384710547200005</v>
      </c>
      <c r="AG272" s="107"/>
      <c r="AN272" s="115"/>
      <c r="BU272" s="61"/>
    </row>
    <row r="273" spans="1:73" x14ac:dyDescent="0.35">
      <c r="A273" s="7" t="s">
        <v>1379</v>
      </c>
      <c r="B273" s="7" t="s">
        <v>1382</v>
      </c>
      <c r="C273" s="17" t="s">
        <v>225</v>
      </c>
      <c r="D273" s="5" t="s">
        <v>226</v>
      </c>
      <c r="E273" s="5" t="s">
        <v>349</v>
      </c>
      <c r="F273" s="5">
        <v>262.08</v>
      </c>
      <c r="G273" s="5" t="s">
        <v>228</v>
      </c>
      <c r="H273" s="19">
        <v>66.110299999999995</v>
      </c>
      <c r="I273" s="19" t="s">
        <v>40</v>
      </c>
      <c r="J273" s="19">
        <v>-8.8299999999989609E-2</v>
      </c>
      <c r="K273" s="5" t="s">
        <v>44</v>
      </c>
      <c r="L273" s="101" t="s">
        <v>188</v>
      </c>
      <c r="M273" s="59">
        <v>0.27889999999999998</v>
      </c>
      <c r="N273" s="59">
        <v>8.8250285058800024</v>
      </c>
      <c r="O273" s="59">
        <v>0.99694331360000099</v>
      </c>
      <c r="AG273" s="107"/>
      <c r="AN273" s="115"/>
      <c r="BU273" s="61"/>
    </row>
    <row r="274" spans="1:73" x14ac:dyDescent="0.35">
      <c r="A274" s="7" t="s">
        <v>1379</v>
      </c>
      <c r="B274" s="7" t="s">
        <v>1382</v>
      </c>
      <c r="C274" s="17" t="s">
        <v>225</v>
      </c>
      <c r="D274" s="5" t="s">
        <v>226</v>
      </c>
      <c r="E274" s="5" t="s">
        <v>350</v>
      </c>
      <c r="F274" s="5">
        <v>262.10000000000002</v>
      </c>
      <c r="G274" s="5" t="s">
        <v>228</v>
      </c>
      <c r="H274" s="19">
        <v>66.114899999999992</v>
      </c>
      <c r="I274" s="19" t="s">
        <v>40</v>
      </c>
      <c r="J274" s="19">
        <v>-9.2899999999985994E-2</v>
      </c>
      <c r="K274" s="5" t="s">
        <v>44</v>
      </c>
      <c r="L274" s="101" t="s">
        <v>188</v>
      </c>
      <c r="M274" s="59">
        <v>0.29909999999999998</v>
      </c>
      <c r="N274" s="59">
        <v>8.7358047826800007</v>
      </c>
      <c r="O274" s="59">
        <v>0.90771959039999928</v>
      </c>
      <c r="AG274" s="107"/>
      <c r="AN274" s="115"/>
      <c r="BU274" s="61"/>
    </row>
    <row r="275" spans="1:73" x14ac:dyDescent="0.35">
      <c r="A275" s="7" t="s">
        <v>1379</v>
      </c>
      <c r="B275" s="7" t="s">
        <v>1382</v>
      </c>
      <c r="C275" s="17" t="s">
        <v>225</v>
      </c>
      <c r="D275" s="5" t="s">
        <v>226</v>
      </c>
      <c r="E275" s="5" t="s">
        <v>351</v>
      </c>
      <c r="F275" s="5">
        <v>262.12</v>
      </c>
      <c r="G275" s="5" t="s">
        <v>228</v>
      </c>
      <c r="H275" s="19">
        <v>66.119399999999985</v>
      </c>
      <c r="I275" s="19" t="s">
        <v>40</v>
      </c>
      <c r="J275" s="19">
        <v>-9.7399999999979059E-2</v>
      </c>
      <c r="K275" s="5" t="s">
        <v>44</v>
      </c>
      <c r="L275" s="101" t="s">
        <v>188</v>
      </c>
      <c r="M275" s="59">
        <v>0.25080000000000002</v>
      </c>
      <c r="N275" s="59">
        <v>8.9491846579200018</v>
      </c>
      <c r="O275" s="59">
        <v>1.1210994656400004</v>
      </c>
      <c r="AG275" s="107"/>
      <c r="AN275" s="115"/>
      <c r="BU275" s="61"/>
    </row>
    <row r="276" spans="1:73" x14ac:dyDescent="0.35">
      <c r="A276" s="7" t="s">
        <v>1379</v>
      </c>
      <c r="B276" s="7" t="s">
        <v>1382</v>
      </c>
      <c r="C276" s="17" t="s">
        <v>225</v>
      </c>
      <c r="D276" s="5" t="s">
        <v>226</v>
      </c>
      <c r="E276" s="5" t="s">
        <v>352</v>
      </c>
      <c r="F276" s="5">
        <v>262.14</v>
      </c>
      <c r="G276" s="5" t="s">
        <v>228</v>
      </c>
      <c r="H276" s="19">
        <v>66.123999999999995</v>
      </c>
      <c r="I276" s="19" t="s">
        <v>40</v>
      </c>
      <c r="J276" s="19">
        <v>-0.10199999999998965</v>
      </c>
      <c r="K276" s="5" t="s">
        <v>44</v>
      </c>
      <c r="L276" s="101" t="s">
        <v>188</v>
      </c>
      <c r="M276" s="59">
        <v>0.218</v>
      </c>
      <c r="N276" s="59">
        <v>9.0941630720000024</v>
      </c>
      <c r="O276" s="59">
        <v>1.266077879720001</v>
      </c>
      <c r="AG276" s="107"/>
      <c r="AN276" s="115"/>
      <c r="BU276" s="61"/>
    </row>
    <row r="277" spans="1:73" x14ac:dyDescent="0.35">
      <c r="A277" s="7" t="s">
        <v>1379</v>
      </c>
      <c r="B277" s="7" t="s">
        <v>1382</v>
      </c>
      <c r="C277" s="17" t="s">
        <v>225</v>
      </c>
      <c r="D277" s="5" t="s">
        <v>226</v>
      </c>
      <c r="E277" s="5" t="s">
        <v>353</v>
      </c>
      <c r="F277" s="5">
        <v>262.16000000000003</v>
      </c>
      <c r="G277" s="5" t="s">
        <v>228</v>
      </c>
      <c r="H277" s="19">
        <v>66.128600000000006</v>
      </c>
      <c r="I277" s="19" t="s">
        <v>40</v>
      </c>
      <c r="J277" s="19">
        <v>-0.10660000000000025</v>
      </c>
      <c r="K277" s="5" t="s">
        <v>44</v>
      </c>
      <c r="L277" s="101" t="s">
        <v>188</v>
      </c>
      <c r="M277" s="59">
        <v>0.33410000000000001</v>
      </c>
      <c r="N277" s="59">
        <v>8.5812633186800014</v>
      </c>
      <c r="O277" s="59">
        <v>0.75317812639999993</v>
      </c>
      <c r="AG277" s="107"/>
      <c r="AN277" s="115"/>
      <c r="BU277" s="61"/>
    </row>
    <row r="278" spans="1:73" x14ac:dyDescent="0.35">
      <c r="A278" s="7" t="s">
        <v>1379</v>
      </c>
      <c r="B278" s="7" t="s">
        <v>1382</v>
      </c>
      <c r="C278" s="17" t="s">
        <v>225</v>
      </c>
      <c r="D278" s="5" t="s">
        <v>226</v>
      </c>
      <c r="E278" s="5" t="s">
        <v>354</v>
      </c>
      <c r="F278" s="5">
        <v>262.18</v>
      </c>
      <c r="G278" s="5" t="s">
        <v>228</v>
      </c>
      <c r="H278" s="19">
        <v>66.133099999999999</v>
      </c>
      <c r="I278" s="19" t="s">
        <v>40</v>
      </c>
      <c r="J278" s="19">
        <v>-0.11109999999999332</v>
      </c>
      <c r="K278" s="5" t="s">
        <v>44</v>
      </c>
      <c r="L278" s="101" t="s">
        <v>188</v>
      </c>
      <c r="M278" s="59">
        <v>7.7399999999999997E-2</v>
      </c>
      <c r="N278" s="59">
        <v>9.716308061280003</v>
      </c>
      <c r="O278" s="59">
        <v>1.8882228690000016</v>
      </c>
      <c r="AG278" s="107"/>
      <c r="AN278" s="115"/>
      <c r="BU278" s="61"/>
    </row>
    <row r="279" spans="1:73" x14ac:dyDescent="0.35">
      <c r="A279" s="7" t="s">
        <v>1379</v>
      </c>
      <c r="B279" s="7" t="s">
        <v>1382</v>
      </c>
      <c r="C279" s="17" t="s">
        <v>225</v>
      </c>
      <c r="D279" s="5" t="s">
        <v>226</v>
      </c>
      <c r="E279" s="5" t="s">
        <v>355</v>
      </c>
      <c r="F279" s="5">
        <v>262.2</v>
      </c>
      <c r="G279" s="5" t="s">
        <v>228</v>
      </c>
      <c r="H279" s="19">
        <v>66.137699999999995</v>
      </c>
      <c r="I279" s="19" t="s">
        <v>40</v>
      </c>
      <c r="J279" s="19">
        <v>-0.1156999999999897</v>
      </c>
      <c r="K279" s="5" t="s">
        <v>44</v>
      </c>
      <c r="L279" s="101" t="s">
        <v>188</v>
      </c>
      <c r="M279" s="59">
        <v>0.16</v>
      </c>
      <c r="N279" s="59">
        <v>9.350674800000002</v>
      </c>
      <c r="O279" s="59">
        <v>1.5225896077200005</v>
      </c>
      <c r="AG279" s="107"/>
      <c r="AN279" s="115"/>
      <c r="BU279" s="61"/>
    </row>
    <row r="280" spans="1:73" x14ac:dyDescent="0.35">
      <c r="A280" s="7" t="s">
        <v>1379</v>
      </c>
      <c r="B280" s="7" t="s">
        <v>1382</v>
      </c>
      <c r="C280" s="17" t="s">
        <v>225</v>
      </c>
      <c r="D280" s="5" t="s">
        <v>226</v>
      </c>
      <c r="E280" s="5" t="s">
        <v>356</v>
      </c>
      <c r="F280" s="5">
        <v>262.22000000000003</v>
      </c>
      <c r="G280" s="5" t="s">
        <v>228</v>
      </c>
      <c r="H280" s="19">
        <v>66.142299999999992</v>
      </c>
      <c r="I280" s="19" t="s">
        <v>40</v>
      </c>
      <c r="J280" s="19">
        <v>-0.12029999999998608</v>
      </c>
      <c r="K280" s="5" t="s">
        <v>44</v>
      </c>
      <c r="L280" s="101" t="s">
        <v>188</v>
      </c>
      <c r="M280" s="59">
        <v>0.11559999999999999</v>
      </c>
      <c r="N280" s="59">
        <v>9.5471662540800022</v>
      </c>
      <c r="O280" s="59">
        <v>1.7190810618000008</v>
      </c>
      <c r="AG280" s="107"/>
      <c r="AN280" s="115"/>
      <c r="BU280" s="61"/>
    </row>
    <row r="281" spans="1:73" x14ac:dyDescent="0.35">
      <c r="A281" s="7" t="s">
        <v>1379</v>
      </c>
      <c r="B281" s="7" t="s">
        <v>1382</v>
      </c>
      <c r="C281" s="17" t="s">
        <v>225</v>
      </c>
      <c r="D281" s="5" t="s">
        <v>226</v>
      </c>
      <c r="E281" s="5" t="s">
        <v>357</v>
      </c>
      <c r="F281" s="5">
        <v>262.24</v>
      </c>
      <c r="G281" s="5" t="s">
        <v>228</v>
      </c>
      <c r="H281" s="19">
        <v>66.146899999999988</v>
      </c>
      <c r="I281" s="19" t="s">
        <v>40</v>
      </c>
      <c r="J281" s="19">
        <v>-0.12489999999998247</v>
      </c>
      <c r="K281" s="5" t="s">
        <v>44</v>
      </c>
      <c r="L281" s="101" t="s">
        <v>188</v>
      </c>
      <c r="M281" s="59">
        <v>0.16689999999999999</v>
      </c>
      <c r="N281" s="59">
        <v>9.3201488770800029</v>
      </c>
      <c r="O281" s="59">
        <v>1.4920636848000015</v>
      </c>
      <c r="AG281" s="107"/>
      <c r="AN281" s="115"/>
      <c r="BU281" s="61"/>
    </row>
    <row r="282" spans="1:73" x14ac:dyDescent="0.35">
      <c r="A282" s="7" t="s">
        <v>1379</v>
      </c>
      <c r="B282" s="7" t="s">
        <v>1382</v>
      </c>
      <c r="C282" s="17" t="s">
        <v>225</v>
      </c>
      <c r="D282" s="5" t="s">
        <v>226</v>
      </c>
      <c r="E282" s="5" t="s">
        <v>358</v>
      </c>
      <c r="F282" s="5">
        <v>262.26</v>
      </c>
      <c r="G282" s="5" t="s">
        <v>228</v>
      </c>
      <c r="H282" s="19">
        <v>66.151399999999995</v>
      </c>
      <c r="I282" s="19" t="s">
        <v>40</v>
      </c>
      <c r="J282" s="19">
        <v>-0.12939999999998975</v>
      </c>
      <c r="K282" s="5" t="s">
        <v>44</v>
      </c>
      <c r="L282" s="101" t="s">
        <v>188</v>
      </c>
      <c r="M282" s="59">
        <v>0.36599999999999999</v>
      </c>
      <c r="N282" s="59">
        <v>8.4404695680000028</v>
      </c>
      <c r="O282" s="59">
        <v>0.61238437572000137</v>
      </c>
      <c r="AG282" s="107"/>
      <c r="AN282" s="115"/>
      <c r="BU282" s="61"/>
    </row>
    <row r="283" spans="1:73" x14ac:dyDescent="0.35">
      <c r="A283" s="7" t="s">
        <v>1379</v>
      </c>
      <c r="B283" s="7" t="s">
        <v>1382</v>
      </c>
      <c r="C283" s="17" t="s">
        <v>225</v>
      </c>
      <c r="D283" s="5" t="s">
        <v>226</v>
      </c>
      <c r="E283" s="5" t="s">
        <v>359</v>
      </c>
      <c r="F283" s="5">
        <v>262.27999999999997</v>
      </c>
      <c r="G283" s="5" t="s">
        <v>228</v>
      </c>
      <c r="H283" s="19">
        <v>66.155999999999992</v>
      </c>
      <c r="I283" s="19" t="s">
        <v>40</v>
      </c>
      <c r="J283" s="19">
        <v>-0.13399999999998613</v>
      </c>
      <c r="K283" s="5" t="s">
        <v>44</v>
      </c>
      <c r="L283" s="101" t="s">
        <v>188</v>
      </c>
      <c r="M283" s="59">
        <v>0.13370000000000001</v>
      </c>
      <c r="N283" s="59">
        <v>9.4670516793200026</v>
      </c>
      <c r="O283" s="59">
        <v>1.6389664870400011</v>
      </c>
      <c r="AG283" s="107"/>
      <c r="AN283" s="115"/>
      <c r="BU283" s="61"/>
    </row>
    <row r="284" spans="1:73" x14ac:dyDescent="0.35">
      <c r="A284" s="7" t="s">
        <v>1379</v>
      </c>
      <c r="B284" s="7" t="s">
        <v>1382</v>
      </c>
      <c r="C284" s="17" t="s">
        <v>225</v>
      </c>
      <c r="D284" s="5" t="s">
        <v>226</v>
      </c>
      <c r="E284" s="5" t="s">
        <v>360</v>
      </c>
      <c r="F284" s="5">
        <v>262.3</v>
      </c>
      <c r="G284" s="5" t="s">
        <v>228</v>
      </c>
      <c r="H284" s="19">
        <v>66.160600000000002</v>
      </c>
      <c r="I284" s="19" t="s">
        <v>40</v>
      </c>
      <c r="J284" s="19">
        <v>-0.13859999999999673</v>
      </c>
      <c r="K284" s="5" t="s">
        <v>44</v>
      </c>
      <c r="L284" s="101" t="s">
        <v>188</v>
      </c>
      <c r="M284" s="59">
        <v>0.25600000000000001</v>
      </c>
      <c r="N284" s="59">
        <v>8.9262058080000024</v>
      </c>
      <c r="O284" s="59">
        <v>1.098120615720001</v>
      </c>
      <c r="AG284" s="107"/>
      <c r="AN284" s="115"/>
      <c r="BU284" s="61"/>
    </row>
    <row r="285" spans="1:73" x14ac:dyDescent="0.35">
      <c r="A285" s="7" t="s">
        <v>1379</v>
      </c>
      <c r="B285" s="7" t="s">
        <v>1382</v>
      </c>
      <c r="C285" s="17" t="s">
        <v>225</v>
      </c>
      <c r="D285" s="5" t="s">
        <v>226</v>
      </c>
      <c r="E285" s="5" t="s">
        <v>361</v>
      </c>
      <c r="F285" s="5">
        <v>262.32</v>
      </c>
      <c r="G285" s="5" t="s">
        <v>228</v>
      </c>
      <c r="H285" s="19">
        <v>66.165099999999995</v>
      </c>
      <c r="I285" s="19" t="s">
        <v>40</v>
      </c>
      <c r="J285" s="19">
        <v>-0.14309999999998979</v>
      </c>
      <c r="K285" s="5" t="s">
        <v>44</v>
      </c>
      <c r="L285" s="101" t="s">
        <v>188</v>
      </c>
      <c r="M285" s="59">
        <v>5.1499999999999997E-2</v>
      </c>
      <c r="N285" s="59">
        <v>9.8310344630000035</v>
      </c>
      <c r="O285" s="59">
        <v>2.0029492707200021</v>
      </c>
      <c r="AG285" s="107"/>
      <c r="AN285" s="115"/>
      <c r="BU285" s="61"/>
    </row>
    <row r="286" spans="1:73" x14ac:dyDescent="0.35">
      <c r="A286" s="7" t="s">
        <v>1379</v>
      </c>
      <c r="B286" s="7" t="s">
        <v>1382</v>
      </c>
      <c r="C286" s="17" t="s">
        <v>225</v>
      </c>
      <c r="D286" s="5" t="s">
        <v>226</v>
      </c>
      <c r="E286" s="5" t="s">
        <v>362</v>
      </c>
      <c r="F286" s="5">
        <v>262.33999999999997</v>
      </c>
      <c r="G286" s="5" t="s">
        <v>228</v>
      </c>
      <c r="H286" s="19">
        <v>66.169699999999992</v>
      </c>
      <c r="I286" s="19" t="s">
        <v>40</v>
      </c>
      <c r="J286" s="19">
        <v>-0.14769999999998618</v>
      </c>
      <c r="K286" s="5" t="s">
        <v>44</v>
      </c>
      <c r="L286" s="101" t="s">
        <v>188</v>
      </c>
      <c r="M286" s="59">
        <v>0.1019</v>
      </c>
      <c r="N286" s="59">
        <v>9.6078176610800039</v>
      </c>
      <c r="O286" s="59">
        <v>1.7797324688000025</v>
      </c>
      <c r="AG286" s="107"/>
      <c r="AN286" s="115"/>
      <c r="BU286" s="61"/>
    </row>
    <row r="287" spans="1:73" x14ac:dyDescent="0.35">
      <c r="A287" s="7" t="s">
        <v>1379</v>
      </c>
      <c r="B287" s="7" t="s">
        <v>1382</v>
      </c>
      <c r="C287" s="17" t="s">
        <v>225</v>
      </c>
      <c r="D287" s="5" t="s">
        <v>226</v>
      </c>
      <c r="E287" s="5" t="s">
        <v>363</v>
      </c>
      <c r="F287" s="5">
        <v>262.38</v>
      </c>
      <c r="G287" s="5" t="s">
        <v>228</v>
      </c>
      <c r="H287" s="19">
        <v>66.178899999999985</v>
      </c>
      <c r="I287" s="19" t="s">
        <v>40</v>
      </c>
      <c r="J287" s="19">
        <v>-0.15689999999997895</v>
      </c>
      <c r="K287" s="5" t="s">
        <v>44</v>
      </c>
      <c r="L287" s="101" t="s">
        <v>188</v>
      </c>
      <c r="M287" s="59">
        <v>7.5899999999999995E-2</v>
      </c>
      <c r="N287" s="59">
        <v>9.7229514226800013</v>
      </c>
      <c r="O287" s="59">
        <v>1.8948662303999999</v>
      </c>
      <c r="AG287" s="107"/>
      <c r="AN287" s="115"/>
      <c r="BU287" s="61"/>
    </row>
    <row r="288" spans="1:73" x14ac:dyDescent="0.35">
      <c r="A288" s="7" t="s">
        <v>1379</v>
      </c>
      <c r="B288" s="7" t="s">
        <v>1382</v>
      </c>
      <c r="C288" s="17" t="s">
        <v>225</v>
      </c>
      <c r="D288" s="5" t="s">
        <v>226</v>
      </c>
      <c r="E288" s="5" t="s">
        <v>364</v>
      </c>
      <c r="F288" s="5">
        <v>262.39999999999998</v>
      </c>
      <c r="G288" s="5" t="s">
        <v>228</v>
      </c>
      <c r="H288" s="19">
        <v>66.183399999999992</v>
      </c>
      <c r="I288" s="19" t="s">
        <v>40</v>
      </c>
      <c r="J288" s="19">
        <v>-0.16139999999998622</v>
      </c>
      <c r="K288" s="5" t="s">
        <v>44</v>
      </c>
      <c r="L288" s="101" t="s">
        <v>188</v>
      </c>
      <c r="M288" s="59">
        <v>8.3199999999999996E-2</v>
      </c>
      <c r="N288" s="59">
        <v>9.6906215827200022</v>
      </c>
      <c r="O288" s="59">
        <v>1.8625363904400007</v>
      </c>
      <c r="AG288" s="107"/>
      <c r="AN288" s="115"/>
      <c r="BU288" s="61"/>
    </row>
    <row r="289" spans="1:73" x14ac:dyDescent="0.35">
      <c r="A289" s="7" t="s">
        <v>1379</v>
      </c>
      <c r="B289" s="7" t="s">
        <v>1382</v>
      </c>
      <c r="C289" s="17" t="s">
        <v>225</v>
      </c>
      <c r="D289" s="5" t="s">
        <v>226</v>
      </c>
      <c r="E289" s="5" t="s">
        <v>365</v>
      </c>
      <c r="F289" s="5">
        <v>262.42</v>
      </c>
      <c r="G289" s="5" t="s">
        <v>228</v>
      </c>
      <c r="H289" s="19">
        <v>66.187999999999988</v>
      </c>
      <c r="I289" s="19" t="s">
        <v>40</v>
      </c>
      <c r="J289" s="19">
        <v>-0.16599999999998261</v>
      </c>
      <c r="K289" s="5" t="s">
        <v>44</v>
      </c>
      <c r="L289" s="101" t="s">
        <v>188</v>
      </c>
      <c r="M289" s="59">
        <v>0.14910000000000001</v>
      </c>
      <c r="N289" s="59">
        <v>9.3989023426800014</v>
      </c>
      <c r="O289" s="59">
        <v>1.5708171503999999</v>
      </c>
      <c r="AG289" s="107"/>
      <c r="AN289" s="115"/>
      <c r="BU289" s="61"/>
    </row>
    <row r="290" spans="1:73" x14ac:dyDescent="0.35">
      <c r="A290" s="7" t="s">
        <v>1379</v>
      </c>
      <c r="B290" s="7" t="s">
        <v>1382</v>
      </c>
      <c r="C290" s="17" t="s">
        <v>225</v>
      </c>
      <c r="D290" s="5" t="s">
        <v>226</v>
      </c>
      <c r="E290" s="5" t="s">
        <v>366</v>
      </c>
      <c r="F290" s="5">
        <v>262.44</v>
      </c>
      <c r="G290" s="5" t="s">
        <v>228</v>
      </c>
      <c r="H290" s="19">
        <v>66.190899999999985</v>
      </c>
      <c r="I290" s="19" t="s">
        <v>40</v>
      </c>
      <c r="J290" s="19">
        <v>-0.1688999999999794</v>
      </c>
      <c r="K290" s="5" t="s">
        <v>44</v>
      </c>
      <c r="L290" s="101" t="s">
        <v>188</v>
      </c>
      <c r="M290" s="59">
        <v>0.10349999999999999</v>
      </c>
      <c r="N290" s="59">
        <v>9.600733743000001</v>
      </c>
      <c r="O290" s="59">
        <v>1.7726485507199996</v>
      </c>
      <c r="AG290" s="107"/>
      <c r="AN290" s="115"/>
      <c r="BU290" s="61"/>
    </row>
    <row r="291" spans="1:73" x14ac:dyDescent="0.35">
      <c r="A291" s="7" t="s">
        <v>1379</v>
      </c>
      <c r="B291" s="7" t="s">
        <v>1382</v>
      </c>
      <c r="C291" s="17" t="s">
        <v>225</v>
      </c>
      <c r="D291" s="5" t="s">
        <v>226</v>
      </c>
      <c r="E291" s="5" t="s">
        <v>367</v>
      </c>
      <c r="F291" s="5">
        <v>262.45999999999998</v>
      </c>
      <c r="G291" s="5" t="s">
        <v>228</v>
      </c>
      <c r="H291" s="19">
        <v>66.193899999999985</v>
      </c>
      <c r="I291" s="19" t="s">
        <v>40</v>
      </c>
      <c r="J291" s="19">
        <v>-0.17189999999997951</v>
      </c>
      <c r="K291" s="5" t="s">
        <v>44</v>
      </c>
      <c r="L291" s="101" t="s">
        <v>188</v>
      </c>
      <c r="M291" s="59">
        <v>-0.1142</v>
      </c>
      <c r="N291" s="59">
        <v>10.565906605920002</v>
      </c>
      <c r="O291" s="59">
        <v>2.7378214136400008</v>
      </c>
      <c r="AG291" s="107"/>
      <c r="AN291" s="115"/>
      <c r="BU291" s="61"/>
    </row>
    <row r="292" spans="1:73" x14ac:dyDescent="0.35">
      <c r="A292" s="7" t="s">
        <v>1379</v>
      </c>
      <c r="B292" s="7" t="s">
        <v>1382</v>
      </c>
      <c r="C292" s="17" t="s">
        <v>225</v>
      </c>
      <c r="D292" s="5" t="s">
        <v>226</v>
      </c>
      <c r="E292" s="5" t="s">
        <v>368</v>
      </c>
      <c r="F292" s="5">
        <v>262.48</v>
      </c>
      <c r="G292" s="5" t="s">
        <v>228</v>
      </c>
      <c r="H292" s="19">
        <v>66.196799999999996</v>
      </c>
      <c r="I292" s="19" t="s">
        <v>40</v>
      </c>
      <c r="J292" s="19">
        <v>-0.17479999999999052</v>
      </c>
      <c r="K292" s="5" t="s">
        <v>44</v>
      </c>
      <c r="L292" s="101" t="s">
        <v>188</v>
      </c>
      <c r="M292" s="59">
        <v>0.13569999999999999</v>
      </c>
      <c r="N292" s="59">
        <v>9.4582003657200016</v>
      </c>
      <c r="O292" s="59">
        <v>1.6301151734400001</v>
      </c>
      <c r="AG292" s="107"/>
      <c r="AN292" s="115"/>
      <c r="BU292" s="61"/>
    </row>
    <row r="293" spans="1:73" x14ac:dyDescent="0.35">
      <c r="A293" s="7" t="s">
        <v>1379</v>
      </c>
      <c r="B293" s="7" t="s">
        <v>1382</v>
      </c>
      <c r="C293" s="17" t="s">
        <v>225</v>
      </c>
      <c r="D293" s="5" t="s">
        <v>226</v>
      </c>
      <c r="E293" s="5" t="s">
        <v>369</v>
      </c>
      <c r="F293" s="5">
        <v>262.5</v>
      </c>
      <c r="G293" s="5" t="s">
        <v>228</v>
      </c>
      <c r="H293" s="19">
        <v>66.199799999999996</v>
      </c>
      <c r="I293" s="19" t="s">
        <v>40</v>
      </c>
      <c r="J293" s="19">
        <v>-0.17779999999999063</v>
      </c>
      <c r="K293" s="5" t="s">
        <v>44</v>
      </c>
      <c r="L293" s="101" t="s">
        <v>188</v>
      </c>
      <c r="M293" s="59">
        <v>5.2699999999999997E-2</v>
      </c>
      <c r="N293" s="59">
        <v>9.8257181241200016</v>
      </c>
      <c r="O293" s="59">
        <v>1.9976329318400001</v>
      </c>
      <c r="AG293" s="107"/>
      <c r="AN293" s="115"/>
      <c r="BU293" s="61"/>
    </row>
    <row r="294" spans="1:73" x14ac:dyDescent="0.35">
      <c r="A294" s="7" t="s">
        <v>1379</v>
      </c>
      <c r="B294" s="7" t="s">
        <v>1382</v>
      </c>
      <c r="C294" s="17" t="s">
        <v>225</v>
      </c>
      <c r="D294" s="5" t="s">
        <v>226</v>
      </c>
      <c r="E294" s="5" t="s">
        <v>370</v>
      </c>
      <c r="F294" s="5">
        <v>262.52</v>
      </c>
      <c r="G294" s="5" t="s">
        <v>228</v>
      </c>
      <c r="H294" s="19">
        <v>66.202699999999993</v>
      </c>
      <c r="I294" s="19" t="s">
        <v>40</v>
      </c>
      <c r="J294" s="19">
        <v>-0.18069999999998743</v>
      </c>
      <c r="K294" s="5" t="s">
        <v>44</v>
      </c>
      <c r="L294" s="101" t="s">
        <v>188</v>
      </c>
      <c r="M294" s="59">
        <v>6.7599999999999993E-2</v>
      </c>
      <c r="N294" s="59">
        <v>9.7597136332800023</v>
      </c>
      <c r="O294" s="59">
        <v>1.9316284410000009</v>
      </c>
      <c r="AG294" s="107"/>
      <c r="AN294" s="115"/>
      <c r="BU294" s="61"/>
    </row>
    <row r="295" spans="1:73" x14ac:dyDescent="0.35">
      <c r="A295" s="7" t="s">
        <v>1379</v>
      </c>
      <c r="B295" s="7" t="s">
        <v>1382</v>
      </c>
      <c r="C295" s="17" t="s">
        <v>225</v>
      </c>
      <c r="D295" s="5" t="s">
        <v>226</v>
      </c>
      <c r="E295" s="5" t="s">
        <v>371</v>
      </c>
      <c r="F295" s="5">
        <v>262.54000000000002</v>
      </c>
      <c r="G295" s="5" t="s">
        <v>228</v>
      </c>
      <c r="H295" s="19">
        <v>66.205600000000004</v>
      </c>
      <c r="I295" s="19" t="s">
        <v>40</v>
      </c>
      <c r="J295" s="19">
        <v>-0.18359999999999843</v>
      </c>
      <c r="K295" s="5" t="s">
        <v>44</v>
      </c>
      <c r="L295" s="101" t="s">
        <v>188</v>
      </c>
      <c r="M295" s="59">
        <v>8.7099999999999997E-2</v>
      </c>
      <c r="N295" s="59">
        <v>9.6733506994800038</v>
      </c>
      <c r="O295" s="59">
        <v>1.8452655072000024</v>
      </c>
      <c r="AG295" s="107"/>
      <c r="AN295" s="115"/>
      <c r="BU295" s="61"/>
    </row>
    <row r="296" spans="1:73" x14ac:dyDescent="0.35">
      <c r="A296" s="7" t="s">
        <v>1379</v>
      </c>
      <c r="B296" s="7" t="s">
        <v>1382</v>
      </c>
      <c r="C296" s="17" t="s">
        <v>225</v>
      </c>
      <c r="D296" s="5" t="s">
        <v>226</v>
      </c>
      <c r="E296" s="5" t="s">
        <v>372</v>
      </c>
      <c r="F296" s="5">
        <v>262.56</v>
      </c>
      <c r="G296" s="5" t="s">
        <v>228</v>
      </c>
      <c r="H296" s="19">
        <v>66.208600000000004</v>
      </c>
      <c r="I296" s="19" t="s">
        <v>40</v>
      </c>
      <c r="J296" s="19">
        <v>-0.18659999999999854</v>
      </c>
      <c r="K296" s="5" t="s">
        <v>44</v>
      </c>
      <c r="L296" s="101" t="s">
        <v>188</v>
      </c>
      <c r="M296" s="59">
        <v>7.3700000000000002E-2</v>
      </c>
      <c r="N296" s="59">
        <v>9.7326952473200024</v>
      </c>
      <c r="O296" s="59">
        <v>1.9046100550400009</v>
      </c>
      <c r="AG296" s="107"/>
      <c r="AN296" s="115"/>
      <c r="BU296" s="61"/>
    </row>
    <row r="297" spans="1:73" x14ac:dyDescent="0.35">
      <c r="A297" s="7" t="s">
        <v>1379</v>
      </c>
      <c r="B297" s="7" t="s">
        <v>1382</v>
      </c>
      <c r="C297" s="17" t="s">
        <v>225</v>
      </c>
      <c r="D297" s="5" t="s">
        <v>226</v>
      </c>
      <c r="E297" s="5" t="s">
        <v>373</v>
      </c>
      <c r="F297" s="5">
        <v>262.58</v>
      </c>
      <c r="G297" s="5" t="s">
        <v>228</v>
      </c>
      <c r="H297" s="19">
        <v>66.211500000000001</v>
      </c>
      <c r="I297" s="19" t="s">
        <v>40</v>
      </c>
      <c r="J297" s="19">
        <v>-0.18949999999999534</v>
      </c>
      <c r="K297" s="5" t="s">
        <v>44</v>
      </c>
      <c r="L297" s="101" t="s">
        <v>188</v>
      </c>
      <c r="M297" s="59">
        <v>0.13950000000000001</v>
      </c>
      <c r="N297" s="59">
        <v>9.4413834870000013</v>
      </c>
      <c r="O297" s="59">
        <v>1.6132982947199999</v>
      </c>
      <c r="AG297" s="107"/>
      <c r="AN297" s="115"/>
      <c r="BU297" s="61"/>
    </row>
    <row r="298" spans="1:73" x14ac:dyDescent="0.35">
      <c r="A298" s="7" t="s">
        <v>1379</v>
      </c>
      <c r="B298" s="7" t="s">
        <v>1382</v>
      </c>
      <c r="C298" s="17" t="s">
        <v>225</v>
      </c>
      <c r="D298" s="5" t="s">
        <v>226</v>
      </c>
      <c r="E298" s="5" t="s">
        <v>374</v>
      </c>
      <c r="F298" s="5">
        <v>262.62</v>
      </c>
      <c r="G298" s="5" t="s">
        <v>228</v>
      </c>
      <c r="H298" s="19">
        <v>66.217399999999984</v>
      </c>
      <c r="I298" s="19" t="s">
        <v>40</v>
      </c>
      <c r="J298" s="19">
        <v>-0.19539999999997804</v>
      </c>
      <c r="K298" s="5" t="s">
        <v>44</v>
      </c>
      <c r="L298" s="101" t="s">
        <v>188</v>
      </c>
      <c r="M298" s="59">
        <v>0.1885</v>
      </c>
      <c r="N298" s="59">
        <v>9.224606703000001</v>
      </c>
      <c r="O298" s="59">
        <v>1.3965215107199995</v>
      </c>
      <c r="AG298" s="107"/>
      <c r="AN298" s="115"/>
      <c r="BU298" s="61"/>
    </row>
    <row r="299" spans="1:73" x14ac:dyDescent="0.35">
      <c r="A299" s="7" t="s">
        <v>1379</v>
      </c>
      <c r="B299" s="7" t="s">
        <v>1382</v>
      </c>
      <c r="C299" s="17" t="s">
        <v>225</v>
      </c>
      <c r="D299" s="5" t="s">
        <v>226</v>
      </c>
      <c r="E299" s="5" t="s">
        <v>375</v>
      </c>
      <c r="F299" s="5">
        <v>262.66000000000003</v>
      </c>
      <c r="G299" s="5" t="s">
        <v>228</v>
      </c>
      <c r="H299" s="19">
        <v>66.223299999999995</v>
      </c>
      <c r="I299" s="19" t="s">
        <v>40</v>
      </c>
      <c r="J299" s="19">
        <v>-0.20129999999998915</v>
      </c>
      <c r="K299" s="5" t="s">
        <v>44</v>
      </c>
      <c r="L299" s="101" t="s">
        <v>188</v>
      </c>
      <c r="M299" s="59">
        <v>0.28139999999999998</v>
      </c>
      <c r="N299" s="59">
        <v>8.8139847268800011</v>
      </c>
      <c r="O299" s="59">
        <v>0.98589953459999968</v>
      </c>
      <c r="AG299" s="107"/>
      <c r="AN299" s="115"/>
      <c r="BU299" s="61"/>
    </row>
    <row r="300" spans="1:73" x14ac:dyDescent="0.35">
      <c r="A300" s="7" t="s">
        <v>1379</v>
      </c>
      <c r="B300" s="7" t="s">
        <v>1382</v>
      </c>
      <c r="C300" s="17" t="s">
        <v>225</v>
      </c>
      <c r="D300" s="5" t="s">
        <v>226</v>
      </c>
      <c r="E300" s="5" t="s">
        <v>376</v>
      </c>
      <c r="F300" s="5">
        <v>262.7</v>
      </c>
      <c r="G300" s="5" t="s">
        <v>228</v>
      </c>
      <c r="H300" s="19">
        <v>66.229199999999992</v>
      </c>
      <c r="I300" s="19" t="s">
        <v>40</v>
      </c>
      <c r="J300" s="19">
        <v>-0.20719999999998606</v>
      </c>
      <c r="K300" s="5" t="s">
        <v>44</v>
      </c>
      <c r="L300" s="101" t="s">
        <v>188</v>
      </c>
      <c r="M300" s="59">
        <v>0.16669999999999999</v>
      </c>
      <c r="N300" s="59">
        <v>9.3210336489200021</v>
      </c>
      <c r="O300" s="59">
        <v>1.4929484566400006</v>
      </c>
      <c r="AG300" s="107"/>
      <c r="AN300" s="115"/>
      <c r="BU300" s="61"/>
    </row>
    <row r="301" spans="1:73" x14ac:dyDescent="0.35">
      <c r="A301" s="7" t="s">
        <v>1379</v>
      </c>
      <c r="B301" s="7" t="s">
        <v>1382</v>
      </c>
      <c r="C301" s="17" t="s">
        <v>225</v>
      </c>
      <c r="D301" s="5" t="s">
        <v>226</v>
      </c>
      <c r="E301" s="5" t="s">
        <v>377</v>
      </c>
      <c r="F301" s="5">
        <v>262.74</v>
      </c>
      <c r="G301" s="5" t="s">
        <v>228</v>
      </c>
      <c r="H301" s="19">
        <v>66.235100000000003</v>
      </c>
      <c r="I301" s="19" t="s">
        <v>40</v>
      </c>
      <c r="J301" s="19">
        <v>-0.21309999999999718</v>
      </c>
      <c r="K301" s="5" t="s">
        <v>44</v>
      </c>
      <c r="L301" s="101" t="s">
        <v>188</v>
      </c>
      <c r="M301" s="59">
        <v>0.2142</v>
      </c>
      <c r="N301" s="59">
        <v>9.1109632459200025</v>
      </c>
      <c r="O301" s="59">
        <v>1.2828780536400011</v>
      </c>
      <c r="AG301" s="107"/>
      <c r="AN301" s="115"/>
      <c r="BU301" s="61"/>
    </row>
    <row r="302" spans="1:73" x14ac:dyDescent="0.35">
      <c r="A302" s="7" t="s">
        <v>1379</v>
      </c>
      <c r="B302" s="7" t="s">
        <v>1382</v>
      </c>
      <c r="C302" s="17" t="s">
        <v>225</v>
      </c>
      <c r="D302" s="5" t="s">
        <v>226</v>
      </c>
      <c r="E302" s="5" t="s">
        <v>378</v>
      </c>
      <c r="F302" s="5">
        <v>262.77999999999997</v>
      </c>
      <c r="G302" s="5" t="s">
        <v>228</v>
      </c>
      <c r="H302" s="19">
        <v>66.240899999999982</v>
      </c>
      <c r="I302" s="19" t="s">
        <v>40</v>
      </c>
      <c r="J302" s="19">
        <v>-0.21889999999997656</v>
      </c>
      <c r="K302" s="5" t="s">
        <v>44</v>
      </c>
      <c r="L302" s="101" t="s">
        <v>188</v>
      </c>
      <c r="M302" s="59">
        <v>0.21779999999999999</v>
      </c>
      <c r="N302" s="59">
        <v>9.0950472715200021</v>
      </c>
      <c r="O302" s="59">
        <v>1.2669620792400007</v>
      </c>
      <c r="AG302" s="107"/>
      <c r="AN302" s="115"/>
      <c r="BU302" s="61"/>
    </row>
    <row r="303" spans="1:73" x14ac:dyDescent="0.35">
      <c r="A303" s="7" t="s">
        <v>1379</v>
      </c>
      <c r="B303" s="7" t="s">
        <v>1382</v>
      </c>
      <c r="C303" s="17" t="s">
        <v>225</v>
      </c>
      <c r="D303" s="5" t="s">
        <v>226</v>
      </c>
      <c r="E303" s="5" t="s">
        <v>379</v>
      </c>
      <c r="F303" s="5">
        <v>262.82</v>
      </c>
      <c r="G303" s="5" t="s">
        <v>228</v>
      </c>
      <c r="H303" s="19">
        <v>66.246799999999993</v>
      </c>
      <c r="I303" s="19" t="s">
        <v>40</v>
      </c>
      <c r="J303" s="19">
        <v>-0.22479999999998768</v>
      </c>
      <c r="K303" s="5" t="s">
        <v>44</v>
      </c>
      <c r="L303" s="101" t="s">
        <v>188</v>
      </c>
      <c r="M303" s="59">
        <v>9.8699999999999996E-2</v>
      </c>
      <c r="N303" s="59">
        <v>9.6219859273200026</v>
      </c>
      <c r="O303" s="59">
        <v>1.7939007350400011</v>
      </c>
      <c r="AG303" s="107"/>
      <c r="AN303" s="115"/>
      <c r="BU303" s="61"/>
    </row>
    <row r="304" spans="1:73" x14ac:dyDescent="0.35">
      <c r="A304" s="7" t="s">
        <v>1379</v>
      </c>
      <c r="B304" s="7" t="s">
        <v>1382</v>
      </c>
      <c r="C304" s="17" t="s">
        <v>225</v>
      </c>
      <c r="D304" s="5" t="s">
        <v>226</v>
      </c>
      <c r="E304" s="5" t="s">
        <v>380</v>
      </c>
      <c r="F304" s="5">
        <v>262.86</v>
      </c>
      <c r="G304" s="5" t="s">
        <v>228</v>
      </c>
      <c r="H304" s="19">
        <v>66.25269999999999</v>
      </c>
      <c r="I304" s="19" t="s">
        <v>40</v>
      </c>
      <c r="J304" s="19">
        <v>-0.23069999999998458</v>
      </c>
      <c r="K304" s="5" t="s">
        <v>44</v>
      </c>
      <c r="L304" s="101" t="s">
        <v>188</v>
      </c>
      <c r="M304" s="59">
        <v>5.2499999999999998E-2</v>
      </c>
      <c r="N304" s="59">
        <v>9.8266041750000017</v>
      </c>
      <c r="O304" s="59">
        <v>1.9985189827200003</v>
      </c>
      <c r="AG304" s="107"/>
      <c r="AN304" s="115"/>
      <c r="BU304" s="61"/>
    </row>
    <row r="305" spans="1:73" x14ac:dyDescent="0.35">
      <c r="A305" s="7" t="s">
        <v>1379</v>
      </c>
      <c r="B305" s="7" t="s">
        <v>1382</v>
      </c>
      <c r="C305" s="17" t="s">
        <v>225</v>
      </c>
      <c r="D305" s="5" t="s">
        <v>226</v>
      </c>
      <c r="E305" s="5" t="s">
        <v>381</v>
      </c>
      <c r="F305" s="5">
        <v>262.89999999999998</v>
      </c>
      <c r="G305" s="5" t="s">
        <v>228</v>
      </c>
      <c r="H305" s="19">
        <v>66.258600000000001</v>
      </c>
      <c r="I305" s="19" t="s">
        <v>40</v>
      </c>
      <c r="J305" s="19">
        <v>-0.2365999999999957</v>
      </c>
      <c r="K305" s="5" t="s">
        <v>44</v>
      </c>
      <c r="L305" s="101" t="s">
        <v>188</v>
      </c>
      <c r="M305" s="59">
        <v>0.16739999999999999</v>
      </c>
      <c r="N305" s="59">
        <v>9.3179369572800024</v>
      </c>
      <c r="O305" s="59">
        <v>1.4898517650000009</v>
      </c>
      <c r="AG305" s="107"/>
      <c r="AN305" s="115"/>
      <c r="BU305" s="61"/>
    </row>
    <row r="306" spans="1:73" x14ac:dyDescent="0.35">
      <c r="A306" s="7" t="s">
        <v>1379</v>
      </c>
      <c r="B306" s="7" t="s">
        <v>1382</v>
      </c>
      <c r="C306" s="17" t="s">
        <v>225</v>
      </c>
      <c r="D306" s="5" t="s">
        <v>226</v>
      </c>
      <c r="E306" s="5" t="s">
        <v>382</v>
      </c>
      <c r="F306" s="5">
        <v>262.94</v>
      </c>
      <c r="G306" s="5" t="s">
        <v>228</v>
      </c>
      <c r="H306" s="19">
        <v>66.264499999999998</v>
      </c>
      <c r="I306" s="19" t="s">
        <v>40</v>
      </c>
      <c r="J306" s="19">
        <v>-0.24249999999999261</v>
      </c>
      <c r="K306" s="5" t="s">
        <v>44</v>
      </c>
      <c r="L306" s="101" t="s">
        <v>188</v>
      </c>
      <c r="M306" s="59">
        <v>-1.9E-2</v>
      </c>
      <c r="N306" s="59">
        <v>10.143510908000001</v>
      </c>
      <c r="O306" s="59">
        <v>2.31542571572</v>
      </c>
      <c r="AG306" s="107"/>
      <c r="AN306" s="115"/>
      <c r="BU306" s="61"/>
    </row>
    <row r="307" spans="1:73" x14ac:dyDescent="0.35">
      <c r="A307" s="7" t="s">
        <v>1379</v>
      </c>
      <c r="B307" s="7" t="s">
        <v>1382</v>
      </c>
      <c r="C307" s="17" t="s">
        <v>225</v>
      </c>
      <c r="D307" s="5" t="s">
        <v>226</v>
      </c>
      <c r="E307" s="5" t="s">
        <v>383</v>
      </c>
      <c r="F307" s="5">
        <v>262.98</v>
      </c>
      <c r="G307" s="5" t="s">
        <v>228</v>
      </c>
      <c r="H307" s="19">
        <v>66.270399999999995</v>
      </c>
      <c r="I307" s="19" t="s">
        <v>40</v>
      </c>
      <c r="J307" s="19">
        <v>-0.24839999999998952</v>
      </c>
      <c r="K307" s="5" t="s">
        <v>44</v>
      </c>
      <c r="L307" s="101" t="s">
        <v>188</v>
      </c>
      <c r="M307" s="59">
        <v>-0.14849999999999999</v>
      </c>
      <c r="N307" s="59">
        <v>10.718217663000003</v>
      </c>
      <c r="O307" s="59">
        <v>2.8901324707200011</v>
      </c>
      <c r="AG307" s="107"/>
      <c r="AN307" s="115"/>
      <c r="BU307" s="61"/>
    </row>
    <row r="308" spans="1:73" x14ac:dyDescent="0.35">
      <c r="A308" s="7" t="s">
        <v>1379</v>
      </c>
      <c r="B308" s="7" t="s">
        <v>1382</v>
      </c>
      <c r="C308" s="17" t="s">
        <v>225</v>
      </c>
      <c r="D308" s="5" t="s">
        <v>226</v>
      </c>
      <c r="E308" s="5" t="s">
        <v>384</v>
      </c>
      <c r="F308" s="5">
        <v>263.02</v>
      </c>
      <c r="G308" s="5" t="s">
        <v>228</v>
      </c>
      <c r="H308" s="19">
        <v>66.276199999999989</v>
      </c>
      <c r="I308" s="19" t="s">
        <v>40</v>
      </c>
      <c r="J308" s="19">
        <v>-0.25419999999998311</v>
      </c>
      <c r="K308" s="5" t="s">
        <v>44</v>
      </c>
      <c r="L308" s="101" t="s">
        <v>188</v>
      </c>
      <c r="M308" s="59">
        <v>-0.25259999999999999</v>
      </c>
      <c r="N308" s="59">
        <v>11.180882909280001</v>
      </c>
      <c r="O308" s="59">
        <v>3.3527977169999996</v>
      </c>
      <c r="AG308" s="107"/>
      <c r="AN308" s="115"/>
      <c r="BU308" s="61"/>
    </row>
    <row r="309" spans="1:73" x14ac:dyDescent="0.35">
      <c r="A309" s="7" t="s">
        <v>1379</v>
      </c>
      <c r="B309" s="7" t="s">
        <v>1382</v>
      </c>
      <c r="C309" s="17" t="s">
        <v>225</v>
      </c>
      <c r="D309" s="5" t="s">
        <v>226</v>
      </c>
      <c r="E309" s="5" t="s">
        <v>385</v>
      </c>
      <c r="F309" s="5">
        <v>263.06</v>
      </c>
      <c r="G309" s="5" t="s">
        <v>228</v>
      </c>
      <c r="H309" s="19">
        <v>66.2821</v>
      </c>
      <c r="I309" s="19" t="s">
        <v>40</v>
      </c>
      <c r="J309" s="19">
        <v>-0.26009999999999422</v>
      </c>
      <c r="K309" s="5" t="s">
        <v>44</v>
      </c>
      <c r="L309" s="101" t="s">
        <v>188</v>
      </c>
      <c r="M309" s="59">
        <v>4.2599999999999999E-2</v>
      </c>
      <c r="N309" s="59">
        <v>9.8704664932800021</v>
      </c>
      <c r="O309" s="59">
        <v>2.0423813010000007</v>
      </c>
      <c r="AG309" s="107"/>
      <c r="AN309" s="115"/>
      <c r="BU309" s="61"/>
    </row>
    <row r="310" spans="1:73" x14ac:dyDescent="0.35">
      <c r="A310" s="7" t="s">
        <v>1379</v>
      </c>
      <c r="B310" s="7" t="s">
        <v>1382</v>
      </c>
      <c r="C310" s="17" t="s">
        <v>225</v>
      </c>
      <c r="D310" s="5" t="s">
        <v>226</v>
      </c>
      <c r="E310" s="5" t="s">
        <v>386</v>
      </c>
      <c r="F310" s="5">
        <v>263.10000000000002</v>
      </c>
      <c r="G310" s="5" t="s">
        <v>228</v>
      </c>
      <c r="H310" s="19">
        <v>66.287999999999997</v>
      </c>
      <c r="I310" s="19" t="s">
        <v>40</v>
      </c>
      <c r="J310" s="19">
        <v>-0.26599999999999113</v>
      </c>
      <c r="K310" s="5" t="s">
        <v>44</v>
      </c>
      <c r="L310" s="101" t="s">
        <v>188</v>
      </c>
      <c r="M310" s="59">
        <v>-2.5999999999999999E-3</v>
      </c>
      <c r="N310" s="59">
        <v>10.070796509280003</v>
      </c>
      <c r="O310" s="59">
        <v>2.2427113170000013</v>
      </c>
      <c r="AG310" s="107"/>
      <c r="AN310" s="115"/>
      <c r="BU310" s="61"/>
    </row>
    <row r="311" spans="1:73" x14ac:dyDescent="0.35">
      <c r="A311" s="7" t="s">
        <v>1379</v>
      </c>
      <c r="B311" s="7" t="s">
        <v>1382</v>
      </c>
      <c r="C311" s="17" t="s">
        <v>225</v>
      </c>
      <c r="D311" s="5" t="s">
        <v>226</v>
      </c>
      <c r="E311" s="5" t="s">
        <v>387</v>
      </c>
      <c r="F311" s="5">
        <v>263.5</v>
      </c>
      <c r="G311" s="5" t="s">
        <v>228</v>
      </c>
      <c r="H311" s="19">
        <v>66.357399999999984</v>
      </c>
      <c r="I311" s="19" t="s">
        <v>40</v>
      </c>
      <c r="J311" s="19">
        <v>-0.3353999999999786</v>
      </c>
      <c r="K311" s="5" t="s">
        <v>44</v>
      </c>
      <c r="L311" s="101" t="s">
        <v>188</v>
      </c>
      <c r="M311" s="59">
        <v>0.31180000000000002</v>
      </c>
      <c r="N311" s="59">
        <v>8.6797203787200026</v>
      </c>
      <c r="O311" s="59">
        <v>0.85163518644000114</v>
      </c>
      <c r="AG311" s="107"/>
      <c r="AN311" s="115"/>
      <c r="BU311" s="61"/>
    </row>
    <row r="312" spans="1:73" x14ac:dyDescent="0.35">
      <c r="A312" s="7" t="s">
        <v>1379</v>
      </c>
      <c r="B312" s="7" t="s">
        <v>1382</v>
      </c>
      <c r="C312" s="17" t="s">
        <v>225</v>
      </c>
      <c r="D312" s="5" t="s">
        <v>226</v>
      </c>
      <c r="E312" s="5" t="s">
        <v>388</v>
      </c>
      <c r="F312" s="5">
        <v>263.54000000000002</v>
      </c>
      <c r="G312" s="5" t="s">
        <v>228</v>
      </c>
      <c r="H312" s="19">
        <v>66.364399999999989</v>
      </c>
      <c r="I312" s="19" t="s">
        <v>40</v>
      </c>
      <c r="J312" s="19">
        <v>-0.34239999999998361</v>
      </c>
      <c r="K312" s="5" t="s">
        <v>44</v>
      </c>
      <c r="L312" s="101" t="s">
        <v>188</v>
      </c>
      <c r="M312" s="59">
        <v>0.15659999999999999</v>
      </c>
      <c r="N312" s="59">
        <v>9.3657175396800003</v>
      </c>
      <c r="O312" s="59">
        <v>1.5376323473999989</v>
      </c>
      <c r="AG312" s="107"/>
      <c r="AN312" s="115"/>
      <c r="BU312" s="61"/>
    </row>
    <row r="313" spans="1:73" x14ac:dyDescent="0.35">
      <c r="A313" s="7" t="s">
        <v>1379</v>
      </c>
      <c r="B313" s="7" t="s">
        <v>1382</v>
      </c>
      <c r="C313" s="17" t="s">
        <v>225</v>
      </c>
      <c r="D313" s="5" t="s">
        <v>226</v>
      </c>
      <c r="E313" s="5" t="s">
        <v>389</v>
      </c>
      <c r="F313" s="5">
        <v>263.58</v>
      </c>
      <c r="G313" s="5" t="s">
        <v>228</v>
      </c>
      <c r="H313" s="19">
        <v>66.371299999999991</v>
      </c>
      <c r="I313" s="19" t="s">
        <v>40</v>
      </c>
      <c r="J313" s="19">
        <v>-0.34929999999998529</v>
      </c>
      <c r="K313" s="5" t="s">
        <v>44</v>
      </c>
      <c r="L313" s="101" t="s">
        <v>188</v>
      </c>
      <c r="M313" s="59">
        <v>0.17230000000000001</v>
      </c>
      <c r="N313" s="59">
        <v>9.2962608841200005</v>
      </c>
      <c r="O313" s="59">
        <v>1.4681756918399991</v>
      </c>
      <c r="AG313" s="107"/>
      <c r="AN313" s="115"/>
      <c r="BU313" s="61"/>
    </row>
    <row r="314" spans="1:73" x14ac:dyDescent="0.35">
      <c r="A314" s="7" t="s">
        <v>1379</v>
      </c>
      <c r="B314" s="7" t="s">
        <v>1382</v>
      </c>
      <c r="C314" s="17" t="s">
        <v>225</v>
      </c>
      <c r="D314" s="5" t="s">
        <v>226</v>
      </c>
      <c r="E314" s="5" t="s">
        <v>390</v>
      </c>
      <c r="F314" s="5">
        <v>263.62</v>
      </c>
      <c r="G314" s="5" t="s">
        <v>228</v>
      </c>
      <c r="H314" s="19">
        <v>66.378299999999996</v>
      </c>
      <c r="I314" s="19" t="s">
        <v>40</v>
      </c>
      <c r="J314" s="19">
        <v>-0.35629999999999029</v>
      </c>
      <c r="K314" s="5" t="s">
        <v>44</v>
      </c>
      <c r="L314" s="101" t="s">
        <v>188</v>
      </c>
      <c r="M314" s="59">
        <v>7.7100000000000002E-2</v>
      </c>
      <c r="N314" s="59">
        <v>9.7176367234800001</v>
      </c>
      <c r="O314" s="59">
        <v>1.8895515311999986</v>
      </c>
      <c r="AG314" s="107"/>
      <c r="AN314" s="115"/>
      <c r="BU314" s="61"/>
    </row>
    <row r="315" spans="1:73" x14ac:dyDescent="0.35">
      <c r="A315" s="7" t="s">
        <v>1379</v>
      </c>
      <c r="B315" s="7" t="s">
        <v>1382</v>
      </c>
      <c r="C315" s="17" t="s">
        <v>225</v>
      </c>
      <c r="D315" s="5" t="s">
        <v>226</v>
      </c>
      <c r="E315" s="5" t="s">
        <v>391</v>
      </c>
      <c r="F315" s="5">
        <v>263.7</v>
      </c>
      <c r="G315" s="5" t="s">
        <v>228</v>
      </c>
      <c r="H315" s="19">
        <v>66.395600000000002</v>
      </c>
      <c r="I315" s="19" t="s">
        <v>40</v>
      </c>
      <c r="J315" s="19">
        <v>-0.37359999999999616</v>
      </c>
      <c r="K315" s="5" t="s">
        <v>44</v>
      </c>
      <c r="L315" s="101" t="s">
        <v>188</v>
      </c>
      <c r="M315" s="59">
        <v>0.35460000000000003</v>
      </c>
      <c r="N315" s="59">
        <v>8.4907780324800015</v>
      </c>
      <c r="O315" s="59">
        <v>0.66269284020000008</v>
      </c>
      <c r="AG315" s="107"/>
      <c r="AN315" s="115"/>
      <c r="BU315" s="61"/>
    </row>
    <row r="316" spans="1:73" x14ac:dyDescent="0.35">
      <c r="A316" s="7" t="s">
        <v>1379</v>
      </c>
      <c r="B316" s="7" t="s">
        <v>1382</v>
      </c>
      <c r="C316" s="17" t="s">
        <v>225</v>
      </c>
      <c r="D316" s="5" t="s">
        <v>226</v>
      </c>
      <c r="E316" s="5" t="s">
        <v>392</v>
      </c>
      <c r="F316" s="5">
        <v>263.86</v>
      </c>
      <c r="G316" s="5" t="s">
        <v>228</v>
      </c>
      <c r="H316" s="19">
        <v>66.431100000000001</v>
      </c>
      <c r="I316" s="19" t="s">
        <v>40</v>
      </c>
      <c r="J316" s="19">
        <v>-0.40909999999999513</v>
      </c>
      <c r="K316" s="5" t="s">
        <v>44</v>
      </c>
      <c r="L316" s="101" t="s">
        <v>188</v>
      </c>
      <c r="M316" s="59">
        <v>0.63519999999999999</v>
      </c>
      <c r="N316" s="59">
        <v>7.2545987731200015</v>
      </c>
      <c r="O316" s="59">
        <v>-0.57348641915999998</v>
      </c>
      <c r="AG316" s="107"/>
      <c r="AN316" s="115"/>
      <c r="BU316" s="61"/>
    </row>
    <row r="317" spans="1:73" x14ac:dyDescent="0.35">
      <c r="A317" s="7" t="s">
        <v>1379</v>
      </c>
      <c r="B317" s="7" t="s">
        <v>1382</v>
      </c>
      <c r="C317" s="17" t="s">
        <v>225</v>
      </c>
      <c r="D317" s="5" t="s">
        <v>226</v>
      </c>
      <c r="E317" s="5" t="s">
        <v>393</v>
      </c>
      <c r="F317" s="5">
        <v>264.02</v>
      </c>
      <c r="G317" s="5" t="s">
        <v>228</v>
      </c>
      <c r="H317" s="19">
        <v>66.466699999999989</v>
      </c>
      <c r="I317" s="19" t="s">
        <v>40</v>
      </c>
      <c r="J317" s="19">
        <v>-0.44469999999998322</v>
      </c>
      <c r="K317" s="5" t="s">
        <v>44</v>
      </c>
      <c r="L317" s="101" t="s">
        <v>188</v>
      </c>
      <c r="M317" s="59">
        <v>0.59960000000000002</v>
      </c>
      <c r="N317" s="59">
        <v>7.4111898444800017</v>
      </c>
      <c r="O317" s="59">
        <v>-0.4168953477999997</v>
      </c>
      <c r="AG317" s="107"/>
      <c r="AN317" s="115"/>
      <c r="BU317" s="61"/>
    </row>
    <row r="318" spans="1:73" x14ac:dyDescent="0.35">
      <c r="A318" s="7" t="s">
        <v>1379</v>
      </c>
      <c r="B318" s="7" t="s">
        <v>1382</v>
      </c>
      <c r="C318" s="17" t="s">
        <v>225</v>
      </c>
      <c r="D318" s="5" t="s">
        <v>226</v>
      </c>
      <c r="E318" s="5" t="s">
        <v>394</v>
      </c>
      <c r="F318" s="5">
        <v>264.06</v>
      </c>
      <c r="G318" s="5" t="s">
        <v>228</v>
      </c>
      <c r="H318" s="19">
        <v>66.4756</v>
      </c>
      <c r="I318" s="19" t="s">
        <v>40</v>
      </c>
      <c r="J318" s="19">
        <v>-0.45359999999999445</v>
      </c>
      <c r="K318" s="5" t="s">
        <v>44</v>
      </c>
      <c r="L318" s="101" t="s">
        <v>188</v>
      </c>
      <c r="M318" s="59">
        <v>0.61919999999999997</v>
      </c>
      <c r="N318" s="59">
        <v>7.3249680019200012</v>
      </c>
      <c r="O318" s="59">
        <v>-0.50311719036000024</v>
      </c>
      <c r="AG318" s="107"/>
      <c r="AN318" s="115"/>
      <c r="BU318" s="61"/>
    </row>
    <row r="319" spans="1:73" x14ac:dyDescent="0.35">
      <c r="A319" s="7" t="s">
        <v>1379</v>
      </c>
      <c r="B319" s="7" t="s">
        <v>1382</v>
      </c>
      <c r="C319" s="17" t="s">
        <v>225</v>
      </c>
      <c r="D319" s="5" t="s">
        <v>226</v>
      </c>
      <c r="E319" s="5" t="s">
        <v>395</v>
      </c>
      <c r="F319" s="5">
        <v>264.10000000000002</v>
      </c>
      <c r="G319" s="5" t="s">
        <v>228</v>
      </c>
      <c r="H319" s="19">
        <v>66.484399999999994</v>
      </c>
      <c r="I319" s="19" t="s">
        <v>40</v>
      </c>
      <c r="J319" s="19">
        <v>-0.46239999999998815</v>
      </c>
      <c r="K319" s="5" t="s">
        <v>44</v>
      </c>
      <c r="L319" s="101" t="s">
        <v>188</v>
      </c>
      <c r="M319" s="59">
        <v>0.55449999999999999</v>
      </c>
      <c r="N319" s="59">
        <v>7.6096697670000024</v>
      </c>
      <c r="O319" s="59">
        <v>-0.21841542527999902</v>
      </c>
      <c r="AG319" s="107"/>
      <c r="AN319" s="115"/>
      <c r="BU319" s="61"/>
    </row>
    <row r="320" spans="1:73" x14ac:dyDescent="0.35">
      <c r="A320" s="7" t="s">
        <v>1379</v>
      </c>
      <c r="B320" s="7" t="s">
        <v>1382</v>
      </c>
      <c r="C320" s="17" t="s">
        <v>225</v>
      </c>
      <c r="D320" s="5" t="s">
        <v>226</v>
      </c>
      <c r="E320" s="5" t="s">
        <v>396</v>
      </c>
      <c r="F320" s="5">
        <v>264.14</v>
      </c>
      <c r="G320" s="5" t="s">
        <v>228</v>
      </c>
      <c r="H320" s="19">
        <v>66.493299999999991</v>
      </c>
      <c r="I320" s="19" t="s">
        <v>40</v>
      </c>
      <c r="J320" s="19">
        <v>-0.47129999999998518</v>
      </c>
      <c r="K320" s="5" t="s">
        <v>44</v>
      </c>
      <c r="L320" s="101" t="s">
        <v>188</v>
      </c>
      <c r="M320" s="59">
        <v>0.40550000000000003</v>
      </c>
      <c r="N320" s="59">
        <v>8.2662114470000017</v>
      </c>
      <c r="O320" s="59">
        <v>0.43812625472000022</v>
      </c>
      <c r="AG320" s="107"/>
      <c r="AN320" s="115"/>
      <c r="BU320" s="61"/>
    </row>
    <row r="321" spans="1:73" x14ac:dyDescent="0.35">
      <c r="A321" s="7" t="s">
        <v>1379</v>
      </c>
      <c r="B321" s="7" t="s">
        <v>1382</v>
      </c>
      <c r="C321" s="17" t="s">
        <v>225</v>
      </c>
      <c r="D321" s="5" t="s">
        <v>226</v>
      </c>
      <c r="E321" s="5" t="s">
        <v>397</v>
      </c>
      <c r="F321" s="5">
        <v>264.18</v>
      </c>
      <c r="G321" s="5" t="s">
        <v>228</v>
      </c>
      <c r="H321" s="19">
        <v>66.502099999999999</v>
      </c>
      <c r="I321" s="19" t="s">
        <v>40</v>
      </c>
      <c r="J321" s="19">
        <v>-0.48009999999999309</v>
      </c>
      <c r="K321" s="5" t="s">
        <v>44</v>
      </c>
      <c r="L321" s="101" t="s">
        <v>188</v>
      </c>
      <c r="M321" s="59">
        <v>0.58489999999999998</v>
      </c>
      <c r="N321" s="59">
        <v>7.4758703442800023</v>
      </c>
      <c r="O321" s="59">
        <v>-0.35221484799999914</v>
      </c>
      <c r="AG321" s="107"/>
      <c r="AN321" s="115"/>
      <c r="BU321" s="61"/>
    </row>
    <row r="322" spans="1:73" x14ac:dyDescent="0.35">
      <c r="A322" s="7" t="s">
        <v>1379</v>
      </c>
      <c r="B322" s="7" t="s">
        <v>1382</v>
      </c>
      <c r="C322" s="17" t="s">
        <v>225</v>
      </c>
      <c r="D322" s="5" t="s">
        <v>226</v>
      </c>
      <c r="E322" s="5" t="s">
        <v>398</v>
      </c>
      <c r="F322" s="5">
        <v>264.33999999999997</v>
      </c>
      <c r="G322" s="5" t="s">
        <v>228</v>
      </c>
      <c r="H322" s="19">
        <v>66.537499999999994</v>
      </c>
      <c r="I322" s="19" t="s">
        <v>40</v>
      </c>
      <c r="J322" s="19">
        <v>-0.51549999999998875</v>
      </c>
      <c r="K322" s="5" t="s">
        <v>44</v>
      </c>
      <c r="L322" s="101" t="s">
        <v>188</v>
      </c>
      <c r="M322" s="59">
        <v>0.64270000000000005</v>
      </c>
      <c r="N322" s="59">
        <v>7.2216181321200024</v>
      </c>
      <c r="O322" s="59">
        <v>-0.60646706015999907</v>
      </c>
      <c r="AG322" s="107"/>
      <c r="AN322" s="115"/>
      <c r="BU322" s="61"/>
    </row>
    <row r="323" spans="1:73" x14ac:dyDescent="0.35">
      <c r="A323" s="7" t="s">
        <v>1379</v>
      </c>
      <c r="B323" s="7" t="s">
        <v>1382</v>
      </c>
      <c r="C323" s="17" t="s">
        <v>225</v>
      </c>
      <c r="D323" s="5" t="s">
        <v>226</v>
      </c>
      <c r="E323" s="5" t="s">
        <v>399</v>
      </c>
      <c r="F323" s="5">
        <v>264.38</v>
      </c>
      <c r="G323" s="5" t="s">
        <v>228</v>
      </c>
      <c r="H323" s="19">
        <v>66.546300000000002</v>
      </c>
      <c r="I323" s="19" t="s">
        <v>40</v>
      </c>
      <c r="J323" s="19">
        <v>-0.52429999999999666</v>
      </c>
      <c r="K323" s="5" t="s">
        <v>44</v>
      </c>
      <c r="L323" s="101" t="s">
        <v>188</v>
      </c>
      <c r="M323" s="59">
        <v>0.67769999999999997</v>
      </c>
      <c r="N323" s="59">
        <v>7.0677501241200034</v>
      </c>
      <c r="O323" s="59">
        <v>-0.76033506815999807</v>
      </c>
      <c r="AG323" s="107"/>
      <c r="AN323" s="115"/>
      <c r="BU323" s="61"/>
    </row>
    <row r="324" spans="1:73" x14ac:dyDescent="0.35">
      <c r="A324" s="7" t="s">
        <v>1379</v>
      </c>
      <c r="B324" s="7" t="s">
        <v>1382</v>
      </c>
      <c r="C324" s="17" t="s">
        <v>225</v>
      </c>
      <c r="D324" s="5" t="s">
        <v>226</v>
      </c>
      <c r="E324" s="5" t="s">
        <v>400</v>
      </c>
      <c r="F324" s="5">
        <v>264.45999999999998</v>
      </c>
      <c r="G324" s="5" t="s">
        <v>228</v>
      </c>
      <c r="H324" s="19">
        <v>66.563999999999993</v>
      </c>
      <c r="I324" s="19" t="s">
        <v>40</v>
      </c>
      <c r="J324" s="19">
        <v>-0.54199999999998738</v>
      </c>
      <c r="K324" s="5" t="s">
        <v>44</v>
      </c>
      <c r="L324" s="101" t="s">
        <v>188</v>
      </c>
      <c r="M324" s="59">
        <v>0.56469999999999998</v>
      </c>
      <c r="N324" s="59">
        <v>7.5647707705200018</v>
      </c>
      <c r="O324" s="59">
        <v>-0.26331442175999964</v>
      </c>
      <c r="AG324" s="107"/>
      <c r="AN324" s="115"/>
      <c r="BU324" s="61"/>
    </row>
    <row r="325" spans="1:73" x14ac:dyDescent="0.35">
      <c r="A325" s="7" t="s">
        <v>1379</v>
      </c>
      <c r="B325" s="7" t="s">
        <v>1382</v>
      </c>
      <c r="C325" s="17" t="s">
        <v>225</v>
      </c>
      <c r="D325" s="5" t="s">
        <v>226</v>
      </c>
      <c r="E325" s="5" t="s">
        <v>401</v>
      </c>
      <c r="F325" s="5">
        <v>264.5</v>
      </c>
      <c r="G325" s="5" t="s">
        <v>228</v>
      </c>
      <c r="H325" s="19">
        <v>66.570300000000003</v>
      </c>
      <c r="I325" s="19" t="s">
        <v>40</v>
      </c>
      <c r="J325" s="19">
        <v>-0.54829999999999757</v>
      </c>
      <c r="K325" s="5" t="s">
        <v>44</v>
      </c>
      <c r="L325" s="101" t="s">
        <v>188</v>
      </c>
      <c r="M325" s="59">
        <v>0.57479999999999998</v>
      </c>
      <c r="N325" s="59">
        <v>7.5203177011200024</v>
      </c>
      <c r="O325" s="59">
        <v>-0.30776749115999902</v>
      </c>
      <c r="AG325" s="107"/>
      <c r="AN325" s="115"/>
      <c r="BU325" s="61"/>
    </row>
    <row r="326" spans="1:73" x14ac:dyDescent="0.35">
      <c r="A326" s="7" t="s">
        <v>1379</v>
      </c>
      <c r="B326" s="7" t="s">
        <v>1382</v>
      </c>
      <c r="C326" s="17" t="s">
        <v>225</v>
      </c>
      <c r="D326" s="5" t="s">
        <v>226</v>
      </c>
      <c r="E326" s="5" t="s">
        <v>402</v>
      </c>
      <c r="F326" s="5">
        <v>264.58</v>
      </c>
      <c r="G326" s="5" t="s">
        <v>228</v>
      </c>
      <c r="H326" s="19">
        <v>66.582899999999995</v>
      </c>
      <c r="I326" s="19" t="s">
        <v>40</v>
      </c>
      <c r="J326" s="19">
        <v>-0.56089999999998952</v>
      </c>
      <c r="K326" s="5" t="s">
        <v>44</v>
      </c>
      <c r="L326" s="101" t="s">
        <v>188</v>
      </c>
      <c r="M326" s="59">
        <v>0.72070000000000001</v>
      </c>
      <c r="N326" s="59">
        <v>6.8788061977200039</v>
      </c>
      <c r="O326" s="59">
        <v>-0.94927899455999754</v>
      </c>
      <c r="AG326" s="107"/>
      <c r="AN326" s="115"/>
      <c r="BU326" s="61"/>
    </row>
    <row r="327" spans="1:73" x14ac:dyDescent="0.35">
      <c r="A327" s="7" t="s">
        <v>1379</v>
      </c>
      <c r="B327" s="7" t="s">
        <v>1382</v>
      </c>
      <c r="C327" s="17"/>
      <c r="D327" s="5"/>
      <c r="E327" s="5"/>
      <c r="F327" s="5"/>
      <c r="G327" s="5"/>
      <c r="H327" s="18"/>
      <c r="I327" s="19"/>
      <c r="J327" s="18"/>
      <c r="K327" s="5"/>
      <c r="L327" s="5"/>
      <c r="M327" s="59"/>
      <c r="N327" s="59"/>
      <c r="O327" s="59"/>
      <c r="AG327" s="107"/>
      <c r="AN327" s="115"/>
      <c r="BU327" s="61"/>
    </row>
    <row r="328" spans="1:73" x14ac:dyDescent="0.35">
      <c r="A328" s="7" t="s">
        <v>1379</v>
      </c>
      <c r="B328" s="7" t="s">
        <v>1382</v>
      </c>
      <c r="C328" s="17" t="s">
        <v>403</v>
      </c>
      <c r="D328" s="5" t="s">
        <v>404</v>
      </c>
      <c r="E328" s="5" t="s">
        <v>405</v>
      </c>
      <c r="F328" s="59">
        <v>384.28269599999999</v>
      </c>
      <c r="G328" s="5" t="s">
        <v>406</v>
      </c>
      <c r="H328" s="18">
        <v>66.0642</v>
      </c>
      <c r="I328" s="19" t="s">
        <v>27</v>
      </c>
      <c r="J328" s="18">
        <v>-2.4199999999993338E-2</v>
      </c>
      <c r="K328" s="5" t="s">
        <v>97</v>
      </c>
      <c r="L328" s="101" t="s">
        <v>98</v>
      </c>
      <c r="M328" s="59">
        <v>-1.74</v>
      </c>
      <c r="N328" s="59">
        <v>19.447548000000001</v>
      </c>
      <c r="O328" s="59">
        <v>0</v>
      </c>
      <c r="AG328" s="107"/>
      <c r="AN328" s="115"/>
      <c r="BU328" s="61"/>
    </row>
    <row r="329" spans="1:73" x14ac:dyDescent="0.35">
      <c r="A329" s="7" t="s">
        <v>1379</v>
      </c>
      <c r="B329" s="7" t="s">
        <v>1382</v>
      </c>
      <c r="C329" s="17" t="s">
        <v>403</v>
      </c>
      <c r="D329" s="5" t="s">
        <v>404</v>
      </c>
      <c r="E329" s="5" t="s">
        <v>405</v>
      </c>
      <c r="F329" s="59">
        <v>384.3528</v>
      </c>
      <c r="G329" s="5" t="s">
        <v>406</v>
      </c>
      <c r="H329" s="18">
        <v>66.075000000000003</v>
      </c>
      <c r="I329" s="19" t="s">
        <v>27</v>
      </c>
      <c r="J329" s="18">
        <v>-3.4999999999996589E-2</v>
      </c>
      <c r="K329" s="5" t="s">
        <v>97</v>
      </c>
      <c r="L329" s="101" t="s">
        <v>98</v>
      </c>
      <c r="M329" s="59">
        <v>-1.69</v>
      </c>
      <c r="N329" s="59">
        <v>19.220003000000002</v>
      </c>
      <c r="O329" s="59">
        <v>-0.22754499999999922</v>
      </c>
      <c r="AG329" s="107"/>
      <c r="AN329" s="115"/>
      <c r="BU329" s="61"/>
    </row>
    <row r="330" spans="1:73" x14ac:dyDescent="0.35">
      <c r="A330" s="7" t="s">
        <v>1379</v>
      </c>
      <c r="B330" s="7" t="s">
        <v>1382</v>
      </c>
      <c r="C330" s="17" t="s">
        <v>403</v>
      </c>
      <c r="D330" s="5" t="s">
        <v>404</v>
      </c>
      <c r="E330" s="5" t="s">
        <v>405</v>
      </c>
      <c r="F330" s="59">
        <v>384.5052</v>
      </c>
      <c r="G330" s="5" t="s">
        <v>406</v>
      </c>
      <c r="H330" s="18">
        <v>66.098299999999995</v>
      </c>
      <c r="I330" s="19" t="s">
        <v>27</v>
      </c>
      <c r="J330" s="18">
        <v>-5.8299999999988472E-2</v>
      </c>
      <c r="K330" s="5" t="s">
        <v>97</v>
      </c>
      <c r="L330" s="101" t="s">
        <v>98</v>
      </c>
      <c r="M330" s="59">
        <v>-1.72</v>
      </c>
      <c r="N330" s="59">
        <v>19.356512000000002</v>
      </c>
      <c r="O330" s="59">
        <v>-9.1035999999999007E-2</v>
      </c>
      <c r="AG330" s="107"/>
      <c r="AN330" s="115"/>
      <c r="BU330" s="61"/>
    </row>
    <row r="331" spans="1:73" x14ac:dyDescent="0.35">
      <c r="A331" s="7" t="s">
        <v>1379</v>
      </c>
      <c r="B331" s="7" t="s">
        <v>1382</v>
      </c>
      <c r="C331" s="17" t="s">
        <v>403</v>
      </c>
      <c r="D331" s="5" t="s">
        <v>404</v>
      </c>
      <c r="E331" s="5" t="s">
        <v>405</v>
      </c>
      <c r="F331" s="59">
        <v>384.6576</v>
      </c>
      <c r="G331" s="5" t="s">
        <v>406</v>
      </c>
      <c r="H331" s="18">
        <v>66.121600000000001</v>
      </c>
      <c r="I331" s="19" t="s">
        <v>27</v>
      </c>
      <c r="J331" s="18">
        <v>-8.1599999999994566E-2</v>
      </c>
      <c r="K331" s="5" t="s">
        <v>97</v>
      </c>
      <c r="L331" s="101" t="s">
        <v>98</v>
      </c>
      <c r="M331" s="59">
        <v>-1.78</v>
      </c>
      <c r="N331" s="59">
        <v>19.629692000000002</v>
      </c>
      <c r="O331" s="59">
        <v>0.18214400000000097</v>
      </c>
      <c r="AG331" s="107"/>
      <c r="AN331" s="115"/>
      <c r="BU331" s="61"/>
    </row>
    <row r="332" spans="1:73" x14ac:dyDescent="0.35">
      <c r="A332" s="7" t="s">
        <v>1379</v>
      </c>
      <c r="B332" s="7" t="s">
        <v>1382</v>
      </c>
      <c r="C332" s="17" t="s">
        <v>403</v>
      </c>
      <c r="D332" s="5" t="s">
        <v>404</v>
      </c>
      <c r="E332" s="5" t="s">
        <v>405</v>
      </c>
      <c r="F332" s="59">
        <v>384.81</v>
      </c>
      <c r="G332" s="5" t="s">
        <v>406</v>
      </c>
      <c r="H332" s="18">
        <v>66.144900000000007</v>
      </c>
      <c r="I332" s="19" t="s">
        <v>27</v>
      </c>
      <c r="J332" s="18">
        <v>-0.10490000000000066</v>
      </c>
      <c r="K332" s="5" t="s">
        <v>97</v>
      </c>
      <c r="L332" s="101" t="s">
        <v>98</v>
      </c>
      <c r="M332" s="59">
        <v>-1.77</v>
      </c>
      <c r="N332" s="59">
        <v>19.584147000000002</v>
      </c>
      <c r="O332" s="59">
        <v>0.13659900000000036</v>
      </c>
      <c r="AG332" s="107"/>
      <c r="AN332" s="115"/>
      <c r="BU332" s="61"/>
    </row>
    <row r="333" spans="1:73" x14ac:dyDescent="0.35">
      <c r="A333" s="7" t="s">
        <v>1379</v>
      </c>
      <c r="B333" s="7" t="s">
        <v>1382</v>
      </c>
      <c r="C333" s="17" t="s">
        <v>403</v>
      </c>
      <c r="D333" s="5" t="s">
        <v>404</v>
      </c>
      <c r="E333" s="5" t="s">
        <v>405</v>
      </c>
      <c r="F333" s="59">
        <v>384.9624</v>
      </c>
      <c r="G333" s="5" t="s">
        <v>406</v>
      </c>
      <c r="H333" s="18">
        <v>66.168199999999999</v>
      </c>
      <c r="I333" s="19" t="s">
        <v>27</v>
      </c>
      <c r="J333" s="18">
        <v>-0.12819999999999254</v>
      </c>
      <c r="K333" s="5" t="s">
        <v>97</v>
      </c>
      <c r="L333" s="101" t="s">
        <v>98</v>
      </c>
      <c r="M333" s="59">
        <v>-1.83</v>
      </c>
      <c r="N333" s="59">
        <v>19.857507000000002</v>
      </c>
      <c r="O333" s="59">
        <v>0.40995900000000063</v>
      </c>
      <c r="AG333" s="107"/>
      <c r="AN333" s="115"/>
      <c r="BU333" s="61"/>
    </row>
    <row r="334" spans="1:73" x14ac:dyDescent="0.35">
      <c r="A334" s="7" t="s">
        <v>1379</v>
      </c>
      <c r="B334" s="7" t="s">
        <v>1382</v>
      </c>
      <c r="C334" s="17" t="s">
        <v>403</v>
      </c>
      <c r="D334" s="5" t="s">
        <v>404</v>
      </c>
      <c r="E334" s="5" t="s">
        <v>405</v>
      </c>
      <c r="F334" s="59">
        <v>385.1148</v>
      </c>
      <c r="G334" s="5" t="s">
        <v>406</v>
      </c>
      <c r="H334" s="18">
        <v>66.191599999999994</v>
      </c>
      <c r="I334" s="19" t="s">
        <v>27</v>
      </c>
      <c r="J334" s="18">
        <v>-0.15159999999998774</v>
      </c>
      <c r="K334" s="5" t="s">
        <v>97</v>
      </c>
      <c r="L334" s="101" t="s">
        <v>98</v>
      </c>
      <c r="M334" s="59">
        <v>-1.78</v>
      </c>
      <c r="N334" s="59">
        <v>19.629692000000002</v>
      </c>
      <c r="O334" s="59">
        <v>0.18214400000000097</v>
      </c>
      <c r="AG334" s="107"/>
      <c r="AN334" s="115"/>
      <c r="BU334" s="61"/>
    </row>
    <row r="335" spans="1:73" x14ac:dyDescent="0.35">
      <c r="A335" s="7" t="s">
        <v>1379</v>
      </c>
      <c r="B335" s="7" t="s">
        <v>1382</v>
      </c>
      <c r="C335" s="17" t="s">
        <v>403</v>
      </c>
      <c r="D335" s="5" t="s">
        <v>404</v>
      </c>
      <c r="E335" s="5" t="s">
        <v>405</v>
      </c>
      <c r="F335" s="59">
        <v>385.2672</v>
      </c>
      <c r="G335" s="5" t="s">
        <v>406</v>
      </c>
      <c r="H335" s="18">
        <v>66.2149</v>
      </c>
      <c r="I335" s="19" t="s">
        <v>27</v>
      </c>
      <c r="J335" s="18">
        <v>-0.17489999999999384</v>
      </c>
      <c r="K335" s="5" t="s">
        <v>97</v>
      </c>
      <c r="L335" s="101" t="s">
        <v>98</v>
      </c>
      <c r="M335" s="59">
        <v>-1.89</v>
      </c>
      <c r="N335" s="59">
        <v>20.131083</v>
      </c>
      <c r="O335" s="59">
        <v>0.68353499999999912</v>
      </c>
      <c r="AG335" s="107"/>
      <c r="AN335" s="115"/>
      <c r="BU335" s="61"/>
    </row>
    <row r="336" spans="1:73" x14ac:dyDescent="0.35">
      <c r="A336" s="7" t="s">
        <v>1379</v>
      </c>
      <c r="B336" s="7" t="s">
        <v>1382</v>
      </c>
      <c r="C336" s="17" t="s">
        <v>403</v>
      </c>
      <c r="D336" s="5" t="s">
        <v>404</v>
      </c>
      <c r="E336" s="5" t="s">
        <v>405</v>
      </c>
      <c r="F336" s="59">
        <v>385.60248000000001</v>
      </c>
      <c r="G336" s="5" t="s">
        <v>406</v>
      </c>
      <c r="H336" s="18">
        <v>66.266199999999998</v>
      </c>
      <c r="I336" s="19" t="s">
        <v>27</v>
      </c>
      <c r="J336" s="18">
        <v>-0.22619999999999152</v>
      </c>
      <c r="K336" s="5" t="s">
        <v>97</v>
      </c>
      <c r="L336" s="101" t="s">
        <v>98</v>
      </c>
      <c r="M336" s="59">
        <v>-1.91</v>
      </c>
      <c r="N336" s="59">
        <v>20.222322999999999</v>
      </c>
      <c r="O336" s="59">
        <v>0.77477499999999822</v>
      </c>
      <c r="AG336" s="107"/>
      <c r="AN336" s="115"/>
      <c r="BU336" s="61"/>
    </row>
    <row r="337" spans="1:73" x14ac:dyDescent="0.35">
      <c r="A337" s="7" t="s">
        <v>1379</v>
      </c>
      <c r="B337" s="7" t="s">
        <v>1382</v>
      </c>
      <c r="C337" s="17" t="s">
        <v>403</v>
      </c>
      <c r="D337" s="5" t="s">
        <v>404</v>
      </c>
      <c r="E337" s="5" t="s">
        <v>405</v>
      </c>
      <c r="F337" s="59">
        <v>385.8768</v>
      </c>
      <c r="G337" s="5" t="s">
        <v>406</v>
      </c>
      <c r="H337" s="18">
        <v>66.308134715025901</v>
      </c>
      <c r="I337" s="19" t="s">
        <v>27</v>
      </c>
      <c r="J337" s="18">
        <v>-0.26813471502589437</v>
      </c>
      <c r="K337" s="5" t="s">
        <v>97</v>
      </c>
      <c r="L337" s="101" t="s">
        <v>98</v>
      </c>
      <c r="M337" s="59">
        <v>-1.65</v>
      </c>
      <c r="N337" s="59">
        <v>19.038074999999999</v>
      </c>
      <c r="O337" s="59">
        <v>-0.40947300000000197</v>
      </c>
      <c r="AG337" s="107"/>
      <c r="AN337" s="115"/>
      <c r="BU337" s="61"/>
    </row>
    <row r="338" spans="1:73" x14ac:dyDescent="0.35">
      <c r="A338" s="7" t="s">
        <v>1379</v>
      </c>
      <c r="B338" s="7" t="s">
        <v>1382</v>
      </c>
      <c r="C338" s="17" t="s">
        <v>403</v>
      </c>
      <c r="D338" s="5" t="s">
        <v>404</v>
      </c>
      <c r="E338" s="5" t="s">
        <v>405</v>
      </c>
      <c r="F338" s="59">
        <v>386.1816</v>
      </c>
      <c r="G338" s="5" t="s">
        <v>406</v>
      </c>
      <c r="H338" s="18">
        <v>66.354766839378229</v>
      </c>
      <c r="I338" s="19" t="s">
        <v>27</v>
      </c>
      <c r="J338" s="18">
        <v>-0.31476683937822258</v>
      </c>
      <c r="K338" s="5" t="s">
        <v>97</v>
      </c>
      <c r="L338" s="101" t="s">
        <v>98</v>
      </c>
      <c r="M338" s="59">
        <v>-1.75</v>
      </c>
      <c r="N338" s="59">
        <v>19.493075000000001</v>
      </c>
      <c r="O338" s="59">
        <v>4.5526999999999873E-2</v>
      </c>
      <c r="AG338" s="107"/>
      <c r="AN338" s="115"/>
      <c r="BU338" s="61"/>
    </row>
    <row r="339" spans="1:73" x14ac:dyDescent="0.35">
      <c r="A339" s="7" t="s">
        <v>1379</v>
      </c>
      <c r="B339" s="7" t="s">
        <v>1382</v>
      </c>
      <c r="C339" s="17" t="s">
        <v>403</v>
      </c>
      <c r="D339" s="5" t="s">
        <v>404</v>
      </c>
      <c r="E339" s="5" t="s">
        <v>405</v>
      </c>
      <c r="F339" s="59">
        <v>386.4864</v>
      </c>
      <c r="G339" s="5" t="s">
        <v>406</v>
      </c>
      <c r="H339" s="18">
        <v>66.401398963730557</v>
      </c>
      <c r="I339" s="19" t="s">
        <v>27</v>
      </c>
      <c r="J339" s="18">
        <v>-0.3613989637305508</v>
      </c>
      <c r="K339" s="5" t="s">
        <v>97</v>
      </c>
      <c r="L339" s="101" t="s">
        <v>98</v>
      </c>
      <c r="M339" s="59">
        <v>-1.79</v>
      </c>
      <c r="N339" s="59">
        <v>19.675242999999998</v>
      </c>
      <c r="O339" s="59">
        <v>0.22769499999999709</v>
      </c>
      <c r="AG339" s="107"/>
      <c r="AN339" s="115"/>
      <c r="BU339" s="61"/>
    </row>
    <row r="340" spans="1:73" x14ac:dyDescent="0.35">
      <c r="A340" s="7" t="s">
        <v>1379</v>
      </c>
      <c r="B340" s="7" t="s">
        <v>1382</v>
      </c>
      <c r="C340" s="17" t="s">
        <v>403</v>
      </c>
      <c r="D340" s="5" t="s">
        <v>404</v>
      </c>
      <c r="E340" s="5" t="s">
        <v>405</v>
      </c>
      <c r="F340" s="59">
        <v>386.7912</v>
      </c>
      <c r="G340" s="5" t="s">
        <v>406</v>
      </c>
      <c r="H340" s="18">
        <v>66.448031088082899</v>
      </c>
      <c r="I340" s="19" t="s">
        <v>27</v>
      </c>
      <c r="J340" s="18">
        <v>-0.40803108808289323</v>
      </c>
      <c r="K340" s="5" t="s">
        <v>97</v>
      </c>
      <c r="L340" s="101" t="s">
        <v>98</v>
      </c>
      <c r="M340" s="59">
        <v>-1.48</v>
      </c>
      <c r="N340" s="59">
        <v>18.265951999999999</v>
      </c>
      <c r="O340" s="59">
        <v>-1.1815960000000025</v>
      </c>
      <c r="AG340" s="107"/>
      <c r="AN340" s="115"/>
      <c r="BU340" s="61"/>
    </row>
    <row r="341" spans="1:73" x14ac:dyDescent="0.35">
      <c r="A341" s="7" t="s">
        <v>1379</v>
      </c>
      <c r="B341" s="7" t="s">
        <v>1382</v>
      </c>
      <c r="C341" s="17" t="s">
        <v>403</v>
      </c>
      <c r="D341" s="5" t="s">
        <v>404</v>
      </c>
      <c r="E341" s="5" t="s">
        <v>405</v>
      </c>
      <c r="F341" s="59">
        <v>387.4008</v>
      </c>
      <c r="G341" s="5" t="s">
        <v>406</v>
      </c>
      <c r="H341" s="18">
        <v>66.558015267175563</v>
      </c>
      <c r="I341" s="19" t="s">
        <v>27</v>
      </c>
      <c r="J341" s="18">
        <v>-0.51801526717555646</v>
      </c>
      <c r="K341" s="5" t="s">
        <v>97</v>
      </c>
      <c r="L341" s="101" t="s">
        <v>98</v>
      </c>
      <c r="M341" s="59">
        <v>-1.65</v>
      </c>
      <c r="N341" s="59">
        <v>19.038074999999999</v>
      </c>
      <c r="O341" s="59">
        <v>-0.40947300000000197</v>
      </c>
      <c r="AG341" s="107"/>
      <c r="AN341" s="115"/>
      <c r="BU341" s="61"/>
    </row>
    <row r="342" spans="1:73" x14ac:dyDescent="0.35">
      <c r="A342" s="7" t="s">
        <v>1379</v>
      </c>
      <c r="B342" s="7" t="s">
        <v>1382</v>
      </c>
      <c r="C342" s="17" t="s">
        <v>403</v>
      </c>
      <c r="D342" s="5" t="s">
        <v>404</v>
      </c>
      <c r="E342" s="5" t="s">
        <v>405</v>
      </c>
      <c r="F342" s="59">
        <v>384.21564000000001</v>
      </c>
      <c r="G342" s="5" t="s">
        <v>406</v>
      </c>
      <c r="H342" s="18">
        <v>66.053989637305705</v>
      </c>
      <c r="I342" s="19" t="s">
        <v>27</v>
      </c>
      <c r="J342" s="18">
        <v>-1.3989637305698466E-2</v>
      </c>
      <c r="K342" s="5" t="s">
        <v>97</v>
      </c>
      <c r="L342" s="101" t="s">
        <v>407</v>
      </c>
      <c r="M342" s="59">
        <v>-1.83</v>
      </c>
      <c r="N342" s="59">
        <v>19.857507000000002</v>
      </c>
      <c r="O342" s="59">
        <v>0</v>
      </c>
      <c r="AG342" s="107"/>
      <c r="AN342" s="115"/>
      <c r="BU342" s="61"/>
    </row>
    <row r="343" spans="1:73" x14ac:dyDescent="0.35">
      <c r="A343" s="7" t="s">
        <v>1379</v>
      </c>
      <c r="B343" s="7" t="s">
        <v>1382</v>
      </c>
      <c r="C343" s="17" t="s">
        <v>403</v>
      </c>
      <c r="D343" s="5" t="s">
        <v>404</v>
      </c>
      <c r="E343" s="5" t="s">
        <v>405</v>
      </c>
      <c r="F343" s="59">
        <v>384.23697599999997</v>
      </c>
      <c r="G343" s="5" t="s">
        <v>406</v>
      </c>
      <c r="H343" s="18">
        <v>66.057299999999998</v>
      </c>
      <c r="I343" s="19" t="s">
        <v>27</v>
      </c>
      <c r="J343" s="18">
        <v>-1.7299999999991655E-2</v>
      </c>
      <c r="K343" s="5" t="s">
        <v>97</v>
      </c>
      <c r="L343" s="101" t="s">
        <v>407</v>
      </c>
      <c r="M343" s="59">
        <v>-2.11</v>
      </c>
      <c r="N343" s="59">
        <v>21.136043000000001</v>
      </c>
      <c r="O343" s="59">
        <v>1.278535999999999</v>
      </c>
      <c r="AG343" s="107"/>
      <c r="AN343" s="115"/>
      <c r="BU343" s="61"/>
    </row>
    <row r="344" spans="1:73" x14ac:dyDescent="0.35">
      <c r="A344" s="7" t="s">
        <v>1379</v>
      </c>
      <c r="B344" s="7" t="s">
        <v>1382</v>
      </c>
      <c r="C344" s="17" t="s">
        <v>403</v>
      </c>
      <c r="D344" s="5" t="s">
        <v>404</v>
      </c>
      <c r="E344" s="5" t="s">
        <v>405</v>
      </c>
      <c r="F344" s="59">
        <v>384.25526400000001</v>
      </c>
      <c r="G344" s="5" t="s">
        <v>406</v>
      </c>
      <c r="H344" s="18">
        <v>66.060100000000006</v>
      </c>
      <c r="I344" s="19" t="s">
        <v>27</v>
      </c>
      <c r="J344" s="18">
        <v>-2.0099999999999341E-2</v>
      </c>
      <c r="K344" s="5" t="s">
        <v>97</v>
      </c>
      <c r="L344" s="101" t="s">
        <v>407</v>
      </c>
      <c r="M344" s="59">
        <v>-2.2999999999999998</v>
      </c>
      <c r="N344" s="59">
        <v>22.0063</v>
      </c>
      <c r="O344" s="59">
        <v>2.1487929999999977</v>
      </c>
      <c r="AG344" s="107"/>
      <c r="AN344" s="115"/>
      <c r="BU344" s="61"/>
    </row>
    <row r="345" spans="1:73" x14ac:dyDescent="0.35">
      <c r="A345" s="7" t="s">
        <v>1379</v>
      </c>
      <c r="B345" s="7" t="s">
        <v>1382</v>
      </c>
      <c r="C345" s="17" t="s">
        <v>403</v>
      </c>
      <c r="D345" s="5" t="s">
        <v>404</v>
      </c>
      <c r="E345" s="5" t="s">
        <v>405</v>
      </c>
      <c r="F345" s="59">
        <v>384.28574400000002</v>
      </c>
      <c r="G345" s="5" t="s">
        <v>406</v>
      </c>
      <c r="H345" s="18">
        <v>66.064700000000002</v>
      </c>
      <c r="I345" s="19" t="s">
        <v>27</v>
      </c>
      <c r="J345" s="18">
        <v>-2.4699999999995725E-2</v>
      </c>
      <c r="K345" s="5" t="s">
        <v>97</v>
      </c>
      <c r="L345" s="101" t="s">
        <v>407</v>
      </c>
      <c r="M345" s="59">
        <v>-2.23</v>
      </c>
      <c r="N345" s="59">
        <v>21.685427000000001</v>
      </c>
      <c r="O345" s="59">
        <v>1.8279199999999989</v>
      </c>
      <c r="AG345" s="107"/>
      <c r="AN345" s="115"/>
      <c r="BU345" s="61"/>
    </row>
    <row r="346" spans="1:73" x14ac:dyDescent="0.35">
      <c r="A346" s="7" t="s">
        <v>1379</v>
      </c>
      <c r="B346" s="7" t="s">
        <v>1382</v>
      </c>
      <c r="C346" s="17" t="s">
        <v>403</v>
      </c>
      <c r="D346" s="5" t="s">
        <v>404</v>
      </c>
      <c r="E346" s="5" t="s">
        <v>405</v>
      </c>
      <c r="F346" s="59">
        <v>384.30707999999998</v>
      </c>
      <c r="G346" s="5" t="s">
        <v>406</v>
      </c>
      <c r="H346" s="18">
        <v>66.067999999999998</v>
      </c>
      <c r="I346" s="19" t="s">
        <v>27</v>
      </c>
      <c r="J346" s="18">
        <v>-2.7999999999991587E-2</v>
      </c>
      <c r="K346" s="5" t="s">
        <v>97</v>
      </c>
      <c r="L346" s="101" t="s">
        <v>407</v>
      </c>
      <c r="M346" s="59">
        <v>-1.99</v>
      </c>
      <c r="N346" s="59">
        <v>20.587523000000001</v>
      </c>
      <c r="O346" s="59">
        <v>0.73001599999999911</v>
      </c>
      <c r="AG346" s="107"/>
      <c r="AN346" s="115"/>
      <c r="BU346" s="61"/>
    </row>
    <row r="347" spans="1:73" x14ac:dyDescent="0.35">
      <c r="A347" s="7" t="s">
        <v>1379</v>
      </c>
      <c r="B347" s="7" t="s">
        <v>1382</v>
      </c>
      <c r="C347" s="17" t="s">
        <v>403</v>
      </c>
      <c r="D347" s="5" t="s">
        <v>404</v>
      </c>
      <c r="E347" s="5" t="s">
        <v>405</v>
      </c>
      <c r="F347" s="59">
        <v>384.32232000000005</v>
      </c>
      <c r="G347" s="5" t="s">
        <v>406</v>
      </c>
      <c r="H347" s="18">
        <v>66.070300000000003</v>
      </c>
      <c r="I347" s="19" t="s">
        <v>27</v>
      </c>
      <c r="J347" s="18">
        <v>-3.0299999999996885E-2</v>
      </c>
      <c r="K347" s="5" t="s">
        <v>97</v>
      </c>
      <c r="L347" s="101" t="s">
        <v>407</v>
      </c>
      <c r="M347" s="59">
        <v>-2.16</v>
      </c>
      <c r="N347" s="59">
        <v>21.364848000000002</v>
      </c>
      <c r="O347" s="59">
        <v>1.5073410000000003</v>
      </c>
      <c r="AG347" s="107"/>
      <c r="AN347" s="115"/>
      <c r="BU347" s="61"/>
    </row>
    <row r="348" spans="1:73" x14ac:dyDescent="0.35">
      <c r="A348" s="7" t="s">
        <v>1379</v>
      </c>
      <c r="B348" s="7" t="s">
        <v>1382</v>
      </c>
      <c r="C348" s="17" t="s">
        <v>403</v>
      </c>
      <c r="D348" s="5" t="s">
        <v>404</v>
      </c>
      <c r="E348" s="5" t="s">
        <v>405</v>
      </c>
      <c r="F348" s="59">
        <v>384.32536800000003</v>
      </c>
      <c r="G348" s="5" t="s">
        <v>406</v>
      </c>
      <c r="H348" s="18">
        <v>66.070800000000006</v>
      </c>
      <c r="I348" s="19" t="s">
        <v>27</v>
      </c>
      <c r="J348" s="18">
        <v>-3.0799999999999272E-2</v>
      </c>
      <c r="K348" s="5" t="s">
        <v>97</v>
      </c>
      <c r="L348" s="101" t="s">
        <v>407</v>
      </c>
      <c r="M348" s="59">
        <v>-2.06</v>
      </c>
      <c r="N348" s="59">
        <v>20.907388000000001</v>
      </c>
      <c r="O348" s="59">
        <v>1.0498809999999992</v>
      </c>
      <c r="AG348" s="107"/>
      <c r="AN348" s="115"/>
      <c r="BU348" s="61"/>
    </row>
    <row r="349" spans="1:73" x14ac:dyDescent="0.35">
      <c r="A349" s="7" t="s">
        <v>1379</v>
      </c>
      <c r="B349" s="7" t="s">
        <v>1382</v>
      </c>
      <c r="C349" s="17" t="s">
        <v>403</v>
      </c>
      <c r="D349" s="5" t="s">
        <v>404</v>
      </c>
      <c r="E349" s="5" t="s">
        <v>405</v>
      </c>
      <c r="F349" s="59">
        <v>384.3528</v>
      </c>
      <c r="G349" s="5" t="s">
        <v>406</v>
      </c>
      <c r="H349" s="18">
        <v>66.075000000000003</v>
      </c>
      <c r="I349" s="19" t="s">
        <v>27</v>
      </c>
      <c r="J349" s="18">
        <v>-3.4999999999996589E-2</v>
      </c>
      <c r="K349" s="5" t="s">
        <v>97</v>
      </c>
      <c r="L349" s="101" t="s">
        <v>407</v>
      </c>
      <c r="M349" s="59">
        <v>-2.16</v>
      </c>
      <c r="N349" s="59">
        <v>21.364848000000002</v>
      </c>
      <c r="O349" s="59">
        <v>1.5073410000000003</v>
      </c>
      <c r="AG349" s="107"/>
      <c r="AN349" s="115"/>
      <c r="BU349" s="61"/>
    </row>
    <row r="350" spans="1:73" x14ac:dyDescent="0.35">
      <c r="A350" s="7" t="s">
        <v>1379</v>
      </c>
      <c r="B350" s="7" t="s">
        <v>1382</v>
      </c>
      <c r="C350" s="17" t="s">
        <v>403</v>
      </c>
      <c r="D350" s="5" t="s">
        <v>404</v>
      </c>
      <c r="E350" s="5" t="s">
        <v>405</v>
      </c>
      <c r="F350" s="59">
        <v>384.5052</v>
      </c>
      <c r="G350" s="5" t="s">
        <v>406</v>
      </c>
      <c r="H350" s="18">
        <v>66.098299999999995</v>
      </c>
      <c r="I350" s="19" t="s">
        <v>27</v>
      </c>
      <c r="J350" s="18">
        <v>-5.8299999999988472E-2</v>
      </c>
      <c r="K350" s="5" t="s">
        <v>97</v>
      </c>
      <c r="L350" s="101" t="s">
        <v>407</v>
      </c>
      <c r="M350" s="59">
        <v>-2.76</v>
      </c>
      <c r="N350" s="59">
        <v>24.122208000000001</v>
      </c>
      <c r="O350" s="59">
        <v>4.2647009999999987</v>
      </c>
      <c r="AG350" s="107"/>
      <c r="AN350" s="115"/>
      <c r="BU350" s="61"/>
    </row>
    <row r="351" spans="1:73" x14ac:dyDescent="0.35">
      <c r="A351" s="7" t="s">
        <v>1379</v>
      </c>
      <c r="B351" s="7" t="s">
        <v>1382</v>
      </c>
      <c r="C351" s="17" t="s">
        <v>403</v>
      </c>
      <c r="D351" s="5" t="s">
        <v>404</v>
      </c>
      <c r="E351" s="5" t="s">
        <v>405</v>
      </c>
      <c r="F351" s="59">
        <v>384.60273599999999</v>
      </c>
      <c r="G351" s="5" t="s">
        <v>406</v>
      </c>
      <c r="H351" s="18">
        <v>66.113200000000006</v>
      </c>
      <c r="I351" s="19" t="s">
        <v>27</v>
      </c>
      <c r="J351" s="18">
        <v>-7.3199999999999932E-2</v>
      </c>
      <c r="K351" s="5" t="s">
        <v>97</v>
      </c>
      <c r="L351" s="101" t="s">
        <v>407</v>
      </c>
      <c r="M351" s="59">
        <v>-2.65</v>
      </c>
      <c r="N351" s="59">
        <v>23.615075000000001</v>
      </c>
      <c r="O351" s="59">
        <v>3.7575679999999991</v>
      </c>
      <c r="AG351" s="107"/>
      <c r="AN351" s="115"/>
      <c r="BU351" s="61"/>
    </row>
    <row r="352" spans="1:73" x14ac:dyDescent="0.35">
      <c r="A352" s="7" t="s">
        <v>1379</v>
      </c>
      <c r="B352" s="7" t="s">
        <v>1382</v>
      </c>
      <c r="C352" s="17" t="s">
        <v>403</v>
      </c>
      <c r="D352" s="5" t="s">
        <v>404</v>
      </c>
      <c r="E352" s="5" t="s">
        <v>405</v>
      </c>
      <c r="F352" s="59">
        <v>384.6576</v>
      </c>
      <c r="G352" s="5" t="s">
        <v>406</v>
      </c>
      <c r="H352" s="18">
        <v>66.121600000000001</v>
      </c>
      <c r="I352" s="19" t="s">
        <v>27</v>
      </c>
      <c r="J352" s="18">
        <v>-8.1599999999994566E-2</v>
      </c>
      <c r="K352" s="5" t="s">
        <v>97</v>
      </c>
      <c r="L352" s="101" t="s">
        <v>407</v>
      </c>
      <c r="M352" s="59">
        <v>-3.22</v>
      </c>
      <c r="N352" s="59">
        <v>26.250812000000003</v>
      </c>
      <c r="O352" s="59">
        <v>6.3933050000000016</v>
      </c>
      <c r="AG352" s="107"/>
      <c r="AN352" s="115"/>
      <c r="BU352" s="61"/>
    </row>
    <row r="353" spans="1:73" x14ac:dyDescent="0.35">
      <c r="A353" s="7" t="s">
        <v>1379</v>
      </c>
      <c r="B353" s="7" t="s">
        <v>1382</v>
      </c>
      <c r="C353" s="17" t="s">
        <v>403</v>
      </c>
      <c r="D353" s="5" t="s">
        <v>404</v>
      </c>
      <c r="E353" s="5" t="s">
        <v>405</v>
      </c>
      <c r="F353" s="59">
        <v>384.6576</v>
      </c>
      <c r="G353" s="5" t="s">
        <v>406</v>
      </c>
      <c r="H353" s="18">
        <v>66.121600000000001</v>
      </c>
      <c r="I353" s="19" t="s">
        <v>27</v>
      </c>
      <c r="J353" s="18">
        <v>-8.1599999999994566E-2</v>
      </c>
      <c r="K353" s="5" t="s">
        <v>97</v>
      </c>
      <c r="L353" s="101" t="s">
        <v>407</v>
      </c>
      <c r="M353" s="59">
        <v>-3.22</v>
      </c>
      <c r="N353" s="59">
        <v>26.250812000000003</v>
      </c>
      <c r="O353" s="59">
        <v>6.3933050000000016</v>
      </c>
      <c r="AG353" s="107"/>
      <c r="AN353" s="115"/>
      <c r="BU353" s="61"/>
    </row>
    <row r="354" spans="1:73" x14ac:dyDescent="0.35">
      <c r="A354" s="7" t="s">
        <v>1379</v>
      </c>
      <c r="B354" s="7" t="s">
        <v>1382</v>
      </c>
      <c r="C354" s="17" t="s">
        <v>403</v>
      </c>
      <c r="D354" s="5" t="s">
        <v>404</v>
      </c>
      <c r="E354" s="5" t="s">
        <v>405</v>
      </c>
      <c r="F354" s="59">
        <v>384.81</v>
      </c>
      <c r="G354" s="5" t="s">
        <v>406</v>
      </c>
      <c r="H354" s="18">
        <v>66.144900000000007</v>
      </c>
      <c r="I354" s="19" t="s">
        <v>27</v>
      </c>
      <c r="J354" s="18">
        <v>-0.10490000000000066</v>
      </c>
      <c r="K354" s="5" t="s">
        <v>97</v>
      </c>
      <c r="L354" s="101" t="s">
        <v>407</v>
      </c>
      <c r="M354" s="59">
        <v>-3.02</v>
      </c>
      <c r="N354" s="59">
        <v>25.323772000000002</v>
      </c>
      <c r="O354" s="59">
        <v>5.4662649999999999</v>
      </c>
      <c r="AG354" s="107"/>
      <c r="AN354" s="115"/>
      <c r="BU354" s="61"/>
    </row>
    <row r="355" spans="1:73" x14ac:dyDescent="0.35">
      <c r="A355" s="7" t="s">
        <v>1379</v>
      </c>
      <c r="B355" s="7" t="s">
        <v>1382</v>
      </c>
      <c r="C355" s="17" t="s">
        <v>403</v>
      </c>
      <c r="D355" s="5" t="s">
        <v>404</v>
      </c>
      <c r="E355" s="5" t="s">
        <v>405</v>
      </c>
      <c r="F355" s="59">
        <v>384.81</v>
      </c>
      <c r="G355" s="5" t="s">
        <v>406</v>
      </c>
      <c r="H355" s="18">
        <v>66.144900000000007</v>
      </c>
      <c r="I355" s="19" t="s">
        <v>27</v>
      </c>
      <c r="J355" s="18">
        <v>-0.10490000000000066</v>
      </c>
      <c r="K355" s="5" t="s">
        <v>97</v>
      </c>
      <c r="L355" s="101" t="s">
        <v>407</v>
      </c>
      <c r="M355" s="59">
        <v>-3.02</v>
      </c>
      <c r="N355" s="59">
        <v>25.323772000000002</v>
      </c>
      <c r="O355" s="59">
        <v>5.4662649999999999</v>
      </c>
      <c r="AG355" s="107"/>
      <c r="AN355" s="115"/>
      <c r="BU355" s="61"/>
    </row>
    <row r="356" spans="1:73" x14ac:dyDescent="0.35">
      <c r="A356" s="7" t="s">
        <v>1379</v>
      </c>
      <c r="B356" s="7" t="s">
        <v>1382</v>
      </c>
      <c r="C356" s="17" t="s">
        <v>403</v>
      </c>
      <c r="D356" s="5" t="s">
        <v>404</v>
      </c>
      <c r="E356" s="5" t="s">
        <v>405</v>
      </c>
      <c r="F356" s="59">
        <v>384.9624</v>
      </c>
      <c r="G356" s="5" t="s">
        <v>406</v>
      </c>
      <c r="H356" s="18">
        <v>66.168199999999999</v>
      </c>
      <c r="I356" s="19" t="s">
        <v>27</v>
      </c>
      <c r="J356" s="18">
        <v>-0.12819999999999254</v>
      </c>
      <c r="K356" s="5" t="s">
        <v>97</v>
      </c>
      <c r="L356" s="101" t="s">
        <v>407</v>
      </c>
      <c r="M356" s="59">
        <v>-2.88</v>
      </c>
      <c r="N356" s="59">
        <v>24.676272000000001</v>
      </c>
      <c r="O356" s="59">
        <v>4.8187649999999991</v>
      </c>
      <c r="AG356" s="107"/>
      <c r="AN356" s="115"/>
      <c r="BU356" s="61"/>
    </row>
    <row r="357" spans="1:73" x14ac:dyDescent="0.35">
      <c r="A357" s="7" t="s">
        <v>1379</v>
      </c>
      <c r="B357" s="7" t="s">
        <v>1382</v>
      </c>
      <c r="C357" s="17" t="s">
        <v>403</v>
      </c>
      <c r="D357" s="5" t="s">
        <v>404</v>
      </c>
      <c r="E357" s="5" t="s">
        <v>405</v>
      </c>
      <c r="F357" s="59">
        <v>384.9624</v>
      </c>
      <c r="G357" s="5" t="s">
        <v>406</v>
      </c>
      <c r="H357" s="18">
        <v>66.168199999999999</v>
      </c>
      <c r="I357" s="19" t="s">
        <v>27</v>
      </c>
      <c r="J357" s="18">
        <v>-0.12819999999999254</v>
      </c>
      <c r="K357" s="5" t="s">
        <v>97</v>
      </c>
      <c r="L357" s="101" t="s">
        <v>407</v>
      </c>
      <c r="M357" s="59">
        <v>-2.88</v>
      </c>
      <c r="N357" s="59">
        <v>24.676272000000001</v>
      </c>
      <c r="O357" s="59">
        <v>4.8187649999999991</v>
      </c>
      <c r="AG357" s="107"/>
      <c r="AN357" s="115"/>
      <c r="BU357" s="61"/>
    </row>
    <row r="358" spans="1:73" x14ac:dyDescent="0.35">
      <c r="A358" s="7" t="s">
        <v>1379</v>
      </c>
      <c r="B358" s="7" t="s">
        <v>1382</v>
      </c>
      <c r="C358" s="17" t="s">
        <v>403</v>
      </c>
      <c r="D358" s="5" t="s">
        <v>404</v>
      </c>
      <c r="E358" s="5" t="s">
        <v>405</v>
      </c>
      <c r="F358" s="59">
        <v>385.1148</v>
      </c>
      <c r="G358" s="5" t="s">
        <v>406</v>
      </c>
      <c r="H358" s="18">
        <v>66.191599999999994</v>
      </c>
      <c r="I358" s="19" t="s">
        <v>27</v>
      </c>
      <c r="J358" s="18">
        <v>-0.15159999999998774</v>
      </c>
      <c r="K358" s="5" t="s">
        <v>97</v>
      </c>
      <c r="L358" s="101" t="s">
        <v>407</v>
      </c>
      <c r="M358" s="59">
        <v>-2.9</v>
      </c>
      <c r="N358" s="59">
        <v>24.768700000000003</v>
      </c>
      <c r="O358" s="59">
        <v>4.9111930000000008</v>
      </c>
      <c r="AG358" s="107"/>
      <c r="AN358" s="115"/>
      <c r="BU358" s="61"/>
    </row>
    <row r="359" spans="1:73" x14ac:dyDescent="0.35">
      <c r="A359" s="7" t="s">
        <v>1379</v>
      </c>
      <c r="B359" s="7" t="s">
        <v>1382</v>
      </c>
      <c r="C359" s="17" t="s">
        <v>403</v>
      </c>
      <c r="D359" s="5" t="s">
        <v>404</v>
      </c>
      <c r="E359" s="5" t="s">
        <v>405</v>
      </c>
      <c r="F359" s="59">
        <v>385.1148</v>
      </c>
      <c r="G359" s="5" t="s">
        <v>406</v>
      </c>
      <c r="H359" s="18">
        <v>66.191599999999994</v>
      </c>
      <c r="I359" s="19" t="s">
        <v>27</v>
      </c>
      <c r="J359" s="18">
        <v>-0.15159999999998774</v>
      </c>
      <c r="K359" s="5" t="s">
        <v>97</v>
      </c>
      <c r="L359" s="101" t="s">
        <v>407</v>
      </c>
      <c r="M359" s="59">
        <v>-2.9</v>
      </c>
      <c r="N359" s="59">
        <v>24.768700000000003</v>
      </c>
      <c r="O359" s="59">
        <v>4.9111930000000008</v>
      </c>
      <c r="AG359" s="107"/>
      <c r="AN359" s="115"/>
      <c r="BU359" s="61"/>
    </row>
    <row r="360" spans="1:73" x14ac:dyDescent="0.35">
      <c r="A360" s="7" t="s">
        <v>1379</v>
      </c>
      <c r="B360" s="7" t="s">
        <v>1382</v>
      </c>
      <c r="C360" s="17" t="s">
        <v>403</v>
      </c>
      <c r="D360" s="5" t="s">
        <v>404</v>
      </c>
      <c r="E360" s="5" t="s">
        <v>405</v>
      </c>
      <c r="F360" s="59">
        <v>385.2672</v>
      </c>
      <c r="G360" s="5" t="s">
        <v>406</v>
      </c>
      <c r="H360" s="18">
        <v>66.2149</v>
      </c>
      <c r="I360" s="19" t="s">
        <v>27</v>
      </c>
      <c r="J360" s="18">
        <v>-0.17489999999999384</v>
      </c>
      <c r="K360" s="5" t="s">
        <v>97</v>
      </c>
      <c r="L360" s="101" t="s">
        <v>407</v>
      </c>
      <c r="M360" s="59">
        <v>-2.87</v>
      </c>
      <c r="N360" s="59">
        <v>24.630067</v>
      </c>
      <c r="O360" s="59">
        <v>4.7725599999999986</v>
      </c>
      <c r="AG360" s="107"/>
      <c r="AN360" s="115"/>
      <c r="BU360" s="61"/>
    </row>
    <row r="361" spans="1:73" x14ac:dyDescent="0.35">
      <c r="A361" s="7" t="s">
        <v>1379</v>
      </c>
      <c r="B361" s="7" t="s">
        <v>1382</v>
      </c>
      <c r="C361" s="17" t="s">
        <v>403</v>
      </c>
      <c r="D361" s="5" t="s">
        <v>404</v>
      </c>
      <c r="E361" s="5" t="s">
        <v>405</v>
      </c>
      <c r="F361" s="59">
        <v>385.2672</v>
      </c>
      <c r="G361" s="5" t="s">
        <v>406</v>
      </c>
      <c r="H361" s="18">
        <v>66.2149</v>
      </c>
      <c r="I361" s="19" t="s">
        <v>27</v>
      </c>
      <c r="J361" s="18">
        <v>-0.17489999999999384</v>
      </c>
      <c r="K361" s="5" t="s">
        <v>97</v>
      </c>
      <c r="L361" s="101" t="s">
        <v>407</v>
      </c>
      <c r="M361" s="59">
        <v>-2.87</v>
      </c>
      <c r="N361" s="59">
        <v>24.630067</v>
      </c>
      <c r="O361" s="59">
        <v>4.7725599999999986</v>
      </c>
      <c r="AG361" s="107"/>
      <c r="AN361" s="115"/>
      <c r="BU361" s="61"/>
    </row>
    <row r="362" spans="1:73" x14ac:dyDescent="0.35">
      <c r="A362" s="7" t="s">
        <v>1379</v>
      </c>
      <c r="B362" s="7" t="s">
        <v>1382</v>
      </c>
      <c r="C362" s="17" t="s">
        <v>403</v>
      </c>
      <c r="D362" s="5" t="s">
        <v>404</v>
      </c>
      <c r="E362" s="5" t="s">
        <v>405</v>
      </c>
      <c r="F362" s="59">
        <v>385.60248000000001</v>
      </c>
      <c r="G362" s="5" t="s">
        <v>406</v>
      </c>
      <c r="H362" s="18">
        <v>66.266199999999998</v>
      </c>
      <c r="I362" s="19" t="s">
        <v>27</v>
      </c>
      <c r="J362" s="18">
        <v>-0.22619999999999152</v>
      </c>
      <c r="K362" s="5" t="s">
        <v>97</v>
      </c>
      <c r="L362" s="101" t="s">
        <v>407</v>
      </c>
      <c r="M362" s="59">
        <v>-2.89</v>
      </c>
      <c r="N362" s="59">
        <v>24.722483</v>
      </c>
      <c r="O362" s="59">
        <v>4.8649759999999986</v>
      </c>
      <c r="AG362" s="107"/>
      <c r="AN362" s="115"/>
      <c r="BU362" s="61"/>
    </row>
    <row r="363" spans="1:73" x14ac:dyDescent="0.35">
      <c r="A363" s="7" t="s">
        <v>1379</v>
      </c>
      <c r="B363" s="7" t="s">
        <v>1382</v>
      </c>
      <c r="C363" s="17" t="s">
        <v>403</v>
      </c>
      <c r="D363" s="5" t="s">
        <v>404</v>
      </c>
      <c r="E363" s="5" t="s">
        <v>405</v>
      </c>
      <c r="F363" s="59">
        <v>385.60248000000001</v>
      </c>
      <c r="G363" s="5" t="s">
        <v>406</v>
      </c>
      <c r="H363" s="18">
        <v>66.266199999999998</v>
      </c>
      <c r="I363" s="19" t="s">
        <v>27</v>
      </c>
      <c r="J363" s="18">
        <v>-0.22619999999999152</v>
      </c>
      <c r="K363" s="5" t="s">
        <v>97</v>
      </c>
      <c r="L363" s="101" t="s">
        <v>407</v>
      </c>
      <c r="M363" s="59">
        <v>-2.89</v>
      </c>
      <c r="N363" s="59">
        <v>24.722483</v>
      </c>
      <c r="O363" s="59">
        <v>4.8649759999999986</v>
      </c>
      <c r="AG363" s="107"/>
      <c r="AN363" s="115"/>
      <c r="BU363" s="61"/>
    </row>
    <row r="364" spans="1:73" x14ac:dyDescent="0.35">
      <c r="A364" s="7" t="s">
        <v>1379</v>
      </c>
      <c r="B364" s="7" t="s">
        <v>1382</v>
      </c>
      <c r="C364" s="17" t="s">
        <v>403</v>
      </c>
      <c r="D364" s="5" t="s">
        <v>404</v>
      </c>
      <c r="E364" s="5" t="s">
        <v>405</v>
      </c>
      <c r="F364" s="59">
        <v>385.8768</v>
      </c>
      <c r="G364" s="5" t="s">
        <v>406</v>
      </c>
      <c r="H364" s="18">
        <v>66.308134715025901</v>
      </c>
      <c r="I364" s="19" t="s">
        <v>27</v>
      </c>
      <c r="J364" s="18">
        <v>-0.26813471502589437</v>
      </c>
      <c r="K364" s="5" t="s">
        <v>97</v>
      </c>
      <c r="L364" s="101" t="s">
        <v>407</v>
      </c>
      <c r="M364" s="59">
        <v>-1.98</v>
      </c>
      <c r="N364" s="59">
        <v>20.541852000000002</v>
      </c>
      <c r="O364" s="59">
        <v>0.68434500000000043</v>
      </c>
      <c r="AG364" s="107"/>
      <c r="AN364" s="115"/>
      <c r="BU364" s="61"/>
    </row>
    <row r="365" spans="1:73" x14ac:dyDescent="0.35">
      <c r="A365" s="7" t="s">
        <v>1379</v>
      </c>
      <c r="B365" s="7" t="s">
        <v>1382</v>
      </c>
      <c r="C365" s="17" t="s">
        <v>403</v>
      </c>
      <c r="D365" s="5" t="s">
        <v>404</v>
      </c>
      <c r="E365" s="5" t="s">
        <v>405</v>
      </c>
      <c r="F365" s="59">
        <v>385.8768</v>
      </c>
      <c r="G365" s="5" t="s">
        <v>406</v>
      </c>
      <c r="H365" s="18">
        <v>66.308134715025901</v>
      </c>
      <c r="I365" s="19" t="s">
        <v>27</v>
      </c>
      <c r="J365" s="18">
        <v>-0.26813471502589437</v>
      </c>
      <c r="K365" s="5" t="s">
        <v>97</v>
      </c>
      <c r="L365" s="101" t="s">
        <v>407</v>
      </c>
      <c r="M365" s="59">
        <v>-1.98</v>
      </c>
      <c r="N365" s="59">
        <v>20.541852000000002</v>
      </c>
      <c r="O365" s="59">
        <v>0.68434500000000043</v>
      </c>
      <c r="AG365" s="107"/>
      <c r="AN365" s="115"/>
      <c r="BU365" s="61"/>
    </row>
    <row r="366" spans="1:73" x14ac:dyDescent="0.35">
      <c r="A366" s="7" t="s">
        <v>1379</v>
      </c>
      <c r="B366" s="7" t="s">
        <v>1382</v>
      </c>
      <c r="C366" s="17" t="s">
        <v>403</v>
      </c>
      <c r="D366" s="5" t="s">
        <v>404</v>
      </c>
      <c r="E366" s="5" t="s">
        <v>405</v>
      </c>
      <c r="F366" s="59">
        <v>386.1816</v>
      </c>
      <c r="G366" s="5" t="s">
        <v>406</v>
      </c>
      <c r="H366" s="18">
        <v>66.354766839378229</v>
      </c>
      <c r="I366" s="19" t="s">
        <v>27</v>
      </c>
      <c r="J366" s="18">
        <v>-0.31476683937822258</v>
      </c>
      <c r="K366" s="5" t="s">
        <v>97</v>
      </c>
      <c r="L366" s="101" t="s">
        <v>407</v>
      </c>
      <c r="M366" s="59">
        <v>-2.2200000000000002</v>
      </c>
      <c r="N366" s="59">
        <v>21.639612000000003</v>
      </c>
      <c r="O366" s="59">
        <v>1.7821050000000014</v>
      </c>
      <c r="AG366" s="107"/>
      <c r="AN366" s="115"/>
      <c r="BU366" s="61"/>
    </row>
    <row r="367" spans="1:73" x14ac:dyDescent="0.35">
      <c r="A367" s="7" t="s">
        <v>1379</v>
      </c>
      <c r="B367" s="7" t="s">
        <v>1382</v>
      </c>
      <c r="C367" s="17" t="s">
        <v>403</v>
      </c>
      <c r="D367" s="5" t="s">
        <v>404</v>
      </c>
      <c r="E367" s="5" t="s">
        <v>405</v>
      </c>
      <c r="F367" s="59">
        <v>386.1816</v>
      </c>
      <c r="G367" s="5" t="s">
        <v>406</v>
      </c>
      <c r="H367" s="18">
        <v>66.354766839378229</v>
      </c>
      <c r="I367" s="19" t="s">
        <v>27</v>
      </c>
      <c r="J367" s="18">
        <v>-0.31476683937822258</v>
      </c>
      <c r="K367" s="5" t="s">
        <v>97</v>
      </c>
      <c r="L367" s="101" t="s">
        <v>407</v>
      </c>
      <c r="M367" s="59">
        <v>-2.2200000000000002</v>
      </c>
      <c r="N367" s="59">
        <v>21.639612000000003</v>
      </c>
      <c r="O367" s="59">
        <v>1.7821050000000014</v>
      </c>
      <c r="AG367" s="107"/>
      <c r="AN367" s="115"/>
      <c r="BU367" s="61"/>
    </row>
    <row r="368" spans="1:73" x14ac:dyDescent="0.35">
      <c r="A368" s="7" t="s">
        <v>1379</v>
      </c>
      <c r="B368" s="7" t="s">
        <v>1382</v>
      </c>
      <c r="C368" s="17" t="s">
        <v>403</v>
      </c>
      <c r="D368" s="5" t="s">
        <v>404</v>
      </c>
      <c r="E368" s="5" t="s">
        <v>405</v>
      </c>
      <c r="F368" s="59">
        <v>386.4864</v>
      </c>
      <c r="G368" s="5" t="s">
        <v>406</v>
      </c>
      <c r="H368" s="18">
        <v>66.401398963730557</v>
      </c>
      <c r="I368" s="19" t="s">
        <v>27</v>
      </c>
      <c r="J368" s="18">
        <v>-0.3613989637305508</v>
      </c>
      <c r="K368" s="5" t="s">
        <v>97</v>
      </c>
      <c r="L368" s="101" t="s">
        <v>407</v>
      </c>
      <c r="M368" s="59">
        <v>-1.99</v>
      </c>
      <c r="N368" s="59">
        <v>20.587523000000001</v>
      </c>
      <c r="O368" s="59">
        <v>0.73001599999999911</v>
      </c>
      <c r="AG368" s="107"/>
      <c r="AN368" s="115"/>
      <c r="BU368" s="61"/>
    </row>
    <row r="369" spans="1:73" x14ac:dyDescent="0.35">
      <c r="A369" s="7" t="s">
        <v>1379</v>
      </c>
      <c r="B369" s="7" t="s">
        <v>1382</v>
      </c>
      <c r="C369" s="17" t="s">
        <v>403</v>
      </c>
      <c r="D369" s="5" t="s">
        <v>404</v>
      </c>
      <c r="E369" s="5" t="s">
        <v>405</v>
      </c>
      <c r="F369" s="59">
        <v>386.4864</v>
      </c>
      <c r="G369" s="5" t="s">
        <v>406</v>
      </c>
      <c r="H369" s="18">
        <v>66.401398963730557</v>
      </c>
      <c r="I369" s="19" t="s">
        <v>27</v>
      </c>
      <c r="J369" s="18">
        <v>-0.3613989637305508</v>
      </c>
      <c r="K369" s="5" t="s">
        <v>97</v>
      </c>
      <c r="L369" s="101" t="s">
        <v>407</v>
      </c>
      <c r="M369" s="59">
        <v>-1.99</v>
      </c>
      <c r="N369" s="59">
        <v>20.587523000000001</v>
      </c>
      <c r="O369" s="59">
        <v>0.73001599999999911</v>
      </c>
      <c r="AG369" s="107"/>
      <c r="AN369" s="115"/>
      <c r="BU369" s="61"/>
    </row>
    <row r="370" spans="1:73" x14ac:dyDescent="0.35">
      <c r="A370" s="7" t="s">
        <v>1379</v>
      </c>
      <c r="B370" s="7" t="s">
        <v>1382</v>
      </c>
      <c r="C370" s="17" t="s">
        <v>403</v>
      </c>
      <c r="D370" s="5" t="s">
        <v>404</v>
      </c>
      <c r="E370" s="5" t="s">
        <v>405</v>
      </c>
      <c r="F370" s="59">
        <v>386.7912</v>
      </c>
      <c r="G370" s="5" t="s">
        <v>406</v>
      </c>
      <c r="H370" s="18">
        <v>66.448031088082899</v>
      </c>
      <c r="I370" s="19" t="s">
        <v>27</v>
      </c>
      <c r="J370" s="18">
        <v>-0.40803108808289323</v>
      </c>
      <c r="K370" s="5" t="s">
        <v>97</v>
      </c>
      <c r="L370" s="101" t="s">
        <v>407</v>
      </c>
      <c r="M370" s="59">
        <v>-1.79</v>
      </c>
      <c r="N370" s="59">
        <v>19.675242999999998</v>
      </c>
      <c r="O370" s="59">
        <v>-0.18226400000000353</v>
      </c>
      <c r="AG370" s="107"/>
      <c r="AN370" s="115"/>
      <c r="BU370" s="61"/>
    </row>
    <row r="371" spans="1:73" x14ac:dyDescent="0.35">
      <c r="A371" s="7" t="s">
        <v>1379</v>
      </c>
      <c r="B371" s="7" t="s">
        <v>1382</v>
      </c>
      <c r="C371" s="17" t="s">
        <v>403</v>
      </c>
      <c r="D371" s="5" t="s">
        <v>404</v>
      </c>
      <c r="E371" s="5" t="s">
        <v>405</v>
      </c>
      <c r="F371" s="59">
        <v>386.7912</v>
      </c>
      <c r="G371" s="5" t="s">
        <v>406</v>
      </c>
      <c r="H371" s="18">
        <v>66.448031088082899</v>
      </c>
      <c r="I371" s="19" t="s">
        <v>27</v>
      </c>
      <c r="J371" s="18">
        <v>-0.40803108808289323</v>
      </c>
      <c r="K371" s="5" t="s">
        <v>97</v>
      </c>
      <c r="L371" s="101" t="s">
        <v>407</v>
      </c>
      <c r="M371" s="59">
        <v>-1.79</v>
      </c>
      <c r="N371" s="59">
        <v>19.675242999999998</v>
      </c>
      <c r="O371" s="59">
        <v>-0.18226400000000353</v>
      </c>
      <c r="AG371" s="107"/>
      <c r="AN371" s="115"/>
      <c r="BU371" s="61"/>
    </row>
    <row r="372" spans="1:73" x14ac:dyDescent="0.35">
      <c r="A372" s="7" t="s">
        <v>1379</v>
      </c>
      <c r="B372" s="7" t="s">
        <v>1382</v>
      </c>
      <c r="C372" s="17" t="s">
        <v>403</v>
      </c>
      <c r="D372" s="5" t="s">
        <v>404</v>
      </c>
      <c r="E372" s="5" t="s">
        <v>405</v>
      </c>
      <c r="F372" s="59">
        <v>387.4008</v>
      </c>
      <c r="G372" s="5" t="s">
        <v>406</v>
      </c>
      <c r="H372" s="18">
        <v>66.558015267175563</v>
      </c>
      <c r="I372" s="19" t="s">
        <v>27</v>
      </c>
      <c r="J372" s="18">
        <v>-0.51801526717555646</v>
      </c>
      <c r="K372" s="5" t="s">
        <v>97</v>
      </c>
      <c r="L372" s="101" t="s">
        <v>407</v>
      </c>
      <c r="M372" s="59">
        <v>-2.1800000000000002</v>
      </c>
      <c r="N372" s="59">
        <v>21.456412</v>
      </c>
      <c r="O372" s="59">
        <v>1.5989049999999985</v>
      </c>
      <c r="AG372" s="107"/>
      <c r="AN372" s="115"/>
      <c r="BU372" s="61"/>
    </row>
    <row r="373" spans="1:73" x14ac:dyDescent="0.35">
      <c r="A373" s="7" t="s">
        <v>1379</v>
      </c>
      <c r="B373" s="7" t="s">
        <v>1382</v>
      </c>
      <c r="C373" s="17" t="s">
        <v>403</v>
      </c>
      <c r="D373" s="5" t="s">
        <v>404</v>
      </c>
      <c r="E373" s="5" t="s">
        <v>405</v>
      </c>
      <c r="F373" s="59">
        <v>387.4008</v>
      </c>
      <c r="G373" s="5" t="s">
        <v>406</v>
      </c>
      <c r="H373" s="18">
        <v>66.558015267175563</v>
      </c>
      <c r="I373" s="19" t="s">
        <v>27</v>
      </c>
      <c r="J373" s="18">
        <v>-0.51801526717555646</v>
      </c>
      <c r="K373" s="5" t="s">
        <v>97</v>
      </c>
      <c r="L373" s="101" t="s">
        <v>407</v>
      </c>
      <c r="M373" s="59">
        <v>-2.1800000000000002</v>
      </c>
      <c r="N373" s="59">
        <v>21.456412</v>
      </c>
      <c r="O373" s="59">
        <v>1.5989049999999985</v>
      </c>
      <c r="AG373" s="107"/>
      <c r="AN373" s="115"/>
      <c r="BU373" s="61"/>
    </row>
    <row r="374" spans="1:73" x14ac:dyDescent="0.35">
      <c r="A374" s="7" t="s">
        <v>1379</v>
      </c>
      <c r="B374" s="7" t="s">
        <v>1382</v>
      </c>
      <c r="C374" s="17" t="s">
        <v>403</v>
      </c>
      <c r="D374" s="5" t="s">
        <v>404</v>
      </c>
      <c r="E374" s="5" t="s">
        <v>405</v>
      </c>
      <c r="F374" s="59">
        <v>384.17296800000003</v>
      </c>
      <c r="G374" s="5" t="s">
        <v>406</v>
      </c>
      <c r="H374" s="18">
        <v>66.047461139896384</v>
      </c>
      <c r="I374" s="19" t="s">
        <v>27</v>
      </c>
      <c r="J374" s="18">
        <v>-7.4611398963781994E-3</v>
      </c>
      <c r="K374" s="5" t="s">
        <v>44</v>
      </c>
      <c r="L374" s="101" t="s">
        <v>408</v>
      </c>
      <c r="M374" s="59">
        <v>-1.1739999999999999</v>
      </c>
      <c r="N374" s="59">
        <v>15.52766828</v>
      </c>
      <c r="O374" s="59">
        <v>6.3000279999998909E-2</v>
      </c>
      <c r="AG374" s="107"/>
      <c r="AN374" s="115"/>
      <c r="BU374" s="61"/>
    </row>
    <row r="375" spans="1:73" x14ac:dyDescent="0.35">
      <c r="A375" s="7" t="s">
        <v>1379</v>
      </c>
      <c r="B375" s="7" t="s">
        <v>1382</v>
      </c>
      <c r="C375" s="17" t="s">
        <v>403</v>
      </c>
      <c r="D375" s="5" t="s">
        <v>404</v>
      </c>
      <c r="E375" s="5" t="s">
        <v>405</v>
      </c>
      <c r="F375" s="59">
        <v>384.17296800000003</v>
      </c>
      <c r="G375" s="5" t="s">
        <v>406</v>
      </c>
      <c r="H375" s="18">
        <v>66.047461139896384</v>
      </c>
      <c r="I375" s="19" t="s">
        <v>27</v>
      </c>
      <c r="J375" s="18">
        <v>-7.4611398963781994E-3</v>
      </c>
      <c r="K375" s="5" t="s">
        <v>44</v>
      </c>
      <c r="L375" s="101" t="s">
        <v>408</v>
      </c>
      <c r="M375" s="59">
        <v>-1.42</v>
      </c>
      <c r="N375" s="59">
        <v>16.636592</v>
      </c>
      <c r="O375" s="59">
        <v>1.1719239999999989</v>
      </c>
      <c r="AG375" s="107"/>
      <c r="AN375" s="115"/>
      <c r="BU375" s="61"/>
    </row>
    <row r="376" spans="1:73" x14ac:dyDescent="0.35">
      <c r="A376" s="7" t="s">
        <v>1379</v>
      </c>
      <c r="B376" s="7" t="s">
        <v>1382</v>
      </c>
      <c r="C376" s="17" t="s">
        <v>403</v>
      </c>
      <c r="D376" s="5" t="s">
        <v>404</v>
      </c>
      <c r="E376" s="5" t="s">
        <v>405</v>
      </c>
      <c r="F376" s="59">
        <v>384.20344800000004</v>
      </c>
      <c r="G376" s="5" t="s">
        <v>406</v>
      </c>
      <c r="H376" s="18">
        <v>66.052124352331617</v>
      </c>
      <c r="I376" s="19" t="s">
        <v>27</v>
      </c>
      <c r="J376" s="18">
        <v>-1.2124352331611021E-2</v>
      </c>
      <c r="K376" s="5" t="s">
        <v>44</v>
      </c>
      <c r="L376" s="101" t="s">
        <v>408</v>
      </c>
      <c r="M376" s="59">
        <v>-1.075</v>
      </c>
      <c r="N376" s="59">
        <v>15.082418750000002</v>
      </c>
      <c r="O376" s="59">
        <v>-0.38224924999999921</v>
      </c>
      <c r="AG376" s="107"/>
      <c r="AN376" s="115"/>
      <c r="BU376" s="61"/>
    </row>
    <row r="377" spans="1:73" x14ac:dyDescent="0.35">
      <c r="A377" s="7" t="s">
        <v>1379</v>
      </c>
      <c r="B377" s="7" t="s">
        <v>1382</v>
      </c>
      <c r="C377" s="17" t="s">
        <v>403</v>
      </c>
      <c r="D377" s="5" t="s">
        <v>404</v>
      </c>
      <c r="E377" s="5" t="s">
        <v>405</v>
      </c>
      <c r="F377" s="59">
        <v>384.22173600000002</v>
      </c>
      <c r="G377" s="5" t="s">
        <v>406</v>
      </c>
      <c r="H377" s="18">
        <v>66.054922279792748</v>
      </c>
      <c r="I377" s="19" t="s">
        <v>27</v>
      </c>
      <c r="J377" s="18">
        <v>-1.4922279792742188E-2</v>
      </c>
      <c r="K377" s="5" t="s">
        <v>44</v>
      </c>
      <c r="L377" s="101" t="s">
        <v>408</v>
      </c>
      <c r="M377" s="59">
        <v>-1.22</v>
      </c>
      <c r="N377" s="59">
        <v>15.734752000000002</v>
      </c>
      <c r="O377" s="59">
        <v>0.27008400000000066</v>
      </c>
      <c r="AG377" s="107"/>
      <c r="AN377" s="115"/>
      <c r="BU377" s="61"/>
    </row>
    <row r="378" spans="1:73" x14ac:dyDescent="0.35">
      <c r="A378" s="7" t="s">
        <v>1379</v>
      </c>
      <c r="B378" s="7" t="s">
        <v>1382</v>
      </c>
      <c r="C378" s="17" t="s">
        <v>403</v>
      </c>
      <c r="D378" s="5" t="s">
        <v>404</v>
      </c>
      <c r="E378" s="5" t="s">
        <v>405</v>
      </c>
      <c r="F378" s="59">
        <v>384.24307200000004</v>
      </c>
      <c r="G378" s="5" t="s">
        <v>406</v>
      </c>
      <c r="H378" s="18">
        <v>66.058186528497416</v>
      </c>
      <c r="I378" s="19" t="s">
        <v>27</v>
      </c>
      <c r="J378" s="18">
        <v>-1.8186528497409427E-2</v>
      </c>
      <c r="K378" s="5" t="s">
        <v>44</v>
      </c>
      <c r="L378" s="101" t="s">
        <v>408</v>
      </c>
      <c r="M378" s="59">
        <v>-1.1599999999999999</v>
      </c>
      <c r="N378" s="59">
        <v>15.464668000000001</v>
      </c>
      <c r="O378" s="59">
        <v>0</v>
      </c>
      <c r="AG378" s="107"/>
      <c r="AN378" s="115"/>
      <c r="BU378" s="61"/>
    </row>
    <row r="379" spans="1:73" x14ac:dyDescent="0.35">
      <c r="A379" s="7" t="s">
        <v>1379</v>
      </c>
      <c r="B379" s="7" t="s">
        <v>1382</v>
      </c>
      <c r="C379" s="17" t="s">
        <v>403</v>
      </c>
      <c r="D379" s="5" t="s">
        <v>404</v>
      </c>
      <c r="E379" s="5" t="s">
        <v>405</v>
      </c>
      <c r="F379" s="59">
        <v>384.264408</v>
      </c>
      <c r="G379" s="5" t="s">
        <v>406</v>
      </c>
      <c r="H379" s="18">
        <v>66.061450777202083</v>
      </c>
      <c r="I379" s="19" t="s">
        <v>27</v>
      </c>
      <c r="J379" s="18">
        <v>-2.1450777202076665E-2</v>
      </c>
      <c r="K379" s="5" t="s">
        <v>44</v>
      </c>
      <c r="L379" s="101" t="s">
        <v>408</v>
      </c>
      <c r="M379" s="59">
        <v>-1.18</v>
      </c>
      <c r="N379" s="59">
        <v>15.554672</v>
      </c>
      <c r="O379" s="59">
        <v>9.0003999999998641E-2</v>
      </c>
      <c r="AG379" s="107"/>
      <c r="AN379" s="115"/>
      <c r="BU379" s="61"/>
    </row>
    <row r="380" spans="1:73" x14ac:dyDescent="0.35">
      <c r="A380" s="7" t="s">
        <v>1379</v>
      </c>
      <c r="B380" s="7" t="s">
        <v>1382</v>
      </c>
      <c r="C380" s="17" t="s">
        <v>403</v>
      </c>
      <c r="D380" s="5" t="s">
        <v>404</v>
      </c>
      <c r="E380" s="5" t="s">
        <v>405</v>
      </c>
      <c r="F380" s="59">
        <v>384.28269599999999</v>
      </c>
      <c r="G380" s="5" t="s">
        <v>406</v>
      </c>
      <c r="H380" s="18">
        <v>66.064248704663214</v>
      </c>
      <c r="I380" s="19" t="s">
        <v>27</v>
      </c>
      <c r="J380" s="18">
        <v>-2.4248704663207832E-2</v>
      </c>
      <c r="K380" s="5" t="s">
        <v>44</v>
      </c>
      <c r="L380" s="101" t="s">
        <v>408</v>
      </c>
      <c r="M380" s="59">
        <v>-1.181</v>
      </c>
      <c r="N380" s="59">
        <v>15.559172830000001</v>
      </c>
      <c r="O380" s="59">
        <v>9.4504829999999984E-2</v>
      </c>
      <c r="AG380" s="107"/>
      <c r="AN380" s="115"/>
      <c r="BU380" s="61"/>
    </row>
    <row r="381" spans="1:73" x14ac:dyDescent="0.35">
      <c r="A381" s="7" t="s">
        <v>1379</v>
      </c>
      <c r="B381" s="7" t="s">
        <v>1382</v>
      </c>
      <c r="C381" s="17" t="s">
        <v>403</v>
      </c>
      <c r="D381" s="5" t="s">
        <v>404</v>
      </c>
      <c r="E381" s="5" t="s">
        <v>405</v>
      </c>
      <c r="F381" s="59">
        <v>384.37413600000002</v>
      </c>
      <c r="G381" s="5" t="s">
        <v>406</v>
      </c>
      <c r="H381" s="18">
        <v>66.078238341968913</v>
      </c>
      <c r="I381" s="19" t="s">
        <v>27</v>
      </c>
      <c r="J381" s="18">
        <v>-3.8238341968906298E-2</v>
      </c>
      <c r="K381" s="5" t="s">
        <v>44</v>
      </c>
      <c r="L381" s="101" t="s">
        <v>408</v>
      </c>
      <c r="M381" s="59">
        <v>-1.26</v>
      </c>
      <c r="N381" s="59">
        <v>15.914928000000002</v>
      </c>
      <c r="O381" s="59">
        <v>0.4502600000000001</v>
      </c>
      <c r="AG381" s="107"/>
      <c r="AN381" s="115"/>
      <c r="BU381" s="61"/>
    </row>
    <row r="382" spans="1:73" x14ac:dyDescent="0.35">
      <c r="A382" s="7" t="s">
        <v>1379</v>
      </c>
      <c r="B382" s="7" t="s">
        <v>1382</v>
      </c>
      <c r="C382" s="17" t="s">
        <v>403</v>
      </c>
      <c r="D382" s="5" t="s">
        <v>404</v>
      </c>
      <c r="E382" s="5" t="s">
        <v>405</v>
      </c>
      <c r="F382" s="59">
        <v>384.5052</v>
      </c>
      <c r="G382" s="5" t="s">
        <v>406</v>
      </c>
      <c r="H382" s="18">
        <v>66.098290155440424</v>
      </c>
      <c r="I382" s="19" t="s">
        <v>27</v>
      </c>
      <c r="J382" s="18">
        <v>-5.8290155440417379E-2</v>
      </c>
      <c r="K382" s="5" t="s">
        <v>44</v>
      </c>
      <c r="L382" s="101" t="s">
        <v>408</v>
      </c>
      <c r="M382" s="59">
        <v>-1.22</v>
      </c>
      <c r="N382" s="59">
        <v>15.734752000000002</v>
      </c>
      <c r="O382" s="59">
        <v>0.27008400000000066</v>
      </c>
      <c r="AG382" s="107"/>
      <c r="AN382" s="115"/>
      <c r="BU382" s="61"/>
    </row>
    <row r="383" spans="1:73" x14ac:dyDescent="0.35">
      <c r="A383" s="7" t="s">
        <v>1379</v>
      </c>
      <c r="B383" s="7" t="s">
        <v>1382</v>
      </c>
      <c r="C383" s="17" t="s">
        <v>403</v>
      </c>
      <c r="D383" s="5" t="s">
        <v>404</v>
      </c>
      <c r="E383" s="5" t="s">
        <v>405</v>
      </c>
      <c r="F383" s="59">
        <v>384.5052</v>
      </c>
      <c r="G383" s="5" t="s">
        <v>406</v>
      </c>
      <c r="H383" s="18">
        <v>66.098290155440424</v>
      </c>
      <c r="I383" s="19" t="s">
        <v>27</v>
      </c>
      <c r="J383" s="18">
        <v>-5.8290155440417379E-2</v>
      </c>
      <c r="K383" s="5" t="s">
        <v>44</v>
      </c>
      <c r="L383" s="101" t="s">
        <v>408</v>
      </c>
      <c r="M383" s="59">
        <v>-1.22</v>
      </c>
      <c r="N383" s="59">
        <v>15.734752000000002</v>
      </c>
      <c r="O383" s="59">
        <v>0.27008400000000066</v>
      </c>
      <c r="AG383" s="107"/>
      <c r="AN383" s="115"/>
      <c r="BU383" s="61"/>
    </row>
    <row r="384" spans="1:73" x14ac:dyDescent="0.35">
      <c r="A384" s="7" t="s">
        <v>1379</v>
      </c>
      <c r="B384" s="7" t="s">
        <v>1382</v>
      </c>
      <c r="C384" s="17" t="s">
        <v>403</v>
      </c>
      <c r="D384" s="5" t="s">
        <v>404</v>
      </c>
      <c r="E384" s="5" t="s">
        <v>405</v>
      </c>
      <c r="F384" s="59">
        <v>384.6576</v>
      </c>
      <c r="G384" s="5" t="s">
        <v>406</v>
      </c>
      <c r="H384" s="18">
        <v>66.121606217616588</v>
      </c>
      <c r="I384" s="19" t="s">
        <v>27</v>
      </c>
      <c r="J384" s="18">
        <v>-8.1606217616581489E-2</v>
      </c>
      <c r="K384" s="5" t="s">
        <v>44</v>
      </c>
      <c r="L384" s="101" t="s">
        <v>408</v>
      </c>
      <c r="M384" s="59">
        <v>-1.212</v>
      </c>
      <c r="N384" s="59">
        <v>15.698728320000001</v>
      </c>
      <c r="O384" s="59">
        <v>0.23406031999999932</v>
      </c>
      <c r="AG384" s="107"/>
      <c r="AN384" s="115"/>
      <c r="BU384" s="61"/>
    </row>
    <row r="385" spans="1:73" x14ac:dyDescent="0.35">
      <c r="A385" s="7" t="s">
        <v>1379</v>
      </c>
      <c r="B385" s="7" t="s">
        <v>1382</v>
      </c>
      <c r="C385" s="17" t="s">
        <v>403</v>
      </c>
      <c r="D385" s="5" t="s">
        <v>404</v>
      </c>
      <c r="E385" s="5" t="s">
        <v>405</v>
      </c>
      <c r="F385" s="59">
        <v>384.6576</v>
      </c>
      <c r="G385" s="5" t="s">
        <v>406</v>
      </c>
      <c r="H385" s="18">
        <v>66.121606217616588</v>
      </c>
      <c r="I385" s="19" t="s">
        <v>27</v>
      </c>
      <c r="J385" s="18">
        <v>-8.1606217616581489E-2</v>
      </c>
      <c r="K385" s="5" t="s">
        <v>44</v>
      </c>
      <c r="L385" s="101" t="s">
        <v>408</v>
      </c>
      <c r="M385" s="59">
        <v>-1.212</v>
      </c>
      <c r="N385" s="59">
        <v>15.698728320000001</v>
      </c>
      <c r="O385" s="59">
        <v>0.23406031999999932</v>
      </c>
      <c r="AG385" s="107"/>
      <c r="AN385" s="115"/>
      <c r="BU385" s="61"/>
    </row>
    <row r="386" spans="1:73" x14ac:dyDescent="0.35">
      <c r="A386" s="7" t="s">
        <v>1379</v>
      </c>
      <c r="B386" s="7" t="s">
        <v>1382</v>
      </c>
      <c r="C386" s="17" t="s">
        <v>403</v>
      </c>
      <c r="D386" s="5" t="s">
        <v>404</v>
      </c>
      <c r="E386" s="5" t="s">
        <v>405</v>
      </c>
      <c r="F386" s="59">
        <v>384.9624</v>
      </c>
      <c r="G386" s="5" t="s">
        <v>406</v>
      </c>
      <c r="H386" s="18">
        <v>66.168238341968916</v>
      </c>
      <c r="I386" s="19" t="s">
        <v>27</v>
      </c>
      <c r="J386" s="18">
        <v>-0.12823834196890971</v>
      </c>
      <c r="K386" s="5" t="s">
        <v>44</v>
      </c>
      <c r="L386" s="101" t="s">
        <v>408</v>
      </c>
      <c r="M386" s="59">
        <v>-1.347</v>
      </c>
      <c r="N386" s="59">
        <v>16.307142270000003</v>
      </c>
      <c r="O386" s="59">
        <v>0.84247427000000208</v>
      </c>
      <c r="AG386" s="107"/>
      <c r="AN386" s="115"/>
      <c r="BU386" s="61"/>
    </row>
    <row r="387" spans="1:73" x14ac:dyDescent="0.35">
      <c r="A387" s="7" t="s">
        <v>1379</v>
      </c>
      <c r="B387" s="7" t="s">
        <v>1382</v>
      </c>
      <c r="C387" s="17" t="s">
        <v>403</v>
      </c>
      <c r="D387" s="5" t="s">
        <v>404</v>
      </c>
      <c r="E387" s="5" t="s">
        <v>405</v>
      </c>
      <c r="F387" s="59">
        <v>384.9624</v>
      </c>
      <c r="G387" s="5" t="s">
        <v>406</v>
      </c>
      <c r="H387" s="18">
        <v>66.168238341968916</v>
      </c>
      <c r="I387" s="19" t="s">
        <v>27</v>
      </c>
      <c r="J387" s="18">
        <v>-0.12823834196890971</v>
      </c>
      <c r="K387" s="5" t="s">
        <v>44</v>
      </c>
      <c r="L387" s="101" t="s">
        <v>408</v>
      </c>
      <c r="M387" s="59">
        <v>-1.347</v>
      </c>
      <c r="N387" s="59">
        <v>16.307142270000003</v>
      </c>
      <c r="O387" s="59">
        <v>0.84247427000000208</v>
      </c>
      <c r="AG387" s="107"/>
      <c r="AN387" s="115"/>
      <c r="BU387" s="61"/>
    </row>
    <row r="388" spans="1:73" x14ac:dyDescent="0.35">
      <c r="A388" s="7" t="s">
        <v>1379</v>
      </c>
      <c r="B388" s="7" t="s">
        <v>1382</v>
      </c>
      <c r="C388" s="17" t="s">
        <v>403</v>
      </c>
      <c r="D388" s="5" t="s">
        <v>404</v>
      </c>
      <c r="E388" s="5" t="s">
        <v>405</v>
      </c>
      <c r="F388" s="59">
        <v>385.1148</v>
      </c>
      <c r="G388" s="5" t="s">
        <v>406</v>
      </c>
      <c r="H388" s="18">
        <v>66.19155440414508</v>
      </c>
      <c r="I388" s="19" t="s">
        <v>27</v>
      </c>
      <c r="J388" s="18">
        <v>-0.15155440414507382</v>
      </c>
      <c r="K388" s="5" t="s">
        <v>44</v>
      </c>
      <c r="L388" s="101" t="s">
        <v>408</v>
      </c>
      <c r="M388" s="59">
        <v>-1.3219999999999998</v>
      </c>
      <c r="N388" s="59">
        <v>16.194390519999999</v>
      </c>
      <c r="O388" s="59">
        <v>0.72972251999999749</v>
      </c>
      <c r="AG388" s="107"/>
      <c r="AN388" s="115"/>
      <c r="BU388" s="61"/>
    </row>
    <row r="389" spans="1:73" x14ac:dyDescent="0.35">
      <c r="A389" s="7" t="s">
        <v>1379</v>
      </c>
      <c r="B389" s="7" t="s">
        <v>1382</v>
      </c>
      <c r="C389" s="17" t="s">
        <v>403</v>
      </c>
      <c r="D389" s="5" t="s">
        <v>404</v>
      </c>
      <c r="E389" s="5" t="s">
        <v>405</v>
      </c>
      <c r="F389" s="59">
        <v>385.1148</v>
      </c>
      <c r="G389" s="5" t="s">
        <v>406</v>
      </c>
      <c r="H389" s="18">
        <v>66.19155440414508</v>
      </c>
      <c r="I389" s="19" t="s">
        <v>27</v>
      </c>
      <c r="J389" s="18">
        <v>-0.15155440414507382</v>
      </c>
      <c r="K389" s="5" t="s">
        <v>44</v>
      </c>
      <c r="L389" s="101" t="s">
        <v>408</v>
      </c>
      <c r="M389" s="59">
        <v>-1.3219999999999998</v>
      </c>
      <c r="N389" s="59">
        <v>16.194390519999999</v>
      </c>
      <c r="O389" s="59">
        <v>0.72972251999999749</v>
      </c>
      <c r="AG389" s="107"/>
      <c r="AN389" s="115"/>
      <c r="BU389" s="61"/>
    </row>
    <row r="390" spans="1:73" x14ac:dyDescent="0.35">
      <c r="A390" s="7" t="s">
        <v>1379</v>
      </c>
      <c r="B390" s="7" t="s">
        <v>1382</v>
      </c>
      <c r="C390" s="17" t="s">
        <v>403</v>
      </c>
      <c r="D390" s="5" t="s">
        <v>404</v>
      </c>
      <c r="E390" s="5" t="s">
        <v>405</v>
      </c>
      <c r="F390" s="59">
        <v>385.2672</v>
      </c>
      <c r="G390" s="5" t="s">
        <v>406</v>
      </c>
      <c r="H390" s="18">
        <v>66.214870466321244</v>
      </c>
      <c r="I390" s="19" t="s">
        <v>27</v>
      </c>
      <c r="J390" s="18">
        <v>-0.17487046632123793</v>
      </c>
      <c r="K390" s="5" t="s">
        <v>44</v>
      </c>
      <c r="L390" s="101" t="s">
        <v>408</v>
      </c>
      <c r="M390" s="59">
        <v>-1.4159999999999999</v>
      </c>
      <c r="N390" s="59">
        <v>16.61853168</v>
      </c>
      <c r="O390" s="59">
        <v>1.1538636799999988</v>
      </c>
      <c r="AG390" s="107"/>
      <c r="AN390" s="115"/>
      <c r="BU390" s="61"/>
    </row>
    <row r="391" spans="1:73" x14ac:dyDescent="0.35">
      <c r="A391" s="7" t="s">
        <v>1379</v>
      </c>
      <c r="B391" s="7" t="s">
        <v>1382</v>
      </c>
      <c r="C391" s="17" t="s">
        <v>403</v>
      </c>
      <c r="D391" s="5" t="s">
        <v>404</v>
      </c>
      <c r="E391" s="5" t="s">
        <v>405</v>
      </c>
      <c r="F391" s="59">
        <v>385.2672</v>
      </c>
      <c r="G391" s="5" t="s">
        <v>406</v>
      </c>
      <c r="H391" s="18">
        <v>66.214870466321244</v>
      </c>
      <c r="I391" s="19" t="s">
        <v>27</v>
      </c>
      <c r="J391" s="18">
        <v>-0.17487046632123793</v>
      </c>
      <c r="K391" s="5" t="s">
        <v>44</v>
      </c>
      <c r="L391" s="101" t="s">
        <v>408</v>
      </c>
      <c r="M391" s="59">
        <v>-1.4159999999999999</v>
      </c>
      <c r="N391" s="59">
        <v>16.61853168</v>
      </c>
      <c r="O391" s="59">
        <v>1.1538636799999988</v>
      </c>
      <c r="AG391" s="107"/>
      <c r="AN391" s="115"/>
      <c r="BU391" s="61"/>
    </row>
    <row r="392" spans="1:73" x14ac:dyDescent="0.35">
      <c r="A392" s="7" t="s">
        <v>1379</v>
      </c>
      <c r="B392" s="7" t="s">
        <v>1382</v>
      </c>
      <c r="C392" s="17" t="s">
        <v>403</v>
      </c>
      <c r="D392" s="5" t="s">
        <v>404</v>
      </c>
      <c r="E392" s="5" t="s">
        <v>405</v>
      </c>
      <c r="F392" s="59">
        <v>385.60248000000001</v>
      </c>
      <c r="G392" s="5" t="s">
        <v>406</v>
      </c>
      <c r="H392" s="18">
        <v>66.113252435233207</v>
      </c>
      <c r="I392" s="19" t="s">
        <v>27</v>
      </c>
      <c r="J392" s="18">
        <v>-7.3252435233200686E-2</v>
      </c>
      <c r="K392" s="5" t="s">
        <v>44</v>
      </c>
      <c r="L392" s="101" t="s">
        <v>408</v>
      </c>
      <c r="M392" s="59">
        <v>-1.3879999999999999</v>
      </c>
      <c r="N392" s="59">
        <v>16.49213632</v>
      </c>
      <c r="O392" s="59">
        <v>1.0274683199999988</v>
      </c>
      <c r="AG392" s="107"/>
      <c r="AN392" s="115"/>
      <c r="BU392" s="61"/>
    </row>
    <row r="393" spans="1:73" x14ac:dyDescent="0.35">
      <c r="A393" s="7" t="s">
        <v>1379</v>
      </c>
      <c r="B393" s="7" t="s">
        <v>1382</v>
      </c>
      <c r="C393" s="17" t="s">
        <v>403</v>
      </c>
      <c r="D393" s="5" t="s">
        <v>404</v>
      </c>
      <c r="E393" s="5" t="s">
        <v>405</v>
      </c>
      <c r="F393" s="59">
        <v>385.8768</v>
      </c>
      <c r="G393" s="5" t="s">
        <v>406</v>
      </c>
      <c r="H393" s="18">
        <v>66.308134715025901</v>
      </c>
      <c r="I393" s="19" t="s">
        <v>27</v>
      </c>
      <c r="J393" s="18">
        <v>-0.26813471502589437</v>
      </c>
      <c r="K393" s="5" t="s">
        <v>44</v>
      </c>
      <c r="L393" s="101" t="s">
        <v>408</v>
      </c>
      <c r="M393" s="59">
        <v>-1.212</v>
      </c>
      <c r="N393" s="59">
        <v>15.698728320000001</v>
      </c>
      <c r="O393" s="59">
        <v>0.23406031999999932</v>
      </c>
      <c r="AG393" s="107"/>
      <c r="AN393" s="115"/>
      <c r="BU393" s="61"/>
    </row>
    <row r="394" spans="1:73" x14ac:dyDescent="0.35">
      <c r="A394" s="7" t="s">
        <v>1379</v>
      </c>
      <c r="B394" s="7" t="s">
        <v>1382</v>
      </c>
      <c r="C394" s="17" t="s">
        <v>403</v>
      </c>
      <c r="D394" s="5" t="s">
        <v>404</v>
      </c>
      <c r="E394" s="5" t="s">
        <v>405</v>
      </c>
      <c r="F394" s="59">
        <v>386.1816</v>
      </c>
      <c r="G394" s="5" t="s">
        <v>406</v>
      </c>
      <c r="H394" s="18">
        <v>66.354766839378229</v>
      </c>
      <c r="I394" s="19" t="s">
        <v>27</v>
      </c>
      <c r="J394" s="18">
        <v>-0.31476683937822258</v>
      </c>
      <c r="K394" s="5" t="s">
        <v>44</v>
      </c>
      <c r="L394" s="101" t="s">
        <v>408</v>
      </c>
      <c r="M394" s="59">
        <v>-1.19</v>
      </c>
      <c r="N394" s="59">
        <v>15.599683000000002</v>
      </c>
      <c r="O394" s="59">
        <v>0.135015000000001</v>
      </c>
      <c r="AG394" s="107"/>
      <c r="AN394" s="115"/>
      <c r="BU394" s="61"/>
    </row>
    <row r="395" spans="1:73" x14ac:dyDescent="0.35">
      <c r="A395" s="7" t="s">
        <v>1379</v>
      </c>
      <c r="B395" s="7" t="s">
        <v>1382</v>
      </c>
      <c r="C395" s="17" t="s">
        <v>403</v>
      </c>
      <c r="D395" s="5" t="s">
        <v>404</v>
      </c>
      <c r="E395" s="5" t="s">
        <v>405</v>
      </c>
      <c r="F395" s="59">
        <v>386.4864</v>
      </c>
      <c r="G395" s="5" t="s">
        <v>406</v>
      </c>
      <c r="H395" s="18">
        <v>66.401398963730557</v>
      </c>
      <c r="I395" s="19" t="s">
        <v>27</v>
      </c>
      <c r="J395" s="18">
        <v>-0.3613989637305508</v>
      </c>
      <c r="K395" s="5" t="s">
        <v>44</v>
      </c>
      <c r="L395" s="101" t="s">
        <v>408</v>
      </c>
      <c r="M395" s="59">
        <v>-1.3089999999999999</v>
      </c>
      <c r="N395" s="59">
        <v>16.135774429999998</v>
      </c>
      <c r="O395" s="59">
        <v>0.67110642999999648</v>
      </c>
      <c r="AG395" s="107"/>
      <c r="AN395" s="115"/>
      <c r="BU395" s="61"/>
    </row>
    <row r="396" spans="1:73" x14ac:dyDescent="0.35">
      <c r="A396" s="7" t="s">
        <v>1379</v>
      </c>
      <c r="B396" s="7" t="s">
        <v>1382</v>
      </c>
      <c r="C396" s="17" t="s">
        <v>403</v>
      </c>
      <c r="D396" s="5" t="s">
        <v>404</v>
      </c>
      <c r="E396" s="5" t="s">
        <v>405</v>
      </c>
      <c r="F396" s="59">
        <v>386.7912</v>
      </c>
      <c r="G396" s="5" t="s">
        <v>406</v>
      </c>
      <c r="H396" s="18">
        <v>66.448031088082899</v>
      </c>
      <c r="I396" s="19" t="s">
        <v>27</v>
      </c>
      <c r="J396" s="18">
        <v>-0.40803108808289323</v>
      </c>
      <c r="K396" s="5" t="s">
        <v>44</v>
      </c>
      <c r="L396" s="101" t="s">
        <v>408</v>
      </c>
      <c r="M396" s="59">
        <v>-1.075</v>
      </c>
      <c r="N396" s="59">
        <v>15.082418750000002</v>
      </c>
      <c r="O396" s="59">
        <v>-0.38224924999999921</v>
      </c>
      <c r="AG396" s="107"/>
      <c r="AN396" s="115"/>
      <c r="BU396" s="61"/>
    </row>
    <row r="397" spans="1:73" x14ac:dyDescent="0.35">
      <c r="A397" s="7" t="s">
        <v>1379</v>
      </c>
      <c r="B397" s="7" t="s">
        <v>1382</v>
      </c>
      <c r="C397" s="17" t="s">
        <v>403</v>
      </c>
      <c r="D397" s="5" t="s">
        <v>404</v>
      </c>
      <c r="E397" s="5" t="s">
        <v>405</v>
      </c>
      <c r="F397" s="59">
        <v>387.4008</v>
      </c>
      <c r="G397" s="5" t="s">
        <v>406</v>
      </c>
      <c r="H397" s="18">
        <v>66.558015267175563</v>
      </c>
      <c r="I397" s="19" t="s">
        <v>27</v>
      </c>
      <c r="J397" s="18">
        <v>-0.51801526717555646</v>
      </c>
      <c r="K397" s="5" t="s">
        <v>44</v>
      </c>
      <c r="L397" s="101" t="s">
        <v>408</v>
      </c>
      <c r="M397" s="59">
        <v>-1.08</v>
      </c>
      <c r="N397" s="59">
        <v>15.104892000000003</v>
      </c>
      <c r="O397" s="59">
        <v>-0.35977599999999832</v>
      </c>
      <c r="AG397" s="107"/>
      <c r="AN397" s="115"/>
      <c r="BU397" s="61"/>
    </row>
    <row r="398" spans="1:73" x14ac:dyDescent="0.35">
      <c r="A398" s="7" t="s">
        <v>1379</v>
      </c>
      <c r="B398" s="7" t="s">
        <v>1382</v>
      </c>
      <c r="C398" s="17"/>
      <c r="D398" s="5"/>
      <c r="E398" s="5"/>
      <c r="F398" s="5"/>
      <c r="G398" s="5"/>
      <c r="H398" s="18"/>
      <c r="I398" s="19"/>
      <c r="J398" s="18"/>
      <c r="K398" s="5"/>
      <c r="L398" s="5"/>
      <c r="M398" s="59"/>
      <c r="N398" s="59"/>
      <c r="O398" s="97"/>
      <c r="AG398" s="107"/>
      <c r="AN398" s="115"/>
      <c r="BU398" s="61"/>
    </row>
    <row r="399" spans="1:73" x14ac:dyDescent="0.35">
      <c r="A399" s="7" t="s">
        <v>1379</v>
      </c>
      <c r="B399" s="7" t="s">
        <v>1382</v>
      </c>
      <c r="C399" s="17" t="s">
        <v>409</v>
      </c>
      <c r="D399" s="5" t="s">
        <v>410</v>
      </c>
      <c r="E399" s="57" t="s">
        <v>411</v>
      </c>
      <c r="F399" s="57">
        <v>109.9</v>
      </c>
      <c r="G399" s="62" t="s">
        <v>412</v>
      </c>
      <c r="H399" s="60">
        <v>65.253945945945944</v>
      </c>
      <c r="I399" s="19" t="s">
        <v>27</v>
      </c>
      <c r="J399" s="60">
        <v>0.78605405405406259</v>
      </c>
      <c r="K399" s="5" t="s">
        <v>44</v>
      </c>
      <c r="L399" s="5" t="s">
        <v>413</v>
      </c>
      <c r="M399" s="58">
        <v>0.05</v>
      </c>
      <c r="N399" s="59">
        <v>11.394875000000003</v>
      </c>
      <c r="O399" s="97">
        <v>-4.4452999999998966E-2</v>
      </c>
      <c r="AG399" s="107"/>
      <c r="AN399" s="115"/>
      <c r="BU399" s="61"/>
    </row>
    <row r="400" spans="1:73" x14ac:dyDescent="0.35">
      <c r="A400" s="7" t="s">
        <v>1379</v>
      </c>
      <c r="B400" s="7" t="s">
        <v>1382</v>
      </c>
      <c r="C400" s="17" t="s">
        <v>409</v>
      </c>
      <c r="D400" s="5" t="s">
        <v>410</v>
      </c>
      <c r="E400" s="57" t="s">
        <v>414</v>
      </c>
      <c r="F400" s="57">
        <v>111.1</v>
      </c>
      <c r="G400" s="62" t="s">
        <v>412</v>
      </c>
      <c r="H400" s="60">
        <v>65.731999999999999</v>
      </c>
      <c r="I400" s="19" t="s">
        <v>27</v>
      </c>
      <c r="J400" s="60">
        <v>0.30800000000000693</v>
      </c>
      <c r="K400" s="5" t="s">
        <v>44</v>
      </c>
      <c r="L400" s="5" t="s">
        <v>413</v>
      </c>
      <c r="M400" s="58">
        <v>0.48</v>
      </c>
      <c r="N400" s="59">
        <v>9.4890720000000019</v>
      </c>
      <c r="O400" s="97">
        <v>-1.9502559999999995</v>
      </c>
      <c r="AG400" s="107"/>
      <c r="AN400" s="115"/>
      <c r="BU400" s="61"/>
    </row>
    <row r="401" spans="1:73" x14ac:dyDescent="0.35">
      <c r="A401" s="7" t="s">
        <v>1379</v>
      </c>
      <c r="B401" s="7" t="s">
        <v>1382</v>
      </c>
      <c r="C401" s="17" t="s">
        <v>409</v>
      </c>
      <c r="D401" s="5" t="s">
        <v>410</v>
      </c>
      <c r="E401" s="57" t="s">
        <v>415</v>
      </c>
      <c r="F401" s="57">
        <v>111.3</v>
      </c>
      <c r="G401" s="62" t="s">
        <v>412</v>
      </c>
      <c r="H401" s="60">
        <v>65.820000000000007</v>
      </c>
      <c r="I401" s="19" t="s">
        <v>27</v>
      </c>
      <c r="J401" s="60">
        <v>0.21999999999999886</v>
      </c>
      <c r="K401" s="5" t="s">
        <v>44</v>
      </c>
      <c r="L401" s="5" t="s">
        <v>413</v>
      </c>
      <c r="M401" s="58">
        <v>0.39</v>
      </c>
      <c r="N401" s="59">
        <v>9.8870430000000038</v>
      </c>
      <c r="O401" s="97">
        <v>-1.5522849999999977</v>
      </c>
      <c r="AG401" s="107"/>
      <c r="AN401" s="115"/>
      <c r="BU401" s="61"/>
    </row>
    <row r="402" spans="1:73" x14ac:dyDescent="0.35">
      <c r="A402" s="7" t="s">
        <v>1379</v>
      </c>
      <c r="B402" s="7" t="s">
        <v>1382</v>
      </c>
      <c r="C402" s="17" t="s">
        <v>409</v>
      </c>
      <c r="D402" s="5" t="s">
        <v>410</v>
      </c>
      <c r="E402" s="57" t="s">
        <v>416</v>
      </c>
      <c r="F402" s="57">
        <v>111.59</v>
      </c>
      <c r="G402" s="62" t="s">
        <v>412</v>
      </c>
      <c r="H402" s="60">
        <v>65.947600000000008</v>
      </c>
      <c r="I402" s="19" t="s">
        <v>27</v>
      </c>
      <c r="J402" s="60">
        <v>9.2399999999997817E-2</v>
      </c>
      <c r="K402" s="5" t="s">
        <v>44</v>
      </c>
      <c r="L402" s="5" t="s">
        <v>413</v>
      </c>
      <c r="M402" s="58">
        <v>0.45</v>
      </c>
      <c r="N402" s="59">
        <v>9.6216750000000033</v>
      </c>
      <c r="O402" s="97">
        <v>-1.8176529999999982</v>
      </c>
      <c r="AG402" s="107"/>
      <c r="AN402" s="115"/>
      <c r="BU402" s="61"/>
    </row>
    <row r="403" spans="1:73" x14ac:dyDescent="0.35">
      <c r="A403" s="7" t="s">
        <v>1379</v>
      </c>
      <c r="B403" s="7" t="s">
        <v>1382</v>
      </c>
      <c r="C403" s="17" t="s">
        <v>409</v>
      </c>
      <c r="D403" s="5" t="s">
        <v>410</v>
      </c>
      <c r="E403" s="57" t="s">
        <v>417</v>
      </c>
      <c r="F403" s="57">
        <v>111.68</v>
      </c>
      <c r="G403" s="62" t="s">
        <v>412</v>
      </c>
      <c r="H403" s="60">
        <v>65.987200000000016</v>
      </c>
      <c r="I403" s="19" t="s">
        <v>27</v>
      </c>
      <c r="J403" s="60">
        <v>5.2799999999990632E-2</v>
      </c>
      <c r="K403" s="5" t="s">
        <v>44</v>
      </c>
      <c r="L403" s="5" t="s">
        <v>413</v>
      </c>
      <c r="M403" s="58">
        <v>0.2</v>
      </c>
      <c r="N403" s="59">
        <v>10.728800000000001</v>
      </c>
      <c r="O403" s="97">
        <v>-0.71052800000000005</v>
      </c>
      <c r="AG403" s="107"/>
      <c r="AN403" s="115"/>
      <c r="BU403" s="61"/>
    </row>
    <row r="404" spans="1:73" x14ac:dyDescent="0.35">
      <c r="A404" s="7" t="s">
        <v>1379</v>
      </c>
      <c r="B404" s="7" t="s">
        <v>1382</v>
      </c>
      <c r="C404" s="17" t="s">
        <v>409</v>
      </c>
      <c r="D404" s="5" t="s">
        <v>410</v>
      </c>
      <c r="E404" s="57" t="s">
        <v>418</v>
      </c>
      <c r="F404" s="57">
        <v>111.76</v>
      </c>
      <c r="G404" s="62" t="s">
        <v>412</v>
      </c>
      <c r="H404" s="60">
        <v>66.022400000000005</v>
      </c>
      <c r="I404" s="19" t="s">
        <v>27</v>
      </c>
      <c r="J404" s="60">
        <v>1.7600000000001614E-2</v>
      </c>
      <c r="K404" s="5" t="s">
        <v>44</v>
      </c>
      <c r="L404" s="5" t="s">
        <v>413</v>
      </c>
      <c r="M404" s="58">
        <v>0.15</v>
      </c>
      <c r="N404" s="59">
        <v>10.950675000000002</v>
      </c>
      <c r="O404" s="97">
        <v>-0.48865299999999934</v>
      </c>
      <c r="AG404" s="107"/>
      <c r="AN404" s="115"/>
      <c r="BU404" s="61"/>
    </row>
    <row r="405" spans="1:73" x14ac:dyDescent="0.35">
      <c r="A405" s="7" t="s">
        <v>1379</v>
      </c>
      <c r="B405" s="7" t="s">
        <v>1382</v>
      </c>
      <c r="C405" s="17" t="s">
        <v>409</v>
      </c>
      <c r="D405" s="5" t="s">
        <v>410</v>
      </c>
      <c r="E405" s="57" t="s">
        <v>419</v>
      </c>
      <c r="F405" s="57">
        <v>111.82</v>
      </c>
      <c r="G405" s="62" t="s">
        <v>412</v>
      </c>
      <c r="H405" s="60">
        <v>66.042137313432846</v>
      </c>
      <c r="I405" s="19" t="s">
        <v>27</v>
      </c>
      <c r="J405" s="60">
        <v>-2.1373134328399601E-3</v>
      </c>
      <c r="K405" s="5" t="s">
        <v>44</v>
      </c>
      <c r="L405" s="5" t="s">
        <v>413</v>
      </c>
      <c r="M405" s="58">
        <v>0.04</v>
      </c>
      <c r="N405" s="59">
        <v>11.439328000000001</v>
      </c>
      <c r="O405" s="97">
        <v>0</v>
      </c>
      <c r="AG405" s="107"/>
      <c r="AN405" s="115"/>
      <c r="BU405" s="61"/>
    </row>
    <row r="406" spans="1:73" x14ac:dyDescent="0.35">
      <c r="A406" s="7" t="s">
        <v>1379</v>
      </c>
      <c r="B406" s="7" t="s">
        <v>1382</v>
      </c>
      <c r="C406" s="17" t="s">
        <v>409</v>
      </c>
      <c r="D406" s="5" t="s">
        <v>410</v>
      </c>
      <c r="E406" s="57" t="s">
        <v>420</v>
      </c>
      <c r="F406" s="57">
        <v>112.2</v>
      </c>
      <c r="G406" s="62" t="s">
        <v>412</v>
      </c>
      <c r="H406" s="60">
        <v>66.08274626865672</v>
      </c>
      <c r="I406" s="19" t="s">
        <v>27</v>
      </c>
      <c r="J406" s="60">
        <v>-4.2746268656713937E-2</v>
      </c>
      <c r="K406" s="5" t="s">
        <v>44</v>
      </c>
      <c r="L406" s="5" t="s">
        <v>413</v>
      </c>
      <c r="M406" s="58">
        <v>0.31</v>
      </c>
      <c r="N406" s="59">
        <v>10.241203000000002</v>
      </c>
      <c r="O406" s="97">
        <v>-1.1981249999999992</v>
      </c>
      <c r="AG406" s="107"/>
      <c r="AN406" s="115"/>
      <c r="BU406" s="61"/>
    </row>
    <row r="407" spans="1:73" x14ac:dyDescent="0.35">
      <c r="A407" s="7" t="s">
        <v>1379</v>
      </c>
      <c r="B407" s="7" t="s">
        <v>1382</v>
      </c>
      <c r="C407" s="17" t="s">
        <v>409</v>
      </c>
      <c r="D407" s="5" t="s">
        <v>410</v>
      </c>
      <c r="E407" s="57" t="s">
        <v>421</v>
      </c>
      <c r="F407" s="57">
        <v>112.6</v>
      </c>
      <c r="G407" s="62" t="s">
        <v>412</v>
      </c>
      <c r="H407" s="60">
        <v>66.125492537313434</v>
      </c>
      <c r="I407" s="19" t="s">
        <v>27</v>
      </c>
      <c r="J407" s="60">
        <v>-8.5492537313427874E-2</v>
      </c>
      <c r="K407" s="5" t="s">
        <v>44</v>
      </c>
      <c r="L407" s="5" t="s">
        <v>413</v>
      </c>
      <c r="M407" s="58">
        <v>-0.33</v>
      </c>
      <c r="N407" s="59">
        <v>13.088307000000002</v>
      </c>
      <c r="O407" s="97">
        <v>1.6489790000000006</v>
      </c>
      <c r="AG407" s="107"/>
      <c r="AN407" s="115"/>
      <c r="BU407" s="61"/>
    </row>
    <row r="408" spans="1:73" x14ac:dyDescent="0.35">
      <c r="A408" s="7" t="s">
        <v>1379</v>
      </c>
      <c r="B408" s="7" t="s">
        <v>1382</v>
      </c>
      <c r="C408" s="17"/>
      <c r="D408" s="5"/>
      <c r="E408" s="5"/>
      <c r="F408" s="5"/>
      <c r="G408" s="5"/>
      <c r="H408" s="18"/>
      <c r="I408" s="19"/>
      <c r="J408" s="60"/>
      <c r="K408" s="5"/>
      <c r="L408" s="5"/>
      <c r="M408" s="59"/>
      <c r="N408" s="59"/>
      <c r="O408" s="97"/>
      <c r="AG408" s="107"/>
      <c r="AN408" s="115"/>
      <c r="BU408" s="61"/>
    </row>
    <row r="409" spans="1:73" x14ac:dyDescent="0.35">
      <c r="A409" s="7" t="s">
        <v>1379</v>
      </c>
      <c r="B409" s="7" t="s">
        <v>1382</v>
      </c>
      <c r="C409" s="17" t="s">
        <v>422</v>
      </c>
      <c r="D409" s="5" t="s">
        <v>423</v>
      </c>
      <c r="E409" s="5" t="s">
        <v>424</v>
      </c>
      <c r="F409" s="5">
        <v>106.14</v>
      </c>
      <c r="G409" s="5" t="s">
        <v>26</v>
      </c>
      <c r="H409" s="18">
        <v>65.687327272727273</v>
      </c>
      <c r="I409" s="19" t="s">
        <v>27</v>
      </c>
      <c r="J409" s="60">
        <v>0.3526727272727328</v>
      </c>
      <c r="K409" s="5" t="s">
        <v>44</v>
      </c>
      <c r="L409" s="101" t="s">
        <v>192</v>
      </c>
      <c r="M409" s="59">
        <v>-0.08</v>
      </c>
      <c r="N409" s="59">
        <v>10.640092000000003</v>
      </c>
      <c r="O409" s="97">
        <v>0.21839800000000054</v>
      </c>
      <c r="AG409" s="107"/>
      <c r="AN409" s="115"/>
      <c r="BU409" s="61"/>
    </row>
    <row r="410" spans="1:73" x14ac:dyDescent="0.35">
      <c r="A410" s="7" t="s">
        <v>1379</v>
      </c>
      <c r="B410" s="7" t="s">
        <v>1382</v>
      </c>
      <c r="C410" s="17" t="s">
        <v>422</v>
      </c>
      <c r="D410" s="5" t="s">
        <v>423</v>
      </c>
      <c r="E410" s="5" t="s">
        <v>425</v>
      </c>
      <c r="F410" s="5">
        <v>106.33</v>
      </c>
      <c r="G410" s="5" t="s">
        <v>26</v>
      </c>
      <c r="H410" s="18">
        <v>65.688363636363633</v>
      </c>
      <c r="I410" s="19" t="s">
        <v>27</v>
      </c>
      <c r="J410" s="60">
        <v>0.35163636363637352</v>
      </c>
      <c r="K410" s="5" t="s">
        <v>44</v>
      </c>
      <c r="L410" s="101" t="s">
        <v>192</v>
      </c>
      <c r="M410" s="59">
        <v>0.09</v>
      </c>
      <c r="N410" s="59">
        <v>9.8870430000000038</v>
      </c>
      <c r="O410" s="59">
        <v>-0.53465099999999843</v>
      </c>
      <c r="AG410" s="107"/>
      <c r="AN410" s="115"/>
      <c r="BU410" s="61"/>
    </row>
    <row r="411" spans="1:73" x14ac:dyDescent="0.35">
      <c r="A411" s="7" t="s">
        <v>1379</v>
      </c>
      <c r="B411" s="7" t="s">
        <v>1382</v>
      </c>
      <c r="C411" s="17" t="s">
        <v>422</v>
      </c>
      <c r="D411" s="5" t="s">
        <v>423</v>
      </c>
      <c r="E411" s="5" t="s">
        <v>426</v>
      </c>
      <c r="F411" s="5">
        <v>106.41</v>
      </c>
      <c r="G411" s="5" t="s">
        <v>26</v>
      </c>
      <c r="H411" s="18">
        <v>65.688800000000001</v>
      </c>
      <c r="I411" s="19" t="s">
        <v>27</v>
      </c>
      <c r="J411" s="60">
        <v>0.35120000000000573</v>
      </c>
      <c r="K411" s="5" t="s">
        <v>44</v>
      </c>
      <c r="L411" s="101" t="s">
        <v>192</v>
      </c>
      <c r="M411" s="59">
        <v>-0.13</v>
      </c>
      <c r="N411" s="59">
        <v>10.861907000000002</v>
      </c>
      <c r="O411" s="59">
        <v>0.44021299999999997</v>
      </c>
      <c r="AG411" s="107"/>
      <c r="AN411" s="115"/>
      <c r="BU411" s="61"/>
    </row>
    <row r="412" spans="1:73" x14ac:dyDescent="0.35">
      <c r="A412" s="7" t="s">
        <v>1379</v>
      </c>
      <c r="B412" s="7" t="s">
        <v>1382</v>
      </c>
      <c r="C412" s="17" t="s">
        <v>422</v>
      </c>
      <c r="D412" s="5" t="s">
        <v>423</v>
      </c>
      <c r="E412" s="5" t="s">
        <v>427</v>
      </c>
      <c r="F412" s="5">
        <v>106.53</v>
      </c>
      <c r="G412" s="5" t="s">
        <v>26</v>
      </c>
      <c r="H412" s="18">
        <v>65.689454545454538</v>
      </c>
      <c r="I412" s="19" t="s">
        <v>27</v>
      </c>
      <c r="J412" s="60">
        <v>0.35054545454546826</v>
      </c>
      <c r="K412" s="5" t="s">
        <v>44</v>
      </c>
      <c r="L412" s="101" t="s">
        <v>192</v>
      </c>
      <c r="M412" s="59">
        <v>-0.18</v>
      </c>
      <c r="N412" s="59">
        <v>11.083872000000003</v>
      </c>
      <c r="O412" s="59">
        <v>0.66217800000000082</v>
      </c>
      <c r="AG412" s="107"/>
      <c r="AN412" s="115"/>
      <c r="BU412" s="61"/>
    </row>
    <row r="413" spans="1:73" x14ac:dyDescent="0.35">
      <c r="A413" s="7" t="s">
        <v>1379</v>
      </c>
      <c r="B413" s="7" t="s">
        <v>1382</v>
      </c>
      <c r="C413" s="17" t="s">
        <v>422</v>
      </c>
      <c r="D413" s="5" t="s">
        <v>423</v>
      </c>
      <c r="E413" s="5" t="s">
        <v>428</v>
      </c>
      <c r="F413" s="5">
        <v>106.93</v>
      </c>
      <c r="G413" s="5" t="s">
        <v>26</v>
      </c>
      <c r="H413" s="18">
        <v>65.691636363636363</v>
      </c>
      <c r="I413" s="19" t="s">
        <v>27</v>
      </c>
      <c r="J413" s="60">
        <v>0.34836363636364354</v>
      </c>
      <c r="K413" s="5" t="s">
        <v>44</v>
      </c>
      <c r="L413" s="101" t="s">
        <v>192</v>
      </c>
      <c r="M413" s="59">
        <v>0.22</v>
      </c>
      <c r="N413" s="59">
        <v>9.3123520000000006</v>
      </c>
      <c r="O413" s="59">
        <v>-1.1093420000000016</v>
      </c>
      <c r="AG413" s="107"/>
      <c r="AN413" s="115"/>
      <c r="BU413" s="61"/>
    </row>
    <row r="414" spans="1:73" x14ac:dyDescent="0.35">
      <c r="A414" s="7" t="s">
        <v>1379</v>
      </c>
      <c r="B414" s="7" t="s">
        <v>1382</v>
      </c>
      <c r="C414" s="17" t="s">
        <v>422</v>
      </c>
      <c r="D414" s="5" t="s">
        <v>423</v>
      </c>
      <c r="E414" s="5" t="s">
        <v>429</v>
      </c>
      <c r="F414" s="5">
        <v>107.01</v>
      </c>
      <c r="G414" s="5" t="s">
        <v>26</v>
      </c>
      <c r="H414" s="18">
        <v>65.692072727272731</v>
      </c>
      <c r="I414" s="19" t="s">
        <v>27</v>
      </c>
      <c r="J414" s="60">
        <v>0.34792727272727575</v>
      </c>
      <c r="K414" s="5" t="s">
        <v>44</v>
      </c>
      <c r="L414" s="101" t="s">
        <v>192</v>
      </c>
      <c r="M414" s="59">
        <v>-0.03</v>
      </c>
      <c r="N414" s="59">
        <v>10.418427000000001</v>
      </c>
      <c r="O414" s="59">
        <v>-3.2670000000010191E-3</v>
      </c>
      <c r="AG414" s="107"/>
      <c r="AN414" s="115"/>
      <c r="BU414" s="61"/>
    </row>
    <row r="415" spans="1:73" x14ac:dyDescent="0.35">
      <c r="A415" s="7" t="s">
        <v>1379</v>
      </c>
      <c r="B415" s="7" t="s">
        <v>1382</v>
      </c>
      <c r="C415" s="17" t="s">
        <v>422</v>
      </c>
      <c r="D415" s="5" t="s">
        <v>423</v>
      </c>
      <c r="E415" s="5" t="s">
        <v>430</v>
      </c>
      <c r="F415" s="5">
        <v>107.93</v>
      </c>
      <c r="G415" s="5" t="s">
        <v>26</v>
      </c>
      <c r="H415" s="18">
        <v>65.697090909090903</v>
      </c>
      <c r="I415" s="19" t="s">
        <v>27</v>
      </c>
      <c r="J415" s="60">
        <v>0.34290909090910304</v>
      </c>
      <c r="K415" s="5" t="s">
        <v>44</v>
      </c>
      <c r="L415" s="101" t="s">
        <v>192</v>
      </c>
      <c r="M415" s="59">
        <v>-0.11</v>
      </c>
      <c r="N415" s="59">
        <v>10.773163000000004</v>
      </c>
      <c r="O415" s="59">
        <v>0.35146900000000159</v>
      </c>
      <c r="AG415" s="107"/>
      <c r="AN415" s="115"/>
      <c r="BU415" s="61"/>
    </row>
    <row r="416" spans="1:73" x14ac:dyDescent="0.35">
      <c r="A416" s="7" t="s">
        <v>1379</v>
      </c>
      <c r="B416" s="7" t="s">
        <v>1382</v>
      </c>
      <c r="C416" s="17" t="s">
        <v>422</v>
      </c>
      <c r="D416" s="5" t="s">
        <v>423</v>
      </c>
      <c r="E416" s="5" t="s">
        <v>431</v>
      </c>
      <c r="F416" s="5">
        <v>108.01</v>
      </c>
      <c r="G416" s="5" t="s">
        <v>26</v>
      </c>
      <c r="H416" s="18">
        <v>65.697527272727271</v>
      </c>
      <c r="I416" s="19" t="s">
        <v>27</v>
      </c>
      <c r="J416" s="60">
        <v>0.34247272727273526</v>
      </c>
      <c r="K416" s="5" t="s">
        <v>44</v>
      </c>
      <c r="L416" s="101" t="s">
        <v>192</v>
      </c>
      <c r="M416" s="59">
        <v>-0.05</v>
      </c>
      <c r="N416" s="59">
        <v>10.507075000000002</v>
      </c>
      <c r="O416" s="59">
        <v>8.5380999999999929E-2</v>
      </c>
      <c r="AG416" s="107"/>
      <c r="AN416" s="115"/>
      <c r="BU416" s="61"/>
    </row>
    <row r="417" spans="1:73" x14ac:dyDescent="0.35">
      <c r="A417" s="7" t="s">
        <v>1379</v>
      </c>
      <c r="B417" s="7" t="s">
        <v>1382</v>
      </c>
      <c r="C417" s="17" t="s">
        <v>422</v>
      </c>
      <c r="D417" s="5" t="s">
        <v>423</v>
      </c>
      <c r="E417" s="5" t="s">
        <v>432</v>
      </c>
      <c r="F417" s="5">
        <v>108.13</v>
      </c>
      <c r="G417" s="5" t="s">
        <v>26</v>
      </c>
      <c r="H417" s="18">
        <v>65.698181818181823</v>
      </c>
      <c r="I417" s="19" t="s">
        <v>27</v>
      </c>
      <c r="J417" s="60">
        <v>0.34181818181818358</v>
      </c>
      <c r="K417" s="5" t="s">
        <v>44</v>
      </c>
      <c r="L417" s="101" t="s">
        <v>192</v>
      </c>
      <c r="M417" s="59">
        <v>0.09</v>
      </c>
      <c r="N417" s="59">
        <v>9.8870430000000038</v>
      </c>
      <c r="O417" s="59">
        <v>-0.53465099999999843</v>
      </c>
      <c r="AG417" s="107"/>
      <c r="AN417" s="115"/>
      <c r="BU417" s="61"/>
    </row>
    <row r="418" spans="1:73" x14ac:dyDescent="0.35">
      <c r="A418" s="7" t="s">
        <v>1379</v>
      </c>
      <c r="B418" s="7" t="s">
        <v>1382</v>
      </c>
      <c r="C418" s="17" t="s">
        <v>422</v>
      </c>
      <c r="D418" s="5" t="s">
        <v>423</v>
      </c>
      <c r="E418" s="5" t="s">
        <v>433</v>
      </c>
      <c r="F418" s="5">
        <v>108.21</v>
      </c>
      <c r="G418" s="5" t="s">
        <v>26</v>
      </c>
      <c r="H418" s="18">
        <v>65.698618181818176</v>
      </c>
      <c r="I418" s="19" t="s">
        <v>27</v>
      </c>
      <c r="J418" s="60">
        <v>0.34138181818183</v>
      </c>
      <c r="K418" s="5" t="s">
        <v>44</v>
      </c>
      <c r="L418" s="101" t="s">
        <v>192</v>
      </c>
      <c r="M418" s="59">
        <v>-0.01</v>
      </c>
      <c r="N418" s="59">
        <v>10.329803000000002</v>
      </c>
      <c r="O418" s="59">
        <v>-9.1891000000000389E-2</v>
      </c>
      <c r="AG418" s="107"/>
      <c r="AN418" s="115"/>
      <c r="BU418" s="61"/>
    </row>
    <row r="419" spans="1:73" x14ac:dyDescent="0.35">
      <c r="A419" s="7" t="s">
        <v>1379</v>
      </c>
      <c r="B419" s="7" t="s">
        <v>1382</v>
      </c>
      <c r="C419" s="17" t="s">
        <v>422</v>
      </c>
      <c r="D419" s="5" t="s">
        <v>423</v>
      </c>
      <c r="E419" s="5" t="s">
        <v>434</v>
      </c>
      <c r="F419" s="5">
        <v>108.33</v>
      </c>
      <c r="G419" s="5" t="s">
        <v>26</v>
      </c>
      <c r="H419" s="18">
        <v>65.699272727272728</v>
      </c>
      <c r="I419" s="19" t="s">
        <v>27</v>
      </c>
      <c r="J419" s="60">
        <v>0.34072727272727832</v>
      </c>
      <c r="K419" s="5" t="s">
        <v>44</v>
      </c>
      <c r="L419" s="101" t="s">
        <v>192</v>
      </c>
      <c r="M419" s="59">
        <v>0.19</v>
      </c>
      <c r="N419" s="59">
        <v>9.4448830000000008</v>
      </c>
      <c r="O419" s="59">
        <v>-0.97681100000000143</v>
      </c>
      <c r="AG419" s="107"/>
      <c r="AN419" s="115"/>
      <c r="BU419" s="61"/>
    </row>
    <row r="420" spans="1:73" x14ac:dyDescent="0.35">
      <c r="A420" s="7" t="s">
        <v>1379</v>
      </c>
      <c r="B420" s="7" t="s">
        <v>1382</v>
      </c>
      <c r="C420" s="17" t="s">
        <v>422</v>
      </c>
      <c r="D420" s="5" t="s">
        <v>423</v>
      </c>
      <c r="E420" s="5" t="s">
        <v>435</v>
      </c>
      <c r="F420" s="5">
        <v>108.41</v>
      </c>
      <c r="G420" s="5" t="s">
        <v>26</v>
      </c>
      <c r="H420" s="18">
        <v>65.699709090909096</v>
      </c>
      <c r="I420" s="19" t="s">
        <v>27</v>
      </c>
      <c r="J420" s="60">
        <v>0.34029090909091053</v>
      </c>
      <c r="K420" s="5" t="s">
        <v>44</v>
      </c>
      <c r="L420" s="101" t="s">
        <v>192</v>
      </c>
      <c r="M420" s="59">
        <v>0.08</v>
      </c>
      <c r="N420" s="59">
        <v>9.9312920000000009</v>
      </c>
      <c r="O420" s="59">
        <v>-0.49040200000000134</v>
      </c>
      <c r="AG420" s="107"/>
      <c r="AN420" s="115"/>
      <c r="BU420" s="61"/>
    </row>
    <row r="421" spans="1:73" x14ac:dyDescent="0.35">
      <c r="A421" s="7" t="s">
        <v>1379</v>
      </c>
      <c r="B421" s="7" t="s">
        <v>1382</v>
      </c>
      <c r="C421" s="17" t="s">
        <v>422</v>
      </c>
      <c r="D421" s="5" t="s">
        <v>423</v>
      </c>
      <c r="E421" s="5" t="s">
        <v>436</v>
      </c>
      <c r="F421" s="5">
        <v>108.53</v>
      </c>
      <c r="G421" s="5" t="s">
        <v>26</v>
      </c>
      <c r="H421" s="18">
        <v>65.700363636363633</v>
      </c>
      <c r="I421" s="19" t="s">
        <v>27</v>
      </c>
      <c r="J421" s="60">
        <v>0.33963636363637306</v>
      </c>
      <c r="K421" s="5" t="s">
        <v>44</v>
      </c>
      <c r="L421" s="101" t="s">
        <v>192</v>
      </c>
      <c r="M421" s="59">
        <v>-0.1</v>
      </c>
      <c r="N421" s="59">
        <v>10.728800000000001</v>
      </c>
      <c r="O421" s="59">
        <v>0.30710599999999921</v>
      </c>
      <c r="AG421" s="107"/>
      <c r="AN421" s="115"/>
      <c r="BU421" s="61"/>
    </row>
    <row r="422" spans="1:73" x14ac:dyDescent="0.35">
      <c r="A422" s="7" t="s">
        <v>1379</v>
      </c>
      <c r="B422" s="7" t="s">
        <v>1382</v>
      </c>
      <c r="C422" s="17" t="s">
        <v>422</v>
      </c>
      <c r="D422" s="5" t="s">
        <v>423</v>
      </c>
      <c r="E422" s="5" t="s">
        <v>437</v>
      </c>
      <c r="F422" s="5">
        <v>108.73</v>
      </c>
      <c r="G422" s="5" t="s">
        <v>26</v>
      </c>
      <c r="H422" s="18">
        <v>65.701454545454538</v>
      </c>
      <c r="I422" s="19" t="s">
        <v>27</v>
      </c>
      <c r="J422" s="60">
        <v>0.33854545454546781</v>
      </c>
      <c r="K422" s="5" t="s">
        <v>44</v>
      </c>
      <c r="L422" s="101" t="s">
        <v>192</v>
      </c>
      <c r="M422" s="59">
        <v>-0.09</v>
      </c>
      <c r="N422" s="59">
        <v>10.684443000000002</v>
      </c>
      <c r="O422" s="59">
        <v>0.26274899999999946</v>
      </c>
      <c r="AG422" s="107"/>
      <c r="AN422" s="115"/>
      <c r="BU422" s="61"/>
    </row>
    <row r="423" spans="1:73" x14ac:dyDescent="0.35">
      <c r="A423" s="7" t="s">
        <v>1379</v>
      </c>
      <c r="B423" s="7" t="s">
        <v>1382</v>
      </c>
      <c r="C423" s="17" t="s">
        <v>422</v>
      </c>
      <c r="D423" s="5" t="s">
        <v>423</v>
      </c>
      <c r="E423" s="5" t="s">
        <v>438</v>
      </c>
      <c r="F423" s="5">
        <v>108.93</v>
      </c>
      <c r="G423" s="5" t="s">
        <v>26</v>
      </c>
      <c r="H423" s="18">
        <v>65.702545454545458</v>
      </c>
      <c r="I423" s="19" t="s">
        <v>27</v>
      </c>
      <c r="J423" s="60">
        <v>0.33745454545454834</v>
      </c>
      <c r="K423" s="5" t="s">
        <v>44</v>
      </c>
      <c r="L423" s="101" t="s">
        <v>192</v>
      </c>
      <c r="M423" s="59">
        <v>0.31</v>
      </c>
      <c r="N423" s="59">
        <v>8.9150830000000028</v>
      </c>
      <c r="O423" s="59">
        <v>-1.5066109999999995</v>
      </c>
      <c r="AG423" s="107"/>
      <c r="AN423" s="115"/>
      <c r="BU423" s="61"/>
    </row>
    <row r="424" spans="1:73" x14ac:dyDescent="0.35">
      <c r="A424" s="7" t="s">
        <v>1379</v>
      </c>
      <c r="B424" s="7" t="s">
        <v>1382</v>
      </c>
      <c r="C424" s="17" t="s">
        <v>422</v>
      </c>
      <c r="D424" s="5" t="s">
        <v>423</v>
      </c>
      <c r="E424" s="5" t="s">
        <v>439</v>
      </c>
      <c r="F424" s="5">
        <v>109.01</v>
      </c>
      <c r="G424" s="5" t="s">
        <v>26</v>
      </c>
      <c r="H424" s="18">
        <v>65.702981818181811</v>
      </c>
      <c r="I424" s="19" t="s">
        <v>27</v>
      </c>
      <c r="J424" s="60">
        <v>0.33701818181819476</v>
      </c>
      <c r="K424" s="5" t="s">
        <v>44</v>
      </c>
      <c r="L424" s="101" t="s">
        <v>192</v>
      </c>
      <c r="M424" s="59">
        <v>0.04</v>
      </c>
      <c r="N424" s="59">
        <v>10.108348000000003</v>
      </c>
      <c r="O424" s="59">
        <v>-0.31334599999999924</v>
      </c>
      <c r="AG424" s="107"/>
      <c r="AN424" s="115"/>
      <c r="BU424" s="61"/>
    </row>
    <row r="425" spans="1:73" x14ac:dyDescent="0.35">
      <c r="A425" s="7" t="s">
        <v>1379</v>
      </c>
      <c r="B425" s="7" t="s">
        <v>1382</v>
      </c>
      <c r="C425" s="17" t="s">
        <v>422</v>
      </c>
      <c r="D425" s="5" t="s">
        <v>423</v>
      </c>
      <c r="E425" s="5" t="s">
        <v>440</v>
      </c>
      <c r="F425" s="5">
        <v>110.13</v>
      </c>
      <c r="G425" s="5" t="s">
        <v>26</v>
      </c>
      <c r="H425" s="18">
        <v>65.709090909090904</v>
      </c>
      <c r="I425" s="19" t="s">
        <v>27</v>
      </c>
      <c r="J425" s="60">
        <v>0.33090909090910259</v>
      </c>
      <c r="K425" s="5" t="s">
        <v>44</v>
      </c>
      <c r="L425" s="101" t="s">
        <v>192</v>
      </c>
      <c r="M425" s="59">
        <v>0.26</v>
      </c>
      <c r="N425" s="59">
        <v>9.1357280000000021</v>
      </c>
      <c r="O425" s="59">
        <v>-1.2859660000000002</v>
      </c>
      <c r="AG425" s="107"/>
      <c r="AN425" s="115"/>
      <c r="BU425" s="61"/>
    </row>
    <row r="426" spans="1:73" x14ac:dyDescent="0.35">
      <c r="A426" s="7" t="s">
        <v>1379</v>
      </c>
      <c r="B426" s="7" t="s">
        <v>1382</v>
      </c>
      <c r="C426" s="17" t="s">
        <v>422</v>
      </c>
      <c r="D426" s="5" t="s">
        <v>423</v>
      </c>
      <c r="E426" s="5" t="s">
        <v>441</v>
      </c>
      <c r="F426" s="5">
        <v>110.33</v>
      </c>
      <c r="G426" s="5" t="s">
        <v>26</v>
      </c>
      <c r="H426" s="18">
        <v>65.710181818181823</v>
      </c>
      <c r="I426" s="19" t="s">
        <v>27</v>
      </c>
      <c r="J426" s="60">
        <v>0.32981818181818312</v>
      </c>
      <c r="K426" s="5" t="s">
        <v>44</v>
      </c>
      <c r="L426" s="101" t="s">
        <v>192</v>
      </c>
      <c r="M426" s="59">
        <v>0.27</v>
      </c>
      <c r="N426" s="59">
        <v>9.0915870000000023</v>
      </c>
      <c r="O426" s="59">
        <v>-1.3301069999999999</v>
      </c>
      <c r="AG426" s="107"/>
      <c r="AN426" s="115"/>
      <c r="BU426" s="61"/>
    </row>
    <row r="427" spans="1:73" x14ac:dyDescent="0.35">
      <c r="A427" s="7" t="s">
        <v>1379</v>
      </c>
      <c r="B427" s="7" t="s">
        <v>1382</v>
      </c>
      <c r="C427" s="17" t="s">
        <v>422</v>
      </c>
      <c r="D427" s="5" t="s">
        <v>423</v>
      </c>
      <c r="E427" s="5" t="s">
        <v>442</v>
      </c>
      <c r="F427" s="5">
        <v>110.73</v>
      </c>
      <c r="G427" s="5" t="s">
        <v>26</v>
      </c>
      <c r="H427" s="18">
        <v>65.712363636363634</v>
      </c>
      <c r="I427" s="19" t="s">
        <v>27</v>
      </c>
      <c r="J427" s="60">
        <v>0.32763636363637261</v>
      </c>
      <c r="K427" s="5" t="s">
        <v>44</v>
      </c>
      <c r="L427" s="101" t="s">
        <v>192</v>
      </c>
      <c r="M427" s="59">
        <v>-0.1</v>
      </c>
      <c r="N427" s="59">
        <v>10.728800000000001</v>
      </c>
      <c r="O427" s="59">
        <v>0.30710599999999921</v>
      </c>
      <c r="AG427" s="107"/>
      <c r="AN427" s="115"/>
      <c r="BU427" s="61"/>
    </row>
    <row r="428" spans="1:73" x14ac:dyDescent="0.35">
      <c r="A428" s="7" t="s">
        <v>1379</v>
      </c>
      <c r="B428" s="7" t="s">
        <v>1382</v>
      </c>
      <c r="C428" s="17" t="s">
        <v>422</v>
      </c>
      <c r="D428" s="5" t="s">
        <v>423</v>
      </c>
      <c r="E428" s="5" t="s">
        <v>443</v>
      </c>
      <c r="F428" s="5">
        <v>111.33</v>
      </c>
      <c r="G428" s="5" t="s">
        <v>26</v>
      </c>
      <c r="H428" s="18">
        <v>65.715636363636364</v>
      </c>
      <c r="I428" s="19" t="s">
        <v>27</v>
      </c>
      <c r="J428" s="60">
        <v>0.32436363636364263</v>
      </c>
      <c r="K428" s="5" t="s">
        <v>44</v>
      </c>
      <c r="L428" s="101" t="s">
        <v>192</v>
      </c>
      <c r="M428" s="59">
        <v>-0.06</v>
      </c>
      <c r="N428" s="59">
        <v>10.551408000000002</v>
      </c>
      <c r="O428" s="59">
        <v>0.12971399999999988</v>
      </c>
      <c r="AG428" s="107"/>
      <c r="AN428" s="115"/>
      <c r="BU428" s="61"/>
    </row>
    <row r="429" spans="1:73" x14ac:dyDescent="0.35">
      <c r="A429" s="7" t="s">
        <v>1379</v>
      </c>
      <c r="B429" s="7" t="s">
        <v>1382</v>
      </c>
      <c r="C429" s="17" t="s">
        <v>422</v>
      </c>
      <c r="D429" s="5" t="s">
        <v>423</v>
      </c>
      <c r="E429" s="5" t="s">
        <v>444</v>
      </c>
      <c r="F429" s="5">
        <v>111.61</v>
      </c>
      <c r="G429" s="5" t="s">
        <v>26</v>
      </c>
      <c r="H429" s="18">
        <v>65.717163636363637</v>
      </c>
      <c r="I429" s="19" t="s">
        <v>27</v>
      </c>
      <c r="J429" s="60">
        <v>0.32283636363636958</v>
      </c>
      <c r="K429" s="5" t="s">
        <v>44</v>
      </c>
      <c r="L429" s="101" t="s">
        <v>192</v>
      </c>
      <c r="M429" s="59">
        <v>7.0000000000000007E-2</v>
      </c>
      <c r="N429" s="59">
        <v>9.9755470000000024</v>
      </c>
      <c r="O429" s="59">
        <v>-0.44614699999999985</v>
      </c>
      <c r="AG429" s="107"/>
      <c r="AN429" s="115"/>
      <c r="BU429" s="61"/>
    </row>
    <row r="430" spans="1:73" x14ac:dyDescent="0.35">
      <c r="A430" s="7" t="s">
        <v>1379</v>
      </c>
      <c r="B430" s="7" t="s">
        <v>1382</v>
      </c>
      <c r="C430" s="17" t="s">
        <v>422</v>
      </c>
      <c r="D430" s="5" t="s">
        <v>423</v>
      </c>
      <c r="E430" s="5" t="s">
        <v>445</v>
      </c>
      <c r="F430" s="5">
        <v>111.93</v>
      </c>
      <c r="G430" s="5" t="s">
        <v>26</v>
      </c>
      <c r="H430" s="18">
        <v>65.718909090909094</v>
      </c>
      <c r="I430" s="19" t="s">
        <v>27</v>
      </c>
      <c r="J430" s="60">
        <v>0.32109090909091265</v>
      </c>
      <c r="K430" s="5" t="s">
        <v>44</v>
      </c>
      <c r="L430" s="101" t="s">
        <v>192</v>
      </c>
      <c r="M430" s="59">
        <v>-0.14000000000000001</v>
      </c>
      <c r="N430" s="59">
        <v>10.906288000000004</v>
      </c>
      <c r="O430" s="59">
        <v>0.4845940000000013</v>
      </c>
      <c r="AG430" s="107"/>
      <c r="AN430" s="115"/>
      <c r="BU430" s="61"/>
    </row>
    <row r="431" spans="1:73" x14ac:dyDescent="0.35">
      <c r="A431" s="7" t="s">
        <v>1379</v>
      </c>
      <c r="B431" s="7" t="s">
        <v>1382</v>
      </c>
      <c r="C431" s="17" t="s">
        <v>422</v>
      </c>
      <c r="D431" s="5" t="s">
        <v>423</v>
      </c>
      <c r="E431" s="5" t="s">
        <v>446</v>
      </c>
      <c r="F431" s="5">
        <v>112.11</v>
      </c>
      <c r="G431" s="5" t="s">
        <v>26</v>
      </c>
      <c r="H431" s="18">
        <v>65.719890909090907</v>
      </c>
      <c r="I431" s="19" t="s">
        <v>27</v>
      </c>
      <c r="J431" s="60">
        <v>0.32010909090909934</v>
      </c>
      <c r="K431" s="5" t="s">
        <v>44</v>
      </c>
      <c r="L431" s="101" t="s">
        <v>192</v>
      </c>
      <c r="M431" s="59">
        <v>0.02</v>
      </c>
      <c r="N431" s="59">
        <v>10.196912000000001</v>
      </c>
      <c r="O431" s="59">
        <v>-0.22478200000000115</v>
      </c>
      <c r="AG431" s="107"/>
      <c r="AN431" s="115"/>
      <c r="BU431" s="61"/>
    </row>
    <row r="432" spans="1:73" x14ac:dyDescent="0.35">
      <c r="A432" s="7" t="s">
        <v>1379</v>
      </c>
      <c r="B432" s="7" t="s">
        <v>1382</v>
      </c>
      <c r="C432" s="17" t="s">
        <v>422</v>
      </c>
      <c r="D432" s="5" t="s">
        <v>423</v>
      </c>
      <c r="E432" s="5" t="s">
        <v>447</v>
      </c>
      <c r="F432" s="5">
        <v>112.5</v>
      </c>
      <c r="G432" s="5" t="s">
        <v>26</v>
      </c>
      <c r="H432" s="18">
        <v>65.839080459770116</v>
      </c>
      <c r="I432" s="19" t="s">
        <v>27</v>
      </c>
      <c r="J432" s="60">
        <v>0.20091954022989</v>
      </c>
      <c r="K432" s="5" t="s">
        <v>44</v>
      </c>
      <c r="L432" s="101" t="s">
        <v>192</v>
      </c>
      <c r="M432" s="59">
        <v>0.12</v>
      </c>
      <c r="N432" s="59">
        <v>9.7543320000000033</v>
      </c>
      <c r="O432" s="59">
        <v>-0.6673619999999989</v>
      </c>
      <c r="AG432" s="107"/>
      <c r="AN432" s="115"/>
      <c r="BU432" s="61"/>
    </row>
    <row r="433" spans="1:73" x14ac:dyDescent="0.35">
      <c r="A433" s="7" t="s">
        <v>1379</v>
      </c>
      <c r="B433" s="7" t="s">
        <v>1382</v>
      </c>
      <c r="C433" s="17" t="s">
        <v>422</v>
      </c>
      <c r="D433" s="5" t="s">
        <v>423</v>
      </c>
      <c r="E433" s="5" t="s">
        <v>448</v>
      </c>
      <c r="F433" s="5">
        <v>112.6</v>
      </c>
      <c r="G433" s="5" t="s">
        <v>26</v>
      </c>
      <c r="H433" s="18">
        <v>65.871264367816096</v>
      </c>
      <c r="I433" s="19" t="s">
        <v>27</v>
      </c>
      <c r="J433" s="60">
        <v>0.16873563218391041</v>
      </c>
      <c r="K433" s="5" t="s">
        <v>44</v>
      </c>
      <c r="L433" s="101" t="s">
        <v>192</v>
      </c>
      <c r="M433" s="59">
        <v>-0.02</v>
      </c>
      <c r="N433" s="59">
        <v>10.374112000000002</v>
      </c>
      <c r="O433" s="59">
        <v>-4.7582000000000235E-2</v>
      </c>
      <c r="AG433" s="107"/>
      <c r="AN433" s="115"/>
      <c r="BU433" s="61"/>
    </row>
    <row r="434" spans="1:73" x14ac:dyDescent="0.35">
      <c r="A434" s="7" t="s">
        <v>1379</v>
      </c>
      <c r="B434" s="7" t="s">
        <v>1382</v>
      </c>
      <c r="C434" s="17" t="s">
        <v>422</v>
      </c>
      <c r="D434" s="5" t="s">
        <v>423</v>
      </c>
      <c r="E434" s="5" t="s">
        <v>449</v>
      </c>
      <c r="F434" s="5">
        <v>112.66</v>
      </c>
      <c r="G434" s="5" t="s">
        <v>26</v>
      </c>
      <c r="H434" s="18">
        <v>65.890574712643684</v>
      </c>
      <c r="I434" s="19" t="s">
        <v>27</v>
      </c>
      <c r="J434" s="60">
        <v>0.14942528735632266</v>
      </c>
      <c r="K434" s="5" t="s">
        <v>44</v>
      </c>
      <c r="L434" s="101" t="s">
        <v>192</v>
      </c>
      <c r="M434" s="59">
        <v>0.14000000000000001</v>
      </c>
      <c r="N434" s="59">
        <v>9.6658880000000025</v>
      </c>
      <c r="O434" s="59">
        <v>-0.75580599999999976</v>
      </c>
      <c r="AG434" s="107"/>
      <c r="AN434" s="115"/>
      <c r="BU434" s="61"/>
    </row>
    <row r="435" spans="1:73" x14ac:dyDescent="0.35">
      <c r="A435" s="7" t="s">
        <v>1379</v>
      </c>
      <c r="B435" s="7" t="s">
        <v>1382</v>
      </c>
      <c r="C435" s="17" t="s">
        <v>422</v>
      </c>
      <c r="D435" s="5" t="s">
        <v>423</v>
      </c>
      <c r="E435" s="5" t="s">
        <v>450</v>
      </c>
      <c r="F435" s="5">
        <v>112.88</v>
      </c>
      <c r="G435" s="5" t="s">
        <v>26</v>
      </c>
      <c r="H435" s="18">
        <v>65.961379310344824</v>
      </c>
      <c r="I435" s="19" t="s">
        <v>27</v>
      </c>
      <c r="J435" s="60">
        <v>7.8620689655181764E-2</v>
      </c>
      <c r="K435" s="5" t="s">
        <v>44</v>
      </c>
      <c r="L435" s="101" t="s">
        <v>192</v>
      </c>
      <c r="M435" s="59">
        <v>-0.09</v>
      </c>
      <c r="N435" s="59">
        <v>10.684443000000002</v>
      </c>
      <c r="O435" s="59">
        <v>0.26274899999999946</v>
      </c>
      <c r="AG435" s="107"/>
      <c r="AN435" s="115"/>
      <c r="BU435" s="61"/>
    </row>
    <row r="436" spans="1:73" x14ac:dyDescent="0.35">
      <c r="A436" s="7" t="s">
        <v>1379</v>
      </c>
      <c r="B436" s="7" t="s">
        <v>1382</v>
      </c>
      <c r="C436" s="17" t="s">
        <v>422</v>
      </c>
      <c r="D436" s="5" t="s">
        <v>423</v>
      </c>
      <c r="E436" s="5" t="s">
        <v>451</v>
      </c>
      <c r="F436" s="5">
        <v>113.5</v>
      </c>
      <c r="G436" s="5" t="s">
        <v>26</v>
      </c>
      <c r="H436" s="18">
        <v>66.154376996805112</v>
      </c>
      <c r="I436" s="19" t="s">
        <v>27</v>
      </c>
      <c r="J436" s="60">
        <v>-0.11437699680510605</v>
      </c>
      <c r="K436" s="5" t="s">
        <v>44</v>
      </c>
      <c r="L436" s="101" t="s">
        <v>192</v>
      </c>
      <c r="M436" s="59">
        <v>0.34</v>
      </c>
      <c r="N436" s="59">
        <v>8.7827680000000026</v>
      </c>
      <c r="O436" s="59">
        <v>-1.6389259999999997</v>
      </c>
      <c r="AG436" s="107"/>
      <c r="AN436" s="115"/>
      <c r="BU436" s="61"/>
    </row>
    <row r="437" spans="1:73" x14ac:dyDescent="0.35">
      <c r="A437" s="7" t="s">
        <v>1379</v>
      </c>
      <c r="B437" s="7" t="s">
        <v>1382</v>
      </c>
      <c r="C437" s="17" t="s">
        <v>422</v>
      </c>
      <c r="D437" s="5" t="s">
        <v>423</v>
      </c>
      <c r="E437" s="5" t="s">
        <v>452</v>
      </c>
      <c r="F437" s="5">
        <v>113.58</v>
      </c>
      <c r="G437" s="5" t="s">
        <v>26</v>
      </c>
      <c r="H437" s="18">
        <v>66.172677316293928</v>
      </c>
      <c r="I437" s="19" t="s">
        <v>27</v>
      </c>
      <c r="J437" s="60">
        <v>-0.13267731629392188</v>
      </c>
      <c r="K437" s="5" t="s">
        <v>44</v>
      </c>
      <c r="L437" s="101" t="s">
        <v>192</v>
      </c>
      <c r="M437" s="59">
        <v>-0.49</v>
      </c>
      <c r="N437" s="59">
        <v>12.463403</v>
      </c>
      <c r="O437" s="59">
        <v>2.0417089999999973</v>
      </c>
      <c r="AG437" s="107"/>
      <c r="AN437" s="115"/>
      <c r="BU437" s="61"/>
    </row>
    <row r="438" spans="1:73" x14ac:dyDescent="0.35">
      <c r="A438" s="7" t="s">
        <v>1379</v>
      </c>
      <c r="B438" s="7" t="s">
        <v>1382</v>
      </c>
      <c r="C438" s="17" t="s">
        <v>422</v>
      </c>
      <c r="D438" s="5" t="s">
        <v>423</v>
      </c>
      <c r="E438" s="5" t="s">
        <v>453</v>
      </c>
      <c r="F438" s="5">
        <v>106.61</v>
      </c>
      <c r="G438" s="5" t="s">
        <v>26</v>
      </c>
      <c r="H438" s="18">
        <v>65.689890909090906</v>
      </c>
      <c r="I438" s="19" t="s">
        <v>27</v>
      </c>
      <c r="J438" s="60">
        <v>0.35010909090910047</v>
      </c>
      <c r="K438" s="5" t="s">
        <v>44</v>
      </c>
      <c r="L438" s="101" t="s">
        <v>188</v>
      </c>
      <c r="M438" s="59">
        <v>-0.27</v>
      </c>
      <c r="N438" s="59">
        <v>11.261552000000002</v>
      </c>
      <c r="O438" s="59">
        <v>0.83985799999999955</v>
      </c>
      <c r="AG438" s="107"/>
      <c r="AN438" s="115"/>
      <c r="BU438" s="61"/>
    </row>
    <row r="439" spans="1:73" x14ac:dyDescent="0.35">
      <c r="A439" s="7" t="s">
        <v>1379</v>
      </c>
      <c r="B439" s="7" t="s">
        <v>1382</v>
      </c>
      <c r="C439" s="17" t="s">
        <v>422</v>
      </c>
      <c r="D439" s="5" t="s">
        <v>423</v>
      </c>
      <c r="E439" s="5" t="s">
        <v>454</v>
      </c>
      <c r="F439" s="5">
        <v>106.73</v>
      </c>
      <c r="G439" s="5" t="s">
        <v>26</v>
      </c>
      <c r="H439" s="18">
        <v>65.690545454545457</v>
      </c>
      <c r="I439" s="19" t="s">
        <v>27</v>
      </c>
      <c r="J439" s="60">
        <v>0.34945454545454879</v>
      </c>
      <c r="K439" s="5" t="s">
        <v>44</v>
      </c>
      <c r="L439" s="101" t="s">
        <v>188</v>
      </c>
      <c r="M439" s="59">
        <v>-0.27</v>
      </c>
      <c r="N439" s="59">
        <v>11.261552000000002</v>
      </c>
      <c r="O439" s="59">
        <v>0.83985799999999955</v>
      </c>
      <c r="AG439" s="107"/>
      <c r="AN439" s="115"/>
      <c r="BU439" s="61"/>
    </row>
    <row r="440" spans="1:73" x14ac:dyDescent="0.35">
      <c r="A440" s="7" t="s">
        <v>1379</v>
      </c>
      <c r="B440" s="7" t="s">
        <v>1382</v>
      </c>
      <c r="C440" s="17" t="s">
        <v>422</v>
      </c>
      <c r="D440" s="5" t="s">
        <v>423</v>
      </c>
      <c r="E440" s="5" t="s">
        <v>455</v>
      </c>
      <c r="F440" s="5">
        <v>106.81</v>
      </c>
      <c r="G440" s="5" t="s">
        <v>26</v>
      </c>
      <c r="H440" s="18">
        <v>65.690981818181811</v>
      </c>
      <c r="I440" s="19" t="s">
        <v>27</v>
      </c>
      <c r="J440" s="60">
        <v>0.34901818181819522</v>
      </c>
      <c r="K440" s="5" t="s">
        <v>44</v>
      </c>
      <c r="L440" s="101" t="s">
        <v>188</v>
      </c>
      <c r="M440" s="59">
        <v>-7.0000000000000007E-2</v>
      </c>
      <c r="N440" s="59">
        <v>10.374112000000002</v>
      </c>
      <c r="O440" s="59">
        <v>-4.7582000000000235E-2</v>
      </c>
      <c r="AG440" s="107"/>
      <c r="AN440" s="115"/>
      <c r="BU440" s="61"/>
    </row>
    <row r="441" spans="1:73" x14ac:dyDescent="0.35">
      <c r="A441" s="7" t="s">
        <v>1379</v>
      </c>
      <c r="B441" s="7" t="s">
        <v>1382</v>
      </c>
      <c r="C441" s="17" t="s">
        <v>422</v>
      </c>
      <c r="D441" s="5" t="s">
        <v>423</v>
      </c>
      <c r="E441" s="5" t="s">
        <v>428</v>
      </c>
      <c r="F441" s="5">
        <v>106.93</v>
      </c>
      <c r="G441" s="5" t="s">
        <v>26</v>
      </c>
      <c r="H441" s="18">
        <v>65.691636363636363</v>
      </c>
      <c r="I441" s="19" t="s">
        <v>27</v>
      </c>
      <c r="J441" s="60">
        <v>0.34836363636364354</v>
      </c>
      <c r="K441" s="5" t="s">
        <v>44</v>
      </c>
      <c r="L441" s="101" t="s">
        <v>188</v>
      </c>
      <c r="M441" s="59">
        <v>0.09</v>
      </c>
      <c r="N441" s="59">
        <v>9.6658880000000025</v>
      </c>
      <c r="O441" s="59">
        <v>-0.75580599999999976</v>
      </c>
      <c r="AG441" s="107"/>
      <c r="AN441" s="115"/>
      <c r="BU441" s="61"/>
    </row>
    <row r="442" spans="1:73" x14ac:dyDescent="0.35">
      <c r="A442" s="7" t="s">
        <v>1379</v>
      </c>
      <c r="B442" s="7" t="s">
        <v>1382</v>
      </c>
      <c r="C442" s="17" t="s">
        <v>422</v>
      </c>
      <c r="D442" s="5" t="s">
        <v>423</v>
      </c>
      <c r="E442" s="5" t="s">
        <v>429</v>
      </c>
      <c r="F442" s="5">
        <v>107.01</v>
      </c>
      <c r="G442" s="5" t="s">
        <v>26</v>
      </c>
      <c r="H442" s="18">
        <v>65.692072727272731</v>
      </c>
      <c r="I442" s="19" t="s">
        <v>27</v>
      </c>
      <c r="J442" s="60">
        <v>0.34792727272727575</v>
      </c>
      <c r="K442" s="5" t="s">
        <v>44</v>
      </c>
      <c r="L442" s="101" t="s">
        <v>188</v>
      </c>
      <c r="M442" s="59">
        <v>-0.09</v>
      </c>
      <c r="N442" s="59">
        <v>10.462748000000001</v>
      </c>
      <c r="O442" s="59">
        <v>4.1053999999999036E-2</v>
      </c>
      <c r="AG442" s="107"/>
      <c r="AN442" s="115"/>
      <c r="BU442" s="61"/>
    </row>
    <row r="443" spans="1:73" x14ac:dyDescent="0.35">
      <c r="A443" s="7" t="s">
        <v>1379</v>
      </c>
      <c r="B443" s="7" t="s">
        <v>1382</v>
      </c>
      <c r="C443" s="17" t="s">
        <v>422</v>
      </c>
      <c r="D443" s="5" t="s">
        <v>423</v>
      </c>
      <c r="E443" s="5" t="s">
        <v>456</v>
      </c>
      <c r="F443" s="5">
        <v>107.13</v>
      </c>
      <c r="G443" s="5" t="s">
        <v>26</v>
      </c>
      <c r="H443" s="18">
        <v>65.692727272727268</v>
      </c>
      <c r="I443" s="19" t="s">
        <v>27</v>
      </c>
      <c r="J443" s="60">
        <v>0.34727272727273828</v>
      </c>
      <c r="K443" s="5" t="s">
        <v>44</v>
      </c>
      <c r="L443" s="101" t="s">
        <v>188</v>
      </c>
      <c r="M443" s="59">
        <v>-0.18</v>
      </c>
      <c r="N443" s="59">
        <v>10.861907000000002</v>
      </c>
      <c r="O443" s="59">
        <v>0.44021299999999997</v>
      </c>
      <c r="AG443" s="107"/>
      <c r="AN443" s="115"/>
      <c r="BU443" s="61"/>
    </row>
    <row r="444" spans="1:73" x14ac:dyDescent="0.35">
      <c r="A444" s="7" t="s">
        <v>1379</v>
      </c>
      <c r="B444" s="7" t="s">
        <v>1382</v>
      </c>
      <c r="C444" s="17" t="s">
        <v>422</v>
      </c>
      <c r="D444" s="5" t="s">
        <v>423</v>
      </c>
      <c r="E444" s="5" t="s">
        <v>457</v>
      </c>
      <c r="F444" s="5">
        <v>107.21</v>
      </c>
      <c r="G444" s="5" t="s">
        <v>26</v>
      </c>
      <c r="H444" s="18">
        <v>65.693163636363636</v>
      </c>
      <c r="I444" s="19" t="s">
        <v>27</v>
      </c>
      <c r="J444" s="60">
        <v>0.34683636363637049</v>
      </c>
      <c r="K444" s="5" t="s">
        <v>44</v>
      </c>
      <c r="L444" s="101" t="s">
        <v>188</v>
      </c>
      <c r="M444" s="59">
        <v>-0.12</v>
      </c>
      <c r="N444" s="59">
        <v>10.595747000000001</v>
      </c>
      <c r="O444" s="59">
        <v>0.1740529999999989</v>
      </c>
      <c r="AG444" s="107"/>
      <c r="AN444" s="115"/>
      <c r="BU444" s="61"/>
    </row>
    <row r="445" spans="1:73" x14ac:dyDescent="0.35">
      <c r="A445" s="7" t="s">
        <v>1379</v>
      </c>
      <c r="B445" s="7" t="s">
        <v>1382</v>
      </c>
      <c r="C445" s="17" t="s">
        <v>422</v>
      </c>
      <c r="D445" s="5" t="s">
        <v>423</v>
      </c>
      <c r="E445" s="5" t="s">
        <v>458</v>
      </c>
      <c r="F445" s="5">
        <v>107.33</v>
      </c>
      <c r="G445" s="5" t="s">
        <v>26</v>
      </c>
      <c r="H445" s="18">
        <v>65.693818181818173</v>
      </c>
      <c r="I445" s="19" t="s">
        <v>27</v>
      </c>
      <c r="J445" s="60">
        <v>0.34618181818183302</v>
      </c>
      <c r="K445" s="5" t="s">
        <v>44</v>
      </c>
      <c r="L445" s="101" t="s">
        <v>188</v>
      </c>
      <c r="M445" s="59">
        <v>-0.13</v>
      </c>
      <c r="N445" s="59">
        <v>10.640092000000003</v>
      </c>
      <c r="O445" s="59">
        <v>0.21839800000000054</v>
      </c>
      <c r="AG445" s="107"/>
      <c r="AN445" s="115"/>
      <c r="BU445" s="61"/>
    </row>
    <row r="446" spans="1:73" x14ac:dyDescent="0.35">
      <c r="A446" s="7" t="s">
        <v>1379</v>
      </c>
      <c r="B446" s="7" t="s">
        <v>1382</v>
      </c>
      <c r="C446" s="17" t="s">
        <v>422</v>
      </c>
      <c r="D446" s="5" t="s">
        <v>423</v>
      </c>
      <c r="E446" s="5" t="s">
        <v>459</v>
      </c>
      <c r="F446" s="5">
        <v>107.41</v>
      </c>
      <c r="G446" s="5" t="s">
        <v>26</v>
      </c>
      <c r="H446" s="18">
        <v>65.694254545454541</v>
      </c>
      <c r="I446" s="19" t="s">
        <v>27</v>
      </c>
      <c r="J446" s="60">
        <v>0.34574545454546524</v>
      </c>
      <c r="K446" s="5" t="s">
        <v>44</v>
      </c>
      <c r="L446" s="101" t="s">
        <v>188</v>
      </c>
      <c r="M446" s="59">
        <v>-0.05</v>
      </c>
      <c r="N446" s="59">
        <v>10.285500000000003</v>
      </c>
      <c r="O446" s="59">
        <v>-0.1361939999999997</v>
      </c>
      <c r="AG446" s="107"/>
      <c r="AN446" s="115"/>
      <c r="BU446" s="61"/>
    </row>
    <row r="447" spans="1:73" x14ac:dyDescent="0.35">
      <c r="A447" s="7" t="s">
        <v>1379</v>
      </c>
      <c r="B447" s="7" t="s">
        <v>1382</v>
      </c>
      <c r="C447" s="17" t="s">
        <v>422</v>
      </c>
      <c r="D447" s="5" t="s">
        <v>423</v>
      </c>
      <c r="E447" s="5" t="s">
        <v>460</v>
      </c>
      <c r="F447" s="5">
        <v>107.53</v>
      </c>
      <c r="G447" s="5" t="s">
        <v>26</v>
      </c>
      <c r="H447" s="18">
        <v>65.694909090909093</v>
      </c>
      <c r="I447" s="19" t="s">
        <v>27</v>
      </c>
      <c r="J447" s="60">
        <v>0.34509090909091356</v>
      </c>
      <c r="K447" s="5" t="s">
        <v>44</v>
      </c>
      <c r="L447" s="101" t="s">
        <v>188</v>
      </c>
      <c r="M447" s="59">
        <v>-0.04</v>
      </c>
      <c r="N447" s="59">
        <v>10.241203000000002</v>
      </c>
      <c r="O447" s="59">
        <v>-0.18049099999999996</v>
      </c>
      <c r="AG447" s="107"/>
      <c r="AN447" s="115"/>
      <c r="BU447" s="61"/>
    </row>
    <row r="448" spans="1:73" x14ac:dyDescent="0.35">
      <c r="A448" s="7" t="s">
        <v>1379</v>
      </c>
      <c r="B448" s="7" t="s">
        <v>1382</v>
      </c>
      <c r="C448" s="17" t="s">
        <v>422</v>
      </c>
      <c r="D448" s="5" t="s">
        <v>423</v>
      </c>
      <c r="E448" s="5" t="s">
        <v>461</v>
      </c>
      <c r="F448" s="5">
        <v>107.61</v>
      </c>
      <c r="G448" s="5" t="s">
        <v>26</v>
      </c>
      <c r="H448" s="18">
        <v>65.695345454545446</v>
      </c>
      <c r="I448" s="19" t="s">
        <v>27</v>
      </c>
      <c r="J448" s="60">
        <v>0.34465454545455998</v>
      </c>
      <c r="K448" s="5" t="s">
        <v>44</v>
      </c>
      <c r="L448" s="101" t="s">
        <v>188</v>
      </c>
      <c r="M448" s="59">
        <v>0.01</v>
      </c>
      <c r="N448" s="59">
        <v>10.019808000000001</v>
      </c>
      <c r="O448" s="59">
        <v>-0.40188600000000108</v>
      </c>
      <c r="AG448" s="107"/>
      <c r="AN448" s="115"/>
      <c r="BU448" s="61"/>
    </row>
    <row r="449" spans="1:73" x14ac:dyDescent="0.35">
      <c r="A449" s="7" t="s">
        <v>1379</v>
      </c>
      <c r="B449" s="7" t="s">
        <v>1382</v>
      </c>
      <c r="C449" s="17" t="s">
        <v>422</v>
      </c>
      <c r="D449" s="5" t="s">
        <v>423</v>
      </c>
      <c r="E449" s="5" t="s">
        <v>462</v>
      </c>
      <c r="F449" s="5">
        <v>107.73</v>
      </c>
      <c r="G449" s="5" t="s">
        <v>26</v>
      </c>
      <c r="H449" s="18">
        <v>65.695999999999998</v>
      </c>
      <c r="I449" s="19" t="s">
        <v>27</v>
      </c>
      <c r="J449" s="60">
        <v>0.3440000000000083</v>
      </c>
      <c r="K449" s="5" t="s">
        <v>44</v>
      </c>
      <c r="L449" s="101" t="s">
        <v>188</v>
      </c>
      <c r="M449" s="59">
        <v>-0.06</v>
      </c>
      <c r="N449" s="59">
        <v>10.329803000000002</v>
      </c>
      <c r="O449" s="59">
        <v>-9.1891000000000389E-2</v>
      </c>
      <c r="AG449" s="107"/>
      <c r="AN449" s="115"/>
      <c r="BU449" s="61"/>
    </row>
    <row r="450" spans="1:73" x14ac:dyDescent="0.35">
      <c r="A450" s="7" t="s">
        <v>1379</v>
      </c>
      <c r="B450" s="7" t="s">
        <v>1382</v>
      </c>
      <c r="C450" s="17" t="s">
        <v>422</v>
      </c>
      <c r="D450" s="5" t="s">
        <v>423</v>
      </c>
      <c r="E450" s="5" t="s">
        <v>430</v>
      </c>
      <c r="F450" s="5">
        <v>107.93</v>
      </c>
      <c r="G450" s="5" t="s">
        <v>26</v>
      </c>
      <c r="H450" s="18">
        <v>65.697090909090903</v>
      </c>
      <c r="I450" s="19" t="s">
        <v>27</v>
      </c>
      <c r="J450" s="60">
        <v>0.34290909090910304</v>
      </c>
      <c r="K450" s="5" t="s">
        <v>44</v>
      </c>
      <c r="L450" s="101" t="s">
        <v>188</v>
      </c>
      <c r="M450" s="59">
        <v>-0.22</v>
      </c>
      <c r="N450" s="59">
        <v>11.039467000000004</v>
      </c>
      <c r="O450" s="59">
        <v>0.61777300000000146</v>
      </c>
      <c r="AG450" s="107"/>
      <c r="AN450" s="115"/>
      <c r="BU450" s="61"/>
    </row>
    <row r="451" spans="1:73" x14ac:dyDescent="0.35">
      <c r="A451" s="7" t="s">
        <v>1379</v>
      </c>
      <c r="B451" s="7" t="s">
        <v>1382</v>
      </c>
      <c r="C451" s="17" t="s">
        <v>422</v>
      </c>
      <c r="D451" s="5" t="s">
        <v>423</v>
      </c>
      <c r="E451" s="5" t="s">
        <v>434</v>
      </c>
      <c r="F451" s="5">
        <v>108.33</v>
      </c>
      <c r="G451" s="5" t="s">
        <v>26</v>
      </c>
      <c r="H451" s="18">
        <v>65.699272727272728</v>
      </c>
      <c r="I451" s="19" t="s">
        <v>27</v>
      </c>
      <c r="J451" s="60">
        <v>0.34072727272727832</v>
      </c>
      <c r="K451" s="5" t="s">
        <v>44</v>
      </c>
      <c r="L451" s="101" t="s">
        <v>188</v>
      </c>
      <c r="M451" s="59">
        <v>-0.09</v>
      </c>
      <c r="N451" s="59">
        <v>10.462748000000001</v>
      </c>
      <c r="O451" s="59">
        <v>4.1053999999999036E-2</v>
      </c>
      <c r="AG451" s="107"/>
      <c r="AN451" s="115"/>
      <c r="BU451" s="61"/>
    </row>
    <row r="452" spans="1:73" x14ac:dyDescent="0.35">
      <c r="A452" s="7" t="s">
        <v>1379</v>
      </c>
      <c r="B452" s="7" t="s">
        <v>1382</v>
      </c>
      <c r="C452" s="17" t="s">
        <v>422</v>
      </c>
      <c r="D452" s="5" t="s">
        <v>423</v>
      </c>
      <c r="E452" s="5" t="s">
        <v>463</v>
      </c>
      <c r="F452" s="5">
        <v>108.61</v>
      </c>
      <c r="G452" s="5" t="s">
        <v>26</v>
      </c>
      <c r="H452" s="18">
        <v>65.700800000000001</v>
      </c>
      <c r="I452" s="19" t="s">
        <v>27</v>
      </c>
      <c r="J452" s="60">
        <v>0.33920000000000528</v>
      </c>
      <c r="K452" s="5" t="s">
        <v>44</v>
      </c>
      <c r="L452" s="101" t="s">
        <v>188</v>
      </c>
      <c r="M452" s="59">
        <v>-0.27</v>
      </c>
      <c r="N452" s="59">
        <v>11.261552000000002</v>
      </c>
      <c r="O452" s="59">
        <v>0.83985799999999955</v>
      </c>
      <c r="AG452" s="107"/>
      <c r="AN452" s="115"/>
      <c r="BU452" s="61"/>
    </row>
    <row r="453" spans="1:73" x14ac:dyDescent="0.35">
      <c r="A453" s="7" t="s">
        <v>1379</v>
      </c>
      <c r="B453" s="7" t="s">
        <v>1382</v>
      </c>
      <c r="C453" s="17" t="s">
        <v>422</v>
      </c>
      <c r="D453" s="5" t="s">
        <v>423</v>
      </c>
      <c r="E453" s="5" t="s">
        <v>464</v>
      </c>
      <c r="F453" s="5">
        <v>109.14</v>
      </c>
      <c r="G453" s="5" t="s">
        <v>26</v>
      </c>
      <c r="H453" s="18">
        <v>65.703690909090909</v>
      </c>
      <c r="I453" s="19" t="s">
        <v>27</v>
      </c>
      <c r="J453" s="60">
        <v>0.33630909090909711</v>
      </c>
      <c r="K453" s="5" t="s">
        <v>44</v>
      </c>
      <c r="L453" s="101" t="s">
        <v>188</v>
      </c>
      <c r="M453" s="59">
        <v>0.57999999999999996</v>
      </c>
      <c r="N453" s="59">
        <v>7.5065070000000018</v>
      </c>
      <c r="O453" s="59">
        <v>-2.9151870000000004</v>
      </c>
      <c r="AG453" s="107"/>
      <c r="AN453" s="115"/>
      <c r="BU453" s="61"/>
    </row>
    <row r="454" spans="1:73" x14ac:dyDescent="0.35">
      <c r="A454" s="7" t="s">
        <v>1379</v>
      </c>
      <c r="B454" s="7" t="s">
        <v>1382</v>
      </c>
      <c r="C454" s="17" t="s">
        <v>422</v>
      </c>
      <c r="D454" s="5" t="s">
        <v>423</v>
      </c>
      <c r="E454" s="5" t="s">
        <v>465</v>
      </c>
      <c r="F454" s="5">
        <v>109.34</v>
      </c>
      <c r="G454" s="5" t="s">
        <v>26</v>
      </c>
      <c r="H454" s="18">
        <v>65.704781818181814</v>
      </c>
      <c r="I454" s="19" t="s">
        <v>27</v>
      </c>
      <c r="J454" s="60">
        <v>0.33521818181819185</v>
      </c>
      <c r="K454" s="5" t="s">
        <v>44</v>
      </c>
      <c r="L454" s="101" t="s">
        <v>188</v>
      </c>
      <c r="M454" s="59">
        <v>0.44</v>
      </c>
      <c r="N454" s="59">
        <v>8.1220030000000012</v>
      </c>
      <c r="O454" s="59">
        <v>-2.299691000000001</v>
      </c>
      <c r="AG454" s="107"/>
      <c r="AN454" s="115"/>
      <c r="BU454" s="61"/>
    </row>
    <row r="455" spans="1:73" x14ac:dyDescent="0.35">
      <c r="A455" s="7" t="s">
        <v>1379</v>
      </c>
      <c r="B455" s="7" t="s">
        <v>1382</v>
      </c>
      <c r="C455" s="17" t="s">
        <v>422</v>
      </c>
      <c r="D455" s="5" t="s">
        <v>423</v>
      </c>
      <c r="E455" s="5" t="s">
        <v>466</v>
      </c>
      <c r="F455" s="5">
        <v>109.42</v>
      </c>
      <c r="G455" s="5" t="s">
        <v>26</v>
      </c>
      <c r="H455" s="18">
        <v>65.705218181818182</v>
      </c>
      <c r="I455" s="19" t="s">
        <v>27</v>
      </c>
      <c r="J455" s="60">
        <v>0.33478181818182406</v>
      </c>
      <c r="K455" s="5" t="s">
        <v>44</v>
      </c>
      <c r="L455" s="101" t="s">
        <v>188</v>
      </c>
      <c r="M455" s="59">
        <v>0.41</v>
      </c>
      <c r="N455" s="59">
        <v>8.2540480000000009</v>
      </c>
      <c r="O455" s="59">
        <v>-2.1676460000000013</v>
      </c>
      <c r="AG455" s="107"/>
      <c r="AN455" s="115"/>
      <c r="BU455" s="61"/>
    </row>
    <row r="456" spans="1:73" x14ac:dyDescent="0.35">
      <c r="A456" s="7" t="s">
        <v>1379</v>
      </c>
      <c r="B456" s="7" t="s">
        <v>1382</v>
      </c>
      <c r="C456" s="17" t="s">
        <v>422</v>
      </c>
      <c r="D456" s="5" t="s">
        <v>423</v>
      </c>
      <c r="E456" s="5" t="s">
        <v>467</v>
      </c>
      <c r="F456" s="5">
        <v>109.53</v>
      </c>
      <c r="G456" s="5" t="s">
        <v>26</v>
      </c>
      <c r="H456" s="18">
        <v>65.705818181818174</v>
      </c>
      <c r="I456" s="19" t="s">
        <v>27</v>
      </c>
      <c r="J456" s="60">
        <v>0.33418181818183257</v>
      </c>
      <c r="K456" s="5" t="s">
        <v>44</v>
      </c>
      <c r="L456" s="101" t="s">
        <v>188</v>
      </c>
      <c r="M456" s="59">
        <v>0.1</v>
      </c>
      <c r="N456" s="59">
        <v>9.6216750000000033</v>
      </c>
      <c r="O456" s="59">
        <v>-0.80001899999999893</v>
      </c>
      <c r="AG456" s="107"/>
      <c r="AN456" s="115"/>
      <c r="BU456" s="61"/>
    </row>
    <row r="457" spans="1:73" x14ac:dyDescent="0.35">
      <c r="A457" s="7" t="s">
        <v>1379</v>
      </c>
      <c r="B457" s="7" t="s">
        <v>1382</v>
      </c>
      <c r="C457" s="17" t="s">
        <v>422</v>
      </c>
      <c r="D457" s="5" t="s">
        <v>423</v>
      </c>
      <c r="E457" s="5" t="s">
        <v>468</v>
      </c>
      <c r="F457" s="5">
        <v>109.61</v>
      </c>
      <c r="G457" s="5" t="s">
        <v>26</v>
      </c>
      <c r="H457" s="18">
        <v>65.706254545454541</v>
      </c>
      <c r="I457" s="19" t="s">
        <v>27</v>
      </c>
      <c r="J457" s="60">
        <v>0.33374545454546478</v>
      </c>
      <c r="K457" s="5" t="s">
        <v>44</v>
      </c>
      <c r="L457" s="101" t="s">
        <v>188</v>
      </c>
      <c r="M457" s="59">
        <v>7.0000000000000007E-2</v>
      </c>
      <c r="N457" s="59">
        <v>9.7543320000000033</v>
      </c>
      <c r="O457" s="59">
        <v>-0.6673619999999989</v>
      </c>
      <c r="AG457" s="107"/>
      <c r="AN457" s="115"/>
      <c r="BU457" s="61"/>
    </row>
    <row r="458" spans="1:73" x14ac:dyDescent="0.35">
      <c r="A458" s="7" t="s">
        <v>1379</v>
      </c>
      <c r="B458" s="7" t="s">
        <v>1382</v>
      </c>
      <c r="C458" s="17" t="s">
        <v>422</v>
      </c>
      <c r="D458" s="5" t="s">
        <v>423</v>
      </c>
      <c r="E458" s="5" t="s">
        <v>469</v>
      </c>
      <c r="F458" s="5">
        <v>109.73</v>
      </c>
      <c r="G458" s="5" t="s">
        <v>26</v>
      </c>
      <c r="H458" s="18">
        <v>65.706909090909093</v>
      </c>
      <c r="I458" s="19" t="s">
        <v>27</v>
      </c>
      <c r="J458" s="60">
        <v>0.3330909090909131</v>
      </c>
      <c r="K458" s="5" t="s">
        <v>44</v>
      </c>
      <c r="L458" s="101" t="s">
        <v>188</v>
      </c>
      <c r="M458" s="59">
        <v>0.09</v>
      </c>
      <c r="N458" s="59">
        <v>9.6658880000000025</v>
      </c>
      <c r="O458" s="59">
        <v>-0.75580599999999976</v>
      </c>
      <c r="AG458" s="107"/>
      <c r="AN458" s="115"/>
      <c r="BU458" s="61"/>
    </row>
    <row r="459" spans="1:73" x14ac:dyDescent="0.35">
      <c r="A459" s="7" t="s">
        <v>1379</v>
      </c>
      <c r="B459" s="7" t="s">
        <v>1382</v>
      </c>
      <c r="C459" s="17" t="s">
        <v>422</v>
      </c>
      <c r="D459" s="5" t="s">
        <v>423</v>
      </c>
      <c r="E459" s="5" t="s">
        <v>470</v>
      </c>
      <c r="F459" s="5">
        <v>109.81</v>
      </c>
      <c r="G459" s="5" t="s">
        <v>26</v>
      </c>
      <c r="H459" s="18">
        <v>65.707345454545447</v>
      </c>
      <c r="I459" s="19" t="s">
        <v>27</v>
      </c>
      <c r="J459" s="60">
        <v>0.33265454545455952</v>
      </c>
      <c r="K459" s="5" t="s">
        <v>44</v>
      </c>
      <c r="L459" s="101" t="s">
        <v>188</v>
      </c>
      <c r="M459" s="59">
        <v>-0.01</v>
      </c>
      <c r="N459" s="59">
        <v>10.108348000000003</v>
      </c>
      <c r="O459" s="59">
        <v>-0.31334599999999924</v>
      </c>
      <c r="AG459" s="107"/>
      <c r="AN459" s="115"/>
      <c r="BU459" s="61"/>
    </row>
    <row r="460" spans="1:73" x14ac:dyDescent="0.35">
      <c r="A460" s="7" t="s">
        <v>1379</v>
      </c>
      <c r="B460" s="7" t="s">
        <v>1382</v>
      </c>
      <c r="C460" s="17" t="s">
        <v>422</v>
      </c>
      <c r="D460" s="5" t="s">
        <v>423</v>
      </c>
      <c r="E460" s="5" t="s">
        <v>471</v>
      </c>
      <c r="F460" s="5">
        <v>109.91</v>
      </c>
      <c r="G460" s="5" t="s">
        <v>26</v>
      </c>
      <c r="H460" s="18">
        <v>65.707890909090906</v>
      </c>
      <c r="I460" s="19" t="s">
        <v>27</v>
      </c>
      <c r="J460" s="60">
        <v>0.33210909090909979</v>
      </c>
      <c r="K460" s="5" t="s">
        <v>44</v>
      </c>
      <c r="L460" s="101" t="s">
        <v>188</v>
      </c>
      <c r="M460" s="59">
        <v>-0.02</v>
      </c>
      <c r="N460" s="59">
        <v>10.152627000000003</v>
      </c>
      <c r="O460" s="59">
        <v>-0.26906699999999972</v>
      </c>
      <c r="AG460" s="107"/>
      <c r="AN460" s="115"/>
      <c r="BU460" s="61"/>
    </row>
    <row r="461" spans="1:73" x14ac:dyDescent="0.35">
      <c r="A461" s="7" t="s">
        <v>1379</v>
      </c>
      <c r="B461" s="7" t="s">
        <v>1382</v>
      </c>
      <c r="C461" s="17" t="s">
        <v>422</v>
      </c>
      <c r="D461" s="5" t="s">
        <v>423</v>
      </c>
      <c r="E461" s="5" t="s">
        <v>472</v>
      </c>
      <c r="F461" s="5">
        <v>110.01</v>
      </c>
      <c r="G461" s="5" t="s">
        <v>26</v>
      </c>
      <c r="H461" s="18">
        <v>65.708436363636366</v>
      </c>
      <c r="I461" s="19" t="s">
        <v>27</v>
      </c>
      <c r="J461" s="60">
        <v>0.33156363636364006</v>
      </c>
      <c r="K461" s="5" t="s">
        <v>44</v>
      </c>
      <c r="L461" s="101" t="s">
        <v>188</v>
      </c>
      <c r="M461" s="59">
        <v>-7.0000000000000007E-2</v>
      </c>
      <c r="N461" s="59">
        <v>10.374112000000002</v>
      </c>
      <c r="O461" s="59">
        <v>-4.7582000000000235E-2</v>
      </c>
      <c r="AG461" s="107"/>
      <c r="AN461" s="115"/>
      <c r="BU461" s="61"/>
    </row>
    <row r="462" spans="1:73" x14ac:dyDescent="0.35">
      <c r="A462" s="7" t="s">
        <v>1379</v>
      </c>
      <c r="B462" s="7" t="s">
        <v>1382</v>
      </c>
      <c r="C462" s="17" t="s">
        <v>422</v>
      </c>
      <c r="D462" s="5" t="s">
        <v>423</v>
      </c>
      <c r="E462" s="5" t="s">
        <v>473</v>
      </c>
      <c r="F462" s="5">
        <v>110.21</v>
      </c>
      <c r="G462" s="5" t="s">
        <v>26</v>
      </c>
      <c r="H462" s="18">
        <v>65.709527269999995</v>
      </c>
      <c r="I462" s="19" t="s">
        <v>27</v>
      </c>
      <c r="J462" s="60">
        <v>0.33047273000001098</v>
      </c>
      <c r="K462" s="5" t="s">
        <v>44</v>
      </c>
      <c r="L462" s="101" t="s">
        <v>188</v>
      </c>
      <c r="M462" s="59">
        <v>0.03</v>
      </c>
      <c r="N462" s="59">
        <v>9.9312920000000009</v>
      </c>
      <c r="O462" s="59">
        <v>-0.49040200000000134</v>
      </c>
      <c r="AG462" s="107"/>
      <c r="AN462" s="115"/>
      <c r="BU462" s="61"/>
    </row>
    <row r="463" spans="1:73" x14ac:dyDescent="0.35">
      <c r="A463" s="7" t="s">
        <v>1379</v>
      </c>
      <c r="B463" s="7" t="s">
        <v>1382</v>
      </c>
      <c r="C463" s="17" t="s">
        <v>422</v>
      </c>
      <c r="D463" s="5" t="s">
        <v>423</v>
      </c>
      <c r="E463" s="5" t="s">
        <v>441</v>
      </c>
      <c r="F463" s="5">
        <v>110.33</v>
      </c>
      <c r="G463" s="5" t="s">
        <v>26</v>
      </c>
      <c r="H463" s="18">
        <v>65.710181820000003</v>
      </c>
      <c r="I463" s="19" t="s">
        <v>27</v>
      </c>
      <c r="J463" s="60">
        <v>0.32981818000000374</v>
      </c>
      <c r="K463" s="5" t="s">
        <v>44</v>
      </c>
      <c r="L463" s="101" t="s">
        <v>188</v>
      </c>
      <c r="M463" s="59">
        <v>-0.03</v>
      </c>
      <c r="N463" s="59">
        <v>10.196912000000001</v>
      </c>
      <c r="O463" s="59">
        <v>-0.22478200000000115</v>
      </c>
      <c r="AG463" s="107"/>
      <c r="AN463" s="115"/>
      <c r="BU463" s="61"/>
    </row>
    <row r="464" spans="1:73" x14ac:dyDescent="0.35">
      <c r="A464" s="7" t="s">
        <v>1379</v>
      </c>
      <c r="B464" s="7" t="s">
        <v>1382</v>
      </c>
      <c r="C464" s="17" t="s">
        <v>422</v>
      </c>
      <c r="D464" s="5" t="s">
        <v>423</v>
      </c>
      <c r="E464" s="5" t="s">
        <v>474</v>
      </c>
      <c r="F464" s="5">
        <v>110.41</v>
      </c>
      <c r="G464" s="5" t="s">
        <v>26</v>
      </c>
      <c r="H464" s="18">
        <v>65.710618179999997</v>
      </c>
      <c r="I464" s="19" t="s">
        <v>27</v>
      </c>
      <c r="J464" s="60">
        <v>0.32938182000000893</v>
      </c>
      <c r="K464" s="5" t="s">
        <v>44</v>
      </c>
      <c r="L464" s="101" t="s">
        <v>188</v>
      </c>
      <c r="M464" s="59">
        <v>-0.01</v>
      </c>
      <c r="N464" s="59">
        <v>10.108348000000003</v>
      </c>
      <c r="O464" s="59">
        <v>-0.31334599999999924</v>
      </c>
      <c r="AG464" s="107"/>
      <c r="AN464" s="115"/>
      <c r="BU464" s="61"/>
    </row>
    <row r="465" spans="1:73" x14ac:dyDescent="0.35">
      <c r="A465" s="7" t="s">
        <v>1379</v>
      </c>
      <c r="B465" s="7" t="s">
        <v>1382</v>
      </c>
      <c r="C465" s="17" t="s">
        <v>422</v>
      </c>
      <c r="D465" s="5" t="s">
        <v>423</v>
      </c>
      <c r="E465" s="5" t="s">
        <v>475</v>
      </c>
      <c r="F465" s="5">
        <v>110.53</v>
      </c>
      <c r="G465" s="5" t="s">
        <v>26</v>
      </c>
      <c r="H465" s="18">
        <v>65.711272730000005</v>
      </c>
      <c r="I465" s="19" t="s">
        <v>27</v>
      </c>
      <c r="J465" s="60">
        <v>0.32872727000000168</v>
      </c>
      <c r="K465" s="5" t="s">
        <v>44</v>
      </c>
      <c r="L465" s="101" t="s">
        <v>188</v>
      </c>
      <c r="M465" s="59">
        <v>-0.14000000000000001</v>
      </c>
      <c r="N465" s="59">
        <v>10.684443000000002</v>
      </c>
      <c r="O465" s="59">
        <v>0.26274899999999946</v>
      </c>
      <c r="AG465" s="107"/>
      <c r="AN465" s="115"/>
      <c r="BU465" s="61"/>
    </row>
    <row r="466" spans="1:73" x14ac:dyDescent="0.35">
      <c r="A466" s="7" t="s">
        <v>1379</v>
      </c>
      <c r="B466" s="7" t="s">
        <v>1382</v>
      </c>
      <c r="C466" s="17" t="s">
        <v>422</v>
      </c>
      <c r="D466" s="5" t="s">
        <v>423</v>
      </c>
      <c r="E466" s="5" t="s">
        <v>442</v>
      </c>
      <c r="F466" s="5">
        <v>110.73</v>
      </c>
      <c r="G466" s="5" t="s">
        <v>26</v>
      </c>
      <c r="H466" s="18">
        <v>65.712363640000007</v>
      </c>
      <c r="I466" s="19" t="s">
        <v>27</v>
      </c>
      <c r="J466" s="60">
        <v>0.32763635999999963</v>
      </c>
      <c r="K466" s="5" t="s">
        <v>44</v>
      </c>
      <c r="L466" s="101" t="s">
        <v>188</v>
      </c>
      <c r="M466" s="59">
        <v>0.01</v>
      </c>
      <c r="N466" s="59">
        <v>10.019808000000001</v>
      </c>
      <c r="O466" s="59">
        <v>-0.40188600000000108</v>
      </c>
      <c r="AG466" s="107"/>
      <c r="AN466" s="115"/>
      <c r="BU466" s="61"/>
    </row>
    <row r="467" spans="1:73" x14ac:dyDescent="0.35">
      <c r="A467" s="7" t="s">
        <v>1379</v>
      </c>
      <c r="B467" s="7" t="s">
        <v>1382</v>
      </c>
      <c r="C467" s="17" t="s">
        <v>422</v>
      </c>
      <c r="D467" s="5" t="s">
        <v>423</v>
      </c>
      <c r="E467" s="5" t="s">
        <v>443</v>
      </c>
      <c r="F467" s="5">
        <v>111.33</v>
      </c>
      <c r="G467" s="5" t="s">
        <v>26</v>
      </c>
      <c r="H467" s="18">
        <v>65.715636363636364</v>
      </c>
      <c r="I467" s="19" t="s">
        <v>27</v>
      </c>
      <c r="J467" s="60">
        <v>0.32436363636364263</v>
      </c>
      <c r="K467" s="5" t="s">
        <v>44</v>
      </c>
      <c r="L467" s="101" t="s">
        <v>188</v>
      </c>
      <c r="M467" s="59">
        <v>-0.04</v>
      </c>
      <c r="N467" s="59">
        <v>10.241203000000002</v>
      </c>
      <c r="O467" s="59">
        <v>-0.18049099999999996</v>
      </c>
      <c r="AG467" s="107"/>
      <c r="AN467" s="115"/>
      <c r="BU467" s="61"/>
    </row>
    <row r="468" spans="1:73" x14ac:dyDescent="0.35">
      <c r="A468" s="7" t="s">
        <v>1379</v>
      </c>
      <c r="B468" s="7" t="s">
        <v>1382</v>
      </c>
      <c r="C468" s="17" t="s">
        <v>422</v>
      </c>
      <c r="D468" s="5" t="s">
        <v>423</v>
      </c>
      <c r="E468" s="5" t="s">
        <v>445</v>
      </c>
      <c r="F468" s="5">
        <v>111.93</v>
      </c>
      <c r="G468" s="5" t="s">
        <v>26</v>
      </c>
      <c r="H468" s="18">
        <v>65.718909090909094</v>
      </c>
      <c r="I468" s="19" t="s">
        <v>27</v>
      </c>
      <c r="J468" s="60">
        <v>0.32109090909091265</v>
      </c>
      <c r="K468" s="5" t="s">
        <v>44</v>
      </c>
      <c r="L468" s="101" t="s">
        <v>188</v>
      </c>
      <c r="M468" s="59">
        <v>-0.01</v>
      </c>
      <c r="N468" s="59">
        <v>10.108348000000003</v>
      </c>
      <c r="O468" s="59">
        <v>-0.31334599999999924</v>
      </c>
      <c r="AG468" s="107"/>
      <c r="AN468" s="115"/>
      <c r="BU468" s="61"/>
    </row>
    <row r="469" spans="1:73" x14ac:dyDescent="0.35">
      <c r="A469" s="7" t="s">
        <v>1379</v>
      </c>
      <c r="B469" s="7" t="s">
        <v>1382</v>
      </c>
      <c r="C469" s="17" t="s">
        <v>422</v>
      </c>
      <c r="D469" s="5" t="s">
        <v>423</v>
      </c>
      <c r="E469" s="5" t="s">
        <v>446</v>
      </c>
      <c r="F469" s="5">
        <v>112.11</v>
      </c>
      <c r="G469" s="5" t="s">
        <v>26</v>
      </c>
      <c r="H469" s="18">
        <v>65.719890909090907</v>
      </c>
      <c r="I469" s="19" t="s">
        <v>27</v>
      </c>
      <c r="J469" s="60">
        <v>0.32010909090909934</v>
      </c>
      <c r="K469" s="5" t="s">
        <v>44</v>
      </c>
      <c r="L469" s="101" t="s">
        <v>188</v>
      </c>
      <c r="M469" s="59">
        <v>-0.1</v>
      </c>
      <c r="N469" s="59">
        <v>10.507075000000002</v>
      </c>
      <c r="O469" s="59">
        <v>8.5380999999999929E-2</v>
      </c>
      <c r="AG469" s="107"/>
      <c r="AN469" s="115"/>
      <c r="BU469" s="61"/>
    </row>
    <row r="470" spans="1:73" x14ac:dyDescent="0.35">
      <c r="A470" s="7" t="s">
        <v>1379</v>
      </c>
      <c r="B470" s="7" t="s">
        <v>1382</v>
      </c>
      <c r="C470" s="17" t="s">
        <v>422</v>
      </c>
      <c r="D470" s="5" t="s">
        <v>423</v>
      </c>
      <c r="E470" s="5" t="s">
        <v>476</v>
      </c>
      <c r="F470" s="5">
        <v>112.2</v>
      </c>
      <c r="G470" s="5" t="s">
        <v>26</v>
      </c>
      <c r="H470" s="18">
        <v>65.742528735632192</v>
      </c>
      <c r="I470" s="19" t="s">
        <v>27</v>
      </c>
      <c r="J470" s="60">
        <v>0.29747126436781457</v>
      </c>
      <c r="K470" s="5" t="s">
        <v>44</v>
      </c>
      <c r="L470" s="101" t="s">
        <v>188</v>
      </c>
      <c r="M470" s="59">
        <v>0</v>
      </c>
      <c r="N470" s="59">
        <v>10.064075000000003</v>
      </c>
      <c r="O470" s="59">
        <v>-0.35761899999999969</v>
      </c>
      <c r="AG470" s="107"/>
      <c r="AN470" s="115"/>
      <c r="BU470" s="61"/>
    </row>
    <row r="471" spans="1:73" x14ac:dyDescent="0.35">
      <c r="A471" s="7" t="s">
        <v>1379</v>
      </c>
      <c r="B471" s="7" t="s">
        <v>1382</v>
      </c>
      <c r="C471" s="17" t="s">
        <v>422</v>
      </c>
      <c r="D471" s="5" t="s">
        <v>423</v>
      </c>
      <c r="E471" s="5" t="s">
        <v>447</v>
      </c>
      <c r="F471" s="5">
        <v>112.5</v>
      </c>
      <c r="G471" s="5" t="s">
        <v>26</v>
      </c>
      <c r="H471" s="18">
        <v>65.839080459770116</v>
      </c>
      <c r="I471" s="19" t="s">
        <v>27</v>
      </c>
      <c r="J471" s="60">
        <v>0.20091954022989</v>
      </c>
      <c r="K471" s="5" t="s">
        <v>44</v>
      </c>
      <c r="L471" s="101" t="s">
        <v>188</v>
      </c>
      <c r="M471" s="59">
        <v>0.12</v>
      </c>
      <c r="N471" s="59">
        <v>9.5332670000000022</v>
      </c>
      <c r="O471" s="59">
        <v>-0.88842700000000008</v>
      </c>
      <c r="AG471" s="107"/>
      <c r="AN471" s="115"/>
      <c r="BU471" s="61"/>
    </row>
    <row r="472" spans="1:73" x14ac:dyDescent="0.35">
      <c r="A472" s="7" t="s">
        <v>1379</v>
      </c>
      <c r="B472" s="7" t="s">
        <v>1382</v>
      </c>
      <c r="C472" s="17" t="s">
        <v>422</v>
      </c>
      <c r="D472" s="5" t="s">
        <v>423</v>
      </c>
      <c r="E472" s="5" t="s">
        <v>448</v>
      </c>
      <c r="F472" s="5">
        <v>112.6</v>
      </c>
      <c r="G472" s="5" t="s">
        <v>26</v>
      </c>
      <c r="H472" s="18">
        <v>65.871264367816096</v>
      </c>
      <c r="I472" s="19" t="s">
        <v>27</v>
      </c>
      <c r="J472" s="60">
        <v>0.16873563218391041</v>
      </c>
      <c r="K472" s="5" t="s">
        <v>44</v>
      </c>
      <c r="L472" s="101" t="s">
        <v>188</v>
      </c>
      <c r="M472" s="59">
        <v>0.22</v>
      </c>
      <c r="N472" s="59">
        <v>9.0915870000000023</v>
      </c>
      <c r="O472" s="59">
        <v>-1.3301069999999999</v>
      </c>
      <c r="AG472" s="107"/>
      <c r="AN472" s="115"/>
      <c r="BU472" s="61"/>
    </row>
    <row r="473" spans="1:73" x14ac:dyDescent="0.35">
      <c r="A473" s="7" t="s">
        <v>1379</v>
      </c>
      <c r="B473" s="7" t="s">
        <v>1382</v>
      </c>
      <c r="C473" s="17" t="s">
        <v>422</v>
      </c>
      <c r="D473" s="5" t="s">
        <v>423</v>
      </c>
      <c r="E473" s="5" t="s">
        <v>449</v>
      </c>
      <c r="F473" s="5">
        <v>112.66</v>
      </c>
      <c r="G473" s="5" t="s">
        <v>26</v>
      </c>
      <c r="H473" s="18">
        <v>65.890574712643684</v>
      </c>
      <c r="I473" s="19" t="s">
        <v>27</v>
      </c>
      <c r="J473" s="60">
        <v>0.14942528735632266</v>
      </c>
      <c r="K473" s="5" t="s">
        <v>44</v>
      </c>
      <c r="L473" s="101" t="s">
        <v>188</v>
      </c>
      <c r="M473" s="59">
        <v>0.03</v>
      </c>
      <c r="N473" s="59">
        <v>9.9312920000000009</v>
      </c>
      <c r="O473" s="59">
        <v>-0.49040200000000134</v>
      </c>
      <c r="AG473" s="107"/>
      <c r="AN473" s="115"/>
      <c r="BU473" s="61"/>
    </row>
    <row r="474" spans="1:73" x14ac:dyDescent="0.35">
      <c r="A474" s="7" t="s">
        <v>1379</v>
      </c>
      <c r="B474" s="7" t="s">
        <v>1382</v>
      </c>
      <c r="C474" s="17" t="s">
        <v>422</v>
      </c>
      <c r="D474" s="5" t="s">
        <v>423</v>
      </c>
      <c r="E474" s="5" t="s">
        <v>477</v>
      </c>
      <c r="F474" s="5">
        <v>112.74</v>
      </c>
      <c r="G474" s="5" t="s">
        <v>26</v>
      </c>
      <c r="H474" s="18">
        <v>65.916321839080453</v>
      </c>
      <c r="I474" s="19" t="s">
        <v>27</v>
      </c>
      <c r="J474" s="60">
        <v>0.12367816091955319</v>
      </c>
      <c r="K474" s="5" t="s">
        <v>44</v>
      </c>
      <c r="L474" s="101" t="s">
        <v>188</v>
      </c>
      <c r="M474" s="59">
        <v>-7.0000000000000007E-2</v>
      </c>
      <c r="N474" s="59">
        <v>10.374112000000002</v>
      </c>
      <c r="O474" s="59">
        <v>-4.7582000000000235E-2</v>
      </c>
      <c r="AG474" s="107"/>
      <c r="AN474" s="115"/>
      <c r="BU474" s="61"/>
    </row>
    <row r="475" spans="1:73" x14ac:dyDescent="0.35">
      <c r="A475" s="7" t="s">
        <v>1379</v>
      </c>
      <c r="B475" s="7" t="s">
        <v>1382</v>
      </c>
      <c r="C475" s="17" t="s">
        <v>422</v>
      </c>
      <c r="D475" s="5" t="s">
        <v>423</v>
      </c>
      <c r="E475" s="5" t="s">
        <v>478</v>
      </c>
      <c r="F475" s="5">
        <v>112.8</v>
      </c>
      <c r="G475" s="5" t="s">
        <v>26</v>
      </c>
      <c r="H475" s="18">
        <v>65.935632183908041</v>
      </c>
      <c r="I475" s="19" t="s">
        <v>27</v>
      </c>
      <c r="J475" s="60">
        <v>0.10436781609196544</v>
      </c>
      <c r="K475" s="5" t="s">
        <v>44</v>
      </c>
      <c r="L475" s="101" t="s">
        <v>188</v>
      </c>
      <c r="M475" s="59">
        <v>-0.1</v>
      </c>
      <c r="N475" s="59">
        <v>10.507075000000002</v>
      </c>
      <c r="O475" s="59">
        <v>8.5380999999999929E-2</v>
      </c>
      <c r="AG475" s="107"/>
      <c r="AN475" s="115"/>
      <c r="BU475" s="61"/>
    </row>
    <row r="476" spans="1:73" x14ac:dyDescent="0.35">
      <c r="A476" s="7" t="s">
        <v>1379</v>
      </c>
      <c r="B476" s="7" t="s">
        <v>1382</v>
      </c>
      <c r="C476" s="17" t="s">
        <v>422</v>
      </c>
      <c r="D476" s="5" t="s">
        <v>423</v>
      </c>
      <c r="E476" s="5" t="s">
        <v>450</v>
      </c>
      <c r="F476" s="5">
        <v>112.88</v>
      </c>
      <c r="G476" s="5" t="s">
        <v>26</v>
      </c>
      <c r="H476" s="18">
        <v>65.961379310344824</v>
      </c>
      <c r="I476" s="19" t="s">
        <v>27</v>
      </c>
      <c r="J476" s="60">
        <v>7.8620689655181764E-2</v>
      </c>
      <c r="K476" s="5" t="s">
        <v>44</v>
      </c>
      <c r="L476" s="101" t="s">
        <v>188</v>
      </c>
      <c r="M476" s="59">
        <v>-0.15</v>
      </c>
      <c r="N476" s="59">
        <v>10.728800000000001</v>
      </c>
      <c r="O476" s="59">
        <v>0.30710599999999921</v>
      </c>
      <c r="AG476" s="107"/>
      <c r="AN476" s="115"/>
      <c r="BU476" s="61"/>
    </row>
    <row r="477" spans="1:73" x14ac:dyDescent="0.35">
      <c r="A477" s="7" t="s">
        <v>1379</v>
      </c>
      <c r="B477" s="7" t="s">
        <v>1382</v>
      </c>
      <c r="C477" s="17" t="s">
        <v>422</v>
      </c>
      <c r="D477" s="5" t="s">
        <v>423</v>
      </c>
      <c r="E477" s="5" t="s">
        <v>479</v>
      </c>
      <c r="F477" s="5">
        <v>112.95</v>
      </c>
      <c r="G477" s="5" t="s">
        <v>26</v>
      </c>
      <c r="H477" s="18">
        <v>65.983908045977017</v>
      </c>
      <c r="I477" s="19" t="s">
        <v>27</v>
      </c>
      <c r="J477" s="60">
        <v>5.6091954022988944E-2</v>
      </c>
      <c r="K477" s="5" t="s">
        <v>44</v>
      </c>
      <c r="L477" s="101" t="s">
        <v>188</v>
      </c>
      <c r="M477" s="59">
        <v>-0.21</v>
      </c>
      <c r="N477" s="59">
        <v>10.995068000000002</v>
      </c>
      <c r="O477" s="59">
        <v>0.57337399999999938</v>
      </c>
      <c r="AG477" s="107"/>
      <c r="AN477" s="115"/>
      <c r="BU477" s="61"/>
    </row>
    <row r="478" spans="1:73" x14ac:dyDescent="0.35">
      <c r="A478" s="7" t="s">
        <v>1379</v>
      </c>
      <c r="B478" s="7" t="s">
        <v>1382</v>
      </c>
      <c r="C478" s="17" t="s">
        <v>422</v>
      </c>
      <c r="D478" s="5" t="s">
        <v>423</v>
      </c>
      <c r="E478" s="5" t="s">
        <v>480</v>
      </c>
      <c r="F478" s="5">
        <v>112.97</v>
      </c>
      <c r="G478" s="5" t="s">
        <v>26</v>
      </c>
      <c r="H478" s="18">
        <v>65.990344827586213</v>
      </c>
      <c r="I478" s="19" t="s">
        <v>27</v>
      </c>
      <c r="J478" s="60">
        <v>4.9655172413793025E-2</v>
      </c>
      <c r="K478" s="5" t="s">
        <v>44</v>
      </c>
      <c r="L478" s="101" t="s">
        <v>188</v>
      </c>
      <c r="M478" s="59">
        <v>0.25</v>
      </c>
      <c r="N478" s="59">
        <v>8.9592000000000027</v>
      </c>
      <c r="O478" s="59">
        <v>-1.4624939999999995</v>
      </c>
      <c r="AG478" s="107"/>
      <c r="AN478" s="115"/>
      <c r="BU478" s="61"/>
    </row>
    <row r="479" spans="1:73" x14ac:dyDescent="0.35">
      <c r="A479" s="7" t="s">
        <v>1379</v>
      </c>
      <c r="B479" s="7" t="s">
        <v>1382</v>
      </c>
      <c r="C479" s="17" t="s">
        <v>422</v>
      </c>
      <c r="D479" s="5" t="s">
        <v>423</v>
      </c>
      <c r="E479" s="5" t="s">
        <v>481</v>
      </c>
      <c r="F479" s="5">
        <v>113.03</v>
      </c>
      <c r="G479" s="5" t="s">
        <v>26</v>
      </c>
      <c r="H479" s="18">
        <v>66.046862619808309</v>
      </c>
      <c r="I479" s="19" t="s">
        <v>27</v>
      </c>
      <c r="J479" s="60">
        <v>-6.8626198083023837E-3</v>
      </c>
      <c r="K479" s="5" t="s">
        <v>44</v>
      </c>
      <c r="L479" s="101" t="s">
        <v>188</v>
      </c>
      <c r="M479" s="59">
        <v>-0.41</v>
      </c>
      <c r="N479" s="59">
        <v>11.884188000000002</v>
      </c>
      <c r="O479" s="59">
        <v>1.4624939999999995</v>
      </c>
      <c r="AG479" s="107"/>
      <c r="AN479" s="115"/>
      <c r="BU479" s="61"/>
    </row>
    <row r="480" spans="1:73" x14ac:dyDescent="0.35">
      <c r="A480" s="7" t="s">
        <v>1379</v>
      </c>
      <c r="B480" s="7" t="s">
        <v>1382</v>
      </c>
      <c r="C480" s="17" t="s">
        <v>422</v>
      </c>
      <c r="D480" s="5" t="s">
        <v>423</v>
      </c>
      <c r="E480" s="5" t="s">
        <v>482</v>
      </c>
      <c r="F480" s="5">
        <v>113.1</v>
      </c>
      <c r="G480" s="5" t="s">
        <v>26</v>
      </c>
      <c r="H480" s="18">
        <v>66.062875399361033</v>
      </c>
      <c r="I480" s="19" t="s">
        <v>27</v>
      </c>
      <c r="J480" s="60">
        <v>-2.2875399361026894E-2</v>
      </c>
      <c r="K480" s="5" t="s">
        <v>44</v>
      </c>
      <c r="L480" s="101" t="s">
        <v>188</v>
      </c>
      <c r="M480" s="59">
        <v>-0.21</v>
      </c>
      <c r="N480" s="59">
        <v>10.995068000000002</v>
      </c>
      <c r="O480" s="59">
        <v>0.57337399999999938</v>
      </c>
      <c r="AG480" s="107"/>
      <c r="AN480" s="115"/>
      <c r="BU480" s="61"/>
    </row>
    <row r="481" spans="1:73" x14ac:dyDescent="0.35">
      <c r="A481" s="7" t="s">
        <v>1379</v>
      </c>
      <c r="B481" s="7" t="s">
        <v>1382</v>
      </c>
      <c r="C481" s="17" t="s">
        <v>422</v>
      </c>
      <c r="D481" s="5" t="s">
        <v>423</v>
      </c>
      <c r="E481" s="5" t="s">
        <v>483</v>
      </c>
      <c r="F481" s="5">
        <v>113.14</v>
      </c>
      <c r="G481" s="5" t="s">
        <v>26</v>
      </c>
      <c r="H481" s="18">
        <v>66.072025559105441</v>
      </c>
      <c r="I481" s="19" t="s">
        <v>27</v>
      </c>
      <c r="J481" s="60">
        <v>-3.2025559105434809E-2</v>
      </c>
      <c r="K481" s="5" t="s">
        <v>44</v>
      </c>
      <c r="L481" s="101" t="s">
        <v>188</v>
      </c>
      <c r="M481" s="59">
        <v>-0.02</v>
      </c>
      <c r="N481" s="59">
        <v>10.152627000000003</v>
      </c>
      <c r="O481" s="59">
        <v>-0.26906699999999972</v>
      </c>
      <c r="AG481" s="107"/>
      <c r="AN481" s="115"/>
      <c r="BU481" s="61"/>
    </row>
    <row r="482" spans="1:73" x14ac:dyDescent="0.35">
      <c r="A482" s="7" t="s">
        <v>1379</v>
      </c>
      <c r="B482" s="7" t="s">
        <v>1382</v>
      </c>
      <c r="C482" s="17" t="s">
        <v>422</v>
      </c>
      <c r="D482" s="5" t="s">
        <v>423</v>
      </c>
      <c r="E482" s="5" t="s">
        <v>484</v>
      </c>
      <c r="F482" s="5">
        <v>113.2</v>
      </c>
      <c r="G482" s="5" t="s">
        <v>26</v>
      </c>
      <c r="H482" s="18">
        <v>66.085750798722046</v>
      </c>
      <c r="I482" s="19" t="s">
        <v>27</v>
      </c>
      <c r="J482" s="60">
        <v>-4.5750798722039576E-2</v>
      </c>
      <c r="K482" s="5" t="s">
        <v>44</v>
      </c>
      <c r="L482" s="101" t="s">
        <v>188</v>
      </c>
      <c r="M482" s="59">
        <v>-0.31</v>
      </c>
      <c r="N482" s="59">
        <v>11.439328000000001</v>
      </c>
      <c r="O482" s="59">
        <v>1.0176339999999993</v>
      </c>
      <c r="AG482" s="107"/>
      <c r="AN482" s="115"/>
      <c r="BU482" s="61"/>
    </row>
    <row r="483" spans="1:73" x14ac:dyDescent="0.35">
      <c r="A483" s="7" t="s">
        <v>1379</v>
      </c>
      <c r="B483" s="7" t="s">
        <v>1382</v>
      </c>
      <c r="C483" s="17" t="s">
        <v>422</v>
      </c>
      <c r="D483" s="5" t="s">
        <v>423</v>
      </c>
      <c r="E483" s="5" t="s">
        <v>451</v>
      </c>
      <c r="F483" s="5">
        <v>113.5</v>
      </c>
      <c r="G483" s="5" t="s">
        <v>26</v>
      </c>
      <c r="H483" s="18">
        <v>66.154376996805112</v>
      </c>
      <c r="I483" s="19" t="s">
        <v>27</v>
      </c>
      <c r="J483" s="60">
        <v>-0.11437699680510605</v>
      </c>
      <c r="K483" s="5" t="s">
        <v>44</v>
      </c>
      <c r="L483" s="101" t="s">
        <v>188</v>
      </c>
      <c r="M483" s="59">
        <v>0.08</v>
      </c>
      <c r="N483" s="59">
        <v>9.7101070000000025</v>
      </c>
      <c r="O483" s="59">
        <v>-0.71158699999999975</v>
      </c>
      <c r="AG483" s="107"/>
      <c r="AN483" s="115"/>
      <c r="BU483" s="61"/>
    </row>
    <row r="484" spans="1:73" x14ac:dyDescent="0.35">
      <c r="A484" s="7" t="s">
        <v>1379</v>
      </c>
      <c r="B484" s="7" t="s">
        <v>1382</v>
      </c>
      <c r="C484" s="17" t="s">
        <v>422</v>
      </c>
      <c r="D484" s="5" t="s">
        <v>423</v>
      </c>
      <c r="E484" s="5" t="s">
        <v>452</v>
      </c>
      <c r="F484" s="5">
        <v>113.58</v>
      </c>
      <c r="G484" s="5" t="s">
        <v>26</v>
      </c>
      <c r="H484" s="18">
        <v>66.172677316293928</v>
      </c>
      <c r="I484" s="19" t="s">
        <v>27</v>
      </c>
      <c r="J484" s="60">
        <v>-0.13267731629392188</v>
      </c>
      <c r="K484" s="5" t="s">
        <v>44</v>
      </c>
      <c r="L484" s="101" t="s">
        <v>188</v>
      </c>
      <c r="M484" s="59">
        <v>0.31</v>
      </c>
      <c r="N484" s="59">
        <v>8.6945880000000031</v>
      </c>
      <c r="O484" s="59">
        <v>-1.7271059999999991</v>
      </c>
      <c r="AG484" s="107"/>
      <c r="AN484" s="115"/>
      <c r="BU484" s="61"/>
    </row>
    <row r="485" spans="1:73" x14ac:dyDescent="0.35">
      <c r="A485" s="7" t="s">
        <v>1379</v>
      </c>
      <c r="B485" s="7" t="s">
        <v>1382</v>
      </c>
      <c r="C485" s="17"/>
      <c r="D485" s="5"/>
      <c r="E485" s="5"/>
      <c r="F485" s="5"/>
      <c r="G485" s="5"/>
      <c r="H485" s="18"/>
      <c r="I485" s="19"/>
      <c r="J485" s="60"/>
      <c r="K485" s="5"/>
      <c r="L485" s="5"/>
      <c r="M485" s="59"/>
      <c r="N485" s="59"/>
      <c r="O485" s="59"/>
      <c r="AG485" s="107"/>
      <c r="AN485" s="115"/>
      <c r="BU485" s="61"/>
    </row>
    <row r="486" spans="1:73" x14ac:dyDescent="0.35">
      <c r="A486" s="7" t="s">
        <v>1379</v>
      </c>
      <c r="B486" s="7" t="s">
        <v>1382</v>
      </c>
      <c r="C486" s="17" t="s">
        <v>485</v>
      </c>
      <c r="D486" s="5" t="s">
        <v>486</v>
      </c>
      <c r="E486" s="5" t="s">
        <v>487</v>
      </c>
      <c r="F486" s="5">
        <v>164.2</v>
      </c>
      <c r="G486" s="5" t="s">
        <v>26</v>
      </c>
      <c r="H486" s="60">
        <v>64.911791044776123</v>
      </c>
      <c r="I486" s="19" t="s">
        <v>27</v>
      </c>
      <c r="J486" s="60">
        <v>1.128208955223883</v>
      </c>
      <c r="K486" s="5" t="s">
        <v>44</v>
      </c>
      <c r="L486" s="101" t="s">
        <v>192</v>
      </c>
      <c r="M486" s="59">
        <v>-0.217</v>
      </c>
      <c r="N486" s="59">
        <v>11.248222670000002</v>
      </c>
      <c r="O486" s="59">
        <v>1.5887266950000001</v>
      </c>
      <c r="AG486" s="107"/>
      <c r="AN486" s="115"/>
      <c r="BU486" s="61"/>
    </row>
    <row r="487" spans="1:73" x14ac:dyDescent="0.35">
      <c r="A487" s="7" t="s">
        <v>1379</v>
      </c>
      <c r="B487" s="7" t="s">
        <v>1382</v>
      </c>
      <c r="C487" s="17" t="s">
        <v>485</v>
      </c>
      <c r="D487" s="5" t="s">
        <v>486</v>
      </c>
      <c r="E487" s="5" t="s">
        <v>488</v>
      </c>
      <c r="F487" s="5">
        <v>166.1</v>
      </c>
      <c r="G487" s="5" t="s">
        <v>26</v>
      </c>
      <c r="H487" s="60">
        <v>65.223731343283575</v>
      </c>
      <c r="I487" s="19" t="s">
        <v>27</v>
      </c>
      <c r="J487" s="60">
        <v>0.81626865671643145</v>
      </c>
      <c r="K487" s="5" t="s">
        <v>44</v>
      </c>
      <c r="L487" s="101" t="s">
        <v>192</v>
      </c>
      <c r="M487" s="59">
        <v>-7.3999999999999996E-2</v>
      </c>
      <c r="N487" s="59">
        <v>10.613484280000003</v>
      </c>
      <c r="O487" s="59">
        <v>0.95398830500000109</v>
      </c>
      <c r="AG487" s="107"/>
      <c r="AN487" s="115"/>
      <c r="BU487" s="61"/>
    </row>
    <row r="488" spans="1:73" x14ac:dyDescent="0.35">
      <c r="A488" s="7" t="s">
        <v>1379</v>
      </c>
      <c r="B488" s="7" t="s">
        <v>1382</v>
      </c>
      <c r="C488" s="17" t="s">
        <v>485</v>
      </c>
      <c r="D488" s="5" t="s">
        <v>486</v>
      </c>
      <c r="E488" s="5" t="s">
        <v>489</v>
      </c>
      <c r="F488" s="5">
        <v>166.48</v>
      </c>
      <c r="G488" s="5" t="s">
        <v>26</v>
      </c>
      <c r="H488" s="60">
        <v>65.286119402985079</v>
      </c>
      <c r="I488" s="19" t="s">
        <v>27</v>
      </c>
      <c r="J488" s="60">
        <v>0.75388059701492693</v>
      </c>
      <c r="K488" s="5" t="s">
        <v>44</v>
      </c>
      <c r="L488" s="101" t="s">
        <v>192</v>
      </c>
      <c r="M488" s="59">
        <v>-0.12</v>
      </c>
      <c r="N488" s="59">
        <v>10.817532000000002</v>
      </c>
      <c r="O488" s="59">
        <v>1.1580360249999995</v>
      </c>
      <c r="AG488" s="107"/>
      <c r="AN488" s="115"/>
      <c r="BU488" s="61"/>
    </row>
    <row r="489" spans="1:73" x14ac:dyDescent="0.35">
      <c r="A489" s="7" t="s">
        <v>1379</v>
      </c>
      <c r="B489" s="7" t="s">
        <v>1382</v>
      </c>
      <c r="C489" s="17" t="s">
        <v>485</v>
      </c>
      <c r="D489" s="5" t="s">
        <v>486</v>
      </c>
      <c r="E489" s="5" t="s">
        <v>490</v>
      </c>
      <c r="F489" s="5">
        <v>167.78</v>
      </c>
      <c r="G489" s="5" t="s">
        <v>26</v>
      </c>
      <c r="H489" s="60">
        <v>65.499552238805975</v>
      </c>
      <c r="I489" s="19" t="s">
        <v>27</v>
      </c>
      <c r="J489" s="60">
        <v>0.54044776119403082</v>
      </c>
      <c r="K489" s="5" t="s">
        <v>44</v>
      </c>
      <c r="L489" s="101" t="s">
        <v>192</v>
      </c>
      <c r="M489" s="59">
        <v>0.1</v>
      </c>
      <c r="N489" s="59">
        <v>9.8428000000000022</v>
      </c>
      <c r="O489" s="59">
        <v>0.18330402499999998</v>
      </c>
      <c r="AG489" s="107"/>
      <c r="AN489" s="115"/>
      <c r="BU489" s="61"/>
    </row>
    <row r="490" spans="1:73" x14ac:dyDescent="0.35">
      <c r="A490" s="7" t="s">
        <v>1379</v>
      </c>
      <c r="B490" s="7" t="s">
        <v>1382</v>
      </c>
      <c r="C490" s="17" t="s">
        <v>485</v>
      </c>
      <c r="D490" s="5" t="s">
        <v>486</v>
      </c>
      <c r="E490" s="5" t="s">
        <v>490</v>
      </c>
      <c r="F490" s="5">
        <v>167.78</v>
      </c>
      <c r="G490" s="5" t="s">
        <v>26</v>
      </c>
      <c r="H490" s="60">
        <v>65.499552238805975</v>
      </c>
      <c r="I490" s="19" t="s">
        <v>27</v>
      </c>
      <c r="J490" s="60">
        <v>0.54044776119403082</v>
      </c>
      <c r="K490" s="5" t="s">
        <v>44</v>
      </c>
      <c r="L490" s="101" t="s">
        <v>192</v>
      </c>
      <c r="M490" s="59">
        <v>5.1999999999999998E-2</v>
      </c>
      <c r="N490" s="59">
        <v>10.055221120000002</v>
      </c>
      <c r="O490" s="59">
        <v>0.39572514500000011</v>
      </c>
      <c r="AG490" s="107"/>
      <c r="AN490" s="115"/>
      <c r="BU490" s="61"/>
    </row>
    <row r="491" spans="1:73" x14ac:dyDescent="0.35">
      <c r="A491" s="7" t="s">
        <v>1379</v>
      </c>
      <c r="B491" s="7" t="s">
        <v>1382</v>
      </c>
      <c r="C491" s="17" t="s">
        <v>485</v>
      </c>
      <c r="D491" s="5" t="s">
        <v>486</v>
      </c>
      <c r="E491" s="5" t="s">
        <v>491</v>
      </c>
      <c r="F491" s="5">
        <v>169.1</v>
      </c>
      <c r="G491" s="5" t="s">
        <v>26</v>
      </c>
      <c r="H491" s="60">
        <v>66.401649635036492</v>
      </c>
      <c r="I491" s="19" t="s">
        <v>27</v>
      </c>
      <c r="J491" s="60">
        <v>-0.36164963503648551</v>
      </c>
      <c r="K491" s="5" t="s">
        <v>44</v>
      </c>
      <c r="L491" s="101" t="s">
        <v>192</v>
      </c>
      <c r="M491" s="59">
        <v>0.24399999999999999</v>
      </c>
      <c r="N491" s="59">
        <v>9.2063660800000005</v>
      </c>
      <c r="O491" s="59">
        <v>-0.45312989500000178</v>
      </c>
      <c r="AG491" s="107"/>
      <c r="AN491" s="115"/>
      <c r="BU491" s="61"/>
    </row>
    <row r="492" spans="1:73" x14ac:dyDescent="0.35">
      <c r="A492" s="7" t="s">
        <v>1379</v>
      </c>
      <c r="B492" s="7" t="s">
        <v>1382</v>
      </c>
      <c r="C492" s="17" t="s">
        <v>485</v>
      </c>
      <c r="D492" s="5" t="s">
        <v>486</v>
      </c>
      <c r="E492" s="5" t="s">
        <v>487</v>
      </c>
      <c r="F492" s="5">
        <v>164.2</v>
      </c>
      <c r="G492" s="5" t="s">
        <v>26</v>
      </c>
      <c r="H492" s="60">
        <v>64.911791044776123</v>
      </c>
      <c r="I492" s="19" t="s">
        <v>27</v>
      </c>
      <c r="J492" s="60">
        <v>1.128208955223883</v>
      </c>
      <c r="K492" s="5" t="s">
        <v>44</v>
      </c>
      <c r="L492" s="101" t="s">
        <v>188</v>
      </c>
      <c r="M492" s="59">
        <v>-0.108</v>
      </c>
      <c r="N492" s="59">
        <v>10.542540920000002</v>
      </c>
      <c r="O492" s="59">
        <v>0.88304494499999997</v>
      </c>
      <c r="AG492" s="107"/>
      <c r="AN492" s="115"/>
      <c r="BU492" s="61"/>
    </row>
    <row r="493" spans="1:73" x14ac:dyDescent="0.35">
      <c r="A493" s="7" t="s">
        <v>1379</v>
      </c>
      <c r="B493" s="7" t="s">
        <v>1382</v>
      </c>
      <c r="C493" s="17" t="s">
        <v>485</v>
      </c>
      <c r="D493" s="5" t="s">
        <v>486</v>
      </c>
      <c r="E493" s="5" t="s">
        <v>492</v>
      </c>
      <c r="F493" s="5">
        <v>165.94</v>
      </c>
      <c r="G493" s="5" t="s">
        <v>26</v>
      </c>
      <c r="H493" s="60">
        <v>65.197462686567164</v>
      </c>
      <c r="I493" s="19" t="s">
        <v>27</v>
      </c>
      <c r="J493" s="60">
        <v>0.84253731343284244</v>
      </c>
      <c r="K493" s="5" t="s">
        <v>44</v>
      </c>
      <c r="L493" s="101" t="s">
        <v>188</v>
      </c>
      <c r="M493" s="59">
        <v>-5.2999999999999999E-2</v>
      </c>
      <c r="N493" s="59">
        <v>10.298790270000001</v>
      </c>
      <c r="O493" s="59">
        <v>0.63929429499999912</v>
      </c>
      <c r="AG493" s="107"/>
      <c r="AN493" s="115"/>
      <c r="BU493" s="61"/>
    </row>
    <row r="494" spans="1:73" x14ac:dyDescent="0.35">
      <c r="A494" s="7" t="s">
        <v>1379</v>
      </c>
      <c r="B494" s="7" t="s">
        <v>1382</v>
      </c>
      <c r="C494" s="17" t="s">
        <v>485</v>
      </c>
      <c r="D494" s="5" t="s">
        <v>486</v>
      </c>
      <c r="E494" s="5" t="s">
        <v>493</v>
      </c>
      <c r="F494" s="5">
        <v>167.96</v>
      </c>
      <c r="G494" s="5" t="s">
        <v>26</v>
      </c>
      <c r="H494" s="60">
        <v>66.154696428571427</v>
      </c>
      <c r="I494" s="19" t="s">
        <v>27</v>
      </c>
      <c r="J494" s="60">
        <v>-0.11469642857142048</v>
      </c>
      <c r="K494" s="5" t="s">
        <v>44</v>
      </c>
      <c r="L494" s="101" t="s">
        <v>188</v>
      </c>
      <c r="M494" s="59">
        <v>0.18099999999999999</v>
      </c>
      <c r="N494" s="59">
        <v>9.2637708300000021</v>
      </c>
      <c r="O494" s="59">
        <v>-0.39572514500000011</v>
      </c>
      <c r="AG494" s="107"/>
      <c r="AN494" s="115"/>
      <c r="BU494" s="61"/>
    </row>
    <row r="495" spans="1:73" x14ac:dyDescent="0.35">
      <c r="A495" s="7" t="s">
        <v>1379</v>
      </c>
      <c r="B495" s="7" t="s">
        <v>1382</v>
      </c>
      <c r="C495" s="17" t="s">
        <v>485</v>
      </c>
      <c r="D495" s="5" t="s">
        <v>486</v>
      </c>
      <c r="E495" s="5" t="s">
        <v>491</v>
      </c>
      <c r="F495" s="5">
        <v>169.1</v>
      </c>
      <c r="G495" s="5" t="s">
        <v>26</v>
      </c>
      <c r="H495" s="60">
        <v>66.401649635036492</v>
      </c>
      <c r="I495" s="19" t="s">
        <v>27</v>
      </c>
      <c r="J495" s="60">
        <v>-0.36164963503648551</v>
      </c>
      <c r="K495" s="5" t="s">
        <v>44</v>
      </c>
      <c r="L495" s="101" t="s">
        <v>188</v>
      </c>
      <c r="M495" s="59">
        <v>0.29299999999999998</v>
      </c>
      <c r="N495" s="59">
        <v>8.7695394700000016</v>
      </c>
      <c r="O495" s="59">
        <v>-0.88995650500000067</v>
      </c>
      <c r="AG495" s="107"/>
      <c r="AN495" s="115"/>
      <c r="BU495" s="61"/>
    </row>
    <row r="496" spans="1:73" x14ac:dyDescent="0.35">
      <c r="A496" s="7" t="s">
        <v>1379</v>
      </c>
      <c r="B496" s="7" t="s">
        <v>1382</v>
      </c>
      <c r="C496" s="17" t="s">
        <v>485</v>
      </c>
      <c r="D496" s="5" t="s">
        <v>486</v>
      </c>
      <c r="E496" s="5" t="s">
        <v>494</v>
      </c>
      <c r="F496" s="5">
        <v>167.19</v>
      </c>
      <c r="G496" s="5" t="s">
        <v>26</v>
      </c>
      <c r="H496" s="60">
        <v>65.402686567164181</v>
      </c>
      <c r="I496" s="19" t="s">
        <v>27</v>
      </c>
      <c r="J496" s="60">
        <v>0.63731343283582476</v>
      </c>
      <c r="K496" s="5" t="s">
        <v>44</v>
      </c>
      <c r="L496" s="5" t="s">
        <v>495</v>
      </c>
      <c r="M496" s="59">
        <v>-8.1000000000000003E-2</v>
      </c>
      <c r="N496" s="59">
        <v>9.7587548300000027</v>
      </c>
      <c r="O496" s="59">
        <v>9.9258855000000423E-2</v>
      </c>
      <c r="AG496" s="107"/>
      <c r="AN496" s="115"/>
      <c r="BU496" s="61"/>
    </row>
    <row r="497" spans="1:73" x14ac:dyDescent="0.35">
      <c r="A497" s="7" t="s">
        <v>1379</v>
      </c>
      <c r="B497" s="7" t="s">
        <v>1382</v>
      </c>
      <c r="C497" s="17" t="s">
        <v>485</v>
      </c>
      <c r="D497" s="5" t="s">
        <v>486</v>
      </c>
      <c r="E497" s="5" t="s">
        <v>496</v>
      </c>
      <c r="F497" s="5">
        <v>167.6</v>
      </c>
      <c r="G497" s="5" t="s">
        <v>26</v>
      </c>
      <c r="H497" s="60">
        <v>65.47</v>
      </c>
      <c r="I497" s="19" t="s">
        <v>27</v>
      </c>
      <c r="J497" s="60">
        <v>0.57000000000000739</v>
      </c>
      <c r="K497" s="5" t="s">
        <v>44</v>
      </c>
      <c r="L497" s="5" t="s">
        <v>495</v>
      </c>
      <c r="M497" s="59">
        <v>-9.0999999999999998E-2</v>
      </c>
      <c r="N497" s="59">
        <v>9.8029864300000025</v>
      </c>
      <c r="O497" s="59">
        <v>0.14349045500000024</v>
      </c>
      <c r="AG497" s="107"/>
      <c r="AN497" s="115"/>
      <c r="BU497" s="61"/>
    </row>
    <row r="498" spans="1:73" x14ac:dyDescent="0.35">
      <c r="A498" s="7" t="s">
        <v>1379</v>
      </c>
      <c r="B498" s="7" t="s">
        <v>1382</v>
      </c>
      <c r="C498" s="17" t="s">
        <v>485</v>
      </c>
      <c r="D498" s="5" t="s">
        <v>486</v>
      </c>
      <c r="E498" s="5" t="s">
        <v>497</v>
      </c>
      <c r="F498" s="5">
        <v>168.22</v>
      </c>
      <c r="G498" s="5" t="s">
        <v>26</v>
      </c>
      <c r="H498" s="60">
        <v>66.212732142857135</v>
      </c>
      <c r="I498" s="19" t="s">
        <v>27</v>
      </c>
      <c r="J498" s="60">
        <v>-0.17273214285712868</v>
      </c>
      <c r="K498" s="5" t="s">
        <v>44</v>
      </c>
      <c r="L498" s="5" t="s">
        <v>495</v>
      </c>
      <c r="M498" s="59">
        <v>0.36199999999999999</v>
      </c>
      <c r="N498" s="59">
        <v>7.8053153200000027</v>
      </c>
      <c r="O498" s="59">
        <v>-1.8541806549999995</v>
      </c>
      <c r="AG498" s="107"/>
      <c r="AN498" s="115"/>
      <c r="BU498" s="61"/>
    </row>
    <row r="499" spans="1:73" x14ac:dyDescent="0.35">
      <c r="A499" s="7" t="s">
        <v>1379</v>
      </c>
      <c r="B499" s="7" t="s">
        <v>1382</v>
      </c>
      <c r="C499" s="17"/>
      <c r="D499" s="5"/>
      <c r="E499" s="5"/>
      <c r="F499" s="5"/>
      <c r="G499" s="5"/>
      <c r="H499" s="18"/>
      <c r="I499" s="19"/>
      <c r="J499" s="60"/>
      <c r="K499" s="5"/>
      <c r="L499" s="5"/>
      <c r="N499" s="59"/>
      <c r="O499" s="59"/>
      <c r="AG499" s="107"/>
      <c r="AN499" s="115"/>
      <c r="BU499" s="61"/>
    </row>
    <row r="500" spans="1:73" x14ac:dyDescent="0.35">
      <c r="A500" s="7" t="s">
        <v>1379</v>
      </c>
      <c r="B500" s="7" t="s">
        <v>1382</v>
      </c>
      <c r="C500" s="17" t="s">
        <v>498</v>
      </c>
      <c r="D500" s="5" t="s">
        <v>499</v>
      </c>
      <c r="E500" s="5" t="s">
        <v>500</v>
      </c>
      <c r="F500" s="5">
        <v>451.71</v>
      </c>
      <c r="G500" s="5" t="s">
        <v>26</v>
      </c>
      <c r="H500" s="152">
        <v>66.040241652421656</v>
      </c>
      <c r="I500" s="19" t="s">
        <v>27</v>
      </c>
      <c r="J500" s="153">
        <v>-2.416524216499738E-4</v>
      </c>
      <c r="K500" s="5" t="s">
        <v>44</v>
      </c>
      <c r="L500" s="101" t="s">
        <v>501</v>
      </c>
      <c r="N500" s="67">
        <v>10.113010446343701</v>
      </c>
      <c r="O500" s="95">
        <v>0</v>
      </c>
      <c r="AG500" s="107"/>
      <c r="AN500" s="115"/>
      <c r="BU500" s="61"/>
    </row>
    <row r="501" spans="1:73" x14ac:dyDescent="0.35">
      <c r="A501" s="7" t="s">
        <v>1379</v>
      </c>
      <c r="B501" s="7" t="s">
        <v>1382</v>
      </c>
      <c r="C501" s="17" t="s">
        <v>498</v>
      </c>
      <c r="D501" s="5" t="s">
        <v>499</v>
      </c>
      <c r="E501" s="5" t="s">
        <v>502</v>
      </c>
      <c r="F501" s="5">
        <v>451.8</v>
      </c>
      <c r="G501" s="5" t="s">
        <v>26</v>
      </c>
      <c r="H501" s="152">
        <v>66.048312393162348</v>
      </c>
      <c r="I501" s="19" t="s">
        <v>27</v>
      </c>
      <c r="J501" s="153">
        <v>-8.3123931623418912E-3</v>
      </c>
      <c r="K501" s="5" t="s">
        <v>44</v>
      </c>
      <c r="L501" s="101" t="s">
        <v>501</v>
      </c>
      <c r="N501" s="67">
        <v>11.580294396960999</v>
      </c>
      <c r="O501" s="95">
        <v>1.4672839506172988</v>
      </c>
      <c r="AG501" s="107"/>
      <c r="AN501" s="115"/>
      <c r="BU501" s="61"/>
    </row>
    <row r="502" spans="1:73" x14ac:dyDescent="0.35">
      <c r="A502" s="7" t="s">
        <v>1379</v>
      </c>
      <c r="B502" s="7" t="s">
        <v>1382</v>
      </c>
      <c r="C502" s="17" t="s">
        <v>498</v>
      </c>
      <c r="D502" s="5" t="s">
        <v>499</v>
      </c>
      <c r="E502" s="5" t="s">
        <v>503</v>
      </c>
      <c r="F502" s="5">
        <v>451.89</v>
      </c>
      <c r="G502" s="5" t="s">
        <v>26</v>
      </c>
      <c r="H502" s="152">
        <v>66.053279002848967</v>
      </c>
      <c r="I502" s="19" t="s">
        <v>27</v>
      </c>
      <c r="J502" s="153">
        <v>-1.3279002848960886E-2</v>
      </c>
      <c r="K502" s="5" t="s">
        <v>44</v>
      </c>
      <c r="L502" s="101" t="s">
        <v>501</v>
      </c>
      <c r="N502" s="67">
        <v>10.630674264007499</v>
      </c>
      <c r="O502" s="95">
        <v>0.51766381766379865</v>
      </c>
      <c r="AG502" s="107"/>
      <c r="AN502" s="115"/>
      <c r="BU502" s="61"/>
    </row>
    <row r="503" spans="1:73" x14ac:dyDescent="0.35">
      <c r="A503" s="7" t="s">
        <v>1379</v>
      </c>
      <c r="B503" s="7" t="s">
        <v>1382</v>
      </c>
      <c r="C503" s="17" t="s">
        <v>498</v>
      </c>
      <c r="D503" s="5" t="s">
        <v>499</v>
      </c>
      <c r="E503" s="5" t="s">
        <v>504</v>
      </c>
      <c r="F503" s="5">
        <v>451.98</v>
      </c>
      <c r="G503" s="5" t="s">
        <v>26</v>
      </c>
      <c r="H503" s="152">
        <v>66.060108091168075</v>
      </c>
      <c r="I503" s="19" t="s">
        <v>27</v>
      </c>
      <c r="J503" s="153">
        <v>-2.0108091168069109E-2</v>
      </c>
      <c r="K503" s="5" t="s">
        <v>44</v>
      </c>
      <c r="L503" s="101" t="s">
        <v>501</v>
      </c>
      <c r="N503" s="67">
        <v>10.7811965811965</v>
      </c>
      <c r="O503" s="95">
        <v>0.66818613485279954</v>
      </c>
      <c r="AG503" s="107"/>
      <c r="AN503" s="115"/>
      <c r="BU503" s="61"/>
    </row>
    <row r="504" spans="1:73" x14ac:dyDescent="0.35">
      <c r="A504" s="7" t="s">
        <v>1379</v>
      </c>
      <c r="B504" s="7" t="s">
        <v>1382</v>
      </c>
      <c r="C504" s="17" t="s">
        <v>498</v>
      </c>
      <c r="D504" s="5" t="s">
        <v>499</v>
      </c>
      <c r="E504" s="5" t="s">
        <v>505</v>
      </c>
      <c r="F504" s="5">
        <v>452.07</v>
      </c>
      <c r="G504" s="5" t="s">
        <v>26</v>
      </c>
      <c r="H504" s="152">
        <v>66.066937179487184</v>
      </c>
      <c r="I504" s="19" t="s">
        <v>27</v>
      </c>
      <c r="J504" s="153">
        <v>-2.6937179487177332E-2</v>
      </c>
      <c r="K504" s="5" t="s">
        <v>44</v>
      </c>
      <c r="L504" s="101" t="s">
        <v>501</v>
      </c>
      <c r="N504" s="67">
        <v>10.665052231718899</v>
      </c>
      <c r="O504" s="95">
        <v>0.55204178537519866</v>
      </c>
      <c r="AG504" s="107"/>
      <c r="AN504" s="115"/>
      <c r="BU504" s="61"/>
    </row>
    <row r="505" spans="1:73" x14ac:dyDescent="0.35">
      <c r="A505" s="7" t="s">
        <v>1379</v>
      </c>
      <c r="B505" s="7" t="s">
        <v>1382</v>
      </c>
      <c r="C505" s="17" t="s">
        <v>498</v>
      </c>
      <c r="D505" s="5" t="s">
        <v>499</v>
      </c>
      <c r="E505" s="5" t="s">
        <v>506</v>
      </c>
      <c r="F505" s="5">
        <v>452.08</v>
      </c>
      <c r="G505" s="5" t="s">
        <v>26</v>
      </c>
      <c r="H505" s="152">
        <v>66.068178831908838</v>
      </c>
      <c r="I505" s="19" t="s">
        <v>27</v>
      </c>
      <c r="J505" s="153">
        <v>-2.817883190883208E-2</v>
      </c>
      <c r="K505" s="5" t="s">
        <v>44</v>
      </c>
      <c r="L505" s="101" t="s">
        <v>501</v>
      </c>
      <c r="N505" s="67">
        <v>12.0318138651472</v>
      </c>
      <c r="O505" s="95">
        <v>1.918803418803499</v>
      </c>
      <c r="AG505" s="107"/>
      <c r="AN505" s="115"/>
      <c r="BU505" s="61"/>
    </row>
    <row r="506" spans="1:73" x14ac:dyDescent="0.35">
      <c r="A506" s="7" t="s">
        <v>1379</v>
      </c>
      <c r="B506" s="7" t="s">
        <v>1382</v>
      </c>
      <c r="C506" s="17" t="s">
        <v>498</v>
      </c>
      <c r="D506" s="5" t="s">
        <v>499</v>
      </c>
      <c r="E506" s="5" t="s">
        <v>507</v>
      </c>
      <c r="F506" s="5">
        <v>452.16</v>
      </c>
      <c r="G506" s="5" t="s">
        <v>26</v>
      </c>
      <c r="H506" s="152">
        <v>66.073145441595443</v>
      </c>
      <c r="I506" s="19" t="s">
        <v>27</v>
      </c>
      <c r="J506" s="153">
        <v>-3.3145441595436864E-2</v>
      </c>
      <c r="K506" s="5" t="s">
        <v>44</v>
      </c>
      <c r="L506" s="101" t="s">
        <v>501</v>
      </c>
      <c r="N506" s="67">
        <v>11.1488603988603</v>
      </c>
      <c r="O506" s="95">
        <v>1.0358499525165996</v>
      </c>
      <c r="AG506" s="107"/>
      <c r="AN506" s="115"/>
      <c r="BU506" s="61"/>
    </row>
    <row r="507" spans="1:73" x14ac:dyDescent="0.35">
      <c r="A507" s="7" t="s">
        <v>1379</v>
      </c>
      <c r="B507" s="7" t="s">
        <v>1382</v>
      </c>
      <c r="C507" s="17" t="s">
        <v>498</v>
      </c>
      <c r="D507" s="5" t="s">
        <v>499</v>
      </c>
      <c r="E507" s="5" t="s">
        <v>508</v>
      </c>
      <c r="F507" s="5">
        <v>452.26</v>
      </c>
      <c r="G507" s="5" t="s">
        <v>26</v>
      </c>
      <c r="H507" s="152">
        <v>66.079974529914494</v>
      </c>
      <c r="I507" s="19" t="s">
        <v>27</v>
      </c>
      <c r="J507" s="153">
        <v>-3.9974529914488244E-2</v>
      </c>
      <c r="K507" s="5" t="s">
        <v>44</v>
      </c>
      <c r="L507" s="101" t="s">
        <v>501</v>
      </c>
      <c r="N507" s="67">
        <v>10.8327160493827</v>
      </c>
      <c r="O507" s="95">
        <v>0.71970560303899944</v>
      </c>
      <c r="AG507" s="107"/>
      <c r="AN507" s="115"/>
      <c r="BU507" s="61"/>
    </row>
    <row r="508" spans="1:73" x14ac:dyDescent="0.35">
      <c r="A508" s="7" t="s">
        <v>1379</v>
      </c>
      <c r="B508" s="7" t="s">
        <v>1382</v>
      </c>
      <c r="C508" s="17" t="s">
        <v>498</v>
      </c>
      <c r="D508" s="5" t="s">
        <v>499</v>
      </c>
      <c r="E508" s="5" t="s">
        <v>509</v>
      </c>
      <c r="F508" s="5">
        <v>452.36</v>
      </c>
      <c r="G508" s="5" t="s">
        <v>26</v>
      </c>
      <c r="H508" s="152">
        <v>66.088045270655257</v>
      </c>
      <c r="I508" s="19" t="s">
        <v>27</v>
      </c>
      <c r="J508" s="153">
        <v>-4.8045270655251215E-2</v>
      </c>
      <c r="K508" s="5" t="s">
        <v>44</v>
      </c>
      <c r="L508" s="101" t="s">
        <v>501</v>
      </c>
      <c r="N508" s="67">
        <v>11.3666666666666</v>
      </c>
      <c r="O508" s="95">
        <v>1.2536562203228989</v>
      </c>
      <c r="AG508" s="107"/>
      <c r="AN508" s="115"/>
      <c r="BU508" s="61"/>
    </row>
    <row r="509" spans="1:73" x14ac:dyDescent="0.35">
      <c r="A509" s="7" t="s">
        <v>1379</v>
      </c>
      <c r="B509" s="7" t="s">
        <v>1382</v>
      </c>
      <c r="C509" s="17" t="s">
        <v>498</v>
      </c>
      <c r="D509" s="5" t="s">
        <v>499</v>
      </c>
      <c r="E509" s="5" t="s">
        <v>510</v>
      </c>
      <c r="F509" s="5">
        <v>452.47</v>
      </c>
      <c r="G509" s="5" t="s">
        <v>26</v>
      </c>
      <c r="H509" s="152">
        <v>66.096116011395964</v>
      </c>
      <c r="I509" s="19" t="s">
        <v>27</v>
      </c>
      <c r="J509" s="153">
        <v>-5.6116011395957344E-2</v>
      </c>
      <c r="K509" s="5" t="s">
        <v>44</v>
      </c>
      <c r="L509" s="101" t="s">
        <v>501</v>
      </c>
      <c r="N509" s="67">
        <v>10.733950617283901</v>
      </c>
      <c r="O509" s="95">
        <v>0.62094017094019982</v>
      </c>
      <c r="AG509" s="107"/>
      <c r="AN509" s="115"/>
      <c r="BU509" s="61"/>
    </row>
    <row r="510" spans="1:73" x14ac:dyDescent="0.35">
      <c r="A510" s="7" t="s">
        <v>1379</v>
      </c>
      <c r="B510" s="7" t="s">
        <v>1382</v>
      </c>
      <c r="C510" s="17" t="s">
        <v>498</v>
      </c>
      <c r="D510" s="5" t="s">
        <v>499</v>
      </c>
      <c r="E510" s="5" t="s">
        <v>511</v>
      </c>
      <c r="F510" s="5">
        <v>452.55</v>
      </c>
      <c r="G510" s="5" t="s">
        <v>26</v>
      </c>
      <c r="H510" s="152">
        <v>66.101703447293431</v>
      </c>
      <c r="I510" s="19" t="s">
        <v>27</v>
      </c>
      <c r="J510" s="153">
        <v>-6.1703447293425029E-2</v>
      </c>
      <c r="K510" s="5" t="s">
        <v>44</v>
      </c>
      <c r="L510" s="101" t="s">
        <v>501</v>
      </c>
      <c r="N510" s="67">
        <v>11.617711301044601</v>
      </c>
      <c r="O510" s="95">
        <v>1.5047008547009</v>
      </c>
      <c r="AG510" s="107"/>
      <c r="AN510" s="115"/>
      <c r="BU510" s="61"/>
    </row>
    <row r="511" spans="1:73" x14ac:dyDescent="0.35">
      <c r="A511" s="7" t="s">
        <v>1379</v>
      </c>
      <c r="B511" s="7" t="s">
        <v>1382</v>
      </c>
      <c r="C511" s="17" t="s">
        <v>498</v>
      </c>
      <c r="D511" s="5" t="s">
        <v>499</v>
      </c>
      <c r="E511" s="5" t="s">
        <v>512</v>
      </c>
      <c r="F511" s="5">
        <v>452.62</v>
      </c>
      <c r="G511" s="5" t="s">
        <v>26</v>
      </c>
      <c r="H511" s="152">
        <v>66.105428404558367</v>
      </c>
      <c r="I511" s="19" t="s">
        <v>27</v>
      </c>
      <c r="J511" s="153">
        <v>-6.5428404558360853E-2</v>
      </c>
      <c r="K511" s="5" t="s">
        <v>44</v>
      </c>
      <c r="L511" s="101" t="s">
        <v>501</v>
      </c>
      <c r="N511" s="67">
        <v>10.2513295346628</v>
      </c>
      <c r="O511" s="95">
        <v>0.13831908831909878</v>
      </c>
      <c r="AG511" s="107"/>
      <c r="AN511" s="115"/>
      <c r="BU511" s="61"/>
    </row>
    <row r="512" spans="1:73" x14ac:dyDescent="0.35">
      <c r="A512" s="7" t="s">
        <v>1379</v>
      </c>
      <c r="B512" s="7" t="s">
        <v>1382</v>
      </c>
      <c r="C512" s="17" t="s">
        <v>498</v>
      </c>
      <c r="D512" s="5" t="s">
        <v>499</v>
      </c>
      <c r="E512" s="5" t="s">
        <v>513</v>
      </c>
      <c r="F512" s="5">
        <v>452.64</v>
      </c>
      <c r="G512" s="5" t="s">
        <v>26</v>
      </c>
      <c r="H512" s="152">
        <v>66.107911709401677</v>
      </c>
      <c r="I512" s="19" t="s">
        <v>27</v>
      </c>
      <c r="J512" s="153">
        <v>-6.791170940167035E-2</v>
      </c>
      <c r="K512" s="5" t="s">
        <v>44</v>
      </c>
      <c r="L512" s="101" t="s">
        <v>501</v>
      </c>
      <c r="N512" s="67">
        <v>12.034852801519399</v>
      </c>
      <c r="O512" s="95">
        <v>1.9218423551756985</v>
      </c>
      <c r="AG512" s="107"/>
      <c r="AN512" s="115"/>
      <c r="BU512" s="61"/>
    </row>
    <row r="513" spans="1:73" x14ac:dyDescent="0.35">
      <c r="A513" s="7" t="s">
        <v>1379</v>
      </c>
      <c r="B513" s="7" t="s">
        <v>1382</v>
      </c>
      <c r="C513" s="17" t="s">
        <v>498</v>
      </c>
      <c r="D513" s="5" t="s">
        <v>499</v>
      </c>
      <c r="E513" s="5" t="s">
        <v>514</v>
      </c>
      <c r="F513" s="5">
        <v>452.75</v>
      </c>
      <c r="G513" s="5" t="s">
        <v>26</v>
      </c>
      <c r="H513" s="152">
        <v>66.115361623931577</v>
      </c>
      <c r="I513" s="19" t="s">
        <v>27</v>
      </c>
      <c r="J513" s="153">
        <v>-7.5361623931570421E-2</v>
      </c>
      <c r="K513" s="5" t="s">
        <v>44</v>
      </c>
      <c r="L513" s="101" t="s">
        <v>501</v>
      </c>
      <c r="N513" s="67">
        <v>12.2854226020892</v>
      </c>
      <c r="O513" s="95">
        <v>2.1724121557454996</v>
      </c>
      <c r="AG513" s="107"/>
      <c r="AN513" s="115"/>
      <c r="BU513" s="61"/>
    </row>
    <row r="514" spans="1:73" x14ac:dyDescent="0.35">
      <c r="A514" s="7" t="s">
        <v>1379</v>
      </c>
      <c r="B514" s="7" t="s">
        <v>1382</v>
      </c>
      <c r="C514" s="17" t="s">
        <v>498</v>
      </c>
      <c r="D514" s="5" t="s">
        <v>499</v>
      </c>
      <c r="E514" s="5" t="s">
        <v>515</v>
      </c>
      <c r="F514" s="5">
        <v>452.86</v>
      </c>
      <c r="G514" s="5" t="s">
        <v>26</v>
      </c>
      <c r="H514" s="152">
        <v>66.124053190883131</v>
      </c>
      <c r="I514" s="19" t="s">
        <v>27</v>
      </c>
      <c r="J514" s="153">
        <v>-8.4053190883125239E-2</v>
      </c>
      <c r="K514" s="5" t="s">
        <v>44</v>
      </c>
      <c r="L514" s="101" t="s">
        <v>501</v>
      </c>
      <c r="N514" s="67">
        <v>12.269420702753999</v>
      </c>
      <c r="O514" s="95">
        <v>2.1564102564102985</v>
      </c>
      <c r="AG514" s="107"/>
      <c r="AN514" s="115"/>
      <c r="BU514" s="61"/>
    </row>
    <row r="515" spans="1:73" x14ac:dyDescent="0.35">
      <c r="A515" s="7" t="s">
        <v>1379</v>
      </c>
      <c r="B515" s="7" t="s">
        <v>1382</v>
      </c>
      <c r="C515" s="17" t="s">
        <v>498</v>
      </c>
      <c r="D515" s="5" t="s">
        <v>499</v>
      </c>
      <c r="E515" s="5" t="s">
        <v>516</v>
      </c>
      <c r="F515" s="5">
        <v>452.96</v>
      </c>
      <c r="G515" s="5" t="s">
        <v>26</v>
      </c>
      <c r="H515" s="152">
        <v>66.130261452991448</v>
      </c>
      <c r="I515" s="19" t="s">
        <v>27</v>
      </c>
      <c r="J515" s="153">
        <v>-9.0261452991441615E-2</v>
      </c>
      <c r="K515" s="5" t="s">
        <v>44</v>
      </c>
      <c r="L515" s="101" t="s">
        <v>501</v>
      </c>
      <c r="N515" s="67">
        <v>12.3198955365622</v>
      </c>
      <c r="O515" s="95">
        <v>2.2068850902184991</v>
      </c>
      <c r="AG515" s="107"/>
      <c r="AN515" s="115"/>
      <c r="BU515" s="61"/>
    </row>
    <row r="516" spans="1:73" x14ac:dyDescent="0.35">
      <c r="A516" s="7" t="s">
        <v>1379</v>
      </c>
      <c r="B516" s="7" t="s">
        <v>1382</v>
      </c>
      <c r="C516" s="17" t="s">
        <v>498</v>
      </c>
      <c r="D516" s="5" t="s">
        <v>499</v>
      </c>
      <c r="E516" s="5" t="s">
        <v>517</v>
      </c>
      <c r="F516" s="5">
        <v>453.06</v>
      </c>
      <c r="G516" s="5" t="s">
        <v>26</v>
      </c>
      <c r="H516" s="152">
        <v>66.138332193732168</v>
      </c>
      <c r="I516" s="19" t="s">
        <v>27</v>
      </c>
      <c r="J516" s="153">
        <v>-9.8332193732161954E-2</v>
      </c>
      <c r="K516" s="5" t="s">
        <v>44</v>
      </c>
      <c r="L516" s="101" t="s">
        <v>501</v>
      </c>
      <c r="N516" s="67">
        <v>11.787179487179399</v>
      </c>
      <c r="O516" s="95">
        <v>1.6741690408356984</v>
      </c>
      <c r="AG516" s="107"/>
      <c r="AN516" s="115"/>
      <c r="BU516" s="61"/>
    </row>
    <row r="517" spans="1:73" x14ac:dyDescent="0.35">
      <c r="A517" s="7" t="s">
        <v>1379</v>
      </c>
      <c r="B517" s="7" t="s">
        <v>1382</v>
      </c>
      <c r="C517" s="17" t="s">
        <v>498</v>
      </c>
      <c r="D517" s="5" t="s">
        <v>499</v>
      </c>
      <c r="E517" s="5" t="s">
        <v>518</v>
      </c>
      <c r="F517" s="5">
        <v>453.1</v>
      </c>
      <c r="G517" s="5" t="s">
        <v>26</v>
      </c>
      <c r="H517" s="152">
        <v>66.140815498575463</v>
      </c>
      <c r="I517" s="19" t="s">
        <v>27</v>
      </c>
      <c r="J517" s="153">
        <v>-0.10081549857545724</v>
      </c>
      <c r="K517" s="5" t="s">
        <v>44</v>
      </c>
      <c r="L517" s="101" t="s">
        <v>501</v>
      </c>
      <c r="N517" s="67">
        <v>12.320702754036001</v>
      </c>
      <c r="O517" s="95">
        <v>2.2076923076922998</v>
      </c>
      <c r="AG517" s="107"/>
      <c r="AN517" s="115"/>
      <c r="BU517" s="61"/>
    </row>
    <row r="518" spans="1:73" x14ac:dyDescent="0.35">
      <c r="A518" s="7" t="s">
        <v>1379</v>
      </c>
      <c r="B518" s="7" t="s">
        <v>1382</v>
      </c>
      <c r="C518" s="17" t="s">
        <v>498</v>
      </c>
      <c r="D518" s="5" t="s">
        <v>499</v>
      </c>
      <c r="E518" s="5" t="s">
        <v>519</v>
      </c>
      <c r="F518" s="5">
        <v>453.2</v>
      </c>
      <c r="G518" s="5" t="s">
        <v>26</v>
      </c>
      <c r="H518" s="152">
        <v>66.147644586894572</v>
      </c>
      <c r="I518" s="19" t="s">
        <v>27</v>
      </c>
      <c r="J518" s="153">
        <v>-0.10764458689456546</v>
      </c>
      <c r="K518" s="5" t="s">
        <v>44</v>
      </c>
      <c r="L518" s="101" t="s">
        <v>501</v>
      </c>
      <c r="N518" s="67">
        <v>12.771225071225</v>
      </c>
      <c r="O518" s="95">
        <v>2.6582146248812997</v>
      </c>
      <c r="AG518" s="107"/>
      <c r="AN518" s="115"/>
      <c r="BU518" s="61"/>
    </row>
    <row r="519" spans="1:73" x14ac:dyDescent="0.35">
      <c r="A519" s="7" t="s">
        <v>1379</v>
      </c>
      <c r="B519" s="7" t="s">
        <v>1382</v>
      </c>
      <c r="C519" s="17" t="s">
        <v>498</v>
      </c>
      <c r="D519" s="5" t="s">
        <v>499</v>
      </c>
      <c r="E519" s="5" t="s">
        <v>520</v>
      </c>
      <c r="F519" s="5">
        <v>453.31</v>
      </c>
      <c r="G519" s="5" t="s">
        <v>26</v>
      </c>
      <c r="H519" s="152">
        <v>66.156336153846127</v>
      </c>
      <c r="I519" s="19" t="s">
        <v>27</v>
      </c>
      <c r="J519" s="153">
        <v>-0.11633615384612028</v>
      </c>
      <c r="K519" s="5" t="s">
        <v>44</v>
      </c>
      <c r="L519" s="101" t="s">
        <v>501</v>
      </c>
      <c r="N519" s="67">
        <v>12.271889838556501</v>
      </c>
      <c r="O519" s="95">
        <v>2.1588793922127998</v>
      </c>
      <c r="AG519" s="107"/>
      <c r="AN519" s="115"/>
      <c r="BU519" s="61"/>
    </row>
    <row r="520" spans="1:73" x14ac:dyDescent="0.35">
      <c r="A520" s="7" t="s">
        <v>1379</v>
      </c>
      <c r="B520" s="7" t="s">
        <v>1382</v>
      </c>
      <c r="C520" s="17" t="s">
        <v>498</v>
      </c>
      <c r="D520" s="5" t="s">
        <v>499</v>
      </c>
      <c r="E520" s="5" t="s">
        <v>521</v>
      </c>
      <c r="F520" s="5">
        <v>453.4</v>
      </c>
      <c r="G520" s="5" t="s">
        <v>26</v>
      </c>
      <c r="H520" s="152">
        <v>66.161923589743594</v>
      </c>
      <c r="I520" s="19" t="s">
        <v>27</v>
      </c>
      <c r="J520" s="153">
        <v>-0.12192358974358797</v>
      </c>
      <c r="K520" s="5" t="s">
        <v>44</v>
      </c>
      <c r="L520" s="101" t="s">
        <v>501</v>
      </c>
      <c r="N520" s="67">
        <v>12.4556505223171</v>
      </c>
      <c r="O520" s="95">
        <v>2.3426400759733994</v>
      </c>
      <c r="AG520" s="107"/>
      <c r="AN520" s="115"/>
      <c r="BU520" s="61"/>
    </row>
    <row r="521" spans="1:73" x14ac:dyDescent="0.35">
      <c r="A521" s="7" t="s">
        <v>1379</v>
      </c>
      <c r="B521" s="7" t="s">
        <v>1382</v>
      </c>
      <c r="C521" s="17" t="s">
        <v>498</v>
      </c>
      <c r="D521" s="5" t="s">
        <v>499</v>
      </c>
      <c r="E521" s="5" t="s">
        <v>522</v>
      </c>
      <c r="F521" s="5">
        <v>453.48</v>
      </c>
      <c r="G521" s="5" t="s">
        <v>26</v>
      </c>
      <c r="H521" s="152">
        <v>66.168752678062646</v>
      </c>
      <c r="I521" s="19" t="s">
        <v>27</v>
      </c>
      <c r="J521" s="153">
        <v>-0.12875267806263935</v>
      </c>
      <c r="K521" s="5" t="s">
        <v>44</v>
      </c>
      <c r="L521" s="101" t="s">
        <v>501</v>
      </c>
      <c r="N521" s="67">
        <v>12.8228395061728</v>
      </c>
      <c r="O521" s="95">
        <v>2.7098290598290991</v>
      </c>
      <c r="AG521" s="107"/>
      <c r="AN521" s="115"/>
      <c r="BU521" s="61"/>
    </row>
    <row r="522" spans="1:73" x14ac:dyDescent="0.35">
      <c r="A522" s="7" t="s">
        <v>1379</v>
      </c>
      <c r="B522" s="7" t="s">
        <v>1382</v>
      </c>
      <c r="C522" s="17" t="s">
        <v>498</v>
      </c>
      <c r="D522" s="5" t="s">
        <v>499</v>
      </c>
      <c r="E522" s="5" t="s">
        <v>523</v>
      </c>
      <c r="F522" s="5">
        <v>453.58</v>
      </c>
      <c r="G522" s="5" t="s">
        <v>26</v>
      </c>
      <c r="H522" s="152">
        <v>66.175581766381754</v>
      </c>
      <c r="I522" s="19" t="s">
        <v>27</v>
      </c>
      <c r="J522" s="153">
        <v>-0.13558176638174757</v>
      </c>
      <c r="K522" s="5" t="s">
        <v>44</v>
      </c>
      <c r="L522" s="101" t="s">
        <v>501</v>
      </c>
      <c r="N522" s="67">
        <v>11.9233618233618</v>
      </c>
      <c r="O522" s="95">
        <v>1.8103513770180992</v>
      </c>
      <c r="AG522" s="107"/>
      <c r="AN522" s="115"/>
      <c r="BU522" s="61"/>
    </row>
    <row r="523" spans="1:73" x14ac:dyDescent="0.35">
      <c r="A523" s="7" t="s">
        <v>1379</v>
      </c>
      <c r="B523" s="7" t="s">
        <v>1382</v>
      </c>
      <c r="C523" s="17" t="s">
        <v>498</v>
      </c>
      <c r="D523" s="5" t="s">
        <v>499</v>
      </c>
      <c r="E523" s="5" t="s">
        <v>524</v>
      </c>
      <c r="F523" s="5">
        <v>453.61</v>
      </c>
      <c r="G523" s="5" t="s">
        <v>26</v>
      </c>
      <c r="H523" s="152">
        <v>66.176823418803409</v>
      </c>
      <c r="I523" s="19" t="s">
        <v>27</v>
      </c>
      <c r="J523" s="153">
        <v>-0.13682341880340232</v>
      </c>
      <c r="K523" s="5" t="s">
        <v>44</v>
      </c>
      <c r="L523" s="101" t="s">
        <v>501</v>
      </c>
      <c r="N523" s="67">
        <v>12.1234567901234</v>
      </c>
      <c r="O523" s="95">
        <v>2.0104463437796998</v>
      </c>
      <c r="AG523" s="107"/>
      <c r="AN523" s="115"/>
      <c r="BU523" s="61"/>
    </row>
    <row r="524" spans="1:73" x14ac:dyDescent="0.35">
      <c r="A524" s="7" t="s">
        <v>1379</v>
      </c>
      <c r="B524" s="7" t="s">
        <v>1382</v>
      </c>
      <c r="C524" s="17" t="s">
        <v>498</v>
      </c>
      <c r="D524" s="5" t="s">
        <v>499</v>
      </c>
      <c r="E524" s="5" t="s">
        <v>525</v>
      </c>
      <c r="F524" s="5">
        <v>453.68</v>
      </c>
      <c r="G524" s="5" t="s">
        <v>26</v>
      </c>
      <c r="H524" s="152">
        <v>66.18365250712246</v>
      </c>
      <c r="I524" s="19" t="s">
        <v>27</v>
      </c>
      <c r="J524" s="153">
        <v>-0.1436525071224537</v>
      </c>
      <c r="K524" s="5" t="s">
        <v>44</v>
      </c>
      <c r="L524" s="101" t="s">
        <v>501</v>
      </c>
      <c r="N524" s="67">
        <v>12.123979107312399</v>
      </c>
      <c r="O524" s="95">
        <v>2.0109686609686985</v>
      </c>
      <c r="AG524" s="107"/>
      <c r="AN524" s="115"/>
      <c r="BU524" s="61"/>
    </row>
    <row r="525" spans="1:73" x14ac:dyDescent="0.35">
      <c r="A525" s="7" t="s">
        <v>1379</v>
      </c>
      <c r="B525" s="7" t="s">
        <v>1382</v>
      </c>
      <c r="C525" s="17" t="s">
        <v>498</v>
      </c>
      <c r="D525" s="5" t="s">
        <v>499</v>
      </c>
      <c r="E525" s="5" t="s">
        <v>526</v>
      </c>
      <c r="F525" s="5">
        <v>453.75</v>
      </c>
      <c r="G525" s="5" t="s">
        <v>26</v>
      </c>
      <c r="H525" s="152">
        <v>66.187377464387424</v>
      </c>
      <c r="I525" s="19" t="s">
        <v>27</v>
      </c>
      <c r="J525" s="153">
        <v>-0.14737746438741794</v>
      </c>
      <c r="K525" s="5" t="s">
        <v>44</v>
      </c>
      <c r="L525" s="101" t="s">
        <v>501</v>
      </c>
      <c r="N525" s="67">
        <v>13.207597340930599</v>
      </c>
      <c r="O525" s="95">
        <v>3.0945868945868984</v>
      </c>
      <c r="AG525" s="107"/>
      <c r="AN525" s="115"/>
      <c r="BU525" s="61"/>
    </row>
    <row r="526" spans="1:73" x14ac:dyDescent="0.35">
      <c r="A526" s="7" t="s">
        <v>1379</v>
      </c>
      <c r="B526" s="7" t="s">
        <v>1382</v>
      </c>
      <c r="C526" s="17" t="s">
        <v>498</v>
      </c>
      <c r="D526" s="5" t="s">
        <v>499</v>
      </c>
      <c r="E526" s="5" t="s">
        <v>527</v>
      </c>
      <c r="F526" s="5">
        <v>453.85</v>
      </c>
      <c r="G526" s="5" t="s">
        <v>26</v>
      </c>
      <c r="H526" s="152">
        <v>66.195448205128173</v>
      </c>
      <c r="I526" s="19" t="s">
        <v>27</v>
      </c>
      <c r="J526" s="153">
        <v>-0.15544820512816671</v>
      </c>
      <c r="K526" s="5" t="s">
        <v>44</v>
      </c>
      <c r="L526" s="101" t="s">
        <v>501</v>
      </c>
      <c r="N526" s="67">
        <v>12.858214624881199</v>
      </c>
      <c r="O526" s="95">
        <v>2.7452041785374988</v>
      </c>
      <c r="AG526" s="107"/>
      <c r="AN526" s="115"/>
      <c r="BU526" s="61"/>
    </row>
    <row r="527" spans="1:73" x14ac:dyDescent="0.35">
      <c r="A527" s="7" t="s">
        <v>1379</v>
      </c>
      <c r="B527" s="7" t="s">
        <v>1382</v>
      </c>
      <c r="C527" s="17" t="s">
        <v>498</v>
      </c>
      <c r="D527" s="5" t="s">
        <v>499</v>
      </c>
      <c r="E527" s="5" t="s">
        <v>528</v>
      </c>
      <c r="F527" s="5">
        <v>453.95</v>
      </c>
      <c r="G527" s="5" t="s">
        <v>26</v>
      </c>
      <c r="H527" s="152">
        <v>66.201656467236432</v>
      </c>
      <c r="I527" s="19" t="s">
        <v>27</v>
      </c>
      <c r="J527" s="153">
        <v>-0.16165646723642624</v>
      </c>
      <c r="K527" s="5" t="s">
        <v>44</v>
      </c>
      <c r="L527" s="101" t="s">
        <v>501</v>
      </c>
      <c r="N527" s="67">
        <v>12.9753561253561</v>
      </c>
      <c r="O527" s="95">
        <v>2.8623456790123996</v>
      </c>
      <c r="AG527" s="107"/>
      <c r="AN527" s="115"/>
      <c r="BU527" s="61"/>
    </row>
    <row r="528" spans="1:73" x14ac:dyDescent="0.35">
      <c r="A528" s="7" t="s">
        <v>1379</v>
      </c>
      <c r="B528" s="7" t="s">
        <v>1382</v>
      </c>
      <c r="C528" s="17" t="s">
        <v>498</v>
      </c>
      <c r="D528" s="5" t="s">
        <v>499</v>
      </c>
      <c r="E528" s="5" t="s">
        <v>529</v>
      </c>
      <c r="F528" s="5">
        <v>454.05</v>
      </c>
      <c r="G528" s="5" t="s">
        <v>26</v>
      </c>
      <c r="H528" s="152">
        <v>66.209727207977195</v>
      </c>
      <c r="I528" s="19" t="s">
        <v>27</v>
      </c>
      <c r="J528" s="153">
        <v>-0.16972720797718921</v>
      </c>
      <c r="K528" s="5" t="s">
        <v>44</v>
      </c>
      <c r="L528" s="101" t="s">
        <v>501</v>
      </c>
      <c r="N528" s="67">
        <v>13.0426400759734</v>
      </c>
      <c r="O528" s="95">
        <v>2.9296296296296997</v>
      </c>
      <c r="AG528" s="107"/>
      <c r="AN528" s="115"/>
      <c r="BU528" s="61"/>
    </row>
    <row r="529" spans="1:73" x14ac:dyDescent="0.35">
      <c r="A529" s="7" t="s">
        <v>1379</v>
      </c>
      <c r="B529" s="7" t="s">
        <v>1382</v>
      </c>
      <c r="C529" s="17" t="s">
        <v>498</v>
      </c>
      <c r="D529" s="5" t="s">
        <v>499</v>
      </c>
      <c r="E529" s="5" t="s">
        <v>530</v>
      </c>
      <c r="F529" s="5">
        <v>454.1</v>
      </c>
      <c r="G529" s="5" t="s">
        <v>26</v>
      </c>
      <c r="H529" s="152">
        <v>66.214072991452952</v>
      </c>
      <c r="I529" s="19" t="s">
        <v>27</v>
      </c>
      <c r="J529" s="153">
        <v>-0.1740729914529453</v>
      </c>
      <c r="K529" s="5" t="s">
        <v>44</v>
      </c>
      <c r="L529" s="101" t="s">
        <v>501</v>
      </c>
      <c r="N529" s="67">
        <v>13.1096391263057</v>
      </c>
      <c r="O529" s="95">
        <v>2.996628679961999</v>
      </c>
      <c r="AG529" s="107"/>
      <c r="AN529" s="115"/>
      <c r="BU529" s="61"/>
    </row>
    <row r="530" spans="1:73" x14ac:dyDescent="0.35">
      <c r="A530" s="7" t="s">
        <v>1379</v>
      </c>
      <c r="B530" s="7" t="s">
        <v>1382</v>
      </c>
      <c r="C530" s="17" t="s">
        <v>498</v>
      </c>
      <c r="D530" s="5" t="s">
        <v>499</v>
      </c>
      <c r="E530" s="5" t="s">
        <v>531</v>
      </c>
      <c r="F530" s="5">
        <v>454.14</v>
      </c>
      <c r="G530" s="5" t="s">
        <v>26</v>
      </c>
      <c r="H530" s="152">
        <v>66.215314643874592</v>
      </c>
      <c r="I530" s="19" t="s">
        <v>27</v>
      </c>
      <c r="J530" s="153">
        <v>-0.17531464387458584</v>
      </c>
      <c r="K530" s="5" t="s">
        <v>44</v>
      </c>
      <c r="L530" s="101" t="s">
        <v>501</v>
      </c>
      <c r="N530" s="67">
        <v>12.693067426400701</v>
      </c>
      <c r="O530" s="95">
        <v>2.5800569800569999</v>
      </c>
      <c r="AG530" s="107"/>
      <c r="AN530" s="115"/>
      <c r="BU530" s="61"/>
    </row>
    <row r="531" spans="1:73" x14ac:dyDescent="0.35">
      <c r="A531" s="7" t="s">
        <v>1379</v>
      </c>
      <c r="B531" s="7" t="s">
        <v>1382</v>
      </c>
      <c r="C531" s="17" t="s">
        <v>498</v>
      </c>
      <c r="D531" s="5" t="s">
        <v>499</v>
      </c>
      <c r="E531" s="5" t="s">
        <v>532</v>
      </c>
      <c r="F531" s="5">
        <v>454.24</v>
      </c>
      <c r="G531" s="5" t="s">
        <v>26</v>
      </c>
      <c r="H531" s="152">
        <v>66.223385384615369</v>
      </c>
      <c r="I531" s="19" t="s">
        <v>27</v>
      </c>
      <c r="J531" s="153">
        <v>-0.18338538461536302</v>
      </c>
      <c r="K531" s="5" t="s">
        <v>44</v>
      </c>
      <c r="L531" s="101" t="s">
        <v>501</v>
      </c>
      <c r="N531" s="67">
        <v>13.1436847103513</v>
      </c>
      <c r="O531" s="95">
        <v>3.0306742640075992</v>
      </c>
      <c r="AG531" s="107"/>
      <c r="AN531" s="115"/>
      <c r="BU531" s="61"/>
    </row>
    <row r="532" spans="1:73" x14ac:dyDescent="0.35">
      <c r="A532" s="7" t="s">
        <v>1379</v>
      </c>
      <c r="B532" s="7" t="s">
        <v>1382</v>
      </c>
      <c r="C532" s="17" t="s">
        <v>498</v>
      </c>
      <c r="D532" s="5" t="s">
        <v>499</v>
      </c>
      <c r="E532" s="5" t="s">
        <v>533</v>
      </c>
      <c r="F532" s="5">
        <v>454.34</v>
      </c>
      <c r="G532" s="5" t="s">
        <v>26</v>
      </c>
      <c r="H532" s="152">
        <v>66.229593646723629</v>
      </c>
      <c r="I532" s="19" t="s">
        <v>27</v>
      </c>
      <c r="J532" s="153">
        <v>-0.18959364672362256</v>
      </c>
      <c r="K532" s="5" t="s">
        <v>44</v>
      </c>
      <c r="L532" s="101" t="s">
        <v>501</v>
      </c>
      <c r="N532" s="67">
        <v>12.910826210826199</v>
      </c>
      <c r="O532" s="95">
        <v>2.7978157644824986</v>
      </c>
      <c r="AG532" s="107"/>
      <c r="AN532" s="115"/>
      <c r="BU532" s="61"/>
    </row>
    <row r="533" spans="1:73" x14ac:dyDescent="0.35">
      <c r="A533" s="7" t="s">
        <v>1379</v>
      </c>
      <c r="B533" s="7" t="s">
        <v>1382</v>
      </c>
      <c r="C533" s="17" t="s">
        <v>498</v>
      </c>
      <c r="D533" s="5" t="s">
        <v>499</v>
      </c>
      <c r="E533" s="5" t="s">
        <v>534</v>
      </c>
      <c r="F533" s="5">
        <v>454.41</v>
      </c>
      <c r="G533" s="5" t="s">
        <v>26</v>
      </c>
      <c r="H533" s="152">
        <v>66.235181082621082</v>
      </c>
      <c r="I533" s="19" t="s">
        <v>27</v>
      </c>
      <c r="J533" s="153">
        <v>-0.19518108262107603</v>
      </c>
      <c r="K533" s="5" t="s">
        <v>44</v>
      </c>
      <c r="L533" s="101" t="s">
        <v>501</v>
      </c>
      <c r="N533" s="67">
        <v>13.244586894586799</v>
      </c>
      <c r="O533" s="95">
        <v>3.1315764482430986</v>
      </c>
      <c r="AG533" s="107"/>
      <c r="AN533" s="115"/>
      <c r="BU533" s="61"/>
    </row>
    <row r="534" spans="1:73" x14ac:dyDescent="0.35">
      <c r="A534" s="7" t="s">
        <v>1379</v>
      </c>
      <c r="B534" s="7" t="s">
        <v>1382</v>
      </c>
      <c r="C534" s="17" t="s">
        <v>498</v>
      </c>
      <c r="D534" s="5" t="s">
        <v>499</v>
      </c>
      <c r="E534" s="5" t="s">
        <v>535</v>
      </c>
      <c r="F534" s="5">
        <v>454.48</v>
      </c>
      <c r="G534" s="5" t="s">
        <v>26</v>
      </c>
      <c r="H534" s="152">
        <v>66.240147692307687</v>
      </c>
      <c r="I534" s="19" t="s">
        <v>27</v>
      </c>
      <c r="J534" s="153">
        <v>-0.20014769230768081</v>
      </c>
      <c r="K534" s="5" t="s">
        <v>44</v>
      </c>
      <c r="L534" s="101" t="s">
        <v>501</v>
      </c>
      <c r="N534" s="67">
        <v>12.7949667616334</v>
      </c>
      <c r="O534" s="95">
        <v>2.6819563152896997</v>
      </c>
      <c r="AG534" s="107"/>
      <c r="AN534" s="115"/>
      <c r="BU534" s="61"/>
    </row>
    <row r="535" spans="1:73" x14ac:dyDescent="0.35">
      <c r="A535" s="7" t="s">
        <v>1379</v>
      </c>
      <c r="B535" s="7" t="s">
        <v>1382</v>
      </c>
      <c r="C535" s="17" t="s">
        <v>498</v>
      </c>
      <c r="D535" s="5" t="s">
        <v>499</v>
      </c>
      <c r="E535" s="5" t="s">
        <v>536</v>
      </c>
      <c r="F535" s="5">
        <v>454.6</v>
      </c>
      <c r="G535" s="5" t="s">
        <v>26</v>
      </c>
      <c r="H535" s="152">
        <v>66.249460085470034</v>
      </c>
      <c r="I535" s="19" t="s">
        <v>27</v>
      </c>
      <c r="J535" s="153">
        <v>-0.20946008547002748</v>
      </c>
      <c r="K535" s="5" t="s">
        <v>44</v>
      </c>
      <c r="L535" s="101" t="s">
        <v>501</v>
      </c>
      <c r="N535" s="67">
        <v>12.479012345678999</v>
      </c>
      <c r="O535" s="95">
        <v>2.3660018993352985</v>
      </c>
      <c r="AG535" s="107"/>
      <c r="AN535" s="115"/>
      <c r="BU535" s="61"/>
    </row>
    <row r="536" spans="1:73" x14ac:dyDescent="0.35">
      <c r="A536" s="7" t="s">
        <v>1379</v>
      </c>
      <c r="B536" s="7" t="s">
        <v>1382</v>
      </c>
      <c r="C536" s="17" t="s">
        <v>498</v>
      </c>
      <c r="D536" s="5" t="s">
        <v>499</v>
      </c>
      <c r="E536" s="5" t="s">
        <v>537</v>
      </c>
      <c r="F536" s="5">
        <v>454.7</v>
      </c>
      <c r="G536" s="5" t="s">
        <v>26</v>
      </c>
      <c r="H536" s="152">
        <v>66.256289173789156</v>
      </c>
      <c r="I536" s="19" t="s">
        <v>27</v>
      </c>
      <c r="J536" s="153">
        <v>-0.21628917378914991</v>
      </c>
      <c r="K536" s="5" t="s">
        <v>44</v>
      </c>
      <c r="L536" s="101" t="s">
        <v>501</v>
      </c>
      <c r="N536" s="67">
        <v>12.779534662867899</v>
      </c>
      <c r="O536" s="95">
        <v>2.6665242165241985</v>
      </c>
      <c r="AG536" s="107"/>
      <c r="AN536" s="115"/>
      <c r="BU536" s="61"/>
    </row>
    <row r="537" spans="1:73" x14ac:dyDescent="0.35">
      <c r="A537" s="7" t="s">
        <v>1379</v>
      </c>
      <c r="B537" s="7" t="s">
        <v>1382</v>
      </c>
      <c r="C537" s="17" t="s">
        <v>498</v>
      </c>
      <c r="D537" s="5" t="s">
        <v>499</v>
      </c>
      <c r="E537" s="5" t="s">
        <v>538</v>
      </c>
      <c r="F537" s="5">
        <v>454.8</v>
      </c>
      <c r="G537" s="5" t="s">
        <v>26</v>
      </c>
      <c r="H537" s="152">
        <v>66.264359914529905</v>
      </c>
      <c r="I537" s="19" t="s">
        <v>27</v>
      </c>
      <c r="J537" s="153">
        <v>-0.22435991452989867</v>
      </c>
      <c r="K537" s="5" t="s">
        <v>44</v>
      </c>
      <c r="L537" s="101" t="s">
        <v>501</v>
      </c>
      <c r="N537" s="67">
        <v>12.696818613485201</v>
      </c>
      <c r="O537" s="95">
        <v>2.5838081671415001</v>
      </c>
      <c r="AG537" s="107"/>
      <c r="AN537" s="115"/>
      <c r="BU537" s="61"/>
    </row>
    <row r="538" spans="1:73" x14ac:dyDescent="0.35">
      <c r="A538" s="7" t="s">
        <v>1379</v>
      </c>
      <c r="B538" s="7" t="s">
        <v>1382</v>
      </c>
      <c r="C538" s="17" t="s">
        <v>498</v>
      </c>
      <c r="D538" s="5" t="s">
        <v>499</v>
      </c>
      <c r="E538" s="5" t="s">
        <v>539</v>
      </c>
      <c r="F538" s="5">
        <v>454.9</v>
      </c>
      <c r="G538" s="5" t="s">
        <v>26</v>
      </c>
      <c r="H538" s="152">
        <v>66.271189002848956</v>
      </c>
      <c r="I538" s="19" t="s">
        <v>27</v>
      </c>
      <c r="J538" s="153">
        <v>-0.23118900284895005</v>
      </c>
      <c r="K538" s="5" t="s">
        <v>44</v>
      </c>
      <c r="L538" s="101" t="s">
        <v>501</v>
      </c>
      <c r="N538" s="67">
        <v>12.1973409306742</v>
      </c>
      <c r="O538" s="95">
        <v>2.0843304843304988</v>
      </c>
      <c r="AG538" s="107"/>
      <c r="AN538" s="115"/>
      <c r="BU538" s="61"/>
    </row>
    <row r="539" spans="1:73" x14ac:dyDescent="0.35">
      <c r="A539" s="7" t="s">
        <v>1379</v>
      </c>
      <c r="B539" s="7" t="s">
        <v>1382</v>
      </c>
      <c r="C539" s="17" t="s">
        <v>498</v>
      </c>
      <c r="D539" s="5" t="s">
        <v>499</v>
      </c>
      <c r="E539" s="5" t="s">
        <v>540</v>
      </c>
      <c r="F539" s="5">
        <v>455</v>
      </c>
      <c r="G539" s="5" t="s">
        <v>26</v>
      </c>
      <c r="H539" s="152">
        <v>66.277397264957216</v>
      </c>
      <c r="I539" s="19" t="s">
        <v>27</v>
      </c>
      <c r="J539" s="153">
        <v>-0.23739726495720959</v>
      </c>
      <c r="K539" s="5" t="s">
        <v>44</v>
      </c>
      <c r="L539" s="101" t="s">
        <v>501</v>
      </c>
      <c r="N539" s="67">
        <v>12.197815764482399</v>
      </c>
      <c r="O539" s="95">
        <v>2.0848053181386987</v>
      </c>
      <c r="AG539" s="107"/>
      <c r="AN539" s="115"/>
      <c r="BU539" s="61"/>
    </row>
    <row r="540" spans="1:73" x14ac:dyDescent="0.35">
      <c r="A540" s="7" t="s">
        <v>1379</v>
      </c>
      <c r="B540" s="7" t="s">
        <v>1382</v>
      </c>
      <c r="C540" s="17" t="s">
        <v>498</v>
      </c>
      <c r="D540" s="5" t="s">
        <v>499</v>
      </c>
      <c r="E540" s="5" t="s">
        <v>541</v>
      </c>
      <c r="F540" s="5">
        <v>455.1</v>
      </c>
      <c r="G540" s="5" t="s">
        <v>26</v>
      </c>
      <c r="H540" s="152">
        <v>66.286088831908785</v>
      </c>
      <c r="I540" s="19" t="s">
        <v>27</v>
      </c>
      <c r="J540" s="153">
        <v>-0.24608883190877862</v>
      </c>
      <c r="K540" s="5" t="s">
        <v>44</v>
      </c>
      <c r="L540" s="101" t="s">
        <v>501</v>
      </c>
      <c r="N540" s="67">
        <v>12.1984805318138</v>
      </c>
      <c r="O540" s="95">
        <v>2.0854700854700994</v>
      </c>
      <c r="AG540" s="107"/>
      <c r="AN540" s="115"/>
      <c r="BU540" s="61"/>
    </row>
    <row r="541" spans="1:73" x14ac:dyDescent="0.35">
      <c r="A541" s="7" t="s">
        <v>1379</v>
      </c>
      <c r="B541" s="7" t="s">
        <v>1382</v>
      </c>
      <c r="C541" s="17" t="s">
        <v>498</v>
      </c>
      <c r="D541" s="5" t="s">
        <v>499</v>
      </c>
      <c r="E541" s="5" t="s">
        <v>542</v>
      </c>
      <c r="F541" s="5">
        <v>455.2</v>
      </c>
      <c r="G541" s="5" t="s">
        <v>26</v>
      </c>
      <c r="H541" s="152">
        <v>66.292297094017101</v>
      </c>
      <c r="I541" s="19" t="s">
        <v>27</v>
      </c>
      <c r="J541" s="153">
        <v>-0.25229709401709499</v>
      </c>
      <c r="K541" s="5" t="s">
        <v>44</v>
      </c>
      <c r="L541" s="101" t="s">
        <v>501</v>
      </c>
      <c r="N541" s="67">
        <v>12.482288698955299</v>
      </c>
      <c r="O541" s="95">
        <v>2.3692782526115987</v>
      </c>
      <c r="AG541" s="107"/>
      <c r="AN541" s="115"/>
      <c r="BU541" s="61"/>
    </row>
    <row r="542" spans="1:73" x14ac:dyDescent="0.35">
      <c r="A542" s="7" t="s">
        <v>1379</v>
      </c>
      <c r="B542" s="7" t="s">
        <v>1382</v>
      </c>
      <c r="C542" s="17" t="s">
        <v>498</v>
      </c>
      <c r="D542" s="5" t="s">
        <v>499</v>
      </c>
      <c r="E542" s="5" t="s">
        <v>543</v>
      </c>
      <c r="F542" s="5">
        <v>455.3</v>
      </c>
      <c r="G542" s="5" t="s">
        <v>26</v>
      </c>
      <c r="H542" s="152">
        <v>66.298505356125361</v>
      </c>
      <c r="I542" s="19" t="s">
        <v>27</v>
      </c>
      <c r="J542" s="153">
        <v>-0.25850535612535452</v>
      </c>
      <c r="K542" s="5" t="s">
        <v>44</v>
      </c>
      <c r="L542" s="101" t="s">
        <v>501</v>
      </c>
      <c r="N542" s="67">
        <v>12.1160968660968</v>
      </c>
      <c r="O542" s="95">
        <v>2.0030864197530995</v>
      </c>
      <c r="AG542" s="107"/>
      <c r="AN542" s="115"/>
      <c r="BU542" s="61"/>
    </row>
    <row r="543" spans="1:73" x14ac:dyDescent="0.35">
      <c r="A543" s="7" t="s">
        <v>1379</v>
      </c>
      <c r="B543" s="7" t="s">
        <v>1382</v>
      </c>
      <c r="C543" s="17" t="s">
        <v>498</v>
      </c>
      <c r="D543" s="5" t="s">
        <v>499</v>
      </c>
      <c r="E543" s="5" t="s">
        <v>544</v>
      </c>
      <c r="F543" s="5">
        <v>455.4</v>
      </c>
      <c r="G543" s="5" t="s">
        <v>26</v>
      </c>
      <c r="H543" s="152">
        <v>66.307196923076901</v>
      </c>
      <c r="I543" s="19" t="s">
        <v>27</v>
      </c>
      <c r="J543" s="153">
        <v>-0.26719692307689513</v>
      </c>
      <c r="K543" s="5" t="s">
        <v>44</v>
      </c>
      <c r="L543" s="101" t="s">
        <v>501</v>
      </c>
      <c r="N543" s="67">
        <v>12.0667616334283</v>
      </c>
      <c r="O543" s="95">
        <v>1.9537511870845989</v>
      </c>
      <c r="AG543" s="107"/>
      <c r="AN543" s="115"/>
      <c r="BU543" s="61"/>
    </row>
    <row r="544" spans="1:73" x14ac:dyDescent="0.35">
      <c r="A544" s="7" t="s">
        <v>1379</v>
      </c>
      <c r="B544" s="7" t="s">
        <v>1382</v>
      </c>
      <c r="C544" s="17" t="s">
        <v>498</v>
      </c>
      <c r="D544" s="5" t="s">
        <v>499</v>
      </c>
      <c r="E544" s="5" t="s">
        <v>545</v>
      </c>
      <c r="F544" s="5">
        <v>455.5</v>
      </c>
      <c r="G544" s="5" t="s">
        <v>26</v>
      </c>
      <c r="H544" s="152">
        <v>66.312784358974312</v>
      </c>
      <c r="I544" s="19" t="s">
        <v>27</v>
      </c>
      <c r="J544" s="153">
        <v>-0.27278435897430597</v>
      </c>
      <c r="K544" s="5" t="s">
        <v>44</v>
      </c>
      <c r="L544" s="101" t="s">
        <v>501</v>
      </c>
      <c r="N544" s="67">
        <v>11.917188983855601</v>
      </c>
      <c r="O544" s="95">
        <v>1.8041785375119002</v>
      </c>
      <c r="AG544" s="107"/>
      <c r="AN544" s="115"/>
      <c r="BU544" s="61"/>
    </row>
    <row r="545" spans="1:73" x14ac:dyDescent="0.35">
      <c r="A545" s="7" t="s">
        <v>1379</v>
      </c>
      <c r="B545" s="7" t="s">
        <v>1382</v>
      </c>
      <c r="C545" s="17" t="s">
        <v>498</v>
      </c>
      <c r="D545" s="5" t="s">
        <v>499</v>
      </c>
      <c r="E545" s="5" t="s">
        <v>546</v>
      </c>
      <c r="F545" s="5">
        <v>455.6</v>
      </c>
      <c r="G545" s="5" t="s">
        <v>26</v>
      </c>
      <c r="H545" s="152">
        <v>66.321475925925924</v>
      </c>
      <c r="I545" s="19" t="s">
        <v>27</v>
      </c>
      <c r="J545" s="153">
        <v>-0.28147592592591764</v>
      </c>
      <c r="K545" s="5" t="s">
        <v>44</v>
      </c>
      <c r="L545" s="101" t="s">
        <v>501</v>
      </c>
      <c r="N545" s="67">
        <v>11.751187084520399</v>
      </c>
      <c r="O545" s="95">
        <v>1.6381766381766987</v>
      </c>
      <c r="AG545" s="107"/>
      <c r="AN545" s="115"/>
      <c r="BU545" s="61"/>
    </row>
    <row r="546" spans="1:73" x14ac:dyDescent="0.35">
      <c r="A546" s="7" t="s">
        <v>1379</v>
      </c>
      <c r="B546" s="7" t="s">
        <v>1382</v>
      </c>
      <c r="C546" s="17" t="s">
        <v>498</v>
      </c>
      <c r="D546" s="5" t="s">
        <v>499</v>
      </c>
      <c r="E546" s="5" t="s">
        <v>547</v>
      </c>
      <c r="F546" s="5">
        <v>455.7</v>
      </c>
      <c r="G546" s="5" t="s">
        <v>26</v>
      </c>
      <c r="H546" s="152">
        <v>66.327684188034183</v>
      </c>
      <c r="I546" s="19" t="s">
        <v>27</v>
      </c>
      <c r="J546" s="153">
        <v>-0.28768418803417717</v>
      </c>
      <c r="K546" s="5" t="s">
        <v>44</v>
      </c>
      <c r="L546" s="101" t="s">
        <v>501</v>
      </c>
      <c r="N546" s="67">
        <v>10.5683285849952</v>
      </c>
      <c r="O546" s="95">
        <v>0.45531813865149928</v>
      </c>
      <c r="AG546" s="107"/>
      <c r="AN546" s="115"/>
      <c r="BU546" s="61"/>
    </row>
    <row r="547" spans="1:73" x14ac:dyDescent="0.35">
      <c r="A547" s="7" t="s">
        <v>1379</v>
      </c>
      <c r="B547" s="7" t="s">
        <v>1382</v>
      </c>
      <c r="C547" s="17" t="s">
        <v>498</v>
      </c>
      <c r="D547" s="5" t="s">
        <v>499</v>
      </c>
      <c r="E547" s="5" t="s">
        <v>548</v>
      </c>
      <c r="F547" s="5">
        <v>455.81</v>
      </c>
      <c r="G547" s="5" t="s">
        <v>26</v>
      </c>
      <c r="H547" s="152">
        <v>66.33575492877489</v>
      </c>
      <c r="I547" s="19" t="s">
        <v>27</v>
      </c>
      <c r="J547" s="153">
        <v>-0.2957549287748833</v>
      </c>
      <c r="K547" s="5" t="s">
        <v>44</v>
      </c>
      <c r="L547" s="101" t="s">
        <v>501</v>
      </c>
      <c r="N547" s="67">
        <v>10.9189458689458</v>
      </c>
      <c r="O547" s="95">
        <v>0.80593542260209894</v>
      </c>
      <c r="AG547" s="107"/>
      <c r="AN547" s="115"/>
      <c r="BU547" s="61"/>
    </row>
    <row r="548" spans="1:73" x14ac:dyDescent="0.35">
      <c r="A548" s="7" t="s">
        <v>1379</v>
      </c>
      <c r="B548" s="7" t="s">
        <v>1382</v>
      </c>
      <c r="C548" s="17" t="s">
        <v>498</v>
      </c>
      <c r="D548" s="5" t="s">
        <v>499</v>
      </c>
      <c r="E548" s="5" t="s">
        <v>549</v>
      </c>
      <c r="F548" s="5">
        <v>455.92</v>
      </c>
      <c r="G548" s="5" t="s">
        <v>26</v>
      </c>
      <c r="H548" s="152">
        <v>66.343825669515653</v>
      </c>
      <c r="I548" s="19" t="s">
        <v>27</v>
      </c>
      <c r="J548" s="153">
        <v>-0.30382566951564627</v>
      </c>
      <c r="K548" s="5" t="s">
        <v>44</v>
      </c>
      <c r="L548" s="101" t="s">
        <v>501</v>
      </c>
      <c r="N548" s="67">
        <v>10.9695631528964</v>
      </c>
      <c r="O548" s="95">
        <v>0.85655270655269966</v>
      </c>
      <c r="AG548" s="107"/>
      <c r="AN548" s="115"/>
      <c r="BU548" s="61"/>
    </row>
    <row r="549" spans="1:73" x14ac:dyDescent="0.35">
      <c r="A549" s="7" t="s">
        <v>1379</v>
      </c>
      <c r="B549" s="7" t="s">
        <v>1382</v>
      </c>
      <c r="C549" s="17" t="s">
        <v>498</v>
      </c>
      <c r="D549" s="5" t="s">
        <v>499</v>
      </c>
      <c r="E549" s="5" t="s">
        <v>550</v>
      </c>
      <c r="F549" s="5">
        <v>456.01</v>
      </c>
      <c r="G549" s="5" t="s">
        <v>26</v>
      </c>
      <c r="H549" s="152">
        <v>66.350033931623898</v>
      </c>
      <c r="I549" s="19" t="s">
        <v>27</v>
      </c>
      <c r="J549" s="153">
        <v>-0.31003393162389159</v>
      </c>
      <c r="K549" s="5" t="s">
        <v>44</v>
      </c>
      <c r="L549" s="101" t="s">
        <v>501</v>
      </c>
      <c r="N549" s="67">
        <v>10.4867046533713</v>
      </c>
      <c r="O549" s="95">
        <v>0.37369420702759903</v>
      </c>
      <c r="AG549" s="107"/>
      <c r="AN549" s="115"/>
      <c r="BU549" s="61"/>
    </row>
    <row r="550" spans="1:73" x14ac:dyDescent="0.35">
      <c r="A550" s="7" t="s">
        <v>1379</v>
      </c>
      <c r="B550" s="7" t="s">
        <v>1382</v>
      </c>
      <c r="C550" s="17" t="s">
        <v>498</v>
      </c>
      <c r="D550" s="5" t="s">
        <v>499</v>
      </c>
      <c r="E550" s="5" t="s">
        <v>551</v>
      </c>
      <c r="F550" s="5">
        <v>456.14</v>
      </c>
      <c r="G550" s="5" t="s">
        <v>26</v>
      </c>
      <c r="H550" s="152">
        <v>66.359346324786316</v>
      </c>
      <c r="I550" s="19" t="s">
        <v>27</v>
      </c>
      <c r="J550" s="153">
        <v>-0.31934632478630931</v>
      </c>
      <c r="K550" s="5" t="s">
        <v>44</v>
      </c>
      <c r="L550" s="101" t="s">
        <v>501</v>
      </c>
      <c r="N550" s="67">
        <v>10.3874169040835</v>
      </c>
      <c r="O550" s="95">
        <v>0.27440645773979888</v>
      </c>
      <c r="AG550" s="107"/>
      <c r="AN550" s="115"/>
      <c r="BU550" s="61"/>
    </row>
    <row r="551" spans="1:73" x14ac:dyDescent="0.35">
      <c r="A551" s="7" t="s">
        <v>1379</v>
      </c>
      <c r="B551" s="7" t="s">
        <v>1382</v>
      </c>
      <c r="C551" s="17" t="s">
        <v>498</v>
      </c>
      <c r="D551" s="5" t="s">
        <v>499</v>
      </c>
      <c r="E551" s="5" t="s">
        <v>552</v>
      </c>
      <c r="F551" s="5">
        <v>456.21</v>
      </c>
      <c r="G551" s="5" t="s">
        <v>26</v>
      </c>
      <c r="H551" s="152">
        <v>66.364933760683726</v>
      </c>
      <c r="I551" s="19" t="s">
        <v>27</v>
      </c>
      <c r="J551" s="153">
        <v>-0.32493376068372015</v>
      </c>
      <c r="K551" s="5" t="s">
        <v>44</v>
      </c>
      <c r="L551" s="101" t="s">
        <v>501</v>
      </c>
      <c r="N551" s="67">
        <v>10.037844254510899</v>
      </c>
      <c r="O551" s="95">
        <v>-7.5166191832801488E-2</v>
      </c>
      <c r="AG551" s="107"/>
      <c r="AN551" s="115"/>
      <c r="BU551" s="61"/>
    </row>
    <row r="552" spans="1:73" x14ac:dyDescent="0.35">
      <c r="A552" s="7" t="s">
        <v>1379</v>
      </c>
      <c r="B552" s="7" t="s">
        <v>1382</v>
      </c>
      <c r="C552" s="17" t="s">
        <v>498</v>
      </c>
      <c r="D552" s="5" t="s">
        <v>499</v>
      </c>
      <c r="E552" s="5" t="s">
        <v>553</v>
      </c>
      <c r="F552" s="5">
        <v>456.3</v>
      </c>
      <c r="G552" s="5" t="s">
        <v>26</v>
      </c>
      <c r="H552" s="152">
        <v>66.371762849002835</v>
      </c>
      <c r="I552" s="19" t="s">
        <v>27</v>
      </c>
      <c r="J552" s="153">
        <v>-0.33176284900282837</v>
      </c>
      <c r="K552" s="5" t="s">
        <v>44</v>
      </c>
      <c r="L552" s="101" t="s">
        <v>501</v>
      </c>
      <c r="N552" s="67">
        <v>10.2050332383665</v>
      </c>
      <c r="O552" s="95">
        <v>9.2022792022799393E-2</v>
      </c>
      <c r="AG552" s="107"/>
      <c r="AN552" s="115"/>
      <c r="BU552" s="61"/>
    </row>
    <row r="553" spans="1:73" x14ac:dyDescent="0.35">
      <c r="A553" s="7" t="s">
        <v>1379</v>
      </c>
      <c r="B553" s="7" t="s">
        <v>1382</v>
      </c>
      <c r="C553" s="17" t="s">
        <v>498</v>
      </c>
      <c r="D553" s="5" t="s">
        <v>499</v>
      </c>
      <c r="E553" s="5" t="s">
        <v>554</v>
      </c>
      <c r="F553" s="5">
        <v>456.4</v>
      </c>
      <c r="G553" s="5" t="s">
        <v>26</v>
      </c>
      <c r="H553" s="152">
        <v>66.379212763532735</v>
      </c>
      <c r="I553" s="19" t="s">
        <v>27</v>
      </c>
      <c r="J553" s="153">
        <v>-0.33921276353272845</v>
      </c>
      <c r="K553" s="5" t="s">
        <v>44</v>
      </c>
      <c r="L553" s="101" t="s">
        <v>501</v>
      </c>
      <c r="N553" s="67">
        <v>9.8889363722697006</v>
      </c>
      <c r="O553" s="95">
        <v>-0.22407407407400015</v>
      </c>
      <c r="AG553" s="107"/>
      <c r="AN553" s="115"/>
      <c r="BU553" s="61"/>
    </row>
    <row r="554" spans="1:73" x14ac:dyDescent="0.35">
      <c r="A554" s="7" t="s">
        <v>1379</v>
      </c>
      <c r="B554" s="7" t="s">
        <v>1382</v>
      </c>
      <c r="C554" s="17" t="s">
        <v>498</v>
      </c>
      <c r="D554" s="5" t="s">
        <v>499</v>
      </c>
      <c r="E554" s="5" t="s">
        <v>555</v>
      </c>
      <c r="F554" s="5">
        <v>456.5</v>
      </c>
      <c r="G554" s="5" t="s">
        <v>26</v>
      </c>
      <c r="H554" s="152">
        <v>66.386041851851843</v>
      </c>
      <c r="I554" s="19" t="s">
        <v>27</v>
      </c>
      <c r="J554" s="153">
        <v>-0.34604185185183667</v>
      </c>
      <c r="K554" s="5" t="s">
        <v>44</v>
      </c>
      <c r="L554" s="101" t="s">
        <v>501</v>
      </c>
      <c r="N554" s="67">
        <v>10.1394586894586</v>
      </c>
      <c r="O554" s="95">
        <v>2.6448243114899128E-2</v>
      </c>
      <c r="AG554" s="107"/>
      <c r="AN554" s="115"/>
      <c r="BU554" s="61"/>
    </row>
    <row r="555" spans="1:73" x14ac:dyDescent="0.35">
      <c r="A555" s="7" t="s">
        <v>1379</v>
      </c>
      <c r="B555" s="7" t="s">
        <v>1382</v>
      </c>
      <c r="C555" s="17" t="s">
        <v>498</v>
      </c>
      <c r="D555" s="5" t="s">
        <v>499</v>
      </c>
      <c r="E555" s="5" t="s">
        <v>556</v>
      </c>
      <c r="F555" s="5">
        <v>456.6</v>
      </c>
      <c r="G555" s="5" t="s">
        <v>26</v>
      </c>
      <c r="H555" s="152">
        <v>66.392250113960102</v>
      </c>
      <c r="I555" s="19" t="s">
        <v>27</v>
      </c>
      <c r="J555" s="153">
        <v>-0.3522501139600962</v>
      </c>
      <c r="K555" s="5" t="s">
        <v>44</v>
      </c>
      <c r="L555" s="101" t="s">
        <v>501</v>
      </c>
      <c r="N555" s="67">
        <v>9.9232668566001898</v>
      </c>
      <c r="O555" s="95">
        <v>-0.18974358974351091</v>
      </c>
      <c r="AG555" s="107"/>
      <c r="AN555" s="115"/>
      <c r="BU555" s="61"/>
    </row>
    <row r="556" spans="1:73" x14ac:dyDescent="0.35">
      <c r="A556" s="7" t="s">
        <v>1379</v>
      </c>
      <c r="B556" s="7" t="s">
        <v>1382</v>
      </c>
      <c r="C556" s="17" t="s">
        <v>498</v>
      </c>
      <c r="D556" s="5" t="s">
        <v>499</v>
      </c>
      <c r="E556" s="5" t="s">
        <v>557</v>
      </c>
      <c r="F556" s="5">
        <v>456.66</v>
      </c>
      <c r="G556" s="5" t="s">
        <v>26</v>
      </c>
      <c r="H556" s="152">
        <v>66.399079202279154</v>
      </c>
      <c r="I556" s="19" t="s">
        <v>27</v>
      </c>
      <c r="J556" s="153">
        <v>-0.35907920227914758</v>
      </c>
      <c r="K556" s="5" t="s">
        <v>44</v>
      </c>
      <c r="L556" s="101" t="s">
        <v>501</v>
      </c>
      <c r="N556" s="67">
        <v>9.4737891737891697</v>
      </c>
      <c r="O556" s="95">
        <v>-0.63922127255453098</v>
      </c>
      <c r="AG556" s="107"/>
      <c r="AN556" s="115"/>
      <c r="BU556" s="61"/>
    </row>
    <row r="557" spans="1:73" x14ac:dyDescent="0.35">
      <c r="A557" s="7" t="s">
        <v>1379</v>
      </c>
      <c r="B557" s="7" t="s">
        <v>1382</v>
      </c>
      <c r="C557" s="17" t="s">
        <v>498</v>
      </c>
      <c r="D557" s="5" t="s">
        <v>499</v>
      </c>
      <c r="E557" s="5" t="s">
        <v>558</v>
      </c>
      <c r="F557" s="5">
        <v>456.7</v>
      </c>
      <c r="G557" s="5" t="s">
        <v>26</v>
      </c>
      <c r="H557" s="152">
        <v>66.399700028490003</v>
      </c>
      <c r="I557" s="19" t="s">
        <v>27</v>
      </c>
      <c r="J557" s="153">
        <v>-0.35970002848999627</v>
      </c>
      <c r="K557" s="5" t="s">
        <v>44</v>
      </c>
      <c r="L557" s="101" t="s">
        <v>501</v>
      </c>
      <c r="N557" s="67">
        <v>10.0071699905033</v>
      </c>
      <c r="O557" s="95">
        <v>-0.10584045584040069</v>
      </c>
      <c r="AG557" s="107"/>
      <c r="AN557" s="115"/>
      <c r="BU557" s="61"/>
    </row>
    <row r="558" spans="1:73" x14ac:dyDescent="0.35">
      <c r="A558" s="7" t="s">
        <v>1379</v>
      </c>
      <c r="B558" s="7" t="s">
        <v>1382</v>
      </c>
      <c r="C558" s="17" t="s">
        <v>498</v>
      </c>
      <c r="D558" s="5" t="s">
        <v>499</v>
      </c>
      <c r="E558" s="5" t="s">
        <v>559</v>
      </c>
      <c r="F558" s="5">
        <v>456.8</v>
      </c>
      <c r="G558" s="5" t="s">
        <v>26</v>
      </c>
      <c r="H558" s="152">
        <v>66.407149943019931</v>
      </c>
      <c r="I558" s="19" t="s">
        <v>27</v>
      </c>
      <c r="J558" s="153">
        <v>-0.36714994301992476</v>
      </c>
      <c r="K558" s="5" t="s">
        <v>44</v>
      </c>
      <c r="L558" s="101" t="s">
        <v>501</v>
      </c>
      <c r="N558" s="67">
        <v>10.1577397910731</v>
      </c>
      <c r="O558" s="95">
        <v>4.4729344729399045E-2</v>
      </c>
      <c r="AG558" s="107"/>
      <c r="AN558" s="115"/>
      <c r="BU558" s="61"/>
    </row>
    <row r="559" spans="1:73" x14ac:dyDescent="0.35">
      <c r="A559" s="7" t="s">
        <v>1379</v>
      </c>
      <c r="B559" s="7" t="s">
        <v>1382</v>
      </c>
      <c r="C559" s="17" t="s">
        <v>498</v>
      </c>
      <c r="D559" s="5" t="s">
        <v>499</v>
      </c>
      <c r="E559" s="5" t="s">
        <v>560</v>
      </c>
      <c r="F559" s="5">
        <v>456.9</v>
      </c>
      <c r="G559" s="5" t="s">
        <v>26</v>
      </c>
      <c r="H559" s="152">
        <v>66.413979031339039</v>
      </c>
      <c r="I559" s="19" t="s">
        <v>27</v>
      </c>
      <c r="J559" s="153">
        <v>-0.37397903133903299</v>
      </c>
      <c r="K559" s="5" t="s">
        <v>44</v>
      </c>
      <c r="L559" s="101" t="s">
        <v>501</v>
      </c>
      <c r="N559" s="67">
        <v>10.141595441595401</v>
      </c>
      <c r="O559" s="95">
        <v>2.8584995251700107E-2</v>
      </c>
      <c r="AG559" s="107"/>
      <c r="AN559" s="115"/>
      <c r="BU559" s="61"/>
    </row>
    <row r="560" spans="1:73" x14ac:dyDescent="0.35">
      <c r="A560" s="7" t="s">
        <v>1379</v>
      </c>
      <c r="B560" s="7" t="s">
        <v>1382</v>
      </c>
      <c r="C560" s="17" t="s">
        <v>498</v>
      </c>
      <c r="D560" s="5" t="s">
        <v>499</v>
      </c>
      <c r="E560" s="5" t="s">
        <v>561</v>
      </c>
      <c r="F560" s="5">
        <v>457</v>
      </c>
      <c r="G560" s="5" t="s">
        <v>26</v>
      </c>
      <c r="H560" s="152">
        <v>66.420187293447299</v>
      </c>
      <c r="I560" s="19" t="s">
        <v>27</v>
      </c>
      <c r="J560" s="153">
        <v>-0.38018729344729252</v>
      </c>
      <c r="K560" s="5" t="s">
        <v>44</v>
      </c>
      <c r="L560" s="101" t="s">
        <v>501</v>
      </c>
      <c r="N560" s="67">
        <v>9.5420702754035993</v>
      </c>
      <c r="O560" s="95">
        <v>-0.57094017094010141</v>
      </c>
      <c r="AG560" s="107"/>
      <c r="AN560" s="115"/>
      <c r="BU560" s="61"/>
    </row>
    <row r="561" spans="1:73" x14ac:dyDescent="0.35">
      <c r="A561" s="7" t="s">
        <v>1379</v>
      </c>
      <c r="B561" s="7" t="s">
        <v>1382</v>
      </c>
      <c r="C561" s="17" t="s">
        <v>498</v>
      </c>
      <c r="D561" s="5" t="s">
        <v>499</v>
      </c>
      <c r="E561" s="5" t="s">
        <v>562</v>
      </c>
      <c r="F561" s="5">
        <v>457.1</v>
      </c>
      <c r="G561" s="5" t="s">
        <v>26</v>
      </c>
      <c r="H561" s="152">
        <v>66.427637207977199</v>
      </c>
      <c r="I561" s="19" t="s">
        <v>27</v>
      </c>
      <c r="J561" s="153">
        <v>-0.38763720797719259</v>
      </c>
      <c r="K561" s="5" t="s">
        <v>44</v>
      </c>
      <c r="L561" s="101" t="s">
        <v>501</v>
      </c>
      <c r="N561" s="67">
        <v>9.8093067426400697</v>
      </c>
      <c r="O561" s="95">
        <v>-0.30370370370363098</v>
      </c>
      <c r="AG561" s="107"/>
      <c r="AN561" s="115"/>
      <c r="BU561" s="61"/>
    </row>
    <row r="562" spans="1:73" x14ac:dyDescent="0.35">
      <c r="A562" s="7" t="s">
        <v>1379</v>
      </c>
      <c r="B562" s="7" t="s">
        <v>1382</v>
      </c>
      <c r="C562" s="17" t="s">
        <v>498</v>
      </c>
      <c r="D562" s="5" t="s">
        <v>499</v>
      </c>
      <c r="E562" s="5" t="s">
        <v>563</v>
      </c>
      <c r="F562" s="5">
        <v>457.2</v>
      </c>
      <c r="G562" s="5" t="s">
        <v>26</v>
      </c>
      <c r="H562" s="152">
        <v>66.434466296296307</v>
      </c>
      <c r="I562" s="19" t="s">
        <v>27</v>
      </c>
      <c r="J562" s="153">
        <v>-0.39446629629630081</v>
      </c>
      <c r="K562" s="5" t="s">
        <v>44</v>
      </c>
      <c r="L562" s="101" t="s">
        <v>501</v>
      </c>
      <c r="N562" s="67">
        <v>10.2931623931623</v>
      </c>
      <c r="O562" s="95">
        <v>0.18015194681859903</v>
      </c>
      <c r="AG562" s="107"/>
      <c r="AN562" s="115"/>
      <c r="BU562" s="61"/>
    </row>
    <row r="563" spans="1:73" x14ac:dyDescent="0.35">
      <c r="A563" s="7" t="s">
        <v>1379</v>
      </c>
      <c r="B563" s="7" t="s">
        <v>1382</v>
      </c>
      <c r="C563" s="17" t="s">
        <v>498</v>
      </c>
      <c r="D563" s="5" t="s">
        <v>499</v>
      </c>
      <c r="E563" s="5" t="s">
        <v>564</v>
      </c>
      <c r="F563" s="5">
        <v>457.3</v>
      </c>
      <c r="G563" s="5" t="s">
        <v>26</v>
      </c>
      <c r="H563" s="152">
        <v>66.441916210826207</v>
      </c>
      <c r="I563" s="19" t="s">
        <v>27</v>
      </c>
      <c r="J563" s="153">
        <v>-0.40191621082620088</v>
      </c>
      <c r="K563" s="5" t="s">
        <v>44</v>
      </c>
      <c r="L563" s="101" t="s">
        <v>501</v>
      </c>
      <c r="N563" s="67">
        <v>10.3270655270655</v>
      </c>
      <c r="O563" s="95">
        <v>0.21405508072179913</v>
      </c>
      <c r="AG563" s="107"/>
      <c r="AN563" s="115"/>
      <c r="BU563" s="61"/>
    </row>
    <row r="564" spans="1:73" x14ac:dyDescent="0.35">
      <c r="A564" s="7" t="s">
        <v>1379</v>
      </c>
      <c r="B564" s="7" t="s">
        <v>1382</v>
      </c>
      <c r="C564" s="17" t="s">
        <v>498</v>
      </c>
      <c r="D564" s="5" t="s">
        <v>499</v>
      </c>
      <c r="E564" s="5" t="s">
        <v>565</v>
      </c>
      <c r="F564" s="5">
        <v>457.4</v>
      </c>
      <c r="G564" s="5" t="s">
        <v>26</v>
      </c>
      <c r="H564" s="152">
        <v>66.449366125356121</v>
      </c>
      <c r="I564" s="19" t="s">
        <v>27</v>
      </c>
      <c r="J564" s="153">
        <v>-0.40936612535611516</v>
      </c>
      <c r="K564" s="5" t="s">
        <v>44</v>
      </c>
      <c r="L564" s="101" t="s">
        <v>501</v>
      </c>
      <c r="N564" s="67">
        <v>9.8943019943019905</v>
      </c>
      <c r="O564" s="95">
        <v>-0.21870845204171019</v>
      </c>
      <c r="AG564" s="107"/>
      <c r="AN564" s="115"/>
      <c r="BU564" s="61"/>
    </row>
    <row r="565" spans="1:73" x14ac:dyDescent="0.35">
      <c r="A565" s="7" t="s">
        <v>1379</v>
      </c>
      <c r="B565" s="7" t="s">
        <v>1382</v>
      </c>
      <c r="C565" s="17" t="s">
        <v>498</v>
      </c>
      <c r="D565" s="5" t="s">
        <v>499</v>
      </c>
      <c r="E565" s="5" t="s">
        <v>566</v>
      </c>
      <c r="F565" s="5">
        <v>457.5</v>
      </c>
      <c r="G565" s="5" t="s">
        <v>26</v>
      </c>
      <c r="H565" s="152">
        <v>66.452470256410223</v>
      </c>
      <c r="I565" s="19" t="s">
        <v>27</v>
      </c>
      <c r="J565" s="153">
        <v>-0.41247025641021651</v>
      </c>
      <c r="K565" s="5" t="s">
        <v>44</v>
      </c>
      <c r="L565" s="101" t="s">
        <v>501</v>
      </c>
      <c r="N565" s="67">
        <v>9.5778727445394107</v>
      </c>
      <c r="O565" s="95">
        <v>-0.53513770180428999</v>
      </c>
      <c r="AG565" s="107"/>
      <c r="AN565" s="115"/>
      <c r="BU565" s="61"/>
    </row>
    <row r="566" spans="1:73" x14ac:dyDescent="0.35">
      <c r="A566" s="7" t="s">
        <v>1379</v>
      </c>
      <c r="B566" s="7" t="s">
        <v>1382</v>
      </c>
      <c r="C566" s="17" t="s">
        <v>498</v>
      </c>
      <c r="D566" s="5" t="s">
        <v>499</v>
      </c>
      <c r="E566" s="5" t="s">
        <v>567</v>
      </c>
      <c r="F566" s="5">
        <v>457.58</v>
      </c>
      <c r="G566" s="5" t="s">
        <v>26</v>
      </c>
      <c r="H566" s="152">
        <v>66.459920170940137</v>
      </c>
      <c r="I566" s="19" t="s">
        <v>27</v>
      </c>
      <c r="J566" s="153">
        <v>-0.41992017094013079</v>
      </c>
      <c r="K566" s="5" t="s">
        <v>44</v>
      </c>
      <c r="L566" s="101" t="s">
        <v>501</v>
      </c>
      <c r="N566" s="67">
        <v>9.8951092117758694</v>
      </c>
      <c r="O566" s="95">
        <v>-0.21790123456783128</v>
      </c>
      <c r="AG566" s="107"/>
      <c r="AN566" s="115"/>
      <c r="BU566" s="61"/>
    </row>
    <row r="567" spans="1:73" x14ac:dyDescent="0.35">
      <c r="A567" s="7" t="s">
        <v>1379</v>
      </c>
      <c r="B567" s="7" t="s">
        <v>1382</v>
      </c>
      <c r="C567" s="17" t="s">
        <v>498</v>
      </c>
      <c r="D567" s="5" t="s">
        <v>499</v>
      </c>
      <c r="E567" s="5" t="s">
        <v>568</v>
      </c>
      <c r="F567" s="5">
        <v>457.68</v>
      </c>
      <c r="G567" s="5" t="s">
        <v>26</v>
      </c>
      <c r="H567" s="152">
        <v>66.466749259259245</v>
      </c>
      <c r="I567" s="19" t="s">
        <v>27</v>
      </c>
      <c r="J567" s="153">
        <v>-0.42674925925923901</v>
      </c>
      <c r="K567" s="5" t="s">
        <v>44</v>
      </c>
      <c r="L567" s="101" t="s">
        <v>501</v>
      </c>
      <c r="N567" s="67">
        <v>10.5956315289648</v>
      </c>
      <c r="O567" s="95">
        <v>0.48262108262109926</v>
      </c>
      <c r="AG567" s="107"/>
      <c r="AN567" s="115"/>
      <c r="BU567" s="61"/>
    </row>
    <row r="568" spans="1:73" x14ac:dyDescent="0.35">
      <c r="A568" s="7" t="s">
        <v>1379</v>
      </c>
      <c r="B568" s="7" t="s">
        <v>1382</v>
      </c>
      <c r="C568" s="17" t="s">
        <v>498</v>
      </c>
      <c r="D568" s="5" t="s">
        <v>499</v>
      </c>
      <c r="E568" s="5" t="s">
        <v>569</v>
      </c>
      <c r="F568" s="5">
        <v>457.7</v>
      </c>
      <c r="G568" s="5" t="s">
        <v>26</v>
      </c>
      <c r="H568" s="152">
        <v>66.466749259259245</v>
      </c>
      <c r="I568" s="19" t="s">
        <v>27</v>
      </c>
      <c r="J568" s="153">
        <v>-0.42674925925923901</v>
      </c>
      <c r="K568" s="5" t="s">
        <v>44</v>
      </c>
      <c r="L568" s="101" t="s">
        <v>501</v>
      </c>
      <c r="N568" s="67">
        <v>10.6956315289648</v>
      </c>
      <c r="O568" s="95">
        <v>0.58262108262109891</v>
      </c>
      <c r="AG568" s="107"/>
      <c r="AN568" s="115"/>
      <c r="BU568" s="61"/>
    </row>
    <row r="569" spans="1:73" x14ac:dyDescent="0.35">
      <c r="A569" s="7" t="s">
        <v>1379</v>
      </c>
      <c r="B569" s="7" t="s">
        <v>1382</v>
      </c>
      <c r="C569" s="17" t="s">
        <v>498</v>
      </c>
      <c r="D569" s="5" t="s">
        <v>499</v>
      </c>
      <c r="E569" s="5" t="s">
        <v>570</v>
      </c>
      <c r="F569" s="5">
        <v>457.8</v>
      </c>
      <c r="G569" s="5" t="s">
        <v>26</v>
      </c>
      <c r="H569" s="152">
        <v>66.474199173789145</v>
      </c>
      <c r="I569" s="19" t="s">
        <v>27</v>
      </c>
      <c r="J569" s="153">
        <v>-0.43419917378913908</v>
      </c>
      <c r="K569" s="5" t="s">
        <v>44</v>
      </c>
      <c r="L569" s="101" t="s">
        <v>501</v>
      </c>
      <c r="N569" s="67">
        <v>10.0628679962013</v>
      </c>
      <c r="O569" s="95">
        <v>-5.0142450142400818E-2</v>
      </c>
      <c r="AG569" s="107"/>
      <c r="AN569" s="115"/>
      <c r="BU569" s="61"/>
    </row>
    <row r="570" spans="1:73" x14ac:dyDescent="0.35">
      <c r="A570" s="7" t="s">
        <v>1379</v>
      </c>
      <c r="B570" s="7" t="s">
        <v>1382</v>
      </c>
      <c r="C570" s="17" t="s">
        <v>498</v>
      </c>
      <c r="D570" s="5" t="s">
        <v>499</v>
      </c>
      <c r="E570" s="5" t="s">
        <v>571</v>
      </c>
      <c r="F570" s="5">
        <v>457.87</v>
      </c>
      <c r="G570" s="5" t="s">
        <v>26</v>
      </c>
      <c r="H570" s="152">
        <v>66.481649088319045</v>
      </c>
      <c r="I570" s="19" t="s">
        <v>27</v>
      </c>
      <c r="J570" s="153">
        <v>-0.44164908831903915</v>
      </c>
      <c r="K570" s="5" t="s">
        <v>44</v>
      </c>
      <c r="L570" s="101" t="s">
        <v>501</v>
      </c>
      <c r="N570" s="67">
        <v>10.2801044634377</v>
      </c>
      <c r="O570" s="95">
        <v>0.16709401709399962</v>
      </c>
      <c r="AG570" s="107"/>
      <c r="AN570" s="115"/>
      <c r="BU570" s="61"/>
    </row>
    <row r="571" spans="1:73" x14ac:dyDescent="0.35">
      <c r="A571" s="7" t="s">
        <v>1379</v>
      </c>
      <c r="B571" s="7" t="s">
        <v>1382</v>
      </c>
      <c r="C571" s="17" t="s">
        <v>498</v>
      </c>
      <c r="D571" s="5" t="s">
        <v>499</v>
      </c>
      <c r="E571" s="5" t="s">
        <v>572</v>
      </c>
      <c r="F571" s="5">
        <v>457.98</v>
      </c>
      <c r="G571" s="5" t="s">
        <v>26</v>
      </c>
      <c r="H571" s="152">
        <v>66.488478176638168</v>
      </c>
      <c r="I571" s="19" t="s">
        <v>27</v>
      </c>
      <c r="J571" s="153">
        <v>-0.44847817663816159</v>
      </c>
      <c r="K571" s="5" t="s">
        <v>44</v>
      </c>
      <c r="L571" s="101" t="s">
        <v>501</v>
      </c>
      <c r="N571" s="67">
        <v>9.9472934472934398</v>
      </c>
      <c r="O571" s="95">
        <v>-0.16571699905026094</v>
      </c>
      <c r="AG571" s="107"/>
      <c r="AN571" s="115"/>
      <c r="BU571" s="61"/>
    </row>
    <row r="572" spans="1:73" x14ac:dyDescent="0.35">
      <c r="A572" s="7" t="s">
        <v>1379</v>
      </c>
      <c r="B572" s="7" t="s">
        <v>1382</v>
      </c>
      <c r="C572" s="17" t="s">
        <v>498</v>
      </c>
      <c r="D572" s="5" t="s">
        <v>499</v>
      </c>
      <c r="E572" s="5" t="s">
        <v>502</v>
      </c>
      <c r="F572" s="5">
        <v>451.8</v>
      </c>
      <c r="G572" s="5" t="s">
        <v>26</v>
      </c>
      <c r="H572" s="18">
        <v>66.046469879518085</v>
      </c>
      <c r="I572" s="19" t="s">
        <v>27</v>
      </c>
      <c r="J572" s="60">
        <v>-6.4698795180788693E-3</v>
      </c>
      <c r="K572" s="5" t="s">
        <v>97</v>
      </c>
      <c r="L572" s="101" t="s">
        <v>407</v>
      </c>
      <c r="N572" s="59">
        <v>14.152900000000001</v>
      </c>
      <c r="O572" s="59">
        <v>0</v>
      </c>
      <c r="AG572" s="107"/>
      <c r="AN572" s="115"/>
      <c r="BU572" s="61"/>
    </row>
    <row r="573" spans="1:73" x14ac:dyDescent="0.35">
      <c r="A573" s="7" t="s">
        <v>1379</v>
      </c>
      <c r="B573" s="7" t="s">
        <v>1382</v>
      </c>
      <c r="C573" s="17" t="s">
        <v>498</v>
      </c>
      <c r="D573" s="5" t="s">
        <v>499</v>
      </c>
      <c r="E573" s="5" t="s">
        <v>503</v>
      </c>
      <c r="F573" s="5">
        <v>451.89</v>
      </c>
      <c r="G573" s="5" t="s">
        <v>26</v>
      </c>
      <c r="H573" s="18">
        <v>66.05293975903615</v>
      </c>
      <c r="I573" s="19" t="s">
        <v>27</v>
      </c>
      <c r="J573" s="60">
        <v>-1.2939759036143528E-2</v>
      </c>
      <c r="K573" s="5" t="s">
        <v>97</v>
      </c>
      <c r="L573" s="101" t="s">
        <v>407</v>
      </c>
      <c r="N573" s="59">
        <v>14.242800000000001</v>
      </c>
      <c r="O573" s="59">
        <v>8.9900000000000091E-2</v>
      </c>
      <c r="AG573" s="107"/>
      <c r="AN573" s="115"/>
      <c r="BU573" s="61"/>
    </row>
    <row r="574" spans="1:73" x14ac:dyDescent="0.35">
      <c r="A574" s="7" t="s">
        <v>1379</v>
      </c>
      <c r="B574" s="7" t="s">
        <v>1382</v>
      </c>
      <c r="C574" s="17" t="s">
        <v>498</v>
      </c>
      <c r="D574" s="5" t="s">
        <v>499</v>
      </c>
      <c r="E574" s="5" t="s">
        <v>504</v>
      </c>
      <c r="F574" s="5">
        <v>451.98</v>
      </c>
      <c r="G574" s="5" t="s">
        <v>26</v>
      </c>
      <c r="H574" s="18">
        <v>66.059409638554229</v>
      </c>
      <c r="I574" s="19" t="s">
        <v>27</v>
      </c>
      <c r="J574" s="60">
        <v>-1.9409638554222397E-2</v>
      </c>
      <c r="K574" s="5" t="s">
        <v>97</v>
      </c>
      <c r="L574" s="101" t="s">
        <v>407</v>
      </c>
      <c r="N574" s="59">
        <v>13.951000000000001</v>
      </c>
      <c r="O574" s="59">
        <v>-0.20190000000000019</v>
      </c>
      <c r="AG574" s="107"/>
      <c r="AN574" s="115"/>
      <c r="BU574" s="61"/>
    </row>
    <row r="575" spans="1:73" x14ac:dyDescent="0.35">
      <c r="A575" s="7" t="s">
        <v>1379</v>
      </c>
      <c r="B575" s="7" t="s">
        <v>1382</v>
      </c>
      <c r="C575" s="17" t="s">
        <v>498</v>
      </c>
      <c r="D575" s="5" t="s">
        <v>499</v>
      </c>
      <c r="E575" s="5" t="s">
        <v>505</v>
      </c>
      <c r="F575" s="5">
        <v>452.07</v>
      </c>
      <c r="G575" s="5" t="s">
        <v>26</v>
      </c>
      <c r="H575" s="18">
        <v>66.065879518072293</v>
      </c>
      <c r="I575" s="19" t="s">
        <v>27</v>
      </c>
      <c r="J575" s="60">
        <v>-2.5879518072287055E-2</v>
      </c>
      <c r="K575" s="5" t="s">
        <v>97</v>
      </c>
      <c r="L575" s="101" t="s">
        <v>407</v>
      </c>
      <c r="N575" s="59">
        <v>14.0411</v>
      </c>
      <c r="O575" s="59">
        <v>-0.11180000000000057</v>
      </c>
      <c r="AG575" s="107"/>
      <c r="AN575" s="115"/>
      <c r="BU575" s="61"/>
    </row>
    <row r="576" spans="1:73" x14ac:dyDescent="0.35">
      <c r="A576" s="7" t="s">
        <v>1379</v>
      </c>
      <c r="B576" s="7" t="s">
        <v>1382</v>
      </c>
      <c r="C576" s="17" t="s">
        <v>498</v>
      </c>
      <c r="D576" s="5" t="s">
        <v>499</v>
      </c>
      <c r="E576" s="5" t="s">
        <v>506</v>
      </c>
      <c r="F576" s="5">
        <v>452.08</v>
      </c>
      <c r="G576" s="5" t="s">
        <v>26</v>
      </c>
      <c r="H576" s="18">
        <v>66.06659839357431</v>
      </c>
      <c r="I576" s="19" t="s">
        <v>27</v>
      </c>
      <c r="J576" s="60">
        <v>-2.6598393574303714E-2</v>
      </c>
      <c r="K576" s="5" t="s">
        <v>97</v>
      </c>
      <c r="L576" s="101" t="s">
        <v>407</v>
      </c>
      <c r="N576" s="59">
        <v>13.3378</v>
      </c>
      <c r="O576" s="59">
        <v>-0.81510000000000105</v>
      </c>
      <c r="AG576" s="107"/>
      <c r="AN576" s="115"/>
      <c r="BU576" s="61"/>
    </row>
    <row r="577" spans="1:73" x14ac:dyDescent="0.35">
      <c r="A577" s="7" t="s">
        <v>1379</v>
      </c>
      <c r="B577" s="7" t="s">
        <v>1382</v>
      </c>
      <c r="C577" s="17" t="s">
        <v>498</v>
      </c>
      <c r="D577" s="5" t="s">
        <v>499</v>
      </c>
      <c r="E577" s="5" t="s">
        <v>507</v>
      </c>
      <c r="F577" s="5">
        <v>452.16</v>
      </c>
      <c r="G577" s="5" t="s">
        <v>26</v>
      </c>
      <c r="H577" s="18">
        <v>66.072349397590372</v>
      </c>
      <c r="I577" s="19" t="s">
        <v>27</v>
      </c>
      <c r="J577" s="60">
        <v>-3.2349397590365925E-2</v>
      </c>
      <c r="K577" s="5" t="s">
        <v>97</v>
      </c>
      <c r="L577" s="101" t="s">
        <v>407</v>
      </c>
      <c r="N577" s="59">
        <v>14.4725</v>
      </c>
      <c r="O577" s="59">
        <v>0.31959999999999944</v>
      </c>
      <c r="AG577" s="107"/>
      <c r="AN577" s="115"/>
      <c r="BU577" s="61"/>
    </row>
    <row r="578" spans="1:73" x14ac:dyDescent="0.35">
      <c r="A578" s="7" t="s">
        <v>1379</v>
      </c>
      <c r="B578" s="7" t="s">
        <v>1382</v>
      </c>
      <c r="C578" s="17" t="s">
        <v>498</v>
      </c>
      <c r="D578" s="5" t="s">
        <v>499</v>
      </c>
      <c r="E578" s="5" t="s">
        <v>508</v>
      </c>
      <c r="F578" s="5">
        <v>452.26</v>
      </c>
      <c r="G578" s="5" t="s">
        <v>26</v>
      </c>
      <c r="H578" s="18">
        <v>66.079538152610453</v>
      </c>
      <c r="I578" s="19" t="s">
        <v>27</v>
      </c>
      <c r="J578" s="60">
        <v>-3.9538152610447241E-2</v>
      </c>
      <c r="K578" s="5" t="s">
        <v>97</v>
      </c>
      <c r="L578" s="101" t="s">
        <v>407</v>
      </c>
      <c r="N578" s="59">
        <v>14.040100000000001</v>
      </c>
      <c r="O578" s="59">
        <v>-0.11280000000000001</v>
      </c>
      <c r="AG578" s="107"/>
      <c r="AN578" s="115"/>
      <c r="BU578" s="61"/>
    </row>
    <row r="579" spans="1:73" x14ac:dyDescent="0.35">
      <c r="A579" s="7" t="s">
        <v>1379</v>
      </c>
      <c r="B579" s="7" t="s">
        <v>1382</v>
      </c>
      <c r="C579" s="17" t="s">
        <v>498</v>
      </c>
      <c r="D579" s="5" t="s">
        <v>499</v>
      </c>
      <c r="E579" s="5" t="s">
        <v>509</v>
      </c>
      <c r="F579" s="5">
        <v>452.36</v>
      </c>
      <c r="G579" s="5" t="s">
        <v>26</v>
      </c>
      <c r="H579" s="18">
        <v>66.086726907630535</v>
      </c>
      <c r="I579" s="19" t="s">
        <v>27</v>
      </c>
      <c r="J579" s="60">
        <v>-4.6726907630528558E-2</v>
      </c>
      <c r="K579" s="5" t="s">
        <v>97</v>
      </c>
      <c r="L579" s="101" t="s">
        <v>407</v>
      </c>
      <c r="N579" s="59">
        <v>14.973800000000001</v>
      </c>
      <c r="O579" s="59">
        <v>0.82089999999999996</v>
      </c>
      <c r="AG579" s="107"/>
      <c r="AN579" s="115"/>
      <c r="BU579" s="61"/>
    </row>
    <row r="580" spans="1:73" x14ac:dyDescent="0.35">
      <c r="A580" s="7" t="s">
        <v>1379</v>
      </c>
      <c r="B580" s="7" t="s">
        <v>1382</v>
      </c>
      <c r="C580" s="17" t="s">
        <v>498</v>
      </c>
      <c r="D580" s="5" t="s">
        <v>499</v>
      </c>
      <c r="E580" s="5" t="s">
        <v>510</v>
      </c>
      <c r="F580" s="5">
        <v>452.47</v>
      </c>
      <c r="G580" s="5" t="s">
        <v>26</v>
      </c>
      <c r="H580" s="18">
        <v>66.094634538152619</v>
      </c>
      <c r="I580" s="19" t="s">
        <v>27</v>
      </c>
      <c r="J580" s="60">
        <v>-5.4634538152612322E-2</v>
      </c>
      <c r="K580" s="5" t="s">
        <v>97</v>
      </c>
      <c r="L580" s="101" t="s">
        <v>407</v>
      </c>
      <c r="N580" s="59">
        <v>14.9733</v>
      </c>
      <c r="O580" s="59">
        <v>0.82039999999999935</v>
      </c>
      <c r="AG580" s="107"/>
      <c r="AN580" s="115"/>
      <c r="BU580" s="61"/>
    </row>
    <row r="581" spans="1:73" x14ac:dyDescent="0.35">
      <c r="A581" s="7" t="s">
        <v>1379</v>
      </c>
      <c r="B581" s="7" t="s">
        <v>1382</v>
      </c>
      <c r="C581" s="17" t="s">
        <v>498</v>
      </c>
      <c r="D581" s="5" t="s">
        <v>499</v>
      </c>
      <c r="E581" s="5" t="s">
        <v>511</v>
      </c>
      <c r="F581" s="5">
        <v>452.55</v>
      </c>
      <c r="G581" s="5" t="s">
        <v>26</v>
      </c>
      <c r="H581" s="18">
        <v>66.100385542168681</v>
      </c>
      <c r="I581" s="19" t="s">
        <v>27</v>
      </c>
      <c r="J581" s="60">
        <v>-6.0385542168674533E-2</v>
      </c>
      <c r="K581" s="5" t="s">
        <v>97</v>
      </c>
      <c r="L581" s="101" t="s">
        <v>407</v>
      </c>
      <c r="N581" s="59">
        <v>14.9727</v>
      </c>
      <c r="O581" s="59">
        <v>0.81979999999999897</v>
      </c>
      <c r="AG581" s="107"/>
      <c r="AN581" s="115"/>
      <c r="BU581" s="61"/>
    </row>
    <row r="582" spans="1:73" x14ac:dyDescent="0.35">
      <c r="A582" s="7" t="s">
        <v>1379</v>
      </c>
      <c r="B582" s="7" t="s">
        <v>1382</v>
      </c>
      <c r="C582" s="17" t="s">
        <v>498</v>
      </c>
      <c r="D582" s="5" t="s">
        <v>499</v>
      </c>
      <c r="E582" s="5" t="s">
        <v>512</v>
      </c>
      <c r="F582" s="5">
        <v>452.62</v>
      </c>
      <c r="G582" s="5" t="s">
        <v>26</v>
      </c>
      <c r="H582" s="18">
        <v>66.105417670682741</v>
      </c>
      <c r="I582" s="19" t="s">
        <v>27</v>
      </c>
      <c r="J582" s="60">
        <v>-6.5417670682734297E-2</v>
      </c>
      <c r="K582" s="5" t="s">
        <v>97</v>
      </c>
      <c r="L582" s="101" t="s">
        <v>407</v>
      </c>
      <c r="N582" s="59">
        <v>13.3353</v>
      </c>
      <c r="O582" s="59">
        <v>-0.81760000000000055</v>
      </c>
      <c r="AG582" s="107"/>
      <c r="AN582" s="115"/>
      <c r="BU582" s="61"/>
    </row>
    <row r="583" spans="1:73" x14ac:dyDescent="0.35">
      <c r="A583" s="7" t="s">
        <v>1379</v>
      </c>
      <c r="B583" s="7" t="s">
        <v>1382</v>
      </c>
      <c r="C583" s="17" t="s">
        <v>498</v>
      </c>
      <c r="D583" s="5" t="s">
        <v>499</v>
      </c>
      <c r="E583" s="5" t="s">
        <v>513</v>
      </c>
      <c r="F583" s="5">
        <v>452.64</v>
      </c>
      <c r="G583" s="5" t="s">
        <v>26</v>
      </c>
      <c r="H583" s="18">
        <v>66.106855421686745</v>
      </c>
      <c r="I583" s="19" t="s">
        <v>27</v>
      </c>
      <c r="J583" s="60">
        <v>-6.6855421686739192E-2</v>
      </c>
      <c r="K583" s="5" t="s">
        <v>97</v>
      </c>
      <c r="L583" s="101" t="s">
        <v>407</v>
      </c>
      <c r="N583" s="59">
        <v>15.4747</v>
      </c>
      <c r="O583" s="59">
        <v>1.3217999999999996</v>
      </c>
      <c r="AG583" s="107"/>
      <c r="AN583" s="115"/>
      <c r="BU583" s="61"/>
    </row>
    <row r="584" spans="1:73" x14ac:dyDescent="0.35">
      <c r="A584" s="7" t="s">
        <v>1379</v>
      </c>
      <c r="B584" s="7" t="s">
        <v>1382</v>
      </c>
      <c r="C584" s="17" t="s">
        <v>498</v>
      </c>
      <c r="D584" s="5" t="s">
        <v>499</v>
      </c>
      <c r="E584" s="5" t="s">
        <v>514</v>
      </c>
      <c r="F584" s="5">
        <v>452.75</v>
      </c>
      <c r="G584" s="5" t="s">
        <v>26</v>
      </c>
      <c r="H584" s="18">
        <v>66.114763052208843</v>
      </c>
      <c r="I584" s="19" t="s">
        <v>27</v>
      </c>
      <c r="J584" s="60">
        <v>-7.4763052208837166E-2</v>
      </c>
      <c r="K584" s="5" t="s">
        <v>97</v>
      </c>
      <c r="L584" s="101" t="s">
        <v>407</v>
      </c>
      <c r="N584" s="59">
        <v>14.2386</v>
      </c>
      <c r="O584" s="59">
        <v>8.5699999999999221E-2</v>
      </c>
      <c r="AG584" s="107"/>
      <c r="AN584" s="115"/>
      <c r="BU584" s="61"/>
    </row>
    <row r="585" spans="1:73" x14ac:dyDescent="0.35">
      <c r="A585" s="7" t="s">
        <v>1379</v>
      </c>
      <c r="B585" s="7" t="s">
        <v>1382</v>
      </c>
      <c r="C585" s="17" t="s">
        <v>498</v>
      </c>
      <c r="D585" s="5" t="s">
        <v>499</v>
      </c>
      <c r="E585" s="5" t="s">
        <v>515</v>
      </c>
      <c r="F585" s="5">
        <v>452.86</v>
      </c>
      <c r="G585" s="5" t="s">
        <v>26</v>
      </c>
      <c r="H585" s="18">
        <v>66.122670682730927</v>
      </c>
      <c r="I585" s="19" t="s">
        <v>27</v>
      </c>
      <c r="J585" s="60">
        <v>-8.267068273092093E-2</v>
      </c>
      <c r="K585" s="5" t="s">
        <v>97</v>
      </c>
      <c r="L585" s="101" t="s">
        <v>407</v>
      </c>
      <c r="N585" s="59">
        <v>13.6455</v>
      </c>
      <c r="O585" s="59">
        <v>-0.50740000000000052</v>
      </c>
      <c r="AG585" s="107"/>
      <c r="AN585" s="115"/>
      <c r="BU585" s="61"/>
    </row>
    <row r="586" spans="1:73" x14ac:dyDescent="0.35">
      <c r="A586" s="7" t="s">
        <v>1379</v>
      </c>
      <c r="B586" s="7" t="s">
        <v>1382</v>
      </c>
      <c r="C586" s="17" t="s">
        <v>498</v>
      </c>
      <c r="D586" s="5" t="s">
        <v>499</v>
      </c>
      <c r="E586" s="5" t="s">
        <v>516</v>
      </c>
      <c r="F586" s="5">
        <v>452.96</v>
      </c>
      <c r="G586" s="5" t="s">
        <v>26</v>
      </c>
      <c r="H586" s="18">
        <v>66.129859437751008</v>
      </c>
      <c r="I586" s="19" t="s">
        <v>27</v>
      </c>
      <c r="J586" s="60">
        <v>-8.9859437751002247E-2</v>
      </c>
      <c r="K586" s="5" t="s">
        <v>97</v>
      </c>
      <c r="L586" s="101" t="s">
        <v>407</v>
      </c>
      <c r="N586" s="59">
        <v>14.970800000000001</v>
      </c>
      <c r="O586" s="59">
        <v>0.81789999999999985</v>
      </c>
      <c r="AG586" s="107"/>
      <c r="AN586" s="115"/>
      <c r="BU586" s="61"/>
    </row>
    <row r="587" spans="1:73" x14ac:dyDescent="0.35">
      <c r="A587" s="7" t="s">
        <v>1379</v>
      </c>
      <c r="B587" s="7" t="s">
        <v>1382</v>
      </c>
      <c r="C587" s="17" t="s">
        <v>498</v>
      </c>
      <c r="D587" s="5" t="s">
        <v>499</v>
      </c>
      <c r="E587" s="5" t="s">
        <v>517</v>
      </c>
      <c r="F587" s="5">
        <v>453.06</v>
      </c>
      <c r="G587" s="5" t="s">
        <v>26</v>
      </c>
      <c r="H587" s="18">
        <v>66.13704819277109</v>
      </c>
      <c r="I587" s="19" t="s">
        <v>27</v>
      </c>
      <c r="J587" s="60">
        <v>-9.7048192771083563E-2</v>
      </c>
      <c r="K587" s="5" t="s">
        <v>97</v>
      </c>
      <c r="L587" s="101" t="s">
        <v>407</v>
      </c>
      <c r="N587" s="59">
        <v>14.2371</v>
      </c>
      <c r="O587" s="59">
        <v>8.4199999999999164E-2</v>
      </c>
      <c r="AG587" s="107"/>
      <c r="AN587" s="115"/>
      <c r="BU587" s="61"/>
    </row>
    <row r="588" spans="1:73" x14ac:dyDescent="0.35">
      <c r="A588" s="7" t="s">
        <v>1379</v>
      </c>
      <c r="B588" s="7" t="s">
        <v>1382</v>
      </c>
      <c r="C588" s="17" t="s">
        <v>498</v>
      </c>
      <c r="D588" s="5" t="s">
        <v>499</v>
      </c>
      <c r="E588" s="5" t="s">
        <v>518</v>
      </c>
      <c r="F588" s="5">
        <v>453.1</v>
      </c>
      <c r="G588" s="5" t="s">
        <v>26</v>
      </c>
      <c r="H588" s="18">
        <v>66.139923694779128</v>
      </c>
      <c r="I588" s="19" t="s">
        <v>27</v>
      </c>
      <c r="J588" s="60">
        <v>-9.9923694779121774E-2</v>
      </c>
      <c r="K588" s="5" t="s">
        <v>97</v>
      </c>
      <c r="L588" s="101" t="s">
        <v>407</v>
      </c>
      <c r="N588" s="59">
        <v>15.4825</v>
      </c>
      <c r="O588" s="59">
        <v>1.3295999999999992</v>
      </c>
      <c r="AG588" s="107"/>
      <c r="AN588" s="115"/>
      <c r="BU588" s="61"/>
    </row>
    <row r="589" spans="1:73" x14ac:dyDescent="0.35">
      <c r="A589" s="7" t="s">
        <v>1379</v>
      </c>
      <c r="B589" s="7" t="s">
        <v>1382</v>
      </c>
      <c r="C589" s="17" t="s">
        <v>498</v>
      </c>
      <c r="D589" s="5" t="s">
        <v>499</v>
      </c>
      <c r="E589" s="5" t="s">
        <v>519</v>
      </c>
      <c r="F589" s="5">
        <v>453.2</v>
      </c>
      <c r="G589" s="5" t="s">
        <v>26</v>
      </c>
      <c r="H589" s="18">
        <v>66.147112449799195</v>
      </c>
      <c r="I589" s="19" t="s">
        <v>27</v>
      </c>
      <c r="J589" s="60">
        <v>-0.10711244979918888</v>
      </c>
      <c r="K589" s="5" t="s">
        <v>97</v>
      </c>
      <c r="L589" s="101" t="s">
        <v>407</v>
      </c>
      <c r="N589" s="59">
        <v>14.0457</v>
      </c>
      <c r="O589" s="59">
        <v>-0.10720000000000063</v>
      </c>
      <c r="AG589" s="107"/>
      <c r="AN589" s="115"/>
      <c r="BU589" s="61"/>
    </row>
    <row r="590" spans="1:73" x14ac:dyDescent="0.35">
      <c r="A590" s="7" t="s">
        <v>1379</v>
      </c>
      <c r="B590" s="7" t="s">
        <v>1382</v>
      </c>
      <c r="C590" s="17" t="s">
        <v>498</v>
      </c>
      <c r="D590" s="5" t="s">
        <v>499</v>
      </c>
      <c r="E590" s="5" t="s">
        <v>520</v>
      </c>
      <c r="F590" s="5">
        <v>453.31</v>
      </c>
      <c r="G590" s="5" t="s">
        <v>26</v>
      </c>
      <c r="H590" s="18">
        <v>66.155020080321293</v>
      </c>
      <c r="I590" s="19" t="s">
        <v>27</v>
      </c>
      <c r="J590" s="60">
        <v>-0.11502008032128685</v>
      </c>
      <c r="K590" s="5" t="s">
        <v>97</v>
      </c>
      <c r="L590" s="101" t="s">
        <v>407</v>
      </c>
      <c r="N590" s="59">
        <v>16.8978</v>
      </c>
      <c r="O590" s="59">
        <v>2.7448999999999995</v>
      </c>
      <c r="AG590" s="107"/>
      <c r="AN590" s="115"/>
      <c r="BU590" s="61"/>
    </row>
    <row r="591" spans="1:73" x14ac:dyDescent="0.35">
      <c r="A591" s="7" t="s">
        <v>1379</v>
      </c>
      <c r="B591" s="7" t="s">
        <v>1382</v>
      </c>
      <c r="C591" s="17" t="s">
        <v>498</v>
      </c>
      <c r="D591" s="5" t="s">
        <v>499</v>
      </c>
      <c r="E591" s="5" t="s">
        <v>521</v>
      </c>
      <c r="F591" s="5">
        <v>453.4</v>
      </c>
      <c r="G591" s="5" t="s">
        <v>26</v>
      </c>
      <c r="H591" s="18">
        <v>66.161489959839358</v>
      </c>
      <c r="I591" s="19" t="s">
        <v>27</v>
      </c>
      <c r="J591" s="60">
        <v>-0.12148995983935151</v>
      </c>
      <c r="K591" s="5" t="s">
        <v>97</v>
      </c>
      <c r="L591" s="101" t="s">
        <v>407</v>
      </c>
      <c r="N591" s="59">
        <v>14.336</v>
      </c>
      <c r="O591" s="59">
        <v>0.1830999999999996</v>
      </c>
      <c r="AG591" s="107"/>
      <c r="AN591" s="115"/>
      <c r="BU591" s="61"/>
    </row>
    <row r="592" spans="1:73" x14ac:dyDescent="0.35">
      <c r="A592" s="7" t="s">
        <v>1379</v>
      </c>
      <c r="B592" s="7" t="s">
        <v>1382</v>
      </c>
      <c r="C592" s="17" t="s">
        <v>498</v>
      </c>
      <c r="D592" s="5" t="s">
        <v>499</v>
      </c>
      <c r="E592" s="5" t="s">
        <v>522</v>
      </c>
      <c r="F592" s="5">
        <v>453.48</v>
      </c>
      <c r="G592" s="5" t="s">
        <v>26</v>
      </c>
      <c r="H592" s="18">
        <v>66.16724096385542</v>
      </c>
      <c r="I592" s="19" t="s">
        <v>27</v>
      </c>
      <c r="J592" s="60">
        <v>-0.12724096385541372</v>
      </c>
      <c r="K592" s="5" t="s">
        <v>97</v>
      </c>
      <c r="L592" s="101" t="s">
        <v>407</v>
      </c>
      <c r="N592" s="59">
        <v>14.6469</v>
      </c>
      <c r="O592" s="59">
        <v>0.49399999999999977</v>
      </c>
      <c r="AG592" s="107"/>
      <c r="AN592" s="115"/>
      <c r="BU592" s="61"/>
    </row>
    <row r="593" spans="1:73" x14ac:dyDescent="0.35">
      <c r="A593" s="7" t="s">
        <v>1379</v>
      </c>
      <c r="B593" s="7" t="s">
        <v>1382</v>
      </c>
      <c r="C593" s="17" t="s">
        <v>498</v>
      </c>
      <c r="D593" s="5" t="s">
        <v>499</v>
      </c>
      <c r="E593" s="5" t="s">
        <v>523</v>
      </c>
      <c r="F593" s="5">
        <v>453.58</v>
      </c>
      <c r="G593" s="5" t="s">
        <v>26</v>
      </c>
      <c r="H593" s="18">
        <v>66.174429718875501</v>
      </c>
      <c r="I593" s="19" t="s">
        <v>27</v>
      </c>
      <c r="J593" s="60">
        <v>-0.13442971887549504</v>
      </c>
      <c r="K593" s="5" t="s">
        <v>97</v>
      </c>
      <c r="L593" s="101" t="s">
        <v>407</v>
      </c>
      <c r="N593" s="59">
        <v>15.0684</v>
      </c>
      <c r="O593" s="59">
        <v>0.91549999999999976</v>
      </c>
      <c r="AG593" s="107"/>
      <c r="AN593" s="115"/>
      <c r="BU593" s="61"/>
    </row>
    <row r="594" spans="1:73" x14ac:dyDescent="0.35">
      <c r="A594" s="7" t="s">
        <v>1379</v>
      </c>
      <c r="B594" s="7" t="s">
        <v>1382</v>
      </c>
      <c r="C594" s="17" t="s">
        <v>498</v>
      </c>
      <c r="D594" s="5" t="s">
        <v>499</v>
      </c>
      <c r="E594" s="5" t="s">
        <v>524</v>
      </c>
      <c r="F594" s="5">
        <v>453.61</v>
      </c>
      <c r="G594" s="5" t="s">
        <v>26</v>
      </c>
      <c r="H594" s="18">
        <v>66.176586345381537</v>
      </c>
      <c r="I594" s="19" t="s">
        <v>27</v>
      </c>
      <c r="J594" s="60">
        <v>-0.1365863453815308</v>
      </c>
      <c r="K594" s="5" t="s">
        <v>97</v>
      </c>
      <c r="L594" s="101" t="s">
        <v>407</v>
      </c>
      <c r="N594" s="59">
        <v>13.8428</v>
      </c>
      <c r="O594" s="59">
        <v>-0.31010000000000026</v>
      </c>
      <c r="AG594" s="107"/>
      <c r="AN594" s="115"/>
      <c r="BU594" s="61"/>
    </row>
    <row r="595" spans="1:73" x14ac:dyDescent="0.35">
      <c r="A595" s="7" t="s">
        <v>1379</v>
      </c>
      <c r="B595" s="7" t="s">
        <v>1382</v>
      </c>
      <c r="C595" s="17" t="s">
        <v>498</v>
      </c>
      <c r="D595" s="5" t="s">
        <v>499</v>
      </c>
      <c r="E595" s="5" t="s">
        <v>525</v>
      </c>
      <c r="F595" s="5">
        <v>453.68</v>
      </c>
      <c r="G595" s="5" t="s">
        <v>26</v>
      </c>
      <c r="H595" s="18">
        <v>66.181618473895583</v>
      </c>
      <c r="I595" s="19" t="s">
        <v>27</v>
      </c>
      <c r="J595" s="60">
        <v>-0.14161847389557636</v>
      </c>
      <c r="K595" s="5" t="s">
        <v>97</v>
      </c>
      <c r="L595" s="101" t="s">
        <v>407</v>
      </c>
      <c r="N595" s="59">
        <v>15.2386</v>
      </c>
      <c r="O595" s="59">
        <v>1.0856999999999992</v>
      </c>
      <c r="AG595" s="107"/>
      <c r="AN595" s="115"/>
      <c r="BU595" s="61"/>
    </row>
    <row r="596" spans="1:73" x14ac:dyDescent="0.35">
      <c r="A596" s="7" t="s">
        <v>1379</v>
      </c>
      <c r="B596" s="7" t="s">
        <v>1382</v>
      </c>
      <c r="C596" s="17" t="s">
        <v>498</v>
      </c>
      <c r="D596" s="5" t="s">
        <v>499</v>
      </c>
      <c r="E596" s="5" t="s">
        <v>526</v>
      </c>
      <c r="F596" s="5">
        <v>453.75</v>
      </c>
      <c r="G596" s="5" t="s">
        <v>26</v>
      </c>
      <c r="H596" s="18">
        <v>66.186650602409642</v>
      </c>
      <c r="I596" s="19" t="s">
        <v>27</v>
      </c>
      <c r="J596" s="60">
        <v>-0.14665060240963612</v>
      </c>
      <c r="K596" s="5" t="s">
        <v>97</v>
      </c>
      <c r="L596" s="101" t="s">
        <v>407</v>
      </c>
      <c r="N596" s="59">
        <v>15.5596</v>
      </c>
      <c r="O596" s="59">
        <v>1.406699999999999</v>
      </c>
      <c r="AG596" s="107"/>
      <c r="AN596" s="115"/>
      <c r="BU596" s="61"/>
    </row>
    <row r="597" spans="1:73" x14ac:dyDescent="0.35">
      <c r="A597" s="7" t="s">
        <v>1379</v>
      </c>
      <c r="B597" s="7" t="s">
        <v>1382</v>
      </c>
      <c r="C597" s="17" t="s">
        <v>498</v>
      </c>
      <c r="D597" s="5" t="s">
        <v>499</v>
      </c>
      <c r="E597" s="5" t="s">
        <v>527</v>
      </c>
      <c r="F597" s="5">
        <v>453.85</v>
      </c>
      <c r="G597" s="5" t="s">
        <v>26</v>
      </c>
      <c r="H597" s="18">
        <v>66.193839357429724</v>
      </c>
      <c r="I597" s="19" t="s">
        <v>27</v>
      </c>
      <c r="J597" s="60">
        <v>-0.15383935742971744</v>
      </c>
      <c r="K597" s="5" t="s">
        <v>97</v>
      </c>
      <c r="L597" s="101" t="s">
        <v>407</v>
      </c>
      <c r="N597" s="59">
        <v>15.4588</v>
      </c>
      <c r="O597" s="59">
        <v>1.3058999999999994</v>
      </c>
      <c r="AG597" s="107"/>
      <c r="AN597" s="115"/>
      <c r="BU597" s="61"/>
    </row>
    <row r="598" spans="1:73" x14ac:dyDescent="0.35">
      <c r="A598" s="7" t="s">
        <v>1379</v>
      </c>
      <c r="B598" s="7" t="s">
        <v>1382</v>
      </c>
      <c r="C598" s="17" t="s">
        <v>498</v>
      </c>
      <c r="D598" s="5" t="s">
        <v>499</v>
      </c>
      <c r="E598" s="5" t="s">
        <v>528</v>
      </c>
      <c r="F598" s="5">
        <v>453.95</v>
      </c>
      <c r="G598" s="5" t="s">
        <v>26</v>
      </c>
      <c r="H598" s="18">
        <v>66.201028112449805</v>
      </c>
      <c r="I598" s="19" t="s">
        <v>27</v>
      </c>
      <c r="J598" s="60">
        <v>-0.16102811244979875</v>
      </c>
      <c r="K598" s="5" t="s">
        <v>97</v>
      </c>
      <c r="L598" s="101" t="s">
        <v>407</v>
      </c>
      <c r="N598" s="59">
        <v>15.5588</v>
      </c>
      <c r="O598" s="59">
        <v>1.405899999999999</v>
      </c>
      <c r="AG598" s="107"/>
      <c r="AN598" s="115"/>
      <c r="BU598" s="61"/>
    </row>
    <row r="599" spans="1:73" x14ac:dyDescent="0.35">
      <c r="A599" s="7" t="s">
        <v>1379</v>
      </c>
      <c r="B599" s="7" t="s">
        <v>1382</v>
      </c>
      <c r="C599" s="17" t="s">
        <v>498</v>
      </c>
      <c r="D599" s="5" t="s">
        <v>499</v>
      </c>
      <c r="E599" s="5" t="s">
        <v>529</v>
      </c>
      <c r="F599" s="5">
        <v>454.05</v>
      </c>
      <c r="G599" s="5" t="s">
        <v>26</v>
      </c>
      <c r="H599" s="18">
        <v>66.208216867469886</v>
      </c>
      <c r="I599" s="19" t="s">
        <v>27</v>
      </c>
      <c r="J599" s="60">
        <v>-0.16821686746988007</v>
      </c>
      <c r="K599" s="5" t="s">
        <v>97</v>
      </c>
      <c r="L599" s="101" t="s">
        <v>407</v>
      </c>
      <c r="N599" s="59">
        <v>15.668799999999999</v>
      </c>
      <c r="O599" s="59">
        <v>1.5158999999999985</v>
      </c>
      <c r="AG599" s="107"/>
      <c r="AN599" s="115"/>
      <c r="BU599" s="61"/>
    </row>
    <row r="600" spans="1:73" x14ac:dyDescent="0.35">
      <c r="A600" s="7" t="s">
        <v>1379</v>
      </c>
      <c r="B600" s="7" t="s">
        <v>1382</v>
      </c>
      <c r="C600" s="17" t="s">
        <v>498</v>
      </c>
      <c r="D600" s="5" t="s">
        <v>499</v>
      </c>
      <c r="E600" s="5" t="s">
        <v>530</v>
      </c>
      <c r="F600" s="5">
        <v>454.1</v>
      </c>
      <c r="G600" s="5" t="s">
        <v>26</v>
      </c>
      <c r="H600" s="18">
        <v>66.211811244979927</v>
      </c>
      <c r="I600" s="19" t="s">
        <v>27</v>
      </c>
      <c r="J600" s="60">
        <v>-0.17181124497992073</v>
      </c>
      <c r="K600" s="5" t="s">
        <v>97</v>
      </c>
      <c r="L600" s="101" t="s">
        <v>407</v>
      </c>
      <c r="N600" s="59">
        <v>15.246600000000001</v>
      </c>
      <c r="O600" s="59">
        <v>1.0937000000000001</v>
      </c>
      <c r="AG600" s="107"/>
      <c r="AN600" s="115"/>
      <c r="BU600" s="61"/>
    </row>
    <row r="601" spans="1:73" x14ac:dyDescent="0.35">
      <c r="A601" s="7" t="s">
        <v>1379</v>
      </c>
      <c r="B601" s="7" t="s">
        <v>1382</v>
      </c>
      <c r="C601" s="17" t="s">
        <v>498</v>
      </c>
      <c r="D601" s="5" t="s">
        <v>499</v>
      </c>
      <c r="E601" s="5" t="s">
        <v>531</v>
      </c>
      <c r="F601" s="5">
        <v>454.14</v>
      </c>
      <c r="G601" s="5" t="s">
        <v>26</v>
      </c>
      <c r="H601" s="18">
        <v>66.214686746987951</v>
      </c>
      <c r="I601" s="19" t="s">
        <v>27</v>
      </c>
      <c r="J601" s="60">
        <v>-0.17468674698794473</v>
      </c>
      <c r="K601" s="5" t="s">
        <v>97</v>
      </c>
      <c r="L601" s="101" t="s">
        <v>407</v>
      </c>
      <c r="N601" s="59">
        <v>15.2464</v>
      </c>
      <c r="O601" s="59">
        <v>1.0934999999999988</v>
      </c>
      <c r="AG601" s="107"/>
      <c r="AN601" s="115"/>
      <c r="BU601" s="61"/>
    </row>
    <row r="602" spans="1:73" x14ac:dyDescent="0.35">
      <c r="A602" s="7" t="s">
        <v>1379</v>
      </c>
      <c r="B602" s="7" t="s">
        <v>1382</v>
      </c>
      <c r="C602" s="17" t="s">
        <v>498</v>
      </c>
      <c r="D602" s="5" t="s">
        <v>499</v>
      </c>
      <c r="E602" s="5" t="s">
        <v>532</v>
      </c>
      <c r="F602" s="5">
        <v>454.24</v>
      </c>
      <c r="G602" s="5" t="s">
        <v>26</v>
      </c>
      <c r="H602" s="18">
        <v>66.221875502008032</v>
      </c>
      <c r="I602" s="19" t="s">
        <v>27</v>
      </c>
      <c r="J602" s="60">
        <v>-0.18187550200802605</v>
      </c>
      <c r="K602" s="5" t="s">
        <v>97</v>
      </c>
      <c r="L602" s="101" t="s">
        <v>407</v>
      </c>
      <c r="N602" s="59">
        <v>15.7582</v>
      </c>
      <c r="O602" s="59">
        <v>1.6052999999999997</v>
      </c>
      <c r="AG602" s="107"/>
      <c r="AN602" s="115"/>
      <c r="BU602" s="61"/>
    </row>
    <row r="603" spans="1:73" x14ac:dyDescent="0.35">
      <c r="A603" s="7" t="s">
        <v>1379</v>
      </c>
      <c r="B603" s="7" t="s">
        <v>1382</v>
      </c>
      <c r="C603" s="17" t="s">
        <v>498</v>
      </c>
      <c r="D603" s="5" t="s">
        <v>499</v>
      </c>
      <c r="E603" s="5" t="s">
        <v>533</v>
      </c>
      <c r="F603" s="5">
        <v>454.34</v>
      </c>
      <c r="G603" s="5" t="s">
        <v>26</v>
      </c>
      <c r="H603" s="18">
        <v>66.229064257028114</v>
      </c>
      <c r="I603" s="19" t="s">
        <v>27</v>
      </c>
      <c r="J603" s="60">
        <v>-0.18906425702810736</v>
      </c>
      <c r="K603" s="5" t="s">
        <v>97</v>
      </c>
      <c r="L603" s="101" t="s">
        <v>407</v>
      </c>
      <c r="N603" s="59">
        <v>16.581399999999999</v>
      </c>
      <c r="O603" s="59">
        <v>2.4284999999999979</v>
      </c>
      <c r="AG603" s="107"/>
      <c r="AN603" s="115"/>
      <c r="BU603" s="61"/>
    </row>
    <row r="604" spans="1:73" x14ac:dyDescent="0.35">
      <c r="A604" s="7" t="s">
        <v>1379</v>
      </c>
      <c r="B604" s="7" t="s">
        <v>1382</v>
      </c>
      <c r="C604" s="17" t="s">
        <v>498</v>
      </c>
      <c r="D604" s="5" t="s">
        <v>499</v>
      </c>
      <c r="E604" s="5" t="s">
        <v>534</v>
      </c>
      <c r="F604" s="5">
        <v>454.41</v>
      </c>
      <c r="G604" s="5" t="s">
        <v>26</v>
      </c>
      <c r="H604" s="18">
        <v>66.234096385542173</v>
      </c>
      <c r="I604" s="19" t="s">
        <v>27</v>
      </c>
      <c r="J604" s="60">
        <v>-0.19409638554216713</v>
      </c>
      <c r="K604" s="5" t="s">
        <v>97</v>
      </c>
      <c r="L604" s="101" t="s">
        <v>407</v>
      </c>
      <c r="N604" s="59">
        <v>15.867900000000001</v>
      </c>
      <c r="O604" s="59">
        <v>1.7149999999999999</v>
      </c>
      <c r="AG604" s="107"/>
      <c r="AN604" s="115"/>
      <c r="BU604" s="61"/>
    </row>
    <row r="605" spans="1:73" x14ac:dyDescent="0.35">
      <c r="A605" s="7" t="s">
        <v>1379</v>
      </c>
      <c r="B605" s="7" t="s">
        <v>1382</v>
      </c>
      <c r="C605" s="17" t="s">
        <v>498</v>
      </c>
      <c r="D605" s="5" t="s">
        <v>499</v>
      </c>
      <c r="E605" s="5" t="s">
        <v>535</v>
      </c>
      <c r="F605" s="5">
        <v>454.48</v>
      </c>
      <c r="G605" s="5" t="s">
        <v>26</v>
      </c>
      <c r="H605" s="18">
        <v>66.239128514056233</v>
      </c>
      <c r="I605" s="19" t="s">
        <v>27</v>
      </c>
      <c r="J605" s="60">
        <v>-0.19912851405622689</v>
      </c>
      <c r="K605" s="5" t="s">
        <v>97</v>
      </c>
      <c r="L605" s="101" t="s">
        <v>407</v>
      </c>
      <c r="N605" s="59">
        <v>14.7425</v>
      </c>
      <c r="O605" s="59">
        <v>0.58959999999999901</v>
      </c>
      <c r="AG605" s="107"/>
      <c r="AN605" s="115"/>
      <c r="BU605" s="61"/>
    </row>
    <row r="606" spans="1:73" x14ac:dyDescent="0.35">
      <c r="A606" s="7" t="s">
        <v>1379</v>
      </c>
      <c r="B606" s="7" t="s">
        <v>1382</v>
      </c>
      <c r="C606" s="17" t="s">
        <v>498</v>
      </c>
      <c r="D606" s="5" t="s">
        <v>499</v>
      </c>
      <c r="E606" s="5" t="s">
        <v>536</v>
      </c>
      <c r="F606" s="5">
        <v>454.6</v>
      </c>
      <c r="G606" s="5" t="s">
        <v>26</v>
      </c>
      <c r="H606" s="18">
        <v>66.247755020080319</v>
      </c>
      <c r="I606" s="19" t="s">
        <v>27</v>
      </c>
      <c r="J606" s="60">
        <v>-0.2077550200803131</v>
      </c>
      <c r="K606" s="5" t="s">
        <v>97</v>
      </c>
      <c r="L606" s="101" t="s">
        <v>407</v>
      </c>
      <c r="N606" s="59">
        <v>14.862500000000001</v>
      </c>
      <c r="O606" s="59">
        <v>0.70960000000000001</v>
      </c>
      <c r="AG606" s="107"/>
      <c r="AN606" s="115"/>
      <c r="BU606" s="61"/>
    </row>
    <row r="607" spans="1:73" x14ac:dyDescent="0.35">
      <c r="A607" s="7" t="s">
        <v>1379</v>
      </c>
      <c r="B607" s="7" t="s">
        <v>1382</v>
      </c>
      <c r="C607" s="17" t="s">
        <v>498</v>
      </c>
      <c r="D607" s="5" t="s">
        <v>499</v>
      </c>
      <c r="E607" s="5" t="s">
        <v>537</v>
      </c>
      <c r="F607" s="5">
        <v>454.7</v>
      </c>
      <c r="G607" s="5" t="s">
        <v>26</v>
      </c>
      <c r="H607" s="18">
        <v>66.254943775100401</v>
      </c>
      <c r="I607" s="19" t="s">
        <v>27</v>
      </c>
      <c r="J607" s="60">
        <v>-0.21494377510039442</v>
      </c>
      <c r="K607" s="5" t="s">
        <v>97</v>
      </c>
      <c r="L607" s="101" t="s">
        <v>407</v>
      </c>
      <c r="N607" s="59">
        <v>15.545</v>
      </c>
      <c r="O607" s="59">
        <v>1.3920999999999992</v>
      </c>
      <c r="AG607" s="107"/>
      <c r="AN607" s="115"/>
      <c r="BU607" s="61"/>
    </row>
    <row r="608" spans="1:73" x14ac:dyDescent="0.35">
      <c r="A608" s="7" t="s">
        <v>1379</v>
      </c>
      <c r="B608" s="7" t="s">
        <v>1382</v>
      </c>
      <c r="C608" s="17" t="s">
        <v>498</v>
      </c>
      <c r="D608" s="5" t="s">
        <v>499</v>
      </c>
      <c r="E608" s="5" t="s">
        <v>538</v>
      </c>
      <c r="F608" s="5">
        <v>454.8</v>
      </c>
      <c r="G608" s="5" t="s">
        <v>26</v>
      </c>
      <c r="H608" s="18">
        <v>66.262132530120482</v>
      </c>
      <c r="I608" s="19" t="s">
        <v>27</v>
      </c>
      <c r="J608" s="60">
        <v>-0.22213253012047574</v>
      </c>
      <c r="K608" s="5" t="s">
        <v>97</v>
      </c>
      <c r="L608" s="101" t="s">
        <v>407</v>
      </c>
      <c r="N608" s="59">
        <v>15.0524</v>
      </c>
      <c r="O608" s="59">
        <v>0.89949999999999974</v>
      </c>
      <c r="AG608" s="107"/>
      <c r="AN608" s="115"/>
      <c r="BU608" s="61"/>
    </row>
    <row r="609" spans="1:73" x14ac:dyDescent="0.35">
      <c r="A609" s="7" t="s">
        <v>1379</v>
      </c>
      <c r="B609" s="7" t="s">
        <v>1382</v>
      </c>
      <c r="C609" s="17" t="s">
        <v>498</v>
      </c>
      <c r="D609" s="5" t="s">
        <v>499</v>
      </c>
      <c r="E609" s="5" t="s">
        <v>539</v>
      </c>
      <c r="F609" s="5">
        <v>454.9</v>
      </c>
      <c r="G609" s="5" t="s">
        <v>26</v>
      </c>
      <c r="H609" s="18">
        <v>66.269321285140563</v>
      </c>
      <c r="I609" s="19" t="s">
        <v>27</v>
      </c>
      <c r="J609" s="60">
        <v>-0.22932128514055705</v>
      </c>
      <c r="K609" s="5" t="s">
        <v>97</v>
      </c>
      <c r="L609" s="101" t="s">
        <v>407</v>
      </c>
      <c r="N609" s="59">
        <v>14.921200000000001</v>
      </c>
      <c r="O609" s="59">
        <v>0.76829999999999998</v>
      </c>
      <c r="AG609" s="107"/>
      <c r="AN609" s="115"/>
      <c r="BU609" s="61"/>
    </row>
    <row r="610" spans="1:73" x14ac:dyDescent="0.35">
      <c r="A610" s="7" t="s">
        <v>1379</v>
      </c>
      <c r="B610" s="7" t="s">
        <v>1382</v>
      </c>
      <c r="C610" s="17" t="s">
        <v>498</v>
      </c>
      <c r="D610" s="5" t="s">
        <v>499</v>
      </c>
      <c r="E610" s="5" t="s">
        <v>540</v>
      </c>
      <c r="F610" s="5">
        <v>455</v>
      </c>
      <c r="G610" s="5" t="s">
        <v>26</v>
      </c>
      <c r="H610" s="18">
        <v>66.276510040160645</v>
      </c>
      <c r="I610" s="19" t="s">
        <v>27</v>
      </c>
      <c r="J610" s="60">
        <v>-0.23651004016063837</v>
      </c>
      <c r="K610" s="5" t="s">
        <v>97</v>
      </c>
      <c r="L610" s="101" t="s">
        <v>407</v>
      </c>
      <c r="N610" s="59">
        <v>14.6396</v>
      </c>
      <c r="O610" s="59">
        <v>0.48669999999999902</v>
      </c>
      <c r="AG610" s="107"/>
      <c r="AN610" s="115"/>
      <c r="BU610" s="61"/>
    </row>
    <row r="611" spans="1:73" x14ac:dyDescent="0.35">
      <c r="A611" s="7" t="s">
        <v>1379</v>
      </c>
      <c r="B611" s="7" t="s">
        <v>1382</v>
      </c>
      <c r="C611" s="17" t="s">
        <v>498</v>
      </c>
      <c r="D611" s="5" t="s">
        <v>499</v>
      </c>
      <c r="E611" s="5" t="s">
        <v>541</v>
      </c>
      <c r="F611" s="5">
        <v>455.1</v>
      </c>
      <c r="G611" s="5" t="s">
        <v>26</v>
      </c>
      <c r="H611" s="18">
        <v>66.283698795180726</v>
      </c>
      <c r="I611" s="19" t="s">
        <v>27</v>
      </c>
      <c r="J611" s="60">
        <v>-0.24369879518071969</v>
      </c>
      <c r="K611" s="5" t="s">
        <v>97</v>
      </c>
      <c r="L611" s="101" t="s">
        <v>407</v>
      </c>
      <c r="N611" s="59">
        <v>14.6591</v>
      </c>
      <c r="O611" s="59">
        <v>0.50619999999999976</v>
      </c>
      <c r="AG611" s="107"/>
      <c r="AN611" s="115"/>
      <c r="BU611" s="61"/>
    </row>
    <row r="612" spans="1:73" x14ac:dyDescent="0.35">
      <c r="A612" s="7" t="s">
        <v>1379</v>
      </c>
      <c r="B612" s="7" t="s">
        <v>1382</v>
      </c>
      <c r="C612" s="17" t="s">
        <v>498</v>
      </c>
      <c r="D612" s="5" t="s">
        <v>499</v>
      </c>
      <c r="E612" s="5" t="s">
        <v>542</v>
      </c>
      <c r="F612" s="5">
        <v>455.2</v>
      </c>
      <c r="G612" s="5" t="s">
        <v>26</v>
      </c>
      <c r="H612" s="18">
        <v>66.290887550200807</v>
      </c>
      <c r="I612" s="19" t="s">
        <v>27</v>
      </c>
      <c r="J612" s="60">
        <v>-0.250887550200801</v>
      </c>
      <c r="K612" s="5" t="s">
        <v>97</v>
      </c>
      <c r="L612" s="101" t="s">
        <v>407</v>
      </c>
      <c r="N612" s="59">
        <v>15.462300000000001</v>
      </c>
      <c r="O612" s="59">
        <v>1.3094000000000001</v>
      </c>
      <c r="AG612" s="107"/>
      <c r="AN612" s="115"/>
      <c r="BU612" s="61"/>
    </row>
    <row r="613" spans="1:73" x14ac:dyDescent="0.35">
      <c r="A613" s="7" t="s">
        <v>1379</v>
      </c>
      <c r="B613" s="7" t="s">
        <v>1382</v>
      </c>
      <c r="C613" s="17" t="s">
        <v>498</v>
      </c>
      <c r="D613" s="5" t="s">
        <v>499</v>
      </c>
      <c r="E613" s="5" t="s">
        <v>543</v>
      </c>
      <c r="F613" s="5">
        <v>455.3</v>
      </c>
      <c r="G613" s="5" t="s">
        <v>26</v>
      </c>
      <c r="H613" s="18">
        <v>66.298076305220889</v>
      </c>
      <c r="I613" s="19" t="s">
        <v>27</v>
      </c>
      <c r="J613" s="60">
        <v>-0.25807630522088232</v>
      </c>
      <c r="K613" s="5" t="s">
        <v>97</v>
      </c>
      <c r="L613" s="101" t="s">
        <v>407</v>
      </c>
      <c r="N613" s="59">
        <v>14.4373</v>
      </c>
      <c r="O613" s="59">
        <v>0.28439999999999976</v>
      </c>
      <c r="AG613" s="107"/>
      <c r="AN613" s="115"/>
      <c r="BU613" s="61"/>
    </row>
    <row r="614" spans="1:73" x14ac:dyDescent="0.35">
      <c r="A614" s="7" t="s">
        <v>1379</v>
      </c>
      <c r="B614" s="7" t="s">
        <v>1382</v>
      </c>
      <c r="C614" s="17" t="s">
        <v>498</v>
      </c>
      <c r="D614" s="5" t="s">
        <v>499</v>
      </c>
      <c r="E614" s="5" t="s">
        <v>544</v>
      </c>
      <c r="F614" s="5">
        <v>455.4</v>
      </c>
      <c r="G614" s="5" t="s">
        <v>26</v>
      </c>
      <c r="H614" s="18">
        <v>66.305265060240956</v>
      </c>
      <c r="I614" s="19" t="s">
        <v>27</v>
      </c>
      <c r="J614" s="60">
        <v>-0.26526506024094942</v>
      </c>
      <c r="K614" s="5" t="s">
        <v>97</v>
      </c>
      <c r="L614" s="101" t="s">
        <v>407</v>
      </c>
      <c r="N614" s="59">
        <v>15.3408</v>
      </c>
      <c r="O614" s="59">
        <v>1.1878999999999991</v>
      </c>
      <c r="AG614" s="107"/>
      <c r="AN614" s="115"/>
      <c r="BU614" s="61"/>
    </row>
    <row r="615" spans="1:73" x14ac:dyDescent="0.35">
      <c r="A615" s="7" t="s">
        <v>1379</v>
      </c>
      <c r="B615" s="7" t="s">
        <v>1382</v>
      </c>
      <c r="C615" s="17" t="s">
        <v>498</v>
      </c>
      <c r="D615" s="5" t="s">
        <v>499</v>
      </c>
      <c r="E615" s="5" t="s">
        <v>545</v>
      </c>
      <c r="F615" s="5">
        <v>455.5</v>
      </c>
      <c r="G615" s="5" t="s">
        <v>26</v>
      </c>
      <c r="H615" s="18">
        <v>66.312453815261037</v>
      </c>
      <c r="I615" s="19" t="s">
        <v>27</v>
      </c>
      <c r="J615" s="60">
        <v>-0.27245381526103074</v>
      </c>
      <c r="K615" s="5" t="s">
        <v>97</v>
      </c>
      <c r="L615" s="101" t="s">
        <v>407</v>
      </c>
      <c r="N615" s="59">
        <v>15.742100000000001</v>
      </c>
      <c r="O615" s="59">
        <v>1.5891999999999999</v>
      </c>
      <c r="AG615" s="107"/>
      <c r="AN615" s="115"/>
      <c r="BU615" s="61"/>
    </row>
    <row r="616" spans="1:73" x14ac:dyDescent="0.35">
      <c r="A616" s="7" t="s">
        <v>1379</v>
      </c>
      <c r="B616" s="7" t="s">
        <v>1382</v>
      </c>
      <c r="C616" s="17" t="s">
        <v>498</v>
      </c>
      <c r="D616" s="5" t="s">
        <v>499</v>
      </c>
      <c r="E616" s="5" t="s">
        <v>546</v>
      </c>
      <c r="F616" s="5">
        <v>455.6</v>
      </c>
      <c r="G616" s="5" t="s">
        <v>26</v>
      </c>
      <c r="H616" s="18">
        <v>66.319642570281118</v>
      </c>
      <c r="I616" s="19" t="s">
        <v>27</v>
      </c>
      <c r="J616" s="60">
        <v>-0.27964257028111206</v>
      </c>
      <c r="K616" s="5" t="s">
        <v>97</v>
      </c>
      <c r="L616" s="101" t="s">
        <v>407</v>
      </c>
      <c r="N616" s="59">
        <v>16.1434</v>
      </c>
      <c r="O616" s="59">
        <v>1.990499999999999</v>
      </c>
      <c r="AG616" s="107"/>
      <c r="AN616" s="115"/>
      <c r="BU616" s="61"/>
    </row>
    <row r="617" spans="1:73" x14ac:dyDescent="0.35">
      <c r="A617" s="7" t="s">
        <v>1379</v>
      </c>
      <c r="B617" s="7" t="s">
        <v>1382</v>
      </c>
      <c r="C617" s="17" t="s">
        <v>498</v>
      </c>
      <c r="D617" s="5" t="s">
        <v>499</v>
      </c>
      <c r="E617" s="5" t="s">
        <v>547</v>
      </c>
      <c r="F617" s="5">
        <v>455.7</v>
      </c>
      <c r="G617" s="5" t="s">
        <v>26</v>
      </c>
      <c r="H617" s="18">
        <v>66.3268313253012</v>
      </c>
      <c r="I617" s="19" t="s">
        <v>27</v>
      </c>
      <c r="J617" s="60">
        <v>-0.28683132530119337</v>
      </c>
      <c r="K617" s="5" t="s">
        <v>97</v>
      </c>
      <c r="L617" s="101" t="s">
        <v>407</v>
      </c>
      <c r="N617" s="59">
        <v>14.957599999999999</v>
      </c>
      <c r="O617" s="59">
        <v>0.80469999999999864</v>
      </c>
      <c r="AG617" s="107"/>
      <c r="AN617" s="115"/>
      <c r="BU617" s="61"/>
    </row>
    <row r="618" spans="1:73" x14ac:dyDescent="0.35">
      <c r="A618" s="7" t="s">
        <v>1379</v>
      </c>
      <c r="B618" s="7" t="s">
        <v>1382</v>
      </c>
      <c r="C618" s="17" t="s">
        <v>498</v>
      </c>
      <c r="D618" s="5" t="s">
        <v>499</v>
      </c>
      <c r="E618" s="5" t="s">
        <v>548</v>
      </c>
      <c r="F618" s="5">
        <v>455.81</v>
      </c>
      <c r="G618" s="5" t="s">
        <v>26</v>
      </c>
      <c r="H618" s="18">
        <v>66.334738955823298</v>
      </c>
      <c r="I618" s="19" t="s">
        <v>27</v>
      </c>
      <c r="J618" s="60">
        <v>-0.29473895582329135</v>
      </c>
      <c r="K618" s="5" t="s">
        <v>97</v>
      </c>
      <c r="L618" s="101" t="s">
        <v>407</v>
      </c>
      <c r="N618" s="59">
        <v>17.0867</v>
      </c>
      <c r="O618" s="59">
        <v>2.9337999999999997</v>
      </c>
      <c r="AG618" s="107"/>
      <c r="AN618" s="115"/>
      <c r="BU618" s="61"/>
    </row>
    <row r="619" spans="1:73" x14ac:dyDescent="0.35">
      <c r="A619" s="7" t="s">
        <v>1379</v>
      </c>
      <c r="B619" s="7" t="s">
        <v>1382</v>
      </c>
      <c r="C619" s="17" t="s">
        <v>498</v>
      </c>
      <c r="D619" s="5" t="s">
        <v>499</v>
      </c>
      <c r="E619" s="5" t="s">
        <v>549</v>
      </c>
      <c r="F619" s="5">
        <v>455.92</v>
      </c>
      <c r="G619" s="5" t="s">
        <v>26</v>
      </c>
      <c r="H619" s="18">
        <v>66.342646586345381</v>
      </c>
      <c r="I619" s="19" t="s">
        <v>27</v>
      </c>
      <c r="J619" s="60">
        <v>-0.30264658634537511</v>
      </c>
      <c r="K619" s="5" t="s">
        <v>97</v>
      </c>
      <c r="L619" s="101" t="s">
        <v>407</v>
      </c>
      <c r="N619" s="59">
        <v>15.2378</v>
      </c>
      <c r="O619" s="59">
        <v>1.0848999999999993</v>
      </c>
      <c r="AG619" s="107"/>
      <c r="AN619" s="115"/>
      <c r="BU619" s="61"/>
    </row>
    <row r="620" spans="1:73" x14ac:dyDescent="0.35">
      <c r="A620" s="7" t="s">
        <v>1379</v>
      </c>
      <c r="B620" s="7" t="s">
        <v>1382</v>
      </c>
      <c r="C620" s="17" t="s">
        <v>498</v>
      </c>
      <c r="D620" s="5" t="s">
        <v>499</v>
      </c>
      <c r="E620" s="5" t="s">
        <v>550</v>
      </c>
      <c r="F620" s="5">
        <v>456.01</v>
      </c>
      <c r="G620" s="5" t="s">
        <v>26</v>
      </c>
      <c r="H620" s="18">
        <v>66.349116465863446</v>
      </c>
      <c r="I620" s="19" t="s">
        <v>27</v>
      </c>
      <c r="J620" s="60">
        <v>-0.30911646586343977</v>
      </c>
      <c r="K620" s="5" t="s">
        <v>97</v>
      </c>
      <c r="L620" s="101" t="s">
        <v>407</v>
      </c>
      <c r="N620" s="59">
        <v>14.6347</v>
      </c>
      <c r="O620" s="59">
        <v>0.48179999999999978</v>
      </c>
      <c r="AG620" s="107"/>
      <c r="AN620" s="115"/>
      <c r="BU620" s="61"/>
    </row>
    <row r="621" spans="1:73" x14ac:dyDescent="0.35">
      <c r="A621" s="7" t="s">
        <v>1379</v>
      </c>
      <c r="B621" s="7" t="s">
        <v>1382</v>
      </c>
      <c r="C621" s="17" t="s">
        <v>498</v>
      </c>
      <c r="D621" s="5" t="s">
        <v>499</v>
      </c>
      <c r="E621" s="5" t="s">
        <v>551</v>
      </c>
      <c r="F621" s="5">
        <v>456.14</v>
      </c>
      <c r="G621" s="5" t="s">
        <v>26</v>
      </c>
      <c r="H621" s="18">
        <v>66.358461847389549</v>
      </c>
      <c r="I621" s="19" t="s">
        <v>27</v>
      </c>
      <c r="J621" s="60">
        <v>-0.31846184738954264</v>
      </c>
      <c r="K621" s="5" t="s">
        <v>97</v>
      </c>
      <c r="L621" s="101" t="s">
        <v>407</v>
      </c>
      <c r="N621" s="59">
        <v>15.0358</v>
      </c>
      <c r="O621" s="59">
        <v>0.88289999999999935</v>
      </c>
      <c r="AG621" s="107"/>
      <c r="AN621" s="115"/>
      <c r="BU621" s="61"/>
    </row>
    <row r="622" spans="1:73" x14ac:dyDescent="0.35">
      <c r="A622" s="7" t="s">
        <v>1379</v>
      </c>
      <c r="B622" s="7" t="s">
        <v>1382</v>
      </c>
      <c r="C622" s="17" t="s">
        <v>498</v>
      </c>
      <c r="D622" s="5" t="s">
        <v>499</v>
      </c>
      <c r="E622" s="5" t="s">
        <v>552</v>
      </c>
      <c r="F622" s="5">
        <v>456.21</v>
      </c>
      <c r="G622" s="5" t="s">
        <v>26</v>
      </c>
      <c r="H622" s="18">
        <v>66.363493975903609</v>
      </c>
      <c r="I622" s="19" t="s">
        <v>27</v>
      </c>
      <c r="J622" s="60">
        <v>-0.3234939759036024</v>
      </c>
      <c r="K622" s="5" t="s">
        <v>97</v>
      </c>
      <c r="L622" s="101" t="s">
        <v>407</v>
      </c>
      <c r="N622" s="59">
        <v>14.8346</v>
      </c>
      <c r="O622" s="59">
        <v>0.68169999999999931</v>
      </c>
      <c r="AG622" s="107"/>
      <c r="AN622" s="115"/>
      <c r="BU622" s="61"/>
    </row>
    <row r="623" spans="1:73" x14ac:dyDescent="0.35">
      <c r="A623" s="7" t="s">
        <v>1379</v>
      </c>
      <c r="B623" s="7" t="s">
        <v>1382</v>
      </c>
      <c r="C623" s="17" t="s">
        <v>498</v>
      </c>
      <c r="D623" s="5" t="s">
        <v>499</v>
      </c>
      <c r="E623" s="5" t="s">
        <v>553</v>
      </c>
      <c r="F623" s="5">
        <v>456.3</v>
      </c>
      <c r="G623" s="5" t="s">
        <v>26</v>
      </c>
      <c r="H623" s="18">
        <v>66.369963855421688</v>
      </c>
      <c r="I623" s="19" t="s">
        <v>27</v>
      </c>
      <c r="J623" s="60">
        <v>-0.32996385542168127</v>
      </c>
      <c r="K623" s="5" t="s">
        <v>97</v>
      </c>
      <c r="L623" s="101" t="s">
        <v>407</v>
      </c>
      <c r="N623" s="59">
        <v>15.1556</v>
      </c>
      <c r="O623" s="59">
        <v>1.002699999999999</v>
      </c>
      <c r="AG623" s="107"/>
      <c r="AN623" s="115"/>
      <c r="BU623" s="61"/>
    </row>
    <row r="624" spans="1:73" x14ac:dyDescent="0.35">
      <c r="A624" s="7" t="s">
        <v>1379</v>
      </c>
      <c r="B624" s="7" t="s">
        <v>1382</v>
      </c>
      <c r="C624" s="17" t="s">
        <v>498</v>
      </c>
      <c r="D624" s="5" t="s">
        <v>499</v>
      </c>
      <c r="E624" s="5" t="s">
        <v>554</v>
      </c>
      <c r="F624" s="5">
        <v>456.4</v>
      </c>
      <c r="G624" s="5" t="s">
        <v>26</v>
      </c>
      <c r="H624" s="18">
        <v>66.377152610441769</v>
      </c>
      <c r="I624" s="19" t="s">
        <v>27</v>
      </c>
      <c r="J624" s="60">
        <v>-0.33715261044176259</v>
      </c>
      <c r="K624" s="5" t="s">
        <v>97</v>
      </c>
      <c r="L624" s="101" t="s">
        <v>407</v>
      </c>
      <c r="N624" s="59">
        <v>14.652900000000001</v>
      </c>
      <c r="O624" s="59">
        <v>0.5</v>
      </c>
      <c r="AG624" s="107"/>
      <c r="AN624" s="115"/>
      <c r="BU624" s="61"/>
    </row>
    <row r="625" spans="1:73" x14ac:dyDescent="0.35">
      <c r="A625" s="7" t="s">
        <v>1379</v>
      </c>
      <c r="B625" s="7" t="s">
        <v>1382</v>
      </c>
      <c r="C625" s="17" t="s">
        <v>498</v>
      </c>
      <c r="D625" s="5" t="s">
        <v>499</v>
      </c>
      <c r="E625" s="5" t="s">
        <v>555</v>
      </c>
      <c r="F625" s="5">
        <v>456.5</v>
      </c>
      <c r="G625" s="5" t="s">
        <v>26</v>
      </c>
      <c r="H625" s="18">
        <v>66.38434136546185</v>
      </c>
      <c r="I625" s="19" t="s">
        <v>27</v>
      </c>
      <c r="J625" s="60">
        <v>-0.34434136546184391</v>
      </c>
      <c r="K625" s="5" t="s">
        <v>97</v>
      </c>
      <c r="L625" s="101" t="s">
        <v>407</v>
      </c>
      <c r="N625" s="59">
        <v>15.6568</v>
      </c>
      <c r="O625" s="59">
        <v>1.5038999999999998</v>
      </c>
      <c r="AG625" s="107"/>
      <c r="AN625" s="115"/>
      <c r="BU625" s="61"/>
    </row>
    <row r="626" spans="1:73" x14ac:dyDescent="0.35">
      <c r="A626" s="7" t="s">
        <v>1379</v>
      </c>
      <c r="B626" s="7" t="s">
        <v>1382</v>
      </c>
      <c r="C626" s="17" t="s">
        <v>498</v>
      </c>
      <c r="D626" s="5" t="s">
        <v>499</v>
      </c>
      <c r="E626" s="5" t="s">
        <v>556</v>
      </c>
      <c r="F626" s="5">
        <v>456.6</v>
      </c>
      <c r="G626" s="5" t="s">
        <v>26</v>
      </c>
      <c r="H626" s="18">
        <v>66.391530120481931</v>
      </c>
      <c r="I626" s="19" t="s">
        <v>27</v>
      </c>
      <c r="J626" s="60">
        <v>-0.35153012048192522</v>
      </c>
      <c r="K626" s="5" t="s">
        <v>97</v>
      </c>
      <c r="L626" s="101" t="s">
        <v>407</v>
      </c>
      <c r="N626" s="59">
        <v>15.134</v>
      </c>
      <c r="O626" s="59">
        <v>0.98109999999999964</v>
      </c>
      <c r="AG626" s="107"/>
      <c r="AN626" s="115"/>
      <c r="BU626" s="61"/>
    </row>
    <row r="627" spans="1:73" x14ac:dyDescent="0.35">
      <c r="A627" s="7" t="s">
        <v>1379</v>
      </c>
      <c r="B627" s="7" t="s">
        <v>1382</v>
      </c>
      <c r="C627" s="17" t="s">
        <v>498</v>
      </c>
      <c r="D627" s="5" t="s">
        <v>499</v>
      </c>
      <c r="E627" s="5" t="s">
        <v>557</v>
      </c>
      <c r="F627" s="5">
        <v>456.66</v>
      </c>
      <c r="G627" s="5" t="s">
        <v>26</v>
      </c>
      <c r="H627" s="18">
        <v>66.395843373493975</v>
      </c>
      <c r="I627" s="19" t="s">
        <v>27</v>
      </c>
      <c r="J627" s="60">
        <v>-0.35584337349396833</v>
      </c>
      <c r="K627" s="5" t="s">
        <v>97</v>
      </c>
      <c r="L627" s="101" t="s">
        <v>407</v>
      </c>
      <c r="N627" s="59">
        <v>15.455299999999999</v>
      </c>
      <c r="O627" s="59">
        <v>1.3023999999999987</v>
      </c>
      <c r="AG627" s="107"/>
      <c r="AN627" s="115"/>
      <c r="BU627" s="61"/>
    </row>
    <row r="628" spans="1:73" x14ac:dyDescent="0.35">
      <c r="A628" s="7" t="s">
        <v>1379</v>
      </c>
      <c r="B628" s="7" t="s">
        <v>1382</v>
      </c>
      <c r="C628" s="17" t="s">
        <v>498</v>
      </c>
      <c r="D628" s="5" t="s">
        <v>499</v>
      </c>
      <c r="E628" s="5" t="s">
        <v>558</v>
      </c>
      <c r="F628" s="5">
        <v>456.7</v>
      </c>
      <c r="G628" s="5" t="s">
        <v>26</v>
      </c>
      <c r="H628" s="18">
        <v>66.398973997833153</v>
      </c>
      <c r="I628" s="19" t="s">
        <v>27</v>
      </c>
      <c r="J628" s="60">
        <v>-0.35897399783314654</v>
      </c>
      <c r="K628" s="5" t="s">
        <v>97</v>
      </c>
      <c r="L628" s="101" t="s">
        <v>407</v>
      </c>
      <c r="N628" s="59">
        <v>15.213900000000001</v>
      </c>
      <c r="O628" s="59">
        <v>1.0609999999999999</v>
      </c>
      <c r="AG628" s="107"/>
      <c r="AN628" s="115"/>
      <c r="BU628" s="61"/>
    </row>
    <row r="629" spans="1:73" x14ac:dyDescent="0.35">
      <c r="A629" s="7" t="s">
        <v>1379</v>
      </c>
      <c r="B629" s="7" t="s">
        <v>1382</v>
      </c>
      <c r="C629" s="17" t="s">
        <v>498</v>
      </c>
      <c r="D629" s="5" t="s">
        <v>499</v>
      </c>
      <c r="E629" s="5" t="s">
        <v>559</v>
      </c>
      <c r="F629" s="5">
        <v>456.8</v>
      </c>
      <c r="G629" s="5" t="s">
        <v>26</v>
      </c>
      <c r="H629" s="18">
        <v>66.408713976164677</v>
      </c>
      <c r="I629" s="19" t="s">
        <v>27</v>
      </c>
      <c r="J629" s="60">
        <v>-0.3687139761646705</v>
      </c>
      <c r="K629" s="5" t="s">
        <v>97</v>
      </c>
      <c r="L629" s="101" t="s">
        <v>407</v>
      </c>
      <c r="N629" s="59">
        <v>15.354100000000001</v>
      </c>
      <c r="O629" s="59">
        <v>1.2012</v>
      </c>
      <c r="AG629" s="107"/>
      <c r="AN629" s="115"/>
      <c r="BU629" s="61"/>
    </row>
    <row r="630" spans="1:73" x14ac:dyDescent="0.35">
      <c r="A630" s="7" t="s">
        <v>1379</v>
      </c>
      <c r="B630" s="7" t="s">
        <v>1382</v>
      </c>
      <c r="C630" s="17" t="s">
        <v>498</v>
      </c>
      <c r="D630" s="5" t="s">
        <v>499</v>
      </c>
      <c r="E630" s="5" t="s">
        <v>560</v>
      </c>
      <c r="F630" s="5">
        <v>456.9</v>
      </c>
      <c r="G630" s="5" t="s">
        <v>26</v>
      </c>
      <c r="H630" s="18">
        <v>66.418453954496201</v>
      </c>
      <c r="I630" s="19" t="s">
        <v>27</v>
      </c>
      <c r="J630" s="60">
        <v>-0.37845395449619446</v>
      </c>
      <c r="K630" s="5" t="s">
        <v>97</v>
      </c>
      <c r="L630" s="101" t="s">
        <v>407</v>
      </c>
      <c r="N630" s="59">
        <v>14.831300000000001</v>
      </c>
      <c r="O630" s="59">
        <v>0.67839999999999989</v>
      </c>
      <c r="AG630" s="107"/>
      <c r="AN630" s="115"/>
      <c r="BU630" s="61"/>
    </row>
    <row r="631" spans="1:73" x14ac:dyDescent="0.35">
      <c r="A631" s="7" t="s">
        <v>1379</v>
      </c>
      <c r="B631" s="7" t="s">
        <v>1382</v>
      </c>
      <c r="C631" s="17" t="s">
        <v>498</v>
      </c>
      <c r="D631" s="5" t="s">
        <v>499</v>
      </c>
      <c r="E631" s="5" t="s">
        <v>561</v>
      </c>
      <c r="F631" s="5">
        <v>457</v>
      </c>
      <c r="G631" s="5" t="s">
        <v>26</v>
      </c>
      <c r="H631" s="18">
        <v>66.428193932827739</v>
      </c>
      <c r="I631" s="19" t="s">
        <v>27</v>
      </c>
      <c r="J631" s="60">
        <v>-0.38819393282773262</v>
      </c>
      <c r="K631" s="5" t="s">
        <v>97</v>
      </c>
      <c r="L631" s="101" t="s">
        <v>407</v>
      </c>
      <c r="N631" s="59">
        <v>14.7102</v>
      </c>
      <c r="O631" s="59">
        <v>0.55729999999999968</v>
      </c>
      <c r="AG631" s="107"/>
      <c r="AN631" s="115"/>
      <c r="BU631" s="61"/>
    </row>
    <row r="632" spans="1:73" x14ac:dyDescent="0.35">
      <c r="A632" s="7" t="s">
        <v>1379</v>
      </c>
      <c r="B632" s="7" t="s">
        <v>1382</v>
      </c>
      <c r="C632" s="17" t="s">
        <v>498</v>
      </c>
      <c r="D632" s="5" t="s">
        <v>499</v>
      </c>
      <c r="E632" s="5" t="s">
        <v>562</v>
      </c>
      <c r="F632" s="5">
        <v>457.1</v>
      </c>
      <c r="G632" s="5" t="s">
        <v>26</v>
      </c>
      <c r="H632" s="18">
        <v>66.437933911159263</v>
      </c>
      <c r="I632" s="19" t="s">
        <v>27</v>
      </c>
      <c r="J632" s="60">
        <v>-0.39793391115925658</v>
      </c>
      <c r="K632" s="5" t="s">
        <v>97</v>
      </c>
      <c r="L632" s="101" t="s">
        <v>407</v>
      </c>
      <c r="N632" s="59">
        <v>13.6851</v>
      </c>
      <c r="O632" s="59">
        <v>-0.46780000000000044</v>
      </c>
      <c r="AG632" s="107"/>
      <c r="AN632" s="115"/>
      <c r="BU632" s="61"/>
    </row>
    <row r="633" spans="1:73" x14ac:dyDescent="0.35">
      <c r="A633" s="7" t="s">
        <v>1379</v>
      </c>
      <c r="B633" s="7" t="s">
        <v>1382</v>
      </c>
      <c r="C633" s="17" t="s">
        <v>498</v>
      </c>
      <c r="D633" s="5" t="s">
        <v>499</v>
      </c>
      <c r="E633" s="5" t="s">
        <v>563</v>
      </c>
      <c r="F633" s="5">
        <v>457.2</v>
      </c>
      <c r="G633" s="5" t="s">
        <v>26</v>
      </c>
      <c r="H633" s="18">
        <v>66.447673889490787</v>
      </c>
      <c r="I633" s="19" t="s">
        <v>27</v>
      </c>
      <c r="J633" s="60">
        <v>-0.40767388949078054</v>
      </c>
      <c r="K633" s="5" t="s">
        <v>97</v>
      </c>
      <c r="L633" s="101" t="s">
        <v>407</v>
      </c>
      <c r="N633" s="59">
        <v>14.9504</v>
      </c>
      <c r="O633" s="59">
        <v>0.79749999999999943</v>
      </c>
      <c r="AG633" s="107"/>
      <c r="AN633" s="115"/>
      <c r="BU633" s="61"/>
    </row>
    <row r="634" spans="1:73" x14ac:dyDescent="0.35">
      <c r="A634" s="7" t="s">
        <v>1379</v>
      </c>
      <c r="B634" s="7" t="s">
        <v>1382</v>
      </c>
      <c r="C634" s="17" t="s">
        <v>498</v>
      </c>
      <c r="D634" s="5" t="s">
        <v>499</v>
      </c>
      <c r="E634" s="5" t="s">
        <v>564</v>
      </c>
      <c r="F634" s="5">
        <v>457.3</v>
      </c>
      <c r="G634" s="5" t="s">
        <v>26</v>
      </c>
      <c r="H634" s="18">
        <v>66.457413867822311</v>
      </c>
      <c r="I634" s="19" t="s">
        <v>27</v>
      </c>
      <c r="J634" s="60">
        <v>-0.4174138678223045</v>
      </c>
      <c r="K634" s="5" t="s">
        <v>97</v>
      </c>
      <c r="L634" s="101" t="s">
        <v>407</v>
      </c>
      <c r="N634" s="59">
        <v>14.8293</v>
      </c>
      <c r="O634" s="59">
        <v>0.67639999999999922</v>
      </c>
      <c r="AG634" s="107"/>
      <c r="AN634" s="115"/>
      <c r="BU634" s="61"/>
    </row>
    <row r="635" spans="1:73" x14ac:dyDescent="0.35">
      <c r="A635" s="7" t="s">
        <v>1379</v>
      </c>
      <c r="B635" s="7" t="s">
        <v>1382</v>
      </c>
      <c r="C635" s="17" t="s">
        <v>498</v>
      </c>
      <c r="D635" s="5" t="s">
        <v>499</v>
      </c>
      <c r="E635" s="5" t="s">
        <v>565</v>
      </c>
      <c r="F635" s="5">
        <v>457.4</v>
      </c>
      <c r="G635" s="5" t="s">
        <v>26</v>
      </c>
      <c r="H635" s="18">
        <v>66.467153846153835</v>
      </c>
      <c r="I635" s="19" t="s">
        <v>27</v>
      </c>
      <c r="J635" s="60">
        <v>-0.42715384615382845</v>
      </c>
      <c r="K635" s="5" t="s">
        <v>97</v>
      </c>
      <c r="L635" s="101" t="s">
        <v>407</v>
      </c>
      <c r="N635" s="59">
        <v>14.628</v>
      </c>
      <c r="O635" s="59">
        <v>0.47509999999999941</v>
      </c>
      <c r="AG635" s="107"/>
      <c r="AN635" s="115"/>
      <c r="BU635" s="61"/>
    </row>
    <row r="636" spans="1:73" x14ac:dyDescent="0.35">
      <c r="A636" s="7" t="s">
        <v>1379</v>
      </c>
      <c r="B636" s="7" t="s">
        <v>1382</v>
      </c>
      <c r="C636" s="17" t="s">
        <v>498</v>
      </c>
      <c r="D636" s="5" t="s">
        <v>499</v>
      </c>
      <c r="E636" s="5" t="s">
        <v>566</v>
      </c>
      <c r="F636" s="5">
        <v>457.5</v>
      </c>
      <c r="G636" s="5" t="s">
        <v>26</v>
      </c>
      <c r="H636" s="18">
        <v>66.476893824485373</v>
      </c>
      <c r="I636" s="19" t="s">
        <v>27</v>
      </c>
      <c r="J636" s="60">
        <v>-0.43689382448536662</v>
      </c>
      <c r="K636" s="5" t="s">
        <v>97</v>
      </c>
      <c r="L636" s="101" t="s">
        <v>407</v>
      </c>
      <c r="N636" s="59">
        <v>14.305999999999999</v>
      </c>
      <c r="O636" s="59">
        <v>0.15309999999999846</v>
      </c>
      <c r="AG636" s="107"/>
      <c r="AN636" s="115"/>
      <c r="BU636" s="61"/>
    </row>
    <row r="637" spans="1:73" x14ac:dyDescent="0.35">
      <c r="A637" s="7" t="s">
        <v>1379</v>
      </c>
      <c r="B637" s="7" t="s">
        <v>1382</v>
      </c>
      <c r="C637" s="17" t="s">
        <v>498</v>
      </c>
      <c r="D637" s="5" t="s">
        <v>499</v>
      </c>
      <c r="E637" s="5" t="s">
        <v>567</v>
      </c>
      <c r="F637" s="5">
        <v>457.58</v>
      </c>
      <c r="G637" s="5" t="s">
        <v>26</v>
      </c>
      <c r="H637" s="18">
        <v>66.484685807150598</v>
      </c>
      <c r="I637" s="19" t="s">
        <v>27</v>
      </c>
      <c r="J637" s="60">
        <v>-0.44468580715059147</v>
      </c>
      <c r="K637" s="5" t="s">
        <v>97</v>
      </c>
      <c r="L637" s="101" t="s">
        <v>407</v>
      </c>
      <c r="N637" s="59">
        <v>14.908200000000001</v>
      </c>
      <c r="O637" s="59">
        <v>0.75530000000000008</v>
      </c>
      <c r="AG637" s="107"/>
      <c r="AN637" s="115"/>
      <c r="BU637" s="61"/>
    </row>
    <row r="638" spans="1:73" x14ac:dyDescent="0.35">
      <c r="A638" s="7" t="s">
        <v>1379</v>
      </c>
      <c r="B638" s="7" t="s">
        <v>1382</v>
      </c>
      <c r="C638" s="17" t="s">
        <v>498</v>
      </c>
      <c r="D638" s="5" t="s">
        <v>499</v>
      </c>
      <c r="E638" s="5" t="s">
        <v>568</v>
      </c>
      <c r="F638" s="5">
        <v>457.68</v>
      </c>
      <c r="G638" s="5" t="s">
        <v>26</v>
      </c>
      <c r="H638" s="18">
        <v>66.494425785482122</v>
      </c>
      <c r="I638" s="19" t="s">
        <v>27</v>
      </c>
      <c r="J638" s="60">
        <v>-0.45442578548211543</v>
      </c>
      <c r="K638" s="5" t="s">
        <v>97</v>
      </c>
      <c r="L638" s="101" t="s">
        <v>407</v>
      </c>
      <c r="N638" s="59">
        <v>15.3498</v>
      </c>
      <c r="O638" s="59">
        <v>1.1968999999999994</v>
      </c>
      <c r="AG638" s="107"/>
      <c r="AN638" s="115"/>
      <c r="BU638" s="61"/>
    </row>
    <row r="639" spans="1:73" x14ac:dyDescent="0.35">
      <c r="A639" s="7" t="s">
        <v>1379</v>
      </c>
      <c r="B639" s="7" t="s">
        <v>1382</v>
      </c>
      <c r="C639" s="17" t="s">
        <v>498</v>
      </c>
      <c r="D639" s="5" t="s">
        <v>499</v>
      </c>
      <c r="E639" s="5" t="s">
        <v>569</v>
      </c>
      <c r="F639" s="5">
        <v>457.7</v>
      </c>
      <c r="G639" s="5" t="s">
        <v>26</v>
      </c>
      <c r="H639" s="18">
        <v>66.496373781148421</v>
      </c>
      <c r="I639" s="19" t="s">
        <v>27</v>
      </c>
      <c r="J639" s="60">
        <v>-0.45637378114841454</v>
      </c>
      <c r="K639" s="5" t="s">
        <v>97</v>
      </c>
      <c r="L639" s="101" t="s">
        <v>407</v>
      </c>
      <c r="N639" s="59">
        <v>14.7067</v>
      </c>
      <c r="O639" s="59">
        <v>0.55379999999999896</v>
      </c>
      <c r="AG639" s="107"/>
      <c r="AN639" s="115"/>
      <c r="BU639" s="61"/>
    </row>
    <row r="640" spans="1:73" x14ac:dyDescent="0.35">
      <c r="A640" s="7" t="s">
        <v>1379</v>
      </c>
      <c r="B640" s="7" t="s">
        <v>1382</v>
      </c>
      <c r="C640" s="17" t="s">
        <v>498</v>
      </c>
      <c r="D640" s="5" t="s">
        <v>499</v>
      </c>
      <c r="E640" s="5" t="s">
        <v>570</v>
      </c>
      <c r="F640" s="5">
        <v>457.8</v>
      </c>
      <c r="G640" s="5" t="s">
        <v>26</v>
      </c>
      <c r="H640" s="18">
        <v>66.506113759479959</v>
      </c>
      <c r="I640" s="19" t="s">
        <v>27</v>
      </c>
      <c r="J640" s="60">
        <v>-0.46611375947995271</v>
      </c>
      <c r="K640" s="5" t="s">
        <v>97</v>
      </c>
      <c r="L640" s="101" t="s">
        <v>407</v>
      </c>
      <c r="N640" s="59">
        <v>14.625999999999999</v>
      </c>
      <c r="O640" s="59">
        <v>0.47309999999999874</v>
      </c>
      <c r="AG640" s="107"/>
      <c r="AN640" s="115"/>
      <c r="BU640" s="61"/>
    </row>
    <row r="641" spans="1:73" x14ac:dyDescent="0.35">
      <c r="A641" s="7" t="s">
        <v>1379</v>
      </c>
      <c r="B641" s="7" t="s">
        <v>1382</v>
      </c>
      <c r="C641" s="17" t="s">
        <v>498</v>
      </c>
      <c r="D641" s="5" t="s">
        <v>499</v>
      </c>
      <c r="E641" s="5" t="s">
        <v>571</v>
      </c>
      <c r="F641" s="5">
        <v>457.87</v>
      </c>
      <c r="G641" s="5" t="s">
        <v>26</v>
      </c>
      <c r="H641" s="18">
        <v>66.512931744312027</v>
      </c>
      <c r="I641" s="19" t="s">
        <v>27</v>
      </c>
      <c r="J641" s="60">
        <v>-0.4729317443120209</v>
      </c>
      <c r="K641" s="5" t="s">
        <v>97</v>
      </c>
      <c r="L641" s="101" t="s">
        <v>407</v>
      </c>
      <c r="N641" s="59">
        <v>15.348800000000001</v>
      </c>
      <c r="O641" s="59">
        <v>1.1959</v>
      </c>
      <c r="AG641" s="107"/>
      <c r="AN641" s="115"/>
      <c r="BU641" s="61"/>
    </row>
    <row r="642" spans="1:73" x14ac:dyDescent="0.35">
      <c r="A642" s="7" t="s">
        <v>1379</v>
      </c>
      <c r="B642" s="7" t="s">
        <v>1382</v>
      </c>
      <c r="C642" s="5" t="s">
        <v>498</v>
      </c>
      <c r="D642" s="5" t="s">
        <v>499</v>
      </c>
      <c r="E642" s="5" t="s">
        <v>572</v>
      </c>
      <c r="F642" s="5">
        <v>457.98</v>
      </c>
      <c r="G642" s="5" t="s">
        <v>26</v>
      </c>
      <c r="H642" s="18">
        <v>66.523645720476708</v>
      </c>
      <c r="I642" s="19" t="s">
        <v>27</v>
      </c>
      <c r="J642" s="60">
        <v>-0.48364572047670151</v>
      </c>
      <c r="K642" s="5" t="s">
        <v>97</v>
      </c>
      <c r="L642" s="101" t="s">
        <v>407</v>
      </c>
      <c r="N642" s="59">
        <v>15.1876</v>
      </c>
      <c r="O642" s="59">
        <v>1.0346999999999991</v>
      </c>
      <c r="AG642" s="107"/>
      <c r="AN642" s="115"/>
      <c r="BU642" s="61"/>
    </row>
    <row r="643" spans="1:73" x14ac:dyDescent="0.35">
      <c r="A643" s="7" t="s">
        <v>1379</v>
      </c>
      <c r="B643" s="7" t="s">
        <v>1382</v>
      </c>
      <c r="C643" s="17"/>
      <c r="D643" s="5"/>
      <c r="E643" s="5"/>
      <c r="F643" s="5"/>
      <c r="G643" s="5"/>
      <c r="H643" s="18"/>
      <c r="I643" s="19"/>
      <c r="J643" s="18"/>
      <c r="K643" s="5"/>
      <c r="L643" s="101"/>
      <c r="N643" s="59"/>
      <c r="O643" s="59"/>
      <c r="AG643" s="107"/>
      <c r="AN643" s="115"/>
      <c r="BU643" s="61"/>
    </row>
    <row r="644" spans="1:73" x14ac:dyDescent="0.35">
      <c r="A644" s="7" t="s">
        <v>1379</v>
      </c>
      <c r="B644" s="7" t="s">
        <v>1382</v>
      </c>
      <c r="C644" s="17" t="s">
        <v>573</v>
      </c>
      <c r="D644" s="5" t="s">
        <v>38</v>
      </c>
      <c r="E644" t="s">
        <v>574</v>
      </c>
      <c r="F644">
        <v>214.30499</v>
      </c>
      <c r="G644" s="5" t="s">
        <v>39</v>
      </c>
      <c r="H644" s="18">
        <v>65.513856673912997</v>
      </c>
      <c r="I644" s="19" t="s">
        <v>40</v>
      </c>
      <c r="J644" s="18">
        <v>0.50911021511112153</v>
      </c>
      <c r="K644" s="5" t="s">
        <v>44</v>
      </c>
      <c r="L644" s="101" t="s">
        <v>188</v>
      </c>
      <c r="M644" s="5">
        <v>-7.0000000000000007E-2</v>
      </c>
      <c r="N644" s="59">
        <v>10.369731200000002</v>
      </c>
      <c r="O644" s="59">
        <v>1.8145123999999981</v>
      </c>
      <c r="AG644" s="107"/>
      <c r="AN644" s="115"/>
      <c r="BU644" s="61"/>
    </row>
    <row r="645" spans="1:73" x14ac:dyDescent="0.35">
      <c r="A645" s="7" t="s">
        <v>1379</v>
      </c>
      <c r="B645" s="7" t="s">
        <v>1382</v>
      </c>
      <c r="C645" s="17" t="s">
        <v>573</v>
      </c>
      <c r="D645" s="5" t="s">
        <v>38</v>
      </c>
      <c r="E645" t="s">
        <v>575</v>
      </c>
      <c r="F645">
        <v>214.33501000000001</v>
      </c>
      <c r="G645" s="5" t="s">
        <v>39</v>
      </c>
      <c r="H645" s="18">
        <v>65.519925934782606</v>
      </c>
      <c r="I645" s="19" t="s">
        <v>40</v>
      </c>
      <c r="J645" s="18">
        <v>0.50312756266667691</v>
      </c>
      <c r="K645" s="5" t="s">
        <v>44</v>
      </c>
      <c r="L645" s="101" t="s">
        <v>188</v>
      </c>
      <c r="M645" s="5">
        <v>0.04</v>
      </c>
      <c r="N645" s="59">
        <v>9.8819868000000035</v>
      </c>
      <c r="O645" s="59">
        <v>1.3267679999999995</v>
      </c>
      <c r="AG645" s="107"/>
      <c r="AN645" s="115"/>
      <c r="BU645" s="61"/>
    </row>
    <row r="646" spans="1:73" x14ac:dyDescent="0.35">
      <c r="A646" s="7" t="s">
        <v>1379</v>
      </c>
      <c r="B646" s="7" t="s">
        <v>1382</v>
      </c>
      <c r="C646" s="17" t="s">
        <v>573</v>
      </c>
      <c r="D646" s="5" t="s">
        <v>38</v>
      </c>
      <c r="E646" t="s">
        <v>576</v>
      </c>
      <c r="F646">
        <v>214.36501000000001</v>
      </c>
      <c r="G646" s="5" t="s">
        <v>39</v>
      </c>
      <c r="H646" s="18">
        <v>65.525991152173901</v>
      </c>
      <c r="I646" s="19" t="s">
        <v>40</v>
      </c>
      <c r="J646" s="18">
        <v>0.49714889599999879</v>
      </c>
      <c r="K646" s="5" t="s">
        <v>44</v>
      </c>
      <c r="L646" s="101" t="s">
        <v>188</v>
      </c>
      <c r="M646" s="5">
        <v>0.03</v>
      </c>
      <c r="N646" s="59">
        <v>9.9262992000000008</v>
      </c>
      <c r="O646" s="59">
        <v>1.3710803999999968</v>
      </c>
      <c r="AG646" s="107"/>
      <c r="AN646" s="115"/>
      <c r="BU646" s="61"/>
    </row>
    <row r="647" spans="1:73" x14ac:dyDescent="0.35">
      <c r="A647" s="7" t="s">
        <v>1379</v>
      </c>
      <c r="B647" s="7" t="s">
        <v>1382</v>
      </c>
      <c r="C647" s="17" t="s">
        <v>573</v>
      </c>
      <c r="D647" s="5" t="s">
        <v>38</v>
      </c>
      <c r="E647" t="s">
        <v>577</v>
      </c>
      <c r="F647">
        <v>214.41498999999999</v>
      </c>
      <c r="G647" s="5" t="s">
        <v>39</v>
      </c>
      <c r="H647" s="18">
        <v>65.534926809523796</v>
      </c>
      <c r="I647" s="19" t="s">
        <v>40</v>
      </c>
      <c r="J647" s="18">
        <v>0.48718843733334438</v>
      </c>
      <c r="K647" s="5" t="s">
        <v>44</v>
      </c>
      <c r="L647" s="101" t="s">
        <v>188</v>
      </c>
      <c r="M647" s="5">
        <v>0.04</v>
      </c>
      <c r="N647" s="59">
        <v>9.8819868000000035</v>
      </c>
      <c r="O647" s="59">
        <v>1.3267679999999995</v>
      </c>
      <c r="AG647" s="107"/>
      <c r="AN647" s="115"/>
      <c r="BU647" s="61"/>
    </row>
    <row r="648" spans="1:73" x14ac:dyDescent="0.35">
      <c r="A648" s="7" t="s">
        <v>1379</v>
      </c>
      <c r="B648" s="7" t="s">
        <v>1382</v>
      </c>
      <c r="C648" s="17" t="s">
        <v>573</v>
      </c>
      <c r="D648" s="5" t="s">
        <v>38</v>
      </c>
      <c r="E648" t="s">
        <v>578</v>
      </c>
      <c r="F648">
        <v>214.42500000000001</v>
      </c>
      <c r="G648" s="5" t="s">
        <v>39</v>
      </c>
      <c r="H648" s="18">
        <v>65.5366904761905</v>
      </c>
      <c r="I648" s="19" t="s">
        <v>40</v>
      </c>
      <c r="J648" s="18">
        <v>0.48529740252628528</v>
      </c>
      <c r="K648" s="5" t="s">
        <v>44</v>
      </c>
      <c r="L648" s="101" t="s">
        <v>188</v>
      </c>
      <c r="M648" s="5">
        <v>7.0000000000000007E-2</v>
      </c>
      <c r="N648" s="59">
        <v>9.7490832000000029</v>
      </c>
      <c r="O648" s="59">
        <v>1.1938643999999989</v>
      </c>
      <c r="AG648" s="107"/>
      <c r="AN648" s="115"/>
      <c r="BU648" s="61"/>
    </row>
    <row r="649" spans="1:73" x14ac:dyDescent="0.35">
      <c r="A649" s="7" t="s">
        <v>1379</v>
      </c>
      <c r="B649" s="7" t="s">
        <v>1382</v>
      </c>
      <c r="C649" s="17" t="s">
        <v>573</v>
      </c>
      <c r="D649" s="5" t="s">
        <v>38</v>
      </c>
      <c r="E649" t="s">
        <v>579</v>
      </c>
      <c r="F649">
        <v>214.44355999999999</v>
      </c>
      <c r="G649" s="5" t="s">
        <v>39</v>
      </c>
      <c r="H649" s="18">
        <v>65.539960571428594</v>
      </c>
      <c r="I649" s="19" t="s">
        <v>40</v>
      </c>
      <c r="J649" s="18">
        <v>0.48198408070386733</v>
      </c>
      <c r="K649" s="5" t="s">
        <v>44</v>
      </c>
      <c r="L649" s="101" t="s">
        <v>188</v>
      </c>
      <c r="M649" s="5">
        <v>-0.01</v>
      </c>
      <c r="N649" s="59">
        <v>10.103604800000003</v>
      </c>
      <c r="O649" s="59">
        <v>1.5483859999999989</v>
      </c>
      <c r="AG649" s="107"/>
      <c r="AN649" s="115"/>
      <c r="BU649" s="61"/>
    </row>
    <row r="650" spans="1:73" x14ac:dyDescent="0.35">
      <c r="A650" s="7" t="s">
        <v>1379</v>
      </c>
      <c r="B650" s="7" t="s">
        <v>1382</v>
      </c>
      <c r="C650" s="17" t="s">
        <v>573</v>
      </c>
      <c r="D650" s="5" t="s">
        <v>38</v>
      </c>
      <c r="E650" t="s">
        <v>580</v>
      </c>
      <c r="F650">
        <v>214.45355000000001</v>
      </c>
      <c r="G650" s="5" t="s">
        <v>39</v>
      </c>
      <c r="H650" s="18">
        <v>65.541720714285702</v>
      </c>
      <c r="I650" s="19" t="s">
        <v>40</v>
      </c>
      <c r="J650" s="18">
        <v>0.48020067095139041</v>
      </c>
      <c r="K650" s="5" t="s">
        <v>44</v>
      </c>
      <c r="L650" s="101" t="s">
        <v>188</v>
      </c>
      <c r="M650" s="5">
        <v>-0.11</v>
      </c>
      <c r="N650" s="59">
        <v>10.547260800000002</v>
      </c>
      <c r="O650" s="59">
        <v>1.9920419999999979</v>
      </c>
      <c r="AG650" s="107"/>
      <c r="AN650" s="115"/>
      <c r="BU650" s="61"/>
    </row>
    <row r="651" spans="1:73" x14ac:dyDescent="0.35">
      <c r="A651" s="7" t="s">
        <v>1379</v>
      </c>
      <c r="B651" s="7" t="s">
        <v>1382</v>
      </c>
      <c r="C651" s="17" t="s">
        <v>573</v>
      </c>
      <c r="D651" s="5" t="s">
        <v>38</v>
      </c>
      <c r="E651" t="s">
        <v>581</v>
      </c>
      <c r="F651">
        <v>214.45500000000001</v>
      </c>
      <c r="G651" s="5" t="s">
        <v>39</v>
      </c>
      <c r="H651" s="18">
        <v>65.541976190476205</v>
      </c>
      <c r="I651" s="19" t="s">
        <v>40</v>
      </c>
      <c r="J651" s="18">
        <v>0.47994181768400779</v>
      </c>
      <c r="K651" s="5" t="s">
        <v>44</v>
      </c>
      <c r="L651" s="101" t="s">
        <v>188</v>
      </c>
      <c r="M651" s="5">
        <v>0.06</v>
      </c>
      <c r="N651" s="59">
        <v>9.7933788000000028</v>
      </c>
      <c r="O651" s="59">
        <v>1.2381599999999988</v>
      </c>
      <c r="AG651" s="107"/>
      <c r="AN651" s="115"/>
      <c r="BU651" s="61"/>
    </row>
    <row r="652" spans="1:73" x14ac:dyDescent="0.35">
      <c r="A652" s="7" t="s">
        <v>1379</v>
      </c>
      <c r="B652" s="7" t="s">
        <v>1382</v>
      </c>
      <c r="C652" s="17" t="s">
        <v>573</v>
      </c>
      <c r="D652" s="5" t="s">
        <v>38</v>
      </c>
      <c r="E652" t="s">
        <v>582</v>
      </c>
      <c r="F652">
        <v>214.46356</v>
      </c>
      <c r="G652" s="5" t="s">
        <v>39</v>
      </c>
      <c r="H652" s="18">
        <v>65.543484380952407</v>
      </c>
      <c r="I652" s="19" t="s">
        <v>40</v>
      </c>
      <c r="J652" s="18">
        <v>0.4784136908090062</v>
      </c>
      <c r="K652" s="5" t="s">
        <v>44</v>
      </c>
      <c r="L652" s="101" t="s">
        <v>188</v>
      </c>
      <c r="M652" s="5">
        <v>-0.1</v>
      </c>
      <c r="N652" s="59">
        <v>10.502870000000003</v>
      </c>
      <c r="O652" s="59">
        <v>1.9476511999999992</v>
      </c>
      <c r="AG652" s="107"/>
      <c r="AN652" s="115"/>
      <c r="BU652" s="61"/>
    </row>
    <row r="653" spans="1:73" x14ac:dyDescent="0.35">
      <c r="A653" s="7" t="s">
        <v>1379</v>
      </c>
      <c r="B653" s="7" t="s">
        <v>1382</v>
      </c>
      <c r="C653" s="17" t="s">
        <v>573</v>
      </c>
      <c r="D653" s="5" t="s">
        <v>38</v>
      </c>
      <c r="E653" t="s">
        <v>583</v>
      </c>
      <c r="F653">
        <v>214.48356999999999</v>
      </c>
      <c r="G653" s="5" t="s">
        <v>39</v>
      </c>
      <c r="H653" s="18">
        <v>65.547009952380904</v>
      </c>
      <c r="I653" s="19" t="s">
        <v>40</v>
      </c>
      <c r="J653" s="18">
        <v>0.47484151571920563</v>
      </c>
      <c r="K653" s="5" t="s">
        <v>44</v>
      </c>
      <c r="L653" s="101" t="s">
        <v>188</v>
      </c>
      <c r="M653" s="5">
        <v>-0.04</v>
      </c>
      <c r="N653" s="59">
        <v>10.236642800000002</v>
      </c>
      <c r="O653" s="59">
        <v>1.681423999999998</v>
      </c>
      <c r="AG653" s="107"/>
      <c r="AN653" s="115"/>
      <c r="BU653" s="61"/>
    </row>
    <row r="654" spans="1:73" x14ac:dyDescent="0.35">
      <c r="A654" s="7" t="s">
        <v>1379</v>
      </c>
      <c r="B654" s="7" t="s">
        <v>1382</v>
      </c>
      <c r="C654" s="17" t="s">
        <v>573</v>
      </c>
      <c r="D654" s="5" t="s">
        <v>38</v>
      </c>
      <c r="E654" t="s">
        <v>584</v>
      </c>
      <c r="F654">
        <v>214.48500000000001</v>
      </c>
      <c r="G654" s="5" t="s">
        <v>39</v>
      </c>
      <c r="H654" s="18">
        <v>65.547261904761896</v>
      </c>
      <c r="I654" s="19" t="s">
        <v>40</v>
      </c>
      <c r="J654" s="18">
        <v>0.47458623284171608</v>
      </c>
      <c r="K654" s="5" t="s">
        <v>44</v>
      </c>
      <c r="L654" s="101" t="s">
        <v>188</v>
      </c>
      <c r="M654" s="5">
        <v>-0.01</v>
      </c>
      <c r="N654" s="59">
        <v>10.103604800000003</v>
      </c>
      <c r="O654" s="59">
        <v>1.5483859999999989</v>
      </c>
      <c r="AG654" s="107"/>
      <c r="AN654" s="115"/>
      <c r="BU654" s="61"/>
    </row>
    <row r="655" spans="1:73" x14ac:dyDescent="0.35">
      <c r="A655" s="7" t="s">
        <v>1379</v>
      </c>
      <c r="B655" s="7" t="s">
        <v>1382</v>
      </c>
      <c r="C655" s="17" t="s">
        <v>573</v>
      </c>
      <c r="D655" s="5" t="s">
        <v>38</v>
      </c>
      <c r="E655" t="s">
        <v>585</v>
      </c>
      <c r="F655">
        <v>214.49356</v>
      </c>
      <c r="G655" s="5" t="s">
        <v>39</v>
      </c>
      <c r="H655" s="18">
        <v>65.548770095238098</v>
      </c>
      <c r="I655" s="19" t="s">
        <v>40</v>
      </c>
      <c r="J655" s="18">
        <v>0.4730581059667287</v>
      </c>
      <c r="K655" s="5" t="s">
        <v>44</v>
      </c>
      <c r="L655" s="101" t="s">
        <v>188</v>
      </c>
      <c r="M655" s="5">
        <v>0.03</v>
      </c>
      <c r="N655" s="59">
        <v>9.9262992000000008</v>
      </c>
      <c r="O655" s="59">
        <v>1.3710803999999968</v>
      </c>
      <c r="AG655" s="107"/>
      <c r="AN655" s="115"/>
      <c r="BU655" s="61"/>
    </row>
    <row r="656" spans="1:73" x14ac:dyDescent="0.35">
      <c r="A656" s="7" t="s">
        <v>1379</v>
      </c>
      <c r="B656" s="7" t="s">
        <v>1382</v>
      </c>
      <c r="C656" s="17" t="s">
        <v>573</v>
      </c>
      <c r="D656" s="5" t="s">
        <v>38</v>
      </c>
      <c r="E656" t="s">
        <v>586</v>
      </c>
      <c r="F656">
        <v>214.51499999999999</v>
      </c>
      <c r="G656" s="5" t="s">
        <v>39</v>
      </c>
      <c r="H656" s="18">
        <v>65.552547619047601</v>
      </c>
      <c r="I656" s="19" t="s">
        <v>40</v>
      </c>
      <c r="J656" s="18">
        <v>0.46923064799943859</v>
      </c>
      <c r="K656" s="5" t="s">
        <v>44</v>
      </c>
      <c r="L656" s="101" t="s">
        <v>188</v>
      </c>
      <c r="M656" s="5">
        <v>0.06</v>
      </c>
      <c r="N656" s="59">
        <v>9.7933788000000028</v>
      </c>
      <c r="O656" s="59">
        <v>1.2381599999999988</v>
      </c>
      <c r="AG656" s="107"/>
      <c r="AN656" s="115"/>
      <c r="BU656" s="61"/>
    </row>
    <row r="657" spans="1:73" x14ac:dyDescent="0.35">
      <c r="A657" s="7" t="s">
        <v>1379</v>
      </c>
      <c r="B657" s="7" t="s">
        <v>1382</v>
      </c>
      <c r="C657" s="17" t="s">
        <v>573</v>
      </c>
      <c r="D657" s="5" t="s">
        <v>38</v>
      </c>
      <c r="E657" t="s">
        <v>587</v>
      </c>
      <c r="F657">
        <v>214.52356</v>
      </c>
      <c r="G657" s="5" t="s">
        <v>39</v>
      </c>
      <c r="H657" s="18">
        <v>65.554055809523803</v>
      </c>
      <c r="I657" s="19" t="s">
        <v>40</v>
      </c>
      <c r="J657" s="18">
        <v>0.467702521124437</v>
      </c>
      <c r="K657" s="5" t="s">
        <v>44</v>
      </c>
      <c r="L657" s="101" t="s">
        <v>188</v>
      </c>
      <c r="M657" s="5">
        <v>0.08</v>
      </c>
      <c r="N657" s="59">
        <v>9.704793200000001</v>
      </c>
      <c r="O657" s="59">
        <v>1.149574399999997</v>
      </c>
      <c r="AG657" s="107"/>
      <c r="AN657" s="115"/>
      <c r="BU657" s="61"/>
    </row>
    <row r="658" spans="1:73" x14ac:dyDescent="0.35">
      <c r="A658" s="7" t="s">
        <v>1379</v>
      </c>
      <c r="B658" s="7" t="s">
        <v>1382</v>
      </c>
      <c r="C658" s="17" t="s">
        <v>573</v>
      </c>
      <c r="D658" s="5" t="s">
        <v>38</v>
      </c>
      <c r="E658" t="s">
        <v>588</v>
      </c>
      <c r="F658">
        <v>214.56550999999999</v>
      </c>
      <c r="G658" s="5" t="s">
        <v>39</v>
      </c>
      <c r="H658" s="18">
        <v>65.561447000000001</v>
      </c>
      <c r="I658" s="19" t="s">
        <v>40</v>
      </c>
      <c r="J658" s="18">
        <v>0.46021362831999113</v>
      </c>
      <c r="K658" s="5" t="s">
        <v>44</v>
      </c>
      <c r="L658" s="101" t="s">
        <v>188</v>
      </c>
      <c r="M658" s="5">
        <v>0.08</v>
      </c>
      <c r="N658" s="59">
        <v>9.704793200000001</v>
      </c>
      <c r="O658" s="59">
        <v>1.149574399999997</v>
      </c>
      <c r="AG658" s="107"/>
      <c r="AN658" s="115"/>
      <c r="BU658" s="61"/>
    </row>
    <row r="659" spans="1:73" x14ac:dyDescent="0.35">
      <c r="A659" s="7" t="s">
        <v>1379</v>
      </c>
      <c r="B659" s="7" t="s">
        <v>1382</v>
      </c>
      <c r="C659" s="17" t="s">
        <v>573</v>
      </c>
      <c r="D659" s="5" t="s">
        <v>38</v>
      </c>
      <c r="E659" t="s">
        <v>589</v>
      </c>
      <c r="F659">
        <v>214.57499999999999</v>
      </c>
      <c r="G659" s="5" t="s">
        <v>39</v>
      </c>
      <c r="H659" s="18">
        <v>65.563119047618997</v>
      </c>
      <c r="I659" s="19" t="s">
        <v>40</v>
      </c>
      <c r="J659" s="18">
        <v>0.45851947831486939</v>
      </c>
      <c r="K659" s="5" t="s">
        <v>44</v>
      </c>
      <c r="L659" s="101" t="s">
        <v>188</v>
      </c>
      <c r="M659" s="5">
        <v>0</v>
      </c>
      <c r="N659" s="59">
        <v>10.059270000000003</v>
      </c>
      <c r="O659" s="59">
        <v>1.5040511999999993</v>
      </c>
      <c r="AG659" s="107"/>
      <c r="AN659" s="115"/>
      <c r="BU659" s="61"/>
    </row>
    <row r="660" spans="1:73" x14ac:dyDescent="0.35">
      <c r="A660" s="7" t="s">
        <v>1379</v>
      </c>
      <c r="B660" s="7" t="s">
        <v>1382</v>
      </c>
      <c r="C660" s="17" t="s">
        <v>573</v>
      </c>
      <c r="D660" s="5" t="s">
        <v>38</v>
      </c>
      <c r="E660" t="s">
        <v>590</v>
      </c>
      <c r="F660">
        <v>214.60499999999999</v>
      </c>
      <c r="G660" s="5" t="s">
        <v>39</v>
      </c>
      <c r="H660" s="18">
        <v>65.568404761904802</v>
      </c>
      <c r="I660" s="19" t="s">
        <v>40</v>
      </c>
      <c r="J660" s="18">
        <v>0.45316389347259189</v>
      </c>
      <c r="K660" s="5" t="s">
        <v>44</v>
      </c>
      <c r="L660" s="101" t="s">
        <v>188</v>
      </c>
      <c r="M660" s="5">
        <v>0.05</v>
      </c>
      <c r="N660" s="59">
        <v>9.8376800000000024</v>
      </c>
      <c r="O660" s="59">
        <v>1.2824611999999984</v>
      </c>
      <c r="AG660" s="107"/>
      <c r="AN660" s="115"/>
      <c r="BU660" s="61"/>
    </row>
    <row r="661" spans="1:73" x14ac:dyDescent="0.35">
      <c r="A661" s="7" t="s">
        <v>1379</v>
      </c>
      <c r="B661" s="7" t="s">
        <v>1382</v>
      </c>
      <c r="C661" s="17" t="s">
        <v>573</v>
      </c>
      <c r="D661" s="5" t="s">
        <v>38</v>
      </c>
      <c r="E661" t="s">
        <v>591</v>
      </c>
      <c r="F661">
        <v>214.63740999999999</v>
      </c>
      <c r="G661" s="5" t="s">
        <v>39</v>
      </c>
      <c r="H661" s="18">
        <v>65.574115095238099</v>
      </c>
      <c r="I661" s="19" t="s">
        <v>40</v>
      </c>
      <c r="J661" s="18">
        <v>0.44737807664797913</v>
      </c>
      <c r="K661" s="5" t="s">
        <v>44</v>
      </c>
      <c r="L661" s="101" t="s">
        <v>188</v>
      </c>
      <c r="M661" s="5">
        <v>0.09</v>
      </c>
      <c r="N661" s="59">
        <v>9.6605088000000023</v>
      </c>
      <c r="O661" s="59">
        <v>1.1052899999999983</v>
      </c>
      <c r="AG661" s="107"/>
      <c r="AN661" s="115"/>
      <c r="BU661" s="61"/>
    </row>
    <row r="662" spans="1:73" x14ac:dyDescent="0.35">
      <c r="A662" s="7" t="s">
        <v>1379</v>
      </c>
      <c r="B662" s="7" t="s">
        <v>1382</v>
      </c>
      <c r="C662" s="17" t="s">
        <v>573</v>
      </c>
      <c r="D662" s="5" t="s">
        <v>38</v>
      </c>
      <c r="E662" t="s">
        <v>592</v>
      </c>
      <c r="F662">
        <v>214.65536</v>
      </c>
      <c r="G662" s="5" t="s">
        <v>39</v>
      </c>
      <c r="H662" s="18">
        <v>65.5772777142857</v>
      </c>
      <c r="I662" s="19" t="s">
        <v>40</v>
      </c>
      <c r="J662" s="18">
        <v>0.44417365171734957</v>
      </c>
      <c r="K662" s="5" t="s">
        <v>44</v>
      </c>
      <c r="L662" s="101" t="s">
        <v>188</v>
      </c>
      <c r="M662" s="5">
        <v>0.05</v>
      </c>
      <c r="N662" s="59">
        <v>9.8376800000000024</v>
      </c>
      <c r="O662" s="59">
        <v>1.2824611999999984</v>
      </c>
      <c r="AG662" s="107"/>
      <c r="AN662" s="115"/>
      <c r="BU662" s="61"/>
    </row>
    <row r="663" spans="1:73" x14ac:dyDescent="0.35">
      <c r="A663" s="7" t="s">
        <v>1379</v>
      </c>
      <c r="B663" s="7" t="s">
        <v>1382</v>
      </c>
      <c r="C663" s="17" t="s">
        <v>573</v>
      </c>
      <c r="D663" s="5" t="s">
        <v>38</v>
      </c>
      <c r="E663" t="s">
        <v>593</v>
      </c>
      <c r="F663">
        <v>214.66498999999999</v>
      </c>
      <c r="G663" s="5" t="s">
        <v>39</v>
      </c>
      <c r="H663" s="18">
        <v>65.578974428571399</v>
      </c>
      <c r="I663" s="19" t="s">
        <v>40</v>
      </c>
      <c r="J663" s="18">
        <v>0.44245450898297634</v>
      </c>
      <c r="K663" s="5" t="s">
        <v>44</v>
      </c>
      <c r="L663" s="101" t="s">
        <v>188</v>
      </c>
      <c r="M663" s="5">
        <v>0.01</v>
      </c>
      <c r="N663" s="59">
        <v>10.014940800000002</v>
      </c>
      <c r="O663" s="59">
        <v>1.4597219999999975</v>
      </c>
      <c r="AG663" s="107"/>
      <c r="AN663" s="115"/>
      <c r="BU663" s="61"/>
    </row>
    <row r="664" spans="1:73" x14ac:dyDescent="0.35">
      <c r="A664" s="7" t="s">
        <v>1379</v>
      </c>
      <c r="B664" s="7" t="s">
        <v>1382</v>
      </c>
      <c r="C664" s="17" t="s">
        <v>573</v>
      </c>
      <c r="D664" s="5" t="s">
        <v>38</v>
      </c>
      <c r="E664" t="s">
        <v>594</v>
      </c>
      <c r="F664">
        <v>214.72501</v>
      </c>
      <c r="G664" s="5" t="s">
        <v>39</v>
      </c>
      <c r="H664" s="18">
        <v>65.589549380952405</v>
      </c>
      <c r="I664" s="19" t="s">
        <v>40</v>
      </c>
      <c r="J664" s="18">
        <v>0.43173976890851407</v>
      </c>
      <c r="K664" s="5" t="s">
        <v>44</v>
      </c>
      <c r="L664" s="101" t="s">
        <v>188</v>
      </c>
      <c r="M664" s="5">
        <v>-0.03</v>
      </c>
      <c r="N664" s="59">
        <v>10.192291200000001</v>
      </c>
      <c r="O664" s="59">
        <v>1.6370723999999974</v>
      </c>
      <c r="AG664" s="107"/>
      <c r="AN664" s="115"/>
      <c r="BU664" s="61"/>
    </row>
    <row r="665" spans="1:73" x14ac:dyDescent="0.35">
      <c r="A665" s="7" t="s">
        <v>1379</v>
      </c>
      <c r="B665" s="7" t="s">
        <v>1382</v>
      </c>
      <c r="C665" s="17" t="s">
        <v>573</v>
      </c>
      <c r="D665" s="5" t="s">
        <v>38</v>
      </c>
      <c r="E665" t="s">
        <v>595</v>
      </c>
      <c r="F665">
        <v>214.70929000000001</v>
      </c>
      <c r="G665" s="5" t="s">
        <v>39</v>
      </c>
      <c r="H665" s="18">
        <v>65.5867796666667</v>
      </c>
      <c r="I665" s="19" t="s">
        <v>40</v>
      </c>
      <c r="J665" s="18">
        <v>0.4345460953658602</v>
      </c>
      <c r="K665" s="5" t="s">
        <v>44</v>
      </c>
      <c r="L665" s="101" t="s">
        <v>188</v>
      </c>
      <c r="M665" s="5">
        <v>-0.15</v>
      </c>
      <c r="N665" s="59">
        <v>10.724880000000002</v>
      </c>
      <c r="O665" s="59">
        <v>2.1696611999999984</v>
      </c>
      <c r="AG665" s="107"/>
      <c r="AN665" s="115"/>
      <c r="BU665" s="61"/>
    </row>
    <row r="666" spans="1:73" x14ac:dyDescent="0.35">
      <c r="A666" s="7" t="s">
        <v>1379</v>
      </c>
      <c r="B666" s="7" t="s">
        <v>1382</v>
      </c>
      <c r="C666" s="17" t="s">
        <v>573</v>
      </c>
      <c r="D666" s="5" t="s">
        <v>38</v>
      </c>
      <c r="E666" t="s">
        <v>596</v>
      </c>
      <c r="F666">
        <v>214.72725</v>
      </c>
      <c r="G666" s="5" t="s">
        <v>39</v>
      </c>
      <c r="H666" s="18">
        <v>65.589944047618999</v>
      </c>
      <c r="I666" s="19" t="s">
        <v>40</v>
      </c>
      <c r="J666" s="18">
        <v>0.43133988524029121</v>
      </c>
      <c r="K666" s="5" t="s">
        <v>44</v>
      </c>
      <c r="L666" s="101" t="s">
        <v>188</v>
      </c>
      <c r="M666" s="5">
        <v>-0.02</v>
      </c>
      <c r="N666" s="59">
        <v>10.147945200000004</v>
      </c>
      <c r="O666" s="59">
        <v>1.5927264000000001</v>
      </c>
      <c r="AG666" s="107"/>
      <c r="AN666" s="115"/>
      <c r="BU666" s="61"/>
    </row>
    <row r="667" spans="1:73" x14ac:dyDescent="0.35">
      <c r="A667" s="7" t="s">
        <v>1379</v>
      </c>
      <c r="B667" s="7" t="s">
        <v>1382</v>
      </c>
      <c r="C667" s="17" t="s">
        <v>573</v>
      </c>
      <c r="D667" s="5" t="s">
        <v>38</v>
      </c>
      <c r="E667" t="s">
        <v>597</v>
      </c>
      <c r="F667">
        <v>214.74524</v>
      </c>
      <c r="G667" s="5" t="s">
        <v>39</v>
      </c>
      <c r="H667" s="18">
        <v>65.593113714285707</v>
      </c>
      <c r="I667" s="19" t="s">
        <v>40</v>
      </c>
      <c r="J667" s="18">
        <v>0.4281283195298613</v>
      </c>
      <c r="K667" s="5" t="s">
        <v>44</v>
      </c>
      <c r="L667" s="101" t="s">
        <v>188</v>
      </c>
      <c r="M667" s="5">
        <v>-0.16</v>
      </c>
      <c r="N667" s="59">
        <v>10.769298800000003</v>
      </c>
      <c r="O667" s="59">
        <v>2.2140799999999992</v>
      </c>
      <c r="AG667" s="107"/>
      <c r="AN667" s="115"/>
      <c r="BU667" s="61"/>
    </row>
    <row r="668" spans="1:73" x14ac:dyDescent="0.35">
      <c r="A668" s="7" t="s">
        <v>1379</v>
      </c>
      <c r="B668" s="7" t="s">
        <v>1382</v>
      </c>
      <c r="C668" s="17" t="s">
        <v>573</v>
      </c>
      <c r="D668" s="5" t="s">
        <v>38</v>
      </c>
      <c r="E668" t="s">
        <v>598</v>
      </c>
      <c r="F668">
        <v>214.785</v>
      </c>
      <c r="G668" s="5" t="s">
        <v>39</v>
      </c>
      <c r="H668" s="18">
        <v>65.600119047619003</v>
      </c>
      <c r="I668" s="19" t="s">
        <v>40</v>
      </c>
      <c r="J668" s="18">
        <v>0.4210303844188843</v>
      </c>
      <c r="K668" s="5" t="s">
        <v>44</v>
      </c>
      <c r="L668" s="101" t="s">
        <v>188</v>
      </c>
      <c r="M668" s="5">
        <v>-0.09</v>
      </c>
      <c r="N668" s="59">
        <v>10.458484800000001</v>
      </c>
      <c r="O668" s="59">
        <v>1.9032659999999968</v>
      </c>
      <c r="AG668" s="107"/>
      <c r="AN668" s="115"/>
      <c r="BU668" s="61"/>
    </row>
    <row r="669" spans="1:73" x14ac:dyDescent="0.35">
      <c r="A669" s="7" t="s">
        <v>1379</v>
      </c>
      <c r="B669" s="7" t="s">
        <v>1382</v>
      </c>
      <c r="C669" s="17" t="s">
        <v>573</v>
      </c>
      <c r="D669" s="5" t="s">
        <v>38</v>
      </c>
      <c r="E669" t="s">
        <v>599</v>
      </c>
      <c r="F669">
        <v>214.80359000000001</v>
      </c>
      <c r="G669" s="5" t="s">
        <v>39</v>
      </c>
      <c r="H669" s="18">
        <v>65.604429857142904</v>
      </c>
      <c r="I669" s="19" t="s">
        <v>40</v>
      </c>
      <c r="J669" s="18">
        <v>0.41755764114758165</v>
      </c>
      <c r="K669" s="5" t="s">
        <v>44</v>
      </c>
      <c r="L669" s="101" t="s">
        <v>188</v>
      </c>
      <c r="M669" s="5">
        <v>0.03</v>
      </c>
      <c r="N669" s="59">
        <v>9.9262992000000008</v>
      </c>
      <c r="O669" s="59">
        <v>1.3710803999999968</v>
      </c>
      <c r="AG669" s="107"/>
      <c r="AN669" s="115"/>
      <c r="BU669" s="61"/>
    </row>
    <row r="670" spans="1:73" x14ac:dyDescent="0.35">
      <c r="A670" s="7" t="s">
        <v>1379</v>
      </c>
      <c r="B670" s="7" t="s">
        <v>1382</v>
      </c>
      <c r="C670" s="17" t="s">
        <v>573</v>
      </c>
      <c r="D670" s="5" t="s">
        <v>38</v>
      </c>
      <c r="E670" t="s">
        <v>600</v>
      </c>
      <c r="F670">
        <v>214.81358</v>
      </c>
      <c r="G670" s="5" t="s">
        <v>39</v>
      </c>
      <c r="H670" s="18">
        <v>65.606951142857099</v>
      </c>
      <c r="I670" s="19" t="s">
        <v>40</v>
      </c>
      <c r="J670" s="18">
        <v>0.41497385802965425</v>
      </c>
      <c r="K670" s="5" t="s">
        <v>44</v>
      </c>
      <c r="L670" s="101" t="s">
        <v>188</v>
      </c>
      <c r="M670" s="5">
        <v>0.13</v>
      </c>
      <c r="N670" s="59">
        <v>9.4834272000000031</v>
      </c>
      <c r="O670" s="59">
        <v>0.92820839999999905</v>
      </c>
      <c r="AG670" s="107"/>
      <c r="AN670" s="115"/>
      <c r="BU670" s="61"/>
    </row>
    <row r="671" spans="1:73" x14ac:dyDescent="0.35">
      <c r="A671" s="7" t="s">
        <v>1379</v>
      </c>
      <c r="B671" s="7" t="s">
        <v>1382</v>
      </c>
      <c r="C671" s="17" t="s">
        <v>573</v>
      </c>
      <c r="D671" s="5" t="s">
        <v>38</v>
      </c>
      <c r="E671" t="s">
        <v>601</v>
      </c>
      <c r="F671">
        <v>214.84360000000001</v>
      </c>
      <c r="G671" s="5" t="s">
        <v>39</v>
      </c>
      <c r="H671" s="18">
        <v>65.614527619047607</v>
      </c>
      <c r="I671" s="19" t="s">
        <v>40</v>
      </c>
      <c r="J671" s="18">
        <v>0.4072095768284214</v>
      </c>
      <c r="K671" s="5" t="s">
        <v>44</v>
      </c>
      <c r="L671" s="101" t="s">
        <v>188</v>
      </c>
      <c r="M671" s="5">
        <v>0.03</v>
      </c>
      <c r="N671" s="59">
        <v>9.9262992000000008</v>
      </c>
      <c r="O671" s="59">
        <v>1.3710803999999968</v>
      </c>
      <c r="AG671" s="107"/>
      <c r="AN671" s="115"/>
      <c r="BU671" s="61"/>
    </row>
    <row r="672" spans="1:73" x14ac:dyDescent="0.35">
      <c r="A672" s="7" t="s">
        <v>1379</v>
      </c>
      <c r="B672" s="7" t="s">
        <v>1382</v>
      </c>
      <c r="C672" s="17" t="s">
        <v>573</v>
      </c>
      <c r="D672" s="5" t="s">
        <v>38</v>
      </c>
      <c r="E672" t="s">
        <v>602</v>
      </c>
      <c r="F672">
        <v>214.845</v>
      </c>
      <c r="G672" s="5" t="s">
        <v>39</v>
      </c>
      <c r="H672" s="18">
        <v>65.614880952381</v>
      </c>
      <c r="I672" s="19" t="s">
        <v>40</v>
      </c>
      <c r="J672" s="18">
        <v>0.40684748510018665</v>
      </c>
      <c r="K672" s="5" t="s">
        <v>44</v>
      </c>
      <c r="L672" s="101" t="s">
        <v>188</v>
      </c>
      <c r="M672" s="5">
        <v>0.03</v>
      </c>
      <c r="N672" s="59">
        <v>9.9262992000000008</v>
      </c>
      <c r="O672" s="59">
        <v>1.3710803999999968</v>
      </c>
      <c r="AG672" s="107"/>
      <c r="AN672" s="115"/>
      <c r="BU672" s="61"/>
    </row>
    <row r="673" spans="1:73" x14ac:dyDescent="0.35">
      <c r="A673" s="7" t="s">
        <v>1379</v>
      </c>
      <c r="B673" s="7" t="s">
        <v>1382</v>
      </c>
      <c r="C673" s="17" t="s">
        <v>573</v>
      </c>
      <c r="D673" s="5" t="s">
        <v>38</v>
      </c>
      <c r="E673" t="s">
        <v>603</v>
      </c>
      <c r="F673">
        <v>214.87361000000001</v>
      </c>
      <c r="G673" s="5" t="s">
        <v>39</v>
      </c>
      <c r="H673" s="18">
        <v>65.622101571428601</v>
      </c>
      <c r="I673" s="19" t="s">
        <v>40</v>
      </c>
      <c r="J673" s="18">
        <v>0.39944788199667869</v>
      </c>
      <c r="K673" s="5" t="s">
        <v>44</v>
      </c>
      <c r="L673" s="101" t="s">
        <v>188</v>
      </c>
      <c r="M673" s="5">
        <v>0.03</v>
      </c>
      <c r="N673" s="59">
        <v>9.9262992000000008</v>
      </c>
      <c r="O673" s="59">
        <v>1.3710803999999968</v>
      </c>
      <c r="AG673" s="107"/>
      <c r="AN673" s="115"/>
      <c r="BU673" s="61"/>
    </row>
    <row r="674" spans="1:73" x14ac:dyDescent="0.35">
      <c r="A674" s="7" t="s">
        <v>1379</v>
      </c>
      <c r="B674" s="7" t="s">
        <v>1382</v>
      </c>
      <c r="C674" s="17" t="s">
        <v>573</v>
      </c>
      <c r="D674" s="5" t="s">
        <v>38</v>
      </c>
      <c r="E674" t="s">
        <v>604</v>
      </c>
      <c r="F674">
        <v>214.875</v>
      </c>
      <c r="G674" s="5" t="s">
        <v>39</v>
      </c>
      <c r="H674" s="18">
        <v>65.622452380952396</v>
      </c>
      <c r="I674" s="19" t="s">
        <v>40</v>
      </c>
      <c r="J674" s="18">
        <v>0.39908837663793406</v>
      </c>
      <c r="K674" s="5" t="s">
        <v>44</v>
      </c>
      <c r="L674" s="101" t="s">
        <v>188</v>
      </c>
      <c r="M674" s="5">
        <v>0.08</v>
      </c>
      <c r="N674" s="59">
        <v>9.704793200000001</v>
      </c>
      <c r="O674" s="59">
        <v>1.149574399999997</v>
      </c>
      <c r="AG674" s="107"/>
      <c r="AN674" s="115"/>
      <c r="BU674" s="61"/>
    </row>
    <row r="675" spans="1:73" x14ac:dyDescent="0.35">
      <c r="A675" s="7" t="s">
        <v>1379</v>
      </c>
      <c r="B675" s="7" t="s">
        <v>1382</v>
      </c>
      <c r="C675" s="17" t="s">
        <v>573</v>
      </c>
      <c r="D675" s="5" t="s">
        <v>38</v>
      </c>
      <c r="E675" t="s">
        <v>605</v>
      </c>
      <c r="F675">
        <v>214.89359999999999</v>
      </c>
      <c r="G675" s="5" t="s">
        <v>39</v>
      </c>
      <c r="H675" s="18">
        <v>65.627146666666704</v>
      </c>
      <c r="I675" s="19" t="s">
        <v>40</v>
      </c>
      <c r="J675" s="18">
        <v>0.39427772939133376</v>
      </c>
      <c r="K675" s="5" t="s">
        <v>44</v>
      </c>
      <c r="L675" s="101" t="s">
        <v>188</v>
      </c>
      <c r="M675" s="5">
        <v>7.0000000000000007E-2</v>
      </c>
      <c r="N675" s="59">
        <v>9.7490832000000029</v>
      </c>
      <c r="O675" s="59">
        <v>1.1938643999999989</v>
      </c>
      <c r="AG675" s="107"/>
      <c r="AN675" s="115"/>
      <c r="BU675" s="61"/>
    </row>
    <row r="676" spans="1:73" x14ac:dyDescent="0.35">
      <c r="A676" s="7" t="s">
        <v>1379</v>
      </c>
      <c r="B676" s="7" t="s">
        <v>1382</v>
      </c>
      <c r="C676" s="17" t="s">
        <v>573</v>
      </c>
      <c r="D676" s="5" t="s">
        <v>38</v>
      </c>
      <c r="E676" t="s">
        <v>606</v>
      </c>
      <c r="F676">
        <v>214.90360999999999</v>
      </c>
      <c r="G676" s="5" t="s">
        <v>39</v>
      </c>
      <c r="H676" s="18">
        <v>65.629672999999997</v>
      </c>
      <c r="I676" s="19" t="s">
        <v>40</v>
      </c>
      <c r="J676" s="18">
        <v>0.3916887735344261</v>
      </c>
      <c r="K676" s="5" t="s">
        <v>44</v>
      </c>
      <c r="L676" s="101" t="s">
        <v>188</v>
      </c>
      <c r="M676" s="5">
        <v>0.05</v>
      </c>
      <c r="N676" s="59">
        <v>9.8376800000000024</v>
      </c>
      <c r="O676" s="59">
        <v>1.2824611999999984</v>
      </c>
      <c r="AG676" s="107"/>
      <c r="AN676" s="115"/>
      <c r="BU676" s="61"/>
    </row>
    <row r="677" spans="1:73" x14ac:dyDescent="0.35">
      <c r="A677" s="7" t="s">
        <v>1379</v>
      </c>
      <c r="B677" s="7" t="s">
        <v>1382</v>
      </c>
      <c r="C677" s="17" t="s">
        <v>573</v>
      </c>
      <c r="D677" s="5" t="s">
        <v>38</v>
      </c>
      <c r="E677" t="s">
        <v>607</v>
      </c>
      <c r="F677">
        <v>214.905</v>
      </c>
      <c r="G677" s="5" t="s">
        <v>39</v>
      </c>
      <c r="H677" s="18">
        <v>65.630023809523806</v>
      </c>
      <c r="I677" s="19" t="s">
        <v>40</v>
      </c>
      <c r="J677" s="18">
        <v>0.39132926817568148</v>
      </c>
      <c r="K677" s="5" t="s">
        <v>44</v>
      </c>
      <c r="L677" s="101" t="s">
        <v>188</v>
      </c>
      <c r="M677" s="5">
        <v>0.02</v>
      </c>
      <c r="N677" s="59">
        <v>9.9706172000000013</v>
      </c>
      <c r="O677" s="59">
        <v>1.4153983999999973</v>
      </c>
      <c r="AG677" s="107"/>
      <c r="AN677" s="115"/>
      <c r="BU677" s="61"/>
    </row>
    <row r="678" spans="1:73" x14ac:dyDescent="0.35">
      <c r="A678" s="7" t="s">
        <v>1379</v>
      </c>
      <c r="B678" s="7" t="s">
        <v>1382</v>
      </c>
      <c r="C678" s="17" t="s">
        <v>573</v>
      </c>
      <c r="D678" s="5" t="s">
        <v>38</v>
      </c>
      <c r="E678" t="s">
        <v>608</v>
      </c>
      <c r="F678">
        <v>214.92359999999999</v>
      </c>
      <c r="G678" s="5" t="s">
        <v>39</v>
      </c>
      <c r="H678" s="18">
        <v>65.6347180952381</v>
      </c>
      <c r="I678" s="19" t="s">
        <v>40</v>
      </c>
      <c r="J678" s="18">
        <v>0.38651862092908118</v>
      </c>
      <c r="K678" s="5" t="s">
        <v>44</v>
      </c>
      <c r="L678" s="101" t="s">
        <v>188</v>
      </c>
      <c r="M678" s="5">
        <v>-0.02</v>
      </c>
      <c r="N678" s="59">
        <v>10.147945200000004</v>
      </c>
      <c r="O678" s="59">
        <v>1.5927264000000001</v>
      </c>
      <c r="AG678" s="107"/>
      <c r="AN678" s="115"/>
      <c r="BU678" s="61"/>
    </row>
    <row r="679" spans="1:73" x14ac:dyDescent="0.35">
      <c r="A679" s="7" t="s">
        <v>1379</v>
      </c>
      <c r="B679" s="7" t="s">
        <v>1382</v>
      </c>
      <c r="C679" s="17" t="s">
        <v>573</v>
      </c>
      <c r="D679" s="5" t="s">
        <v>38</v>
      </c>
      <c r="E679" t="s">
        <v>609</v>
      </c>
      <c r="F679">
        <v>214.93360999999999</v>
      </c>
      <c r="G679" s="5" t="s">
        <v>39</v>
      </c>
      <c r="H679" s="18">
        <v>65.637244428571407</v>
      </c>
      <c r="I679" s="19" t="s">
        <v>40</v>
      </c>
      <c r="J679" s="18">
        <v>0.38392966507217352</v>
      </c>
      <c r="K679" s="5" t="s">
        <v>44</v>
      </c>
      <c r="L679" s="101" t="s">
        <v>188</v>
      </c>
      <c r="M679" s="5">
        <v>-0.09</v>
      </c>
      <c r="N679" s="59">
        <v>10.458484800000001</v>
      </c>
      <c r="O679" s="59">
        <v>1.9032659999999968</v>
      </c>
      <c r="AG679" s="107"/>
      <c r="AN679" s="115"/>
      <c r="BU679" s="61"/>
    </row>
    <row r="680" spans="1:73" x14ac:dyDescent="0.35">
      <c r="A680" s="7" t="s">
        <v>1379</v>
      </c>
      <c r="B680" s="7" t="s">
        <v>1382</v>
      </c>
      <c r="C680" s="17" t="s">
        <v>573</v>
      </c>
      <c r="D680" s="5" t="s">
        <v>38</v>
      </c>
      <c r="E680" t="s">
        <v>610</v>
      </c>
      <c r="F680">
        <v>214.935</v>
      </c>
      <c r="G680" s="5" t="s">
        <v>39</v>
      </c>
      <c r="H680" s="18">
        <v>65.637595238095201</v>
      </c>
      <c r="I680" s="19" t="s">
        <v>40</v>
      </c>
      <c r="J680" s="18">
        <v>0.38357015971342889</v>
      </c>
      <c r="K680" s="5" t="s">
        <v>44</v>
      </c>
      <c r="L680" s="101" t="s">
        <v>188</v>
      </c>
      <c r="M680" s="5">
        <v>0.08</v>
      </c>
      <c r="N680" s="59">
        <v>9.704793200000001</v>
      </c>
      <c r="O680" s="59">
        <v>1.149574399999997</v>
      </c>
      <c r="AG680" s="107"/>
      <c r="AN680" s="115"/>
      <c r="BU680" s="61"/>
    </row>
    <row r="681" spans="1:73" x14ac:dyDescent="0.35">
      <c r="A681" s="7" t="s">
        <v>1379</v>
      </c>
      <c r="B681" s="7" t="s">
        <v>1382</v>
      </c>
      <c r="C681" s="17" t="s">
        <v>573</v>
      </c>
      <c r="D681" s="5" t="s">
        <v>38</v>
      </c>
      <c r="E681" t="s">
        <v>611</v>
      </c>
      <c r="F681">
        <v>214.95361</v>
      </c>
      <c r="G681" s="5" t="s">
        <v>39</v>
      </c>
      <c r="H681" s="18">
        <v>65.642292047619094</v>
      </c>
      <c r="I681" s="19" t="s">
        <v>40</v>
      </c>
      <c r="J681" s="18">
        <v>0.37875692609733846</v>
      </c>
      <c r="K681" s="5" t="s">
        <v>44</v>
      </c>
      <c r="L681" s="101" t="s">
        <v>188</v>
      </c>
      <c r="M681" s="5">
        <v>-0.02</v>
      </c>
      <c r="N681" s="59">
        <v>10.147945200000004</v>
      </c>
      <c r="O681" s="59">
        <v>1.5927264000000001</v>
      </c>
      <c r="AG681" s="107"/>
      <c r="AN681" s="115"/>
      <c r="BU681" s="61"/>
    </row>
    <row r="682" spans="1:73" x14ac:dyDescent="0.35">
      <c r="A682" s="7" t="s">
        <v>1379</v>
      </c>
      <c r="B682" s="7" t="s">
        <v>1382</v>
      </c>
      <c r="C682" s="17" t="s">
        <v>573</v>
      </c>
      <c r="D682" s="5" t="s">
        <v>38</v>
      </c>
      <c r="E682" t="s">
        <v>612</v>
      </c>
      <c r="F682">
        <v>214.965</v>
      </c>
      <c r="G682" s="5" t="s">
        <v>39</v>
      </c>
      <c r="H682" s="18">
        <v>65.645166666666697</v>
      </c>
      <c r="I682" s="19" t="s">
        <v>40</v>
      </c>
      <c r="J682" s="18">
        <v>0.3758110512511621</v>
      </c>
      <c r="K682" s="5" t="s">
        <v>44</v>
      </c>
      <c r="L682" s="101" t="s">
        <v>188</v>
      </c>
      <c r="M682" s="5">
        <v>-0.13</v>
      </c>
      <c r="N682" s="59">
        <v>10.636059200000004</v>
      </c>
      <c r="O682" s="59">
        <v>2.0808403999999996</v>
      </c>
      <c r="AG682" s="107"/>
      <c r="AN682" s="115"/>
      <c r="BU682" s="61"/>
    </row>
    <row r="683" spans="1:73" x14ac:dyDescent="0.35">
      <c r="A683" s="7" t="s">
        <v>1379</v>
      </c>
      <c r="B683" s="7" t="s">
        <v>1382</v>
      </c>
      <c r="C683" s="17" t="s">
        <v>573</v>
      </c>
      <c r="D683" s="5" t="s">
        <v>38</v>
      </c>
      <c r="E683" t="s">
        <v>613</v>
      </c>
      <c r="F683">
        <v>214.98361</v>
      </c>
      <c r="G683" s="5" t="s">
        <v>39</v>
      </c>
      <c r="H683" s="18">
        <v>65.649863476190504</v>
      </c>
      <c r="I683" s="19" t="s">
        <v>40</v>
      </c>
      <c r="J683" s="18">
        <v>0.37099781763508588</v>
      </c>
      <c r="K683" s="5" t="s">
        <v>44</v>
      </c>
      <c r="L683" s="101" t="s">
        <v>188</v>
      </c>
      <c r="M683" s="5">
        <v>-7.0000000000000007E-2</v>
      </c>
      <c r="N683" s="59">
        <v>10.369731200000002</v>
      </c>
      <c r="O683" s="59">
        <v>1.8145123999999981</v>
      </c>
      <c r="AG683" s="107"/>
      <c r="AN683" s="115"/>
      <c r="BU683" s="61"/>
    </row>
    <row r="684" spans="1:73" x14ac:dyDescent="0.35">
      <c r="A684" s="7" t="s">
        <v>1379</v>
      </c>
      <c r="B684" s="7" t="s">
        <v>1382</v>
      </c>
      <c r="C684" s="17" t="s">
        <v>573</v>
      </c>
      <c r="D684" s="5" t="s">
        <v>38</v>
      </c>
      <c r="E684" t="s">
        <v>614</v>
      </c>
      <c r="F684">
        <v>214.99360999999999</v>
      </c>
      <c r="G684" s="5" t="s">
        <v>39</v>
      </c>
      <c r="H684" s="18">
        <v>65.652387285714298</v>
      </c>
      <c r="I684" s="19" t="s">
        <v>40</v>
      </c>
      <c r="J684" s="18">
        <v>0.36841144814766835</v>
      </c>
      <c r="K684" s="5" t="s">
        <v>44</v>
      </c>
      <c r="L684" s="101" t="s">
        <v>188</v>
      </c>
      <c r="M684" s="5">
        <v>-0.08</v>
      </c>
      <c r="N684" s="59">
        <v>10.414105200000002</v>
      </c>
      <c r="O684" s="59">
        <v>1.8588863999999976</v>
      </c>
      <c r="AG684" s="107"/>
      <c r="AN684" s="115"/>
      <c r="BU684" s="61"/>
    </row>
    <row r="685" spans="1:73" x14ac:dyDescent="0.35">
      <c r="A685" s="7" t="s">
        <v>1379</v>
      </c>
      <c r="B685" s="7" t="s">
        <v>1382</v>
      </c>
      <c r="C685" s="17" t="s">
        <v>573</v>
      </c>
      <c r="D685" s="5" t="s">
        <v>38</v>
      </c>
      <c r="E685" t="s">
        <v>615</v>
      </c>
      <c r="F685">
        <v>214.995</v>
      </c>
      <c r="G685" s="5" t="s">
        <v>39</v>
      </c>
      <c r="H685" s="18">
        <v>65.652738095238107</v>
      </c>
      <c r="I685" s="19" t="s">
        <v>40</v>
      </c>
      <c r="J685" s="18">
        <v>0.36805194278890951</v>
      </c>
      <c r="K685" s="5" t="s">
        <v>44</v>
      </c>
      <c r="L685" s="101" t="s">
        <v>188</v>
      </c>
      <c r="M685" s="5">
        <v>0.27</v>
      </c>
      <c r="N685" s="59">
        <v>8.8643472000000028</v>
      </c>
      <c r="O685" s="59">
        <v>0.30912839999999875</v>
      </c>
      <c r="AG685" s="107"/>
      <c r="AN685" s="115"/>
      <c r="BU685" s="61"/>
    </row>
    <row r="686" spans="1:73" x14ac:dyDescent="0.35">
      <c r="A686" s="7" t="s">
        <v>1379</v>
      </c>
      <c r="B686" s="7" t="s">
        <v>1382</v>
      </c>
      <c r="C686" s="17" t="s">
        <v>573</v>
      </c>
      <c r="D686" s="5" t="s">
        <v>38</v>
      </c>
      <c r="E686" t="s">
        <v>616</v>
      </c>
      <c r="F686">
        <v>215.01363000000001</v>
      </c>
      <c r="G686" s="5" t="s">
        <v>39</v>
      </c>
      <c r="H686" s="18">
        <v>65.657439952380997</v>
      </c>
      <c r="I686" s="19" t="s">
        <v>40</v>
      </c>
      <c r="J686" s="18">
        <v>0.36323353643385303</v>
      </c>
      <c r="K686" s="5" t="s">
        <v>44</v>
      </c>
      <c r="L686" s="101" t="s">
        <v>188</v>
      </c>
      <c r="M686" s="5">
        <v>0.25</v>
      </c>
      <c r="N686" s="59">
        <v>8.9527200000000011</v>
      </c>
      <c r="O686" s="59">
        <v>0.39750119999999711</v>
      </c>
      <c r="AG686" s="107"/>
      <c r="AN686" s="115"/>
      <c r="BU686" s="61"/>
    </row>
    <row r="687" spans="1:73" x14ac:dyDescent="0.35">
      <c r="A687" s="7" t="s">
        <v>1379</v>
      </c>
      <c r="B687" s="7" t="s">
        <v>1382</v>
      </c>
      <c r="C687" s="17" t="s">
        <v>573</v>
      </c>
      <c r="D687" s="5" t="s">
        <v>38</v>
      </c>
      <c r="E687" t="s">
        <v>617</v>
      </c>
      <c r="F687">
        <v>215.02361999999999</v>
      </c>
      <c r="G687" s="5" t="s">
        <v>39</v>
      </c>
      <c r="H687" s="18">
        <v>65.659961238095207</v>
      </c>
      <c r="I687" s="19" t="s">
        <v>40</v>
      </c>
      <c r="J687" s="18">
        <v>0.36064975331592564</v>
      </c>
      <c r="K687" s="5" t="s">
        <v>44</v>
      </c>
      <c r="L687" s="101" t="s">
        <v>188</v>
      </c>
      <c r="M687" s="5">
        <v>0.28999999999999998</v>
      </c>
      <c r="N687" s="59">
        <v>8.7759968000000015</v>
      </c>
      <c r="O687" s="59">
        <v>0.22077799999999748</v>
      </c>
      <c r="AG687" s="107"/>
      <c r="AN687" s="115"/>
      <c r="BU687" s="61"/>
    </row>
    <row r="688" spans="1:73" x14ac:dyDescent="0.35">
      <c r="A688" s="7" t="s">
        <v>1379</v>
      </c>
      <c r="B688" s="7" t="s">
        <v>1382</v>
      </c>
      <c r="C688" s="17" t="s">
        <v>573</v>
      </c>
      <c r="D688" s="5" t="s">
        <v>38</v>
      </c>
      <c r="E688" t="s">
        <v>618</v>
      </c>
      <c r="F688">
        <v>215.03362000000001</v>
      </c>
      <c r="G688" s="5" t="s">
        <v>39</v>
      </c>
      <c r="H688" s="18">
        <v>65.662485047619001</v>
      </c>
      <c r="I688" s="19" t="s">
        <v>40</v>
      </c>
      <c r="J688" s="18">
        <v>0.35806338382850811</v>
      </c>
      <c r="K688" s="5" t="s">
        <v>44</v>
      </c>
      <c r="L688" s="101" t="s">
        <v>188</v>
      </c>
      <c r="M688" s="5">
        <v>0.28000000000000003</v>
      </c>
      <c r="N688" s="59">
        <v>8.8201692000000023</v>
      </c>
      <c r="O688" s="59">
        <v>0.26495039999999825</v>
      </c>
      <c r="AG688" s="156"/>
      <c r="AH688" s="157"/>
      <c r="AI688" s="157"/>
      <c r="AJ688" s="157"/>
      <c r="AK688" s="157"/>
      <c r="AL688" s="157"/>
      <c r="AM688" s="157"/>
      <c r="AN688" s="158"/>
      <c r="BU688" s="61"/>
    </row>
    <row r="689" spans="1:73" x14ac:dyDescent="0.35">
      <c r="A689" s="7" t="s">
        <v>1379</v>
      </c>
      <c r="B689" s="7" t="s">
        <v>1382</v>
      </c>
      <c r="C689" s="17" t="s">
        <v>573</v>
      </c>
      <c r="D689" s="5" t="s">
        <v>38</v>
      </c>
      <c r="E689" t="s">
        <v>619</v>
      </c>
      <c r="F689">
        <v>215.04362</v>
      </c>
      <c r="G689" s="5" t="s">
        <v>39</v>
      </c>
      <c r="H689" s="18">
        <v>65.665008857142894</v>
      </c>
      <c r="I689" s="19" t="s">
        <v>40</v>
      </c>
      <c r="J689" s="18">
        <v>0.35547701434109058</v>
      </c>
      <c r="K689" s="5" t="s">
        <v>44</v>
      </c>
      <c r="L689" s="101" t="s">
        <v>188</v>
      </c>
      <c r="M689" s="5">
        <v>0.16</v>
      </c>
      <c r="N689" s="59">
        <v>9.350674800000002</v>
      </c>
      <c r="O689" s="59">
        <v>0.79545599999999794</v>
      </c>
      <c r="BU689" s="61"/>
    </row>
    <row r="690" spans="1:73" x14ac:dyDescent="0.35">
      <c r="A690" s="7" t="s">
        <v>1379</v>
      </c>
      <c r="B690" s="7" t="s">
        <v>1382</v>
      </c>
      <c r="C690" s="17" t="s">
        <v>573</v>
      </c>
      <c r="D690" s="5" t="s">
        <v>38</v>
      </c>
      <c r="E690" t="s">
        <v>620</v>
      </c>
      <c r="F690">
        <v>215.06361000000001</v>
      </c>
      <c r="G690" s="5" t="s">
        <v>39</v>
      </c>
      <c r="H690" s="18">
        <v>65.670053952380997</v>
      </c>
      <c r="I690" s="19" t="s">
        <v>40</v>
      </c>
      <c r="J690" s="18">
        <v>0.35030686173574566</v>
      </c>
      <c r="K690" s="5" t="s">
        <v>44</v>
      </c>
      <c r="L690" s="101" t="s">
        <v>188</v>
      </c>
      <c r="M690" s="5">
        <v>0.24</v>
      </c>
      <c r="N690" s="59">
        <v>8.9969148000000008</v>
      </c>
      <c r="O690" s="59">
        <v>0.44169599999999676</v>
      </c>
      <c r="BU690" s="61"/>
    </row>
    <row r="691" spans="1:73" x14ac:dyDescent="0.35">
      <c r="A691" s="7" t="s">
        <v>1379</v>
      </c>
      <c r="B691" s="7" t="s">
        <v>1382</v>
      </c>
      <c r="C691" s="17" t="s">
        <v>573</v>
      </c>
      <c r="D691" s="5" t="s">
        <v>38</v>
      </c>
      <c r="E691" t="s">
        <v>621</v>
      </c>
      <c r="F691">
        <v>215.08362</v>
      </c>
      <c r="G691" s="5" t="s">
        <v>39</v>
      </c>
      <c r="H691" s="18">
        <v>65.675104095238098</v>
      </c>
      <c r="I691" s="19" t="s">
        <v>40</v>
      </c>
      <c r="J691" s="18">
        <v>0.34513153639142047</v>
      </c>
      <c r="K691" s="5" t="s">
        <v>44</v>
      </c>
      <c r="L691" s="101" t="s">
        <v>188</v>
      </c>
      <c r="M691" s="5">
        <v>0.25</v>
      </c>
      <c r="N691" s="59">
        <v>8.9527200000000011</v>
      </c>
      <c r="O691" s="59">
        <v>0.39750119999999711</v>
      </c>
      <c r="BU691" s="61"/>
    </row>
    <row r="692" spans="1:73" x14ac:dyDescent="0.35">
      <c r="A692" s="7" t="s">
        <v>1379</v>
      </c>
      <c r="B692" s="7" t="s">
        <v>1382</v>
      </c>
      <c r="C692" s="17" t="s">
        <v>573</v>
      </c>
      <c r="D692" s="5" t="s">
        <v>38</v>
      </c>
      <c r="E692" t="s">
        <v>622</v>
      </c>
      <c r="F692">
        <v>215.10362000000001</v>
      </c>
      <c r="G692" s="5" t="s">
        <v>39</v>
      </c>
      <c r="H692" s="18">
        <v>65.680151714285699</v>
      </c>
      <c r="I692" s="19" t="s">
        <v>40</v>
      </c>
      <c r="J692" s="18">
        <v>0.33995879741658541</v>
      </c>
      <c r="K692" s="5" t="s">
        <v>44</v>
      </c>
      <c r="L692" s="101" t="s">
        <v>188</v>
      </c>
      <c r="M692" s="5">
        <v>0.28999999999999998</v>
      </c>
      <c r="N692" s="59">
        <v>8.7759968000000015</v>
      </c>
      <c r="O692" s="59">
        <v>0.22077799999999748</v>
      </c>
      <c r="BU692" s="61"/>
    </row>
    <row r="693" spans="1:73" x14ac:dyDescent="0.35">
      <c r="A693" s="7" t="s">
        <v>1379</v>
      </c>
      <c r="B693" s="7" t="s">
        <v>1382</v>
      </c>
      <c r="C693" s="17" t="s">
        <v>573</v>
      </c>
      <c r="D693" s="5" t="s">
        <v>38</v>
      </c>
      <c r="E693" t="s">
        <v>623</v>
      </c>
      <c r="F693">
        <v>215.11501000000001</v>
      </c>
      <c r="G693" s="5" t="s">
        <v>39</v>
      </c>
      <c r="H693" s="18">
        <v>65.683026333333302</v>
      </c>
      <c r="I693" s="19" t="s">
        <v>40</v>
      </c>
      <c r="J693" s="18">
        <v>0.33701292257040905</v>
      </c>
      <c r="K693" s="5" t="s">
        <v>44</v>
      </c>
      <c r="L693" s="101" t="s">
        <v>188</v>
      </c>
      <c r="M693" s="5">
        <v>0.12</v>
      </c>
      <c r="N693" s="59">
        <v>9.5276892000000029</v>
      </c>
      <c r="O693" s="59">
        <v>0.97247039999999885</v>
      </c>
      <c r="BU693" s="61"/>
    </row>
    <row r="694" spans="1:73" x14ac:dyDescent="0.35">
      <c r="A694" s="7" t="s">
        <v>1379</v>
      </c>
      <c r="B694" s="7" t="s">
        <v>1382</v>
      </c>
      <c r="C694" s="17" t="s">
        <v>573</v>
      </c>
      <c r="D694" s="5" t="s">
        <v>38</v>
      </c>
      <c r="E694" t="s">
        <v>624</v>
      </c>
      <c r="F694">
        <v>215.13362000000001</v>
      </c>
      <c r="G694" s="5" t="s">
        <v>39</v>
      </c>
      <c r="H694" s="18">
        <v>65.687723142857095</v>
      </c>
      <c r="I694" s="19" t="s">
        <v>40</v>
      </c>
      <c r="J694" s="18">
        <v>0.33219968895433283</v>
      </c>
      <c r="K694" s="5" t="s">
        <v>44</v>
      </c>
      <c r="L694" s="101" t="s">
        <v>188</v>
      </c>
      <c r="M694" s="5">
        <v>0.28000000000000003</v>
      </c>
      <c r="N694" s="59">
        <v>8.8201692000000023</v>
      </c>
      <c r="O694" s="59">
        <v>0.26495039999999825</v>
      </c>
      <c r="BU694" s="61"/>
    </row>
    <row r="695" spans="1:73" x14ac:dyDescent="0.35">
      <c r="A695" s="7" t="s">
        <v>1379</v>
      </c>
      <c r="B695" s="7" t="s">
        <v>1382</v>
      </c>
      <c r="C695" s="17" t="s">
        <v>573</v>
      </c>
      <c r="D695" s="5" t="s">
        <v>38</v>
      </c>
      <c r="E695" t="s">
        <v>625</v>
      </c>
      <c r="F695">
        <v>215.14500000000001</v>
      </c>
      <c r="G695" s="5" t="s">
        <v>39</v>
      </c>
      <c r="H695" s="18">
        <v>65.690595238095199</v>
      </c>
      <c r="I695" s="19" t="s">
        <v>40</v>
      </c>
      <c r="J695" s="18">
        <v>0.32925640047764659</v>
      </c>
      <c r="K695" s="5" t="s">
        <v>44</v>
      </c>
      <c r="L695" s="101" t="s">
        <v>188</v>
      </c>
      <c r="M695" s="5">
        <v>0.11</v>
      </c>
      <c r="N695" s="59">
        <v>9.5719568000000006</v>
      </c>
      <c r="O695" s="59">
        <v>1.0167379999999966</v>
      </c>
      <c r="BU695" s="61"/>
    </row>
    <row r="696" spans="1:73" x14ac:dyDescent="0.35">
      <c r="A696" s="7" t="s">
        <v>1379</v>
      </c>
      <c r="B696" s="7" t="s">
        <v>1382</v>
      </c>
      <c r="C696" s="17" t="s">
        <v>573</v>
      </c>
      <c r="D696" s="5" t="s">
        <v>38</v>
      </c>
      <c r="E696" t="s">
        <v>626</v>
      </c>
      <c r="F696">
        <v>215.16363999999999</v>
      </c>
      <c r="G696" s="5" t="s">
        <v>39</v>
      </c>
      <c r="H696" s="18">
        <v>65.695299619047603</v>
      </c>
      <c r="I696" s="19" t="s">
        <v>40</v>
      </c>
      <c r="J696" s="18">
        <v>0.32443540775309998</v>
      </c>
      <c r="K696" s="5" t="s">
        <v>44</v>
      </c>
      <c r="L696" s="101" t="s">
        <v>188</v>
      </c>
      <c r="M696" s="5">
        <v>0.18</v>
      </c>
      <c r="N696" s="59">
        <v>9.2622012000000016</v>
      </c>
      <c r="O696" s="59">
        <v>0.70698239999999757</v>
      </c>
      <c r="BU696" s="61"/>
    </row>
    <row r="697" spans="1:73" x14ac:dyDescent="0.35">
      <c r="A697" s="7" t="s">
        <v>1379</v>
      </c>
      <c r="B697" s="7" t="s">
        <v>1382</v>
      </c>
      <c r="C697" s="17" t="s">
        <v>573</v>
      </c>
      <c r="D697" s="5" t="s">
        <v>38</v>
      </c>
      <c r="E697" t="s">
        <v>627</v>
      </c>
      <c r="F697">
        <v>215.17363</v>
      </c>
      <c r="G697" s="5" t="s">
        <v>39</v>
      </c>
      <c r="H697" s="18">
        <v>65.697820904761898</v>
      </c>
      <c r="I697" s="19" t="s">
        <v>40</v>
      </c>
      <c r="J697" s="18">
        <v>0.32185162463517258</v>
      </c>
      <c r="K697" s="5" t="s">
        <v>44</v>
      </c>
      <c r="L697" s="101" t="s">
        <v>188</v>
      </c>
      <c r="M697" s="5">
        <v>0.2</v>
      </c>
      <c r="N697" s="59">
        <v>9.1737500000000018</v>
      </c>
      <c r="O697" s="59">
        <v>0.61853119999999784</v>
      </c>
      <c r="BU697" s="61"/>
    </row>
    <row r="698" spans="1:73" x14ac:dyDescent="0.35">
      <c r="A698" s="7" t="s">
        <v>1379</v>
      </c>
      <c r="B698" s="7" t="s">
        <v>1382</v>
      </c>
      <c r="C698" s="17" t="s">
        <v>573</v>
      </c>
      <c r="D698" s="5" t="s">
        <v>38</v>
      </c>
      <c r="E698" t="s">
        <v>628</v>
      </c>
      <c r="F698">
        <v>215.17500000000001</v>
      </c>
      <c r="G698" s="5" t="s">
        <v>39</v>
      </c>
      <c r="H698" s="18">
        <v>65.698166666666694</v>
      </c>
      <c r="I698" s="19" t="s">
        <v>40</v>
      </c>
      <c r="J698" s="18">
        <v>0.32149729201539401</v>
      </c>
      <c r="K698" s="5" t="s">
        <v>44</v>
      </c>
      <c r="L698" s="101" t="s">
        <v>188</v>
      </c>
      <c r="M698" s="5">
        <v>0.1</v>
      </c>
      <c r="N698" s="59">
        <v>9.6162300000000034</v>
      </c>
      <c r="O698" s="59">
        <v>1.0610111999999994</v>
      </c>
      <c r="BU698" s="61"/>
    </row>
    <row r="699" spans="1:73" x14ac:dyDescent="0.35">
      <c r="A699" s="7" t="s">
        <v>1379</v>
      </c>
      <c r="B699" s="7" t="s">
        <v>1382</v>
      </c>
      <c r="C699" s="17" t="s">
        <v>573</v>
      </c>
      <c r="D699" s="5" t="s">
        <v>38</v>
      </c>
      <c r="E699" t="s">
        <v>629</v>
      </c>
      <c r="F699">
        <v>215.19363000000001</v>
      </c>
      <c r="G699" s="5" t="s">
        <v>39</v>
      </c>
      <c r="H699" s="18">
        <v>65.702868523809499</v>
      </c>
      <c r="I699" s="19" t="s">
        <v>40</v>
      </c>
      <c r="J699" s="18">
        <v>0.31667888566033753</v>
      </c>
      <c r="K699" s="5" t="s">
        <v>44</v>
      </c>
      <c r="L699" s="101" t="s">
        <v>188</v>
      </c>
      <c r="M699" s="5">
        <v>0.18</v>
      </c>
      <c r="N699" s="59">
        <v>9.2622012000000016</v>
      </c>
      <c r="O699" s="59">
        <v>0.70698239999999757</v>
      </c>
      <c r="BU699" s="61"/>
    </row>
    <row r="700" spans="1:73" x14ac:dyDescent="0.35">
      <c r="A700" s="7" t="s">
        <v>1379</v>
      </c>
      <c r="B700" s="7" t="s">
        <v>1382</v>
      </c>
      <c r="C700" s="17" t="s">
        <v>573</v>
      </c>
      <c r="D700" s="5" t="s">
        <v>38</v>
      </c>
      <c r="E700" t="s">
        <v>630</v>
      </c>
      <c r="F700">
        <v>215.20364000000001</v>
      </c>
      <c r="G700" s="5" t="s">
        <v>39</v>
      </c>
      <c r="H700" s="18">
        <v>65.705394857142807</v>
      </c>
      <c r="I700" s="19" t="s">
        <v>40</v>
      </c>
      <c r="J700" s="18">
        <v>0.31408992980342987</v>
      </c>
      <c r="K700" s="5" t="s">
        <v>44</v>
      </c>
      <c r="L700" s="101" t="s">
        <v>188</v>
      </c>
      <c r="M700" s="5">
        <v>0.05</v>
      </c>
      <c r="N700" s="59">
        <v>9.8376800000000024</v>
      </c>
      <c r="O700" s="59">
        <v>1.2824611999999984</v>
      </c>
      <c r="BU700" s="61"/>
    </row>
    <row r="701" spans="1:73" x14ac:dyDescent="0.35">
      <c r="A701" s="7" t="s">
        <v>1379</v>
      </c>
      <c r="B701" s="7" t="s">
        <v>1382</v>
      </c>
      <c r="C701" s="17" t="s">
        <v>573</v>
      </c>
      <c r="D701" s="5" t="s">
        <v>38</v>
      </c>
      <c r="E701" t="s">
        <v>631</v>
      </c>
      <c r="F701">
        <v>215.20500000000001</v>
      </c>
      <c r="G701" s="5" t="s">
        <v>39</v>
      </c>
      <c r="H701" s="18">
        <v>65.705738095238104</v>
      </c>
      <c r="I701" s="19" t="s">
        <v>40</v>
      </c>
      <c r="J701" s="18">
        <v>0.31373818355314143</v>
      </c>
      <c r="K701" s="5" t="s">
        <v>44</v>
      </c>
      <c r="L701" s="101" t="s">
        <v>188</v>
      </c>
      <c r="M701" s="5">
        <v>0.19</v>
      </c>
      <c r="N701" s="59">
        <v>9.2179728000000019</v>
      </c>
      <c r="O701" s="59">
        <v>0.66275399999999784</v>
      </c>
      <c r="BU701" s="61"/>
    </row>
    <row r="702" spans="1:73" x14ac:dyDescent="0.35">
      <c r="A702" s="7" t="s">
        <v>1379</v>
      </c>
      <c r="B702" s="7" t="s">
        <v>1382</v>
      </c>
      <c r="C702" s="17" t="s">
        <v>573</v>
      </c>
      <c r="D702" s="5" t="s">
        <v>38</v>
      </c>
      <c r="E702" t="s">
        <v>632</v>
      </c>
      <c r="F702">
        <v>215.22917000000001</v>
      </c>
      <c r="G702" s="5" t="s">
        <v>39</v>
      </c>
      <c r="H702" s="18">
        <v>65.715051399999993</v>
      </c>
      <c r="I702" s="19" t="s">
        <v>40</v>
      </c>
      <c r="J702" s="18">
        <v>0.30697511232065722</v>
      </c>
      <c r="K702" s="5" t="s">
        <v>44</v>
      </c>
      <c r="L702" s="101" t="s">
        <v>188</v>
      </c>
      <c r="M702" s="5">
        <v>0.2</v>
      </c>
      <c r="N702" s="59">
        <v>9.1737500000000018</v>
      </c>
      <c r="O702" s="59">
        <v>0.61853119999999784</v>
      </c>
      <c r="BU702" s="61"/>
    </row>
    <row r="703" spans="1:73" x14ac:dyDescent="0.35">
      <c r="A703" s="7" t="s">
        <v>1379</v>
      </c>
      <c r="B703" s="7" t="s">
        <v>1382</v>
      </c>
      <c r="C703" s="17" t="s">
        <v>573</v>
      </c>
      <c r="D703" s="5" t="s">
        <v>38</v>
      </c>
      <c r="E703" t="s">
        <v>633</v>
      </c>
      <c r="F703">
        <v>215.23750000000001</v>
      </c>
      <c r="G703" s="5" t="s">
        <v>39</v>
      </c>
      <c r="H703" s="18">
        <v>65.718549999999993</v>
      </c>
      <c r="I703" s="19" t="s">
        <v>40</v>
      </c>
      <c r="J703" s="18">
        <v>0.30354304328594139</v>
      </c>
      <c r="K703" s="5" t="s">
        <v>44</v>
      </c>
      <c r="L703" s="101" t="s">
        <v>188</v>
      </c>
      <c r="M703" s="5">
        <v>0.2</v>
      </c>
      <c r="N703" s="59">
        <v>9.1737500000000018</v>
      </c>
      <c r="O703" s="59">
        <v>0.61853119999999784</v>
      </c>
      <c r="BU703" s="61"/>
    </row>
    <row r="704" spans="1:73" x14ac:dyDescent="0.35">
      <c r="A704" s="7" t="s">
        <v>1379</v>
      </c>
      <c r="B704" s="7" t="s">
        <v>1382</v>
      </c>
      <c r="C704" s="17" t="s">
        <v>573</v>
      </c>
      <c r="D704" s="5" t="s">
        <v>38</v>
      </c>
      <c r="E704" t="s">
        <v>634</v>
      </c>
      <c r="F704">
        <v>215.255</v>
      </c>
      <c r="G704" s="5" t="s">
        <v>39</v>
      </c>
      <c r="H704" s="18">
        <v>65.725899999999996</v>
      </c>
      <c r="I704" s="19" t="s">
        <v>40</v>
      </c>
      <c r="J704" s="18">
        <v>0.29633281422141522</v>
      </c>
      <c r="K704" s="5" t="s">
        <v>44</v>
      </c>
      <c r="L704" s="101" t="s">
        <v>188</v>
      </c>
      <c r="M704" s="5">
        <v>0.1</v>
      </c>
      <c r="N704" s="59">
        <v>9.6162300000000034</v>
      </c>
      <c r="O704" s="59">
        <v>1.0610111999999994</v>
      </c>
      <c r="BU704" s="61"/>
    </row>
    <row r="705" spans="1:73" x14ac:dyDescent="0.35">
      <c r="A705" s="7" t="s">
        <v>1379</v>
      </c>
      <c r="B705" s="7" t="s">
        <v>1382</v>
      </c>
      <c r="C705" s="17" t="s">
        <v>573</v>
      </c>
      <c r="D705" s="5" t="s">
        <v>38</v>
      </c>
      <c r="E705" t="s">
        <v>635</v>
      </c>
      <c r="F705">
        <v>215.26894999999999</v>
      </c>
      <c r="G705" s="5" t="s">
        <v>39</v>
      </c>
      <c r="H705" s="18">
        <v>65.731758999999997</v>
      </c>
      <c r="I705" s="19" t="s">
        <v>40</v>
      </c>
      <c r="J705" s="18">
        <v>0.29058523162426297</v>
      </c>
      <c r="K705" s="5" t="s">
        <v>44</v>
      </c>
      <c r="L705" s="101" t="s">
        <v>188</v>
      </c>
      <c r="M705" s="5">
        <v>0.16</v>
      </c>
      <c r="N705" s="59">
        <v>9.350674800000002</v>
      </c>
      <c r="O705" s="59">
        <v>0.79545599999999794</v>
      </c>
      <c r="BU705" s="61"/>
    </row>
    <row r="706" spans="1:73" x14ac:dyDescent="0.35">
      <c r="A706" s="7" t="s">
        <v>1379</v>
      </c>
      <c r="B706" s="7" t="s">
        <v>1382</v>
      </c>
      <c r="C706" s="17" t="s">
        <v>573</v>
      </c>
      <c r="D706" s="5" t="s">
        <v>38</v>
      </c>
      <c r="E706" t="s">
        <v>636</v>
      </c>
      <c r="F706">
        <v>215.27499</v>
      </c>
      <c r="G706" s="5" t="s">
        <v>39</v>
      </c>
      <c r="H706" s="18">
        <v>65.734295799999998</v>
      </c>
      <c r="I706" s="19" t="s">
        <v>40</v>
      </c>
      <c r="J706" s="18">
        <v>0.28809667256426508</v>
      </c>
      <c r="K706" s="5" t="s">
        <v>44</v>
      </c>
      <c r="L706" s="101" t="s">
        <v>188</v>
      </c>
      <c r="M706" s="5">
        <v>0.13</v>
      </c>
      <c r="N706" s="59">
        <v>9.4834272000000031</v>
      </c>
      <c r="O706" s="59">
        <v>0.92820839999999905</v>
      </c>
      <c r="BU706" s="61"/>
    </row>
    <row r="707" spans="1:73" x14ac:dyDescent="0.35">
      <c r="A707" s="7" t="s">
        <v>1379</v>
      </c>
      <c r="B707" s="7" t="s">
        <v>1382</v>
      </c>
      <c r="C707" s="17" t="s">
        <v>573</v>
      </c>
      <c r="D707" s="5" t="s">
        <v>38</v>
      </c>
      <c r="E707" t="s">
        <v>637</v>
      </c>
      <c r="F707">
        <v>215.29499999999999</v>
      </c>
      <c r="G707" s="5" t="s">
        <v>39</v>
      </c>
      <c r="H707" s="18">
        <v>65.742699999999999</v>
      </c>
      <c r="I707" s="19" t="s">
        <v>40</v>
      </c>
      <c r="J707" s="18">
        <v>0.27985229064535133</v>
      </c>
      <c r="K707" s="5" t="s">
        <v>44</v>
      </c>
      <c r="L707" s="101" t="s">
        <v>188</v>
      </c>
      <c r="M707" s="5">
        <v>0.12</v>
      </c>
      <c r="N707" s="59">
        <v>9.5276892000000029</v>
      </c>
      <c r="O707" s="59">
        <v>0.97247039999999885</v>
      </c>
      <c r="BU707" s="61"/>
    </row>
    <row r="708" spans="1:73" x14ac:dyDescent="0.35">
      <c r="A708" s="7" t="s">
        <v>1379</v>
      </c>
      <c r="B708" s="7" t="s">
        <v>1382</v>
      </c>
      <c r="C708" s="17" t="s">
        <v>573</v>
      </c>
      <c r="D708" s="5" t="s">
        <v>38</v>
      </c>
      <c r="E708" t="s">
        <v>638</v>
      </c>
      <c r="F708">
        <v>215.315</v>
      </c>
      <c r="G708" s="5" t="s">
        <v>39</v>
      </c>
      <c r="H708" s="18">
        <v>65.751099999999994</v>
      </c>
      <c r="I708" s="19" t="s">
        <v>40</v>
      </c>
      <c r="J708" s="18">
        <v>0.27161202885730518</v>
      </c>
      <c r="K708" s="5" t="s">
        <v>44</v>
      </c>
      <c r="L708" s="101" t="s">
        <v>188</v>
      </c>
      <c r="M708" s="5">
        <v>0.27</v>
      </c>
      <c r="N708" s="59">
        <v>8.8643472000000028</v>
      </c>
      <c r="O708" s="59">
        <v>0.30912839999999875</v>
      </c>
      <c r="BU708" s="61"/>
    </row>
    <row r="709" spans="1:73" x14ac:dyDescent="0.35">
      <c r="A709" s="7" t="s">
        <v>1379</v>
      </c>
      <c r="B709" s="7" t="s">
        <v>1382</v>
      </c>
      <c r="C709" s="17" t="s">
        <v>573</v>
      </c>
      <c r="D709" s="5" t="s">
        <v>38</v>
      </c>
      <c r="E709" t="s">
        <v>639</v>
      </c>
      <c r="F709">
        <v>215.32499999999999</v>
      </c>
      <c r="G709" s="5" t="s">
        <v>39</v>
      </c>
      <c r="H709" s="18">
        <v>65.755300000000005</v>
      </c>
      <c r="I709" s="19" t="s">
        <v>40</v>
      </c>
      <c r="J709" s="18">
        <v>0.2674918979632821</v>
      </c>
      <c r="K709" s="5" t="s">
        <v>44</v>
      </c>
      <c r="L709" s="101" t="s">
        <v>188</v>
      </c>
      <c r="M709" s="5">
        <v>0.18</v>
      </c>
      <c r="N709" s="59">
        <v>9.2622012000000016</v>
      </c>
      <c r="O709" s="59">
        <v>0.70698239999999757</v>
      </c>
      <c r="BU709" s="61"/>
    </row>
    <row r="710" spans="1:73" x14ac:dyDescent="0.35">
      <c r="A710" s="7" t="s">
        <v>1379</v>
      </c>
      <c r="B710" s="7" t="s">
        <v>1382</v>
      </c>
      <c r="C710" s="17" t="s">
        <v>573</v>
      </c>
      <c r="D710" s="5" t="s">
        <v>38</v>
      </c>
      <c r="E710" t="s">
        <v>640</v>
      </c>
      <c r="F710">
        <v>215.345</v>
      </c>
      <c r="G710" s="5" t="s">
        <v>39</v>
      </c>
      <c r="H710" s="18">
        <v>65.7637</v>
      </c>
      <c r="I710" s="19" t="s">
        <v>40</v>
      </c>
      <c r="J710" s="18">
        <v>0.25925163617525016</v>
      </c>
      <c r="K710" s="5" t="s">
        <v>44</v>
      </c>
      <c r="L710" s="101" t="s">
        <v>188</v>
      </c>
      <c r="M710" s="5">
        <v>0.15</v>
      </c>
      <c r="N710" s="59">
        <v>9.3949200000000026</v>
      </c>
      <c r="O710" s="59">
        <v>0.83970119999999859</v>
      </c>
      <c r="BU710" s="61"/>
    </row>
    <row r="711" spans="1:73" x14ac:dyDescent="0.35">
      <c r="A711" s="7" t="s">
        <v>1379</v>
      </c>
      <c r="B711" s="7" t="s">
        <v>1382</v>
      </c>
      <c r="C711" s="17" t="s">
        <v>573</v>
      </c>
      <c r="D711" s="5" t="s">
        <v>38</v>
      </c>
      <c r="E711" t="s">
        <v>641</v>
      </c>
      <c r="F711">
        <v>215.35499999999999</v>
      </c>
      <c r="G711" s="5" t="s">
        <v>39</v>
      </c>
      <c r="H711" s="18">
        <v>65.767899999999997</v>
      </c>
      <c r="I711" s="19" t="s">
        <v>40</v>
      </c>
      <c r="J711" s="18">
        <v>0.25513150528122708</v>
      </c>
      <c r="K711" s="5" t="s">
        <v>44</v>
      </c>
      <c r="L711" s="101" t="s">
        <v>188</v>
      </c>
      <c r="M711" s="5">
        <v>0.16</v>
      </c>
      <c r="N711" s="59">
        <v>9.350674800000002</v>
      </c>
      <c r="O711" s="59">
        <v>0.79545599999999794</v>
      </c>
      <c r="BU711" s="61"/>
    </row>
    <row r="712" spans="1:73" x14ac:dyDescent="0.35">
      <c r="A712" s="7" t="s">
        <v>1379</v>
      </c>
      <c r="B712" s="7" t="s">
        <v>1382</v>
      </c>
      <c r="C712" s="17" t="s">
        <v>573</v>
      </c>
      <c r="D712" s="5" t="s">
        <v>38</v>
      </c>
      <c r="E712" t="s">
        <v>642</v>
      </c>
      <c r="F712">
        <v>215.36501000000001</v>
      </c>
      <c r="G712" s="5" t="s">
        <v>39</v>
      </c>
      <c r="H712" s="18">
        <v>65.772104200000001</v>
      </c>
      <c r="I712" s="19" t="s">
        <v>40</v>
      </c>
      <c r="J712" s="18">
        <v>0.25100725425630799</v>
      </c>
      <c r="K712" s="5" t="s">
        <v>44</v>
      </c>
      <c r="L712" s="101" t="s">
        <v>188</v>
      </c>
      <c r="M712" s="5">
        <v>0.15</v>
      </c>
      <c r="N712" s="59">
        <v>9.3949200000000026</v>
      </c>
      <c r="O712" s="59">
        <v>0.83970119999999859</v>
      </c>
      <c r="BU712" s="61"/>
    </row>
    <row r="713" spans="1:73" x14ac:dyDescent="0.35">
      <c r="A713" s="7" t="s">
        <v>1379</v>
      </c>
      <c r="B713" s="7" t="s">
        <v>1382</v>
      </c>
      <c r="C713" s="17" t="s">
        <v>573</v>
      </c>
      <c r="D713" s="5" t="s">
        <v>38</v>
      </c>
      <c r="E713" t="s">
        <v>643</v>
      </c>
      <c r="F713">
        <v>215.375</v>
      </c>
      <c r="G713" s="5" t="s">
        <v>39</v>
      </c>
      <c r="H713" s="18">
        <v>65.776300000000006</v>
      </c>
      <c r="I713" s="19" t="s">
        <v>40</v>
      </c>
      <c r="J713" s="18">
        <v>0.24689124349318092</v>
      </c>
      <c r="K713" s="5" t="s">
        <v>44</v>
      </c>
      <c r="L713" s="101" t="s">
        <v>188</v>
      </c>
      <c r="M713" s="5">
        <v>0.18</v>
      </c>
      <c r="N713" s="59">
        <v>9.2622012000000016</v>
      </c>
      <c r="O713" s="59">
        <v>0.70698239999999757</v>
      </c>
      <c r="BU713" s="61"/>
    </row>
    <row r="714" spans="1:73" x14ac:dyDescent="0.35">
      <c r="A714" s="7" t="s">
        <v>1379</v>
      </c>
      <c r="B714" s="7" t="s">
        <v>1382</v>
      </c>
      <c r="C714" s="17" t="s">
        <v>573</v>
      </c>
      <c r="D714" s="5" t="s">
        <v>38</v>
      </c>
      <c r="E714" t="s">
        <v>644</v>
      </c>
      <c r="F714">
        <v>215.38498999999999</v>
      </c>
      <c r="G714" s="5" t="s">
        <v>39</v>
      </c>
      <c r="H714" s="18">
        <v>65.780495799999997</v>
      </c>
      <c r="I714" s="19" t="s">
        <v>40</v>
      </c>
      <c r="J714" s="18">
        <v>0.24277523273006807</v>
      </c>
      <c r="K714" s="5" t="s">
        <v>44</v>
      </c>
      <c r="L714" s="101" t="s">
        <v>188</v>
      </c>
      <c r="M714" s="5">
        <v>0.16</v>
      </c>
      <c r="N714" s="59">
        <v>9.350674800000002</v>
      </c>
      <c r="O714" s="59">
        <v>0.79545599999999794</v>
      </c>
      <c r="BU714" s="61"/>
    </row>
    <row r="715" spans="1:73" x14ac:dyDescent="0.35">
      <c r="A715" s="7" t="s">
        <v>1379</v>
      </c>
      <c r="B715" s="7" t="s">
        <v>1382</v>
      </c>
      <c r="C715" s="17" t="s">
        <v>573</v>
      </c>
      <c r="D715" s="5" t="s">
        <v>38</v>
      </c>
      <c r="E715" t="s">
        <v>645</v>
      </c>
      <c r="F715">
        <v>215.39500000000001</v>
      </c>
      <c r="G715" s="5" t="s">
        <v>39</v>
      </c>
      <c r="H715" s="18">
        <v>65.784700000000001</v>
      </c>
      <c r="I715" s="19" t="s">
        <v>40</v>
      </c>
      <c r="J715" s="18">
        <v>0.23865098170514898</v>
      </c>
      <c r="K715" s="5" t="s">
        <v>44</v>
      </c>
      <c r="L715" s="101" t="s">
        <v>188</v>
      </c>
      <c r="M715" s="5">
        <v>0.26</v>
      </c>
      <c r="N715" s="59">
        <v>8.908530800000003</v>
      </c>
      <c r="O715" s="59">
        <v>0.35331199999999896</v>
      </c>
      <c r="BU715" s="61"/>
    </row>
    <row r="716" spans="1:73" x14ac:dyDescent="0.35">
      <c r="A716" s="7" t="s">
        <v>1379</v>
      </c>
      <c r="B716" s="7" t="s">
        <v>1382</v>
      </c>
      <c r="C716" s="17" t="s">
        <v>573</v>
      </c>
      <c r="D716" s="5" t="s">
        <v>38</v>
      </c>
      <c r="E716" t="s">
        <v>646</v>
      </c>
      <c r="F716">
        <v>215.405</v>
      </c>
      <c r="G716" s="5" t="s">
        <v>39</v>
      </c>
      <c r="H716" s="18">
        <v>65.788899999999998</v>
      </c>
      <c r="I716" s="19" t="s">
        <v>40</v>
      </c>
      <c r="J716" s="18">
        <v>0.2345308508111259</v>
      </c>
      <c r="K716" s="5" t="s">
        <v>44</v>
      </c>
      <c r="L716" s="101" t="s">
        <v>188</v>
      </c>
      <c r="M716" s="5">
        <v>0.17</v>
      </c>
      <c r="N716" s="59">
        <v>9.306435200000001</v>
      </c>
      <c r="O716" s="59">
        <v>0.75121639999999701</v>
      </c>
      <c r="BU716" s="61"/>
    </row>
    <row r="717" spans="1:73" x14ac:dyDescent="0.35">
      <c r="A717" s="7" t="s">
        <v>1379</v>
      </c>
      <c r="B717" s="7" t="s">
        <v>1382</v>
      </c>
      <c r="C717" s="17" t="s">
        <v>573</v>
      </c>
      <c r="D717" s="5" t="s">
        <v>38</v>
      </c>
      <c r="E717" t="s">
        <v>647</v>
      </c>
      <c r="F717">
        <v>215.41498999999999</v>
      </c>
      <c r="G717" s="5" t="s">
        <v>39</v>
      </c>
      <c r="H717" s="18">
        <v>65.793095800000003</v>
      </c>
      <c r="I717" s="19" t="s">
        <v>40</v>
      </c>
      <c r="J717" s="18">
        <v>0.23041484004801305</v>
      </c>
      <c r="K717" s="5" t="s">
        <v>44</v>
      </c>
      <c r="L717" s="101" t="s">
        <v>188</v>
      </c>
      <c r="M717" s="5">
        <v>0.18</v>
      </c>
      <c r="N717" s="59">
        <v>9.2622012000000016</v>
      </c>
      <c r="O717" s="59">
        <v>0.70698239999999757</v>
      </c>
      <c r="BU717" s="61"/>
    </row>
    <row r="718" spans="1:73" x14ac:dyDescent="0.35">
      <c r="A718" s="7" t="s">
        <v>1379</v>
      </c>
      <c r="B718" s="7" t="s">
        <v>1382</v>
      </c>
      <c r="C718" s="17" t="s">
        <v>573</v>
      </c>
      <c r="D718" s="5" t="s">
        <v>38</v>
      </c>
      <c r="E718" t="s">
        <v>648</v>
      </c>
      <c r="F718">
        <v>215.42500000000001</v>
      </c>
      <c r="G718" s="5" t="s">
        <v>39</v>
      </c>
      <c r="H718" s="18">
        <v>65.797300000000007</v>
      </c>
      <c r="I718" s="19" t="s">
        <v>40</v>
      </c>
      <c r="J718" s="18">
        <v>0.22629058902307975</v>
      </c>
      <c r="K718" s="5" t="s">
        <v>44</v>
      </c>
      <c r="L718" s="101" t="s">
        <v>188</v>
      </c>
      <c r="M718" s="5">
        <v>0.14000000000000001</v>
      </c>
      <c r="N718" s="59">
        <v>9.4391708000000012</v>
      </c>
      <c r="O718" s="59">
        <v>0.88395199999999718</v>
      </c>
      <c r="BU718" s="61"/>
    </row>
    <row r="719" spans="1:73" x14ac:dyDescent="0.35">
      <c r="A719" s="7" t="s">
        <v>1379</v>
      </c>
      <c r="B719" s="7" t="s">
        <v>1382</v>
      </c>
      <c r="C719" s="17" t="s">
        <v>573</v>
      </c>
      <c r="D719" s="5" t="s">
        <v>38</v>
      </c>
      <c r="E719" t="s">
        <v>649</v>
      </c>
      <c r="F719">
        <v>215.435</v>
      </c>
      <c r="G719" s="5" t="s">
        <v>39</v>
      </c>
      <c r="H719" s="18">
        <v>65.801500000000004</v>
      </c>
      <c r="I719" s="19" t="s">
        <v>40</v>
      </c>
      <c r="J719" s="18">
        <v>0.22217045812907088</v>
      </c>
      <c r="K719" s="5" t="s">
        <v>44</v>
      </c>
      <c r="L719" s="101" t="s">
        <v>188</v>
      </c>
      <c r="M719" s="5">
        <v>0.17</v>
      </c>
      <c r="N719" s="59">
        <v>9.306435200000001</v>
      </c>
      <c r="O719" s="59">
        <v>0.75121639999999701</v>
      </c>
      <c r="BU719" s="61"/>
    </row>
    <row r="720" spans="1:73" x14ac:dyDescent="0.35">
      <c r="A720" s="7" t="s">
        <v>1379</v>
      </c>
      <c r="B720" s="7" t="s">
        <v>1382</v>
      </c>
      <c r="C720" s="17" t="s">
        <v>573</v>
      </c>
      <c r="D720" s="5" t="s">
        <v>38</v>
      </c>
      <c r="E720" t="s">
        <v>650</v>
      </c>
      <c r="F720">
        <v>215.44501</v>
      </c>
      <c r="G720" s="5" t="s">
        <v>39</v>
      </c>
      <c r="H720" s="18">
        <v>65.805704199999994</v>
      </c>
      <c r="I720" s="19" t="s">
        <v>40</v>
      </c>
      <c r="J720" s="18">
        <v>0.218046207104166</v>
      </c>
      <c r="K720" s="5" t="s">
        <v>44</v>
      </c>
      <c r="L720" s="101" t="s">
        <v>188</v>
      </c>
      <c r="M720" s="5">
        <v>0.14000000000000001</v>
      </c>
      <c r="N720" s="59">
        <v>9.4391708000000012</v>
      </c>
      <c r="O720" s="59">
        <v>0.88395199999999718</v>
      </c>
      <c r="BU720" s="61"/>
    </row>
    <row r="721" spans="1:73" x14ac:dyDescent="0.35">
      <c r="A721" s="7" t="s">
        <v>1379</v>
      </c>
      <c r="B721" s="7" t="s">
        <v>1382</v>
      </c>
      <c r="C721" s="17" t="s">
        <v>573</v>
      </c>
      <c r="D721" s="5" t="s">
        <v>38</v>
      </c>
      <c r="E721" t="s">
        <v>651</v>
      </c>
      <c r="F721">
        <v>215.45500000000001</v>
      </c>
      <c r="G721" s="5" t="s">
        <v>39</v>
      </c>
      <c r="H721" s="18">
        <v>65.809899999999999</v>
      </c>
      <c r="I721" s="19" t="s">
        <v>40</v>
      </c>
      <c r="J721" s="18">
        <v>0.21393019634102473</v>
      </c>
      <c r="K721" s="5" t="s">
        <v>44</v>
      </c>
      <c r="L721" s="101" t="s">
        <v>188</v>
      </c>
      <c r="M721" s="5">
        <v>0.21</v>
      </c>
      <c r="N721" s="59">
        <v>9.1295328000000033</v>
      </c>
      <c r="O721" s="59">
        <v>0.57431399999999933</v>
      </c>
      <c r="BU721" s="61"/>
    </row>
    <row r="722" spans="1:73" x14ac:dyDescent="0.35">
      <c r="A722" s="7" t="s">
        <v>1379</v>
      </c>
      <c r="B722" s="7" t="s">
        <v>1382</v>
      </c>
      <c r="C722" s="17" t="s">
        <v>573</v>
      </c>
      <c r="D722" s="5" t="s">
        <v>38</v>
      </c>
      <c r="E722" t="s">
        <v>652</v>
      </c>
      <c r="F722">
        <v>215.465</v>
      </c>
      <c r="G722" s="5" t="s">
        <v>39</v>
      </c>
      <c r="H722" s="18">
        <v>65.813124999999999</v>
      </c>
      <c r="I722" s="19" t="s">
        <v>40</v>
      </c>
      <c r="J722" s="18">
        <v>0.20981006544701586</v>
      </c>
      <c r="K722" s="5" t="s">
        <v>44</v>
      </c>
      <c r="L722" s="101" t="s">
        <v>188</v>
      </c>
      <c r="M722" s="5">
        <v>0.25</v>
      </c>
      <c r="N722" s="59">
        <v>8.9527200000000011</v>
      </c>
      <c r="O722" s="59">
        <v>0.39750119999999711</v>
      </c>
      <c r="BU722" s="61"/>
    </row>
    <row r="723" spans="1:73" x14ac:dyDescent="0.35">
      <c r="A723" s="7" t="s">
        <v>1379</v>
      </c>
      <c r="B723" s="7" t="s">
        <v>1382</v>
      </c>
      <c r="C723" s="17" t="s">
        <v>573</v>
      </c>
      <c r="D723" s="5" t="s">
        <v>38</v>
      </c>
      <c r="E723" t="s">
        <v>653</v>
      </c>
      <c r="F723">
        <v>215.47501</v>
      </c>
      <c r="G723" s="5" t="s">
        <v>39</v>
      </c>
      <c r="H723" s="18">
        <v>65.815377249999997</v>
      </c>
      <c r="I723" s="19" t="s">
        <v>40</v>
      </c>
      <c r="J723" s="18">
        <v>0.20663602650000712</v>
      </c>
      <c r="K723" s="5" t="s">
        <v>44</v>
      </c>
      <c r="L723" s="101" t="s">
        <v>188</v>
      </c>
      <c r="M723" s="5">
        <v>0.17</v>
      </c>
      <c r="N723" s="59">
        <v>9.306435200000001</v>
      </c>
      <c r="O723" s="59">
        <v>0.75121639999999701</v>
      </c>
      <c r="BU723" s="61"/>
    </row>
    <row r="724" spans="1:73" x14ac:dyDescent="0.35">
      <c r="A724" s="7" t="s">
        <v>1379</v>
      </c>
      <c r="B724" s="7" t="s">
        <v>1382</v>
      </c>
      <c r="C724" s="17" t="s">
        <v>573</v>
      </c>
      <c r="D724" s="5" t="s">
        <v>38</v>
      </c>
      <c r="E724" t="s">
        <v>654</v>
      </c>
      <c r="F724">
        <v>215.48500000000001</v>
      </c>
      <c r="G724" s="5" t="s">
        <v>39</v>
      </c>
      <c r="H724" s="18">
        <v>65.817625000000007</v>
      </c>
      <c r="I724" s="19" t="s">
        <v>40</v>
      </c>
      <c r="J724" s="18">
        <v>0.20441474999999798</v>
      </c>
      <c r="K724" s="5" t="s">
        <v>44</v>
      </c>
      <c r="L724" s="101" t="s">
        <v>188</v>
      </c>
      <c r="M724" s="5">
        <v>0.19</v>
      </c>
      <c r="N724" s="59">
        <v>9.2179728000000019</v>
      </c>
      <c r="O724" s="59">
        <v>0.66275399999999784</v>
      </c>
      <c r="BU724" s="61"/>
    </row>
    <row r="725" spans="1:73" x14ac:dyDescent="0.35">
      <c r="A725" s="7" t="s">
        <v>1379</v>
      </c>
      <c r="B725" s="7" t="s">
        <v>1382</v>
      </c>
      <c r="C725" s="17" t="s">
        <v>573</v>
      </c>
      <c r="D725" s="5" t="s">
        <v>38</v>
      </c>
      <c r="E725" t="s">
        <v>655</v>
      </c>
      <c r="F725">
        <v>215.495</v>
      </c>
      <c r="G725" s="5" t="s">
        <v>39</v>
      </c>
      <c r="H725" s="18">
        <v>65.819874999999996</v>
      </c>
      <c r="I725" s="19" t="s">
        <v>40</v>
      </c>
      <c r="J725" s="18">
        <v>0.20219124999999849</v>
      </c>
      <c r="K725" s="5" t="s">
        <v>44</v>
      </c>
      <c r="L725" s="101" t="s">
        <v>188</v>
      </c>
      <c r="M725" s="5">
        <v>0.16</v>
      </c>
      <c r="N725" s="59">
        <v>9.350674800000002</v>
      </c>
      <c r="O725" s="59">
        <v>0.79545599999999794</v>
      </c>
      <c r="BU725" s="61"/>
    </row>
    <row r="726" spans="1:73" x14ac:dyDescent="0.35">
      <c r="A726" s="7" t="s">
        <v>1379</v>
      </c>
      <c r="B726" s="7" t="s">
        <v>1382</v>
      </c>
      <c r="C726" s="17" t="s">
        <v>573</v>
      </c>
      <c r="D726" s="5" t="s">
        <v>38</v>
      </c>
      <c r="E726" t="s">
        <v>656</v>
      </c>
      <c r="F726">
        <v>215.505</v>
      </c>
      <c r="G726" s="5" t="s">
        <v>39</v>
      </c>
      <c r="H726" s="18">
        <v>65.822125</v>
      </c>
      <c r="I726" s="19" t="s">
        <v>40</v>
      </c>
      <c r="J726" s="18">
        <v>0.199967749999999</v>
      </c>
      <c r="K726" s="5" t="s">
        <v>44</v>
      </c>
      <c r="L726" s="101" t="s">
        <v>188</v>
      </c>
      <c r="M726" s="5">
        <v>0.14000000000000001</v>
      </c>
      <c r="N726" s="59">
        <v>9.4391708000000012</v>
      </c>
      <c r="O726" s="59">
        <v>0.88395199999999718</v>
      </c>
      <c r="BU726" s="61"/>
    </row>
    <row r="727" spans="1:73" x14ac:dyDescent="0.35">
      <c r="A727" s="7" t="s">
        <v>1379</v>
      </c>
      <c r="B727" s="7" t="s">
        <v>1382</v>
      </c>
      <c r="C727" s="17" t="s">
        <v>573</v>
      </c>
      <c r="D727" s="5" t="s">
        <v>38</v>
      </c>
      <c r="E727" t="s">
        <v>657</v>
      </c>
      <c r="F727">
        <v>215.51499999999999</v>
      </c>
      <c r="G727" s="5" t="s">
        <v>39</v>
      </c>
      <c r="H727" s="18">
        <v>65.824375000000003</v>
      </c>
      <c r="I727" s="19" t="s">
        <v>40</v>
      </c>
      <c r="J727" s="18">
        <v>0.19774425000001372</v>
      </c>
      <c r="K727" s="5" t="s">
        <v>44</v>
      </c>
      <c r="L727" s="101" t="s">
        <v>188</v>
      </c>
      <c r="M727" s="5">
        <v>0.14000000000000001</v>
      </c>
      <c r="N727" s="59">
        <v>9.4391708000000012</v>
      </c>
      <c r="O727" s="59">
        <v>0.88395199999999718</v>
      </c>
      <c r="BU727" s="61"/>
    </row>
    <row r="728" spans="1:73" x14ac:dyDescent="0.35">
      <c r="A728" s="7" t="s">
        <v>1379</v>
      </c>
      <c r="B728" s="7" t="s">
        <v>1382</v>
      </c>
      <c r="C728" s="17" t="s">
        <v>573</v>
      </c>
      <c r="D728" s="5" t="s">
        <v>38</v>
      </c>
      <c r="E728" t="s">
        <v>658</v>
      </c>
      <c r="F728">
        <v>215.52499</v>
      </c>
      <c r="G728" s="5" t="s">
        <v>39</v>
      </c>
      <c r="H728" s="18">
        <v>65.826622749999999</v>
      </c>
      <c r="I728" s="19" t="s">
        <v>40</v>
      </c>
      <c r="J728" s="18">
        <v>0.19552297350000458</v>
      </c>
      <c r="K728" s="5" t="s">
        <v>44</v>
      </c>
      <c r="L728" s="101" t="s">
        <v>188</v>
      </c>
      <c r="M728" s="5">
        <v>0.16</v>
      </c>
      <c r="N728" s="59">
        <v>9.350674800000002</v>
      </c>
      <c r="O728" s="59">
        <v>0.79545599999999794</v>
      </c>
      <c r="BU728" s="61"/>
    </row>
    <row r="729" spans="1:73" x14ac:dyDescent="0.35">
      <c r="A729" s="7" t="s">
        <v>1379</v>
      </c>
      <c r="B729" s="7" t="s">
        <v>1382</v>
      </c>
      <c r="C729" s="17" t="s">
        <v>573</v>
      </c>
      <c r="D729" s="5" t="s">
        <v>38</v>
      </c>
      <c r="E729" t="s">
        <v>659</v>
      </c>
      <c r="F729">
        <v>215.535</v>
      </c>
      <c r="G729" s="5" t="s">
        <v>39</v>
      </c>
      <c r="H729" s="18">
        <v>65.828874999999996</v>
      </c>
      <c r="I729" s="19" t="s">
        <v>40</v>
      </c>
      <c r="J729" s="18">
        <v>0.19329725000000053</v>
      </c>
      <c r="K729" s="5" t="s">
        <v>44</v>
      </c>
      <c r="L729" s="101" t="s">
        <v>188</v>
      </c>
      <c r="M729" s="5">
        <v>0.2</v>
      </c>
      <c r="N729" s="59">
        <v>9.1737500000000018</v>
      </c>
      <c r="O729" s="59">
        <v>0.61853119999999784</v>
      </c>
      <c r="BU729" s="61"/>
    </row>
    <row r="730" spans="1:73" x14ac:dyDescent="0.35">
      <c r="A730" s="7" t="s">
        <v>1379</v>
      </c>
      <c r="B730" s="7" t="s">
        <v>1382</v>
      </c>
      <c r="C730" s="17" t="s">
        <v>573</v>
      </c>
      <c r="D730" s="5" t="s">
        <v>38</v>
      </c>
      <c r="E730" t="s">
        <v>660</v>
      </c>
      <c r="F730">
        <v>215.54499999999999</v>
      </c>
      <c r="G730" s="5" t="s">
        <v>39</v>
      </c>
      <c r="H730" s="18">
        <v>65.831125</v>
      </c>
      <c r="I730" s="19" t="s">
        <v>40</v>
      </c>
      <c r="J730" s="18">
        <v>0.19107375000000104</v>
      </c>
      <c r="K730" s="5" t="s">
        <v>44</v>
      </c>
      <c r="L730" s="101" t="s">
        <v>188</v>
      </c>
      <c r="M730" s="5">
        <v>0.18</v>
      </c>
      <c r="N730" s="59">
        <v>9.2622012000000016</v>
      </c>
      <c r="O730" s="59">
        <v>0.70698239999999757</v>
      </c>
      <c r="BU730" s="61"/>
    </row>
    <row r="731" spans="1:73" x14ac:dyDescent="0.35">
      <c r="A731" s="7" t="s">
        <v>1379</v>
      </c>
      <c r="B731" s="7" t="s">
        <v>1382</v>
      </c>
      <c r="C731" s="17" t="s">
        <v>573</v>
      </c>
      <c r="D731" s="5" t="s">
        <v>38</v>
      </c>
      <c r="E731" t="s">
        <v>661</v>
      </c>
      <c r="F731">
        <v>215.55499</v>
      </c>
      <c r="G731" s="5" t="s">
        <v>39</v>
      </c>
      <c r="H731" s="18">
        <v>65.833372749999995</v>
      </c>
      <c r="I731" s="19" t="s">
        <v>40</v>
      </c>
      <c r="J731" s="18">
        <v>0.18885247350000611</v>
      </c>
      <c r="K731" s="5" t="s">
        <v>44</v>
      </c>
      <c r="L731" s="101" t="s">
        <v>188</v>
      </c>
      <c r="M731" s="5">
        <v>0.25</v>
      </c>
      <c r="N731" s="59">
        <v>8.9527200000000011</v>
      </c>
      <c r="O731" s="59">
        <v>0.39750119999999711</v>
      </c>
      <c r="BU731" s="61"/>
    </row>
    <row r="732" spans="1:73" x14ac:dyDescent="0.35">
      <c r="A732" s="7" t="s">
        <v>1379</v>
      </c>
      <c r="B732" s="7" t="s">
        <v>1382</v>
      </c>
      <c r="C732" s="17" t="s">
        <v>573</v>
      </c>
      <c r="D732" s="5" t="s">
        <v>38</v>
      </c>
      <c r="E732" t="s">
        <v>662</v>
      </c>
      <c r="F732">
        <v>215.565</v>
      </c>
      <c r="G732" s="5" t="s">
        <v>39</v>
      </c>
      <c r="H732" s="18">
        <v>65.835624999999993</v>
      </c>
      <c r="I732" s="19" t="s">
        <v>40</v>
      </c>
      <c r="J732" s="18">
        <v>0.18662675000000206</v>
      </c>
      <c r="K732" s="5" t="s">
        <v>44</v>
      </c>
      <c r="L732" s="101" t="s">
        <v>188</v>
      </c>
      <c r="M732" s="5">
        <v>0.04</v>
      </c>
      <c r="N732" s="59">
        <v>9.8819868000000035</v>
      </c>
      <c r="O732" s="59">
        <v>1.3267679999999995</v>
      </c>
      <c r="BU732" s="61"/>
    </row>
    <row r="733" spans="1:73" x14ac:dyDescent="0.35">
      <c r="A733" s="7" t="s">
        <v>1379</v>
      </c>
      <c r="B733" s="7" t="s">
        <v>1382</v>
      </c>
      <c r="C733" s="17" t="s">
        <v>573</v>
      </c>
      <c r="D733" s="5" t="s">
        <v>38</v>
      </c>
      <c r="E733" t="s">
        <v>663</v>
      </c>
      <c r="F733">
        <v>215.57499999999999</v>
      </c>
      <c r="G733" s="5" t="s">
        <v>39</v>
      </c>
      <c r="H733" s="18">
        <v>65.837874999999997</v>
      </c>
      <c r="I733" s="19" t="s">
        <v>40</v>
      </c>
      <c r="J733" s="18">
        <v>0.18440325000000257</v>
      </c>
      <c r="K733" s="5" t="s">
        <v>44</v>
      </c>
      <c r="L733" s="101" t="s">
        <v>188</v>
      </c>
      <c r="M733" s="5">
        <v>0.14000000000000001</v>
      </c>
      <c r="N733" s="59">
        <v>9.4391708000000012</v>
      </c>
      <c r="O733" s="59">
        <v>0.88395199999999718</v>
      </c>
      <c r="BU733" s="61"/>
    </row>
    <row r="734" spans="1:73" x14ac:dyDescent="0.35">
      <c r="A734" s="7" t="s">
        <v>1379</v>
      </c>
      <c r="B734" s="7" t="s">
        <v>1382</v>
      </c>
      <c r="C734" s="17" t="s">
        <v>573</v>
      </c>
      <c r="D734" s="5" t="s">
        <v>38</v>
      </c>
      <c r="E734" t="s">
        <v>664</v>
      </c>
      <c r="F734">
        <v>215.58501000000001</v>
      </c>
      <c r="G734" s="5" t="s">
        <v>39</v>
      </c>
      <c r="H734" s="18">
        <v>65.840127249999995</v>
      </c>
      <c r="I734" s="19" t="s">
        <v>40</v>
      </c>
      <c r="J734" s="18">
        <v>0.18217752649999852</v>
      </c>
      <c r="K734" s="5" t="s">
        <v>44</v>
      </c>
      <c r="L734" s="101" t="s">
        <v>188</v>
      </c>
      <c r="M734" s="5">
        <v>0.19</v>
      </c>
      <c r="N734" s="59">
        <v>9.2179728000000019</v>
      </c>
      <c r="O734" s="59">
        <v>0.66275399999999784</v>
      </c>
      <c r="BU734" s="61"/>
    </row>
    <row r="735" spans="1:73" x14ac:dyDescent="0.35">
      <c r="A735" s="7" t="s">
        <v>1379</v>
      </c>
      <c r="B735" s="7" t="s">
        <v>1382</v>
      </c>
      <c r="C735" s="17" t="s">
        <v>573</v>
      </c>
      <c r="D735" s="5" t="s">
        <v>38</v>
      </c>
      <c r="E735" t="s">
        <v>665</v>
      </c>
      <c r="F735">
        <v>215.595</v>
      </c>
      <c r="G735" s="5" t="s">
        <v>39</v>
      </c>
      <c r="H735" s="18">
        <v>65.842375000000004</v>
      </c>
      <c r="I735" s="19" t="s">
        <v>40</v>
      </c>
      <c r="J735" s="18">
        <v>0.17995625000000359</v>
      </c>
      <c r="K735" s="5" t="s">
        <v>44</v>
      </c>
      <c r="L735" s="101" t="s">
        <v>188</v>
      </c>
      <c r="M735" s="5">
        <v>0.2</v>
      </c>
      <c r="N735" s="59">
        <v>9.1737500000000018</v>
      </c>
      <c r="O735" s="59">
        <v>0.61853119999999784</v>
      </c>
      <c r="BU735" s="61"/>
    </row>
    <row r="736" spans="1:73" x14ac:dyDescent="0.35">
      <c r="A736" s="7" t="s">
        <v>1379</v>
      </c>
      <c r="B736" s="7" t="s">
        <v>1382</v>
      </c>
      <c r="C736" s="17" t="s">
        <v>573</v>
      </c>
      <c r="D736" s="5" t="s">
        <v>38</v>
      </c>
      <c r="E736" t="s">
        <v>666</v>
      </c>
      <c r="F736">
        <v>215.60499999999999</v>
      </c>
      <c r="G736" s="5" t="s">
        <v>39</v>
      </c>
      <c r="H736" s="18">
        <v>65.844624999999994</v>
      </c>
      <c r="I736" s="19" t="s">
        <v>40</v>
      </c>
      <c r="J736" s="18">
        <v>0.1777327500000041</v>
      </c>
      <c r="K736" s="5" t="s">
        <v>44</v>
      </c>
      <c r="L736" s="101" t="s">
        <v>188</v>
      </c>
      <c r="M736" s="5">
        <v>0.23</v>
      </c>
      <c r="N736" s="59">
        <v>9.0411152000000019</v>
      </c>
      <c r="O736" s="59">
        <v>0.4858963999999979</v>
      </c>
      <c r="BU736" s="61"/>
    </row>
    <row r="737" spans="1:73" x14ac:dyDescent="0.35">
      <c r="A737" s="7" t="s">
        <v>1379</v>
      </c>
      <c r="B737" s="7" t="s">
        <v>1382</v>
      </c>
      <c r="C737" s="17" t="s">
        <v>573</v>
      </c>
      <c r="D737" s="5" t="s">
        <v>38</v>
      </c>
      <c r="E737" t="s">
        <v>667</v>
      </c>
      <c r="F737">
        <v>215.61501000000001</v>
      </c>
      <c r="G737" s="5" t="s">
        <v>39</v>
      </c>
      <c r="H737" s="18">
        <v>65.846877250000006</v>
      </c>
      <c r="I737" s="19" t="s">
        <v>40</v>
      </c>
      <c r="J737" s="18">
        <v>0.17550702650000005</v>
      </c>
      <c r="K737" s="5" t="s">
        <v>44</v>
      </c>
      <c r="L737" s="101" t="s">
        <v>188</v>
      </c>
      <c r="M737" s="5">
        <v>0.24</v>
      </c>
      <c r="N737" s="59">
        <v>8.9969148000000008</v>
      </c>
      <c r="O737" s="59">
        <v>0.44169599999999676</v>
      </c>
      <c r="BU737" s="61"/>
    </row>
    <row r="738" spans="1:73" x14ac:dyDescent="0.35">
      <c r="A738" s="7" t="s">
        <v>1379</v>
      </c>
      <c r="B738" s="7" t="s">
        <v>1382</v>
      </c>
      <c r="C738" s="17" t="s">
        <v>573</v>
      </c>
      <c r="D738" s="5" t="s">
        <v>38</v>
      </c>
      <c r="E738" t="s">
        <v>668</v>
      </c>
      <c r="F738">
        <v>215.625</v>
      </c>
      <c r="G738" s="5" t="s">
        <v>39</v>
      </c>
      <c r="H738" s="18">
        <v>65.849125000000001</v>
      </c>
      <c r="I738" s="19" t="s">
        <v>40</v>
      </c>
      <c r="J738" s="18">
        <v>0.17328575000000512</v>
      </c>
      <c r="K738" s="5" t="s">
        <v>44</v>
      </c>
      <c r="L738" s="101" t="s">
        <v>188</v>
      </c>
      <c r="M738" s="5">
        <v>0.21</v>
      </c>
      <c r="N738" s="59">
        <v>9.1295328000000033</v>
      </c>
      <c r="O738" s="59">
        <v>0.57431399999999933</v>
      </c>
      <c r="BU738" s="61"/>
    </row>
    <row r="739" spans="1:73" x14ac:dyDescent="0.35">
      <c r="A739" s="7" t="s">
        <v>1379</v>
      </c>
      <c r="B739" s="7" t="s">
        <v>1382</v>
      </c>
      <c r="C739" s="17" t="s">
        <v>573</v>
      </c>
      <c r="D739" s="5" t="s">
        <v>38</v>
      </c>
      <c r="E739" t="s">
        <v>669</v>
      </c>
      <c r="F739">
        <v>215.63498999999999</v>
      </c>
      <c r="G739" s="5" t="s">
        <v>39</v>
      </c>
      <c r="H739" s="18">
        <v>65.851372749999996</v>
      </c>
      <c r="I739" s="19" t="s">
        <v>40</v>
      </c>
      <c r="J739" s="18">
        <v>0.17106447350001019</v>
      </c>
      <c r="K739" s="5" t="s">
        <v>44</v>
      </c>
      <c r="L739" s="101" t="s">
        <v>188</v>
      </c>
      <c r="M739" s="5">
        <v>0.26</v>
      </c>
      <c r="N739" s="59">
        <v>8.908530800000003</v>
      </c>
      <c r="O739" s="59">
        <v>0.35331199999999896</v>
      </c>
      <c r="BU739" s="61"/>
    </row>
    <row r="740" spans="1:73" x14ac:dyDescent="0.35">
      <c r="A740" s="7" t="s">
        <v>1379</v>
      </c>
      <c r="B740" s="7" t="s">
        <v>1382</v>
      </c>
      <c r="C740" s="17" t="s">
        <v>573</v>
      </c>
      <c r="D740" s="5" t="s">
        <v>38</v>
      </c>
      <c r="E740" t="s">
        <v>670</v>
      </c>
      <c r="F740">
        <v>215.64500000000001</v>
      </c>
      <c r="G740" s="5" t="s">
        <v>39</v>
      </c>
      <c r="H740" s="18">
        <v>65.853624999999994</v>
      </c>
      <c r="I740" s="19" t="s">
        <v>40</v>
      </c>
      <c r="J740" s="18">
        <v>0.16883875000000614</v>
      </c>
      <c r="K740" s="5" t="s">
        <v>44</v>
      </c>
      <c r="L740" s="101" t="s">
        <v>188</v>
      </c>
      <c r="M740" s="5">
        <v>0.24</v>
      </c>
      <c r="N740" s="59">
        <v>8.9969148000000008</v>
      </c>
      <c r="O740" s="59">
        <v>0.44169599999999676</v>
      </c>
      <c r="BU740" s="61"/>
    </row>
    <row r="741" spans="1:73" x14ac:dyDescent="0.35">
      <c r="A741" s="7" t="s">
        <v>1379</v>
      </c>
      <c r="B741" s="7" t="s">
        <v>1382</v>
      </c>
      <c r="C741" s="17" t="s">
        <v>573</v>
      </c>
      <c r="D741" s="5" t="s">
        <v>38</v>
      </c>
      <c r="E741" t="s">
        <v>671</v>
      </c>
      <c r="F741">
        <v>215.655</v>
      </c>
      <c r="G741" s="5" t="s">
        <v>39</v>
      </c>
      <c r="H741" s="18">
        <v>65.855874999999997</v>
      </c>
      <c r="I741" s="19" t="s">
        <v>40</v>
      </c>
      <c r="J741" s="18">
        <v>0.16661525000000665</v>
      </c>
      <c r="K741" s="5" t="s">
        <v>44</v>
      </c>
      <c r="L741" s="101" t="s">
        <v>188</v>
      </c>
      <c r="M741" s="5">
        <v>0.28999999999999998</v>
      </c>
      <c r="N741" s="59">
        <v>8.7759968000000015</v>
      </c>
      <c r="O741" s="59">
        <v>0.22077799999999748</v>
      </c>
      <c r="BU741" s="61"/>
    </row>
    <row r="742" spans="1:73" x14ac:dyDescent="0.35">
      <c r="A742" s="7" t="s">
        <v>1379</v>
      </c>
      <c r="B742" s="7" t="s">
        <v>1382</v>
      </c>
      <c r="C742" s="17" t="s">
        <v>573</v>
      </c>
      <c r="D742" s="5" t="s">
        <v>38</v>
      </c>
      <c r="E742" t="s">
        <v>672</v>
      </c>
      <c r="F742">
        <v>215.66498999999999</v>
      </c>
      <c r="G742" s="5" t="s">
        <v>39</v>
      </c>
      <c r="H742" s="18">
        <v>65.858122750000007</v>
      </c>
      <c r="I742" s="19" t="s">
        <v>40</v>
      </c>
      <c r="J742" s="18">
        <v>0.16439397350001173</v>
      </c>
      <c r="K742" s="5" t="s">
        <v>44</v>
      </c>
      <c r="L742" s="101" t="s">
        <v>188</v>
      </c>
      <c r="M742" s="5">
        <v>0.26</v>
      </c>
      <c r="N742" s="59">
        <v>8.908530800000003</v>
      </c>
      <c r="O742" s="59">
        <v>0.35331199999999896</v>
      </c>
      <c r="BU742" s="61"/>
    </row>
    <row r="743" spans="1:73" x14ac:dyDescent="0.35">
      <c r="A743" s="7" t="s">
        <v>1379</v>
      </c>
      <c r="B743" s="7" t="s">
        <v>1382</v>
      </c>
      <c r="C743" s="17" t="s">
        <v>573</v>
      </c>
      <c r="D743" s="5" t="s">
        <v>38</v>
      </c>
      <c r="E743" t="s">
        <v>673</v>
      </c>
      <c r="F743">
        <v>215.67500000000001</v>
      </c>
      <c r="G743" s="5" t="s">
        <v>39</v>
      </c>
      <c r="H743" s="18">
        <v>65.860375000000005</v>
      </c>
      <c r="I743" s="19" t="s">
        <v>40</v>
      </c>
      <c r="J743" s="18">
        <v>0.16216825000000767</v>
      </c>
      <c r="K743" s="5" t="s">
        <v>44</v>
      </c>
      <c r="L743" s="101" t="s">
        <v>188</v>
      </c>
      <c r="M743" s="5">
        <v>0.28999999999999998</v>
      </c>
      <c r="N743" s="59">
        <v>8.7759968000000015</v>
      </c>
      <c r="O743" s="59">
        <v>0.22077799999999748</v>
      </c>
      <c r="BU743" s="61"/>
    </row>
    <row r="744" spans="1:73" x14ac:dyDescent="0.35">
      <c r="A744" s="7" t="s">
        <v>1379</v>
      </c>
      <c r="B744" s="7" t="s">
        <v>1382</v>
      </c>
      <c r="C744" s="17" t="s">
        <v>573</v>
      </c>
      <c r="D744" s="5" t="s">
        <v>38</v>
      </c>
      <c r="E744" t="s">
        <v>674</v>
      </c>
      <c r="F744">
        <v>215.685</v>
      </c>
      <c r="G744" s="5" t="s">
        <v>39</v>
      </c>
      <c r="H744" s="18">
        <v>65.862624999999994</v>
      </c>
      <c r="I744" s="19" t="s">
        <v>40</v>
      </c>
      <c r="J744" s="18">
        <v>0.15994475000000818</v>
      </c>
      <c r="K744" s="5" t="s">
        <v>44</v>
      </c>
      <c r="L744" s="101" t="s">
        <v>188</v>
      </c>
      <c r="M744" s="5">
        <v>0.24</v>
      </c>
      <c r="N744" s="59">
        <v>8.9969148000000008</v>
      </c>
      <c r="O744" s="59">
        <v>0.44169599999999676</v>
      </c>
      <c r="BU744" s="61"/>
    </row>
    <row r="745" spans="1:73" x14ac:dyDescent="0.35">
      <c r="A745" s="7" t="s">
        <v>1379</v>
      </c>
      <c r="B745" s="7" t="s">
        <v>1382</v>
      </c>
      <c r="C745" s="17" t="s">
        <v>573</v>
      </c>
      <c r="D745" s="5" t="s">
        <v>38</v>
      </c>
      <c r="E745" t="s">
        <v>675</v>
      </c>
      <c r="F745">
        <v>215.69501</v>
      </c>
      <c r="G745" s="5" t="s">
        <v>39</v>
      </c>
      <c r="H745" s="18">
        <v>65.864877250000006</v>
      </c>
      <c r="I745" s="19" t="s">
        <v>40</v>
      </c>
      <c r="J745" s="18">
        <v>0.15771902650000413</v>
      </c>
      <c r="K745" s="5" t="s">
        <v>44</v>
      </c>
      <c r="L745" s="101" t="s">
        <v>188</v>
      </c>
      <c r="M745" s="5">
        <v>0.24</v>
      </c>
      <c r="N745" s="59">
        <v>8.9969148000000008</v>
      </c>
      <c r="O745" s="59">
        <v>0.44169599999999676</v>
      </c>
      <c r="BU745" s="61"/>
    </row>
    <row r="746" spans="1:73" x14ac:dyDescent="0.35">
      <c r="A746" s="7" t="s">
        <v>1379</v>
      </c>
      <c r="B746" s="7" t="s">
        <v>1382</v>
      </c>
      <c r="C746" s="17" t="s">
        <v>573</v>
      </c>
      <c r="D746" s="5" t="s">
        <v>38</v>
      </c>
      <c r="E746" t="s">
        <v>676</v>
      </c>
      <c r="F746">
        <v>215.70500000000001</v>
      </c>
      <c r="G746" s="5" t="s">
        <v>39</v>
      </c>
      <c r="H746" s="18">
        <v>65.867125000000001</v>
      </c>
      <c r="I746" s="19" t="s">
        <v>40</v>
      </c>
      <c r="J746" s="18">
        <v>0.1554977500000092</v>
      </c>
      <c r="K746" s="5" t="s">
        <v>44</v>
      </c>
      <c r="L746" s="101" t="s">
        <v>188</v>
      </c>
      <c r="M746" s="5">
        <v>0.15</v>
      </c>
      <c r="N746" s="59">
        <v>9.3949200000000026</v>
      </c>
      <c r="O746" s="59">
        <v>0.83970119999999859</v>
      </c>
      <c r="BU746" s="61"/>
    </row>
    <row r="747" spans="1:73" x14ac:dyDescent="0.35">
      <c r="A747" s="7" t="s">
        <v>1379</v>
      </c>
      <c r="B747" s="7" t="s">
        <v>1382</v>
      </c>
      <c r="C747" s="17" t="s">
        <v>573</v>
      </c>
      <c r="D747" s="5" t="s">
        <v>38</v>
      </c>
      <c r="E747" t="s">
        <v>677</v>
      </c>
      <c r="F747">
        <v>215.715</v>
      </c>
      <c r="G747" s="5" t="s">
        <v>39</v>
      </c>
      <c r="H747" s="18">
        <v>65.869375000000005</v>
      </c>
      <c r="I747" s="19" t="s">
        <v>40</v>
      </c>
      <c r="J747" s="18">
        <v>0.15327425000000972</v>
      </c>
      <c r="K747" s="5" t="s">
        <v>44</v>
      </c>
      <c r="L747" s="101" t="s">
        <v>188</v>
      </c>
      <c r="M747" s="5">
        <v>0.24</v>
      </c>
      <c r="N747" s="59">
        <v>8.9969148000000008</v>
      </c>
      <c r="O747" s="59">
        <v>0.44169599999999676</v>
      </c>
      <c r="BU747" s="61"/>
    </row>
    <row r="748" spans="1:73" x14ac:dyDescent="0.35">
      <c r="A748" s="7" t="s">
        <v>1379</v>
      </c>
      <c r="B748" s="7" t="s">
        <v>1382</v>
      </c>
      <c r="C748" s="17" t="s">
        <v>573</v>
      </c>
      <c r="D748" s="5" t="s">
        <v>38</v>
      </c>
      <c r="E748" t="s">
        <v>678</v>
      </c>
      <c r="F748">
        <v>215.72501</v>
      </c>
      <c r="G748" s="5" t="s">
        <v>39</v>
      </c>
      <c r="H748" s="18">
        <v>65.871627250000003</v>
      </c>
      <c r="I748" s="19" t="s">
        <v>40</v>
      </c>
      <c r="J748" s="18">
        <v>0.15104852650000566</v>
      </c>
      <c r="K748" s="5" t="s">
        <v>44</v>
      </c>
      <c r="L748" s="101" t="s">
        <v>188</v>
      </c>
      <c r="M748" s="5">
        <v>0.21</v>
      </c>
      <c r="N748" s="59">
        <v>9.1295328000000033</v>
      </c>
      <c r="O748" s="59">
        <v>0.57431399999999933</v>
      </c>
      <c r="BU748" s="61"/>
    </row>
    <row r="749" spans="1:73" x14ac:dyDescent="0.35">
      <c r="A749" s="7" t="s">
        <v>1379</v>
      </c>
      <c r="B749" s="7" t="s">
        <v>1382</v>
      </c>
      <c r="C749" s="17" t="s">
        <v>573</v>
      </c>
      <c r="D749" s="5" t="s">
        <v>38</v>
      </c>
      <c r="E749" t="s">
        <v>679</v>
      </c>
      <c r="F749">
        <v>215.73500000000001</v>
      </c>
      <c r="G749" s="5" t="s">
        <v>39</v>
      </c>
      <c r="H749" s="18">
        <v>65.873874999999998</v>
      </c>
      <c r="I749" s="19" t="s">
        <v>40</v>
      </c>
      <c r="J749" s="18">
        <v>0.14882725000001074</v>
      </c>
      <c r="K749" s="5" t="s">
        <v>44</v>
      </c>
      <c r="L749" s="101" t="s">
        <v>188</v>
      </c>
      <c r="M749" s="5">
        <v>0.26</v>
      </c>
      <c r="N749" s="59">
        <v>8.908530800000003</v>
      </c>
      <c r="O749" s="59">
        <v>0.35331199999999896</v>
      </c>
      <c r="BU749" s="61"/>
    </row>
    <row r="750" spans="1:73" x14ac:dyDescent="0.35">
      <c r="A750" s="7" t="s">
        <v>1379</v>
      </c>
      <c r="B750" s="7" t="s">
        <v>1382</v>
      </c>
      <c r="C750" s="17" t="s">
        <v>573</v>
      </c>
      <c r="D750" s="5" t="s">
        <v>38</v>
      </c>
      <c r="E750" t="s">
        <v>680</v>
      </c>
      <c r="F750">
        <v>215.745</v>
      </c>
      <c r="G750" s="5" t="s">
        <v>39</v>
      </c>
      <c r="H750" s="18">
        <v>65.876125000000002</v>
      </c>
      <c r="I750" s="19" t="s">
        <v>40</v>
      </c>
      <c r="J750" s="18">
        <v>0.14660375000001125</v>
      </c>
      <c r="K750" s="5" t="s">
        <v>44</v>
      </c>
      <c r="L750" s="101" t="s">
        <v>188</v>
      </c>
      <c r="M750" s="5">
        <v>0.25</v>
      </c>
      <c r="N750" s="59">
        <v>8.9527200000000011</v>
      </c>
      <c r="O750" s="59">
        <v>0.39750119999999711</v>
      </c>
      <c r="BU750" s="61"/>
    </row>
    <row r="751" spans="1:73" x14ac:dyDescent="0.35">
      <c r="A751" s="7" t="s">
        <v>1379</v>
      </c>
      <c r="B751" s="7" t="s">
        <v>1382</v>
      </c>
      <c r="C751" s="17" t="s">
        <v>573</v>
      </c>
      <c r="D751" s="5" t="s">
        <v>38</v>
      </c>
      <c r="E751" t="s">
        <v>681</v>
      </c>
      <c r="F751">
        <v>215.755</v>
      </c>
      <c r="G751" s="5" t="s">
        <v>39</v>
      </c>
      <c r="H751" s="18">
        <v>65.878375000000005</v>
      </c>
      <c r="I751" s="19" t="s">
        <v>40</v>
      </c>
      <c r="J751" s="18">
        <v>0.14438025000001176</v>
      </c>
      <c r="K751" s="5" t="s">
        <v>44</v>
      </c>
      <c r="L751" s="101" t="s">
        <v>188</v>
      </c>
      <c r="M751" s="5">
        <v>0.28999999999999998</v>
      </c>
      <c r="N751" s="59">
        <v>8.7759968000000015</v>
      </c>
      <c r="O751" s="59">
        <v>0.22077799999999748</v>
      </c>
      <c r="BU751" s="61"/>
    </row>
    <row r="752" spans="1:73" x14ac:dyDescent="0.35">
      <c r="A752" s="7" t="s">
        <v>1379</v>
      </c>
      <c r="B752" s="7" t="s">
        <v>1382</v>
      </c>
      <c r="C752" s="17" t="s">
        <v>573</v>
      </c>
      <c r="D752" s="5" t="s">
        <v>38</v>
      </c>
      <c r="E752" t="s">
        <v>682</v>
      </c>
      <c r="F752">
        <v>215.76499999999999</v>
      </c>
      <c r="G752" s="5" t="s">
        <v>39</v>
      </c>
      <c r="H752" s="18">
        <v>65.880624999999995</v>
      </c>
      <c r="I752" s="19" t="s">
        <v>40</v>
      </c>
      <c r="J752" s="18">
        <v>0.14215675000001227</v>
      </c>
      <c r="K752" s="5" t="s">
        <v>44</v>
      </c>
      <c r="L752" s="101" t="s">
        <v>188</v>
      </c>
      <c r="M752" s="5">
        <v>0.27</v>
      </c>
      <c r="N752" s="59">
        <v>8.8643472000000028</v>
      </c>
      <c r="O752" s="59">
        <v>0.30912839999999875</v>
      </c>
      <c r="BU752" s="61"/>
    </row>
    <row r="753" spans="1:73" x14ac:dyDescent="0.35">
      <c r="A753" s="7" t="s">
        <v>1379</v>
      </c>
      <c r="B753" s="7" t="s">
        <v>1382</v>
      </c>
      <c r="C753" s="17" t="s">
        <v>573</v>
      </c>
      <c r="D753" s="5" t="s">
        <v>38</v>
      </c>
      <c r="E753" t="s">
        <v>683</v>
      </c>
      <c r="F753">
        <v>215.77499</v>
      </c>
      <c r="G753" s="5" t="s">
        <v>39</v>
      </c>
      <c r="H753" s="18">
        <v>65.882872750000004</v>
      </c>
      <c r="I753" s="19" t="s">
        <v>40</v>
      </c>
      <c r="J753" s="18">
        <v>0.13993547350000313</v>
      </c>
      <c r="K753" s="5" t="s">
        <v>44</v>
      </c>
      <c r="L753" s="101" t="s">
        <v>188</v>
      </c>
      <c r="M753" s="5">
        <v>0.24</v>
      </c>
      <c r="N753" s="59">
        <v>8.9969148000000008</v>
      </c>
      <c r="O753" s="59">
        <v>0.44169599999999676</v>
      </c>
      <c r="BU753" s="61"/>
    </row>
    <row r="754" spans="1:73" x14ac:dyDescent="0.35">
      <c r="A754" s="7" t="s">
        <v>1379</v>
      </c>
      <c r="B754" s="7" t="s">
        <v>1382</v>
      </c>
      <c r="C754" s="17" t="s">
        <v>573</v>
      </c>
      <c r="D754" s="5" t="s">
        <v>38</v>
      </c>
      <c r="E754" t="s">
        <v>684</v>
      </c>
      <c r="F754">
        <v>215.785</v>
      </c>
      <c r="G754" s="5" t="s">
        <v>39</v>
      </c>
      <c r="H754" s="18">
        <v>65.885125000000002</v>
      </c>
      <c r="I754" s="19" t="s">
        <v>40</v>
      </c>
      <c r="J754" s="18">
        <v>0.13770975000001329</v>
      </c>
      <c r="K754" s="5" t="s">
        <v>44</v>
      </c>
      <c r="L754" s="101" t="s">
        <v>188</v>
      </c>
      <c r="M754" s="5">
        <v>0.28000000000000003</v>
      </c>
      <c r="N754" s="59">
        <v>8.8201692000000023</v>
      </c>
      <c r="O754" s="59">
        <v>0.26495039999999825</v>
      </c>
      <c r="BU754" s="61"/>
    </row>
    <row r="755" spans="1:73" x14ac:dyDescent="0.35">
      <c r="A755" s="7" t="s">
        <v>1379</v>
      </c>
      <c r="B755" s="7" t="s">
        <v>1382</v>
      </c>
      <c r="C755" s="17" t="s">
        <v>573</v>
      </c>
      <c r="D755" s="5" t="s">
        <v>38</v>
      </c>
      <c r="E755" t="s">
        <v>685</v>
      </c>
      <c r="F755">
        <v>215.79499999999999</v>
      </c>
      <c r="G755" s="5" t="s">
        <v>39</v>
      </c>
      <c r="H755" s="18">
        <v>65.887375000000006</v>
      </c>
      <c r="I755" s="19" t="s">
        <v>40</v>
      </c>
      <c r="J755" s="18">
        <v>0.1354862500000138</v>
      </c>
      <c r="K755" s="5" t="s">
        <v>44</v>
      </c>
      <c r="L755" s="101" t="s">
        <v>188</v>
      </c>
      <c r="M755" s="5">
        <v>0.25</v>
      </c>
      <c r="N755" s="59">
        <v>8.9527200000000011</v>
      </c>
      <c r="O755" s="59">
        <v>0.39750119999999711</v>
      </c>
      <c r="BU755" s="61"/>
    </row>
    <row r="756" spans="1:73" x14ac:dyDescent="0.35">
      <c r="A756" s="7" t="s">
        <v>1379</v>
      </c>
      <c r="B756" s="7" t="s">
        <v>1382</v>
      </c>
      <c r="C756" s="17" t="s">
        <v>573</v>
      </c>
      <c r="D756" s="5" t="s">
        <v>38</v>
      </c>
      <c r="E756" t="s">
        <v>686</v>
      </c>
      <c r="F756">
        <v>215.80499</v>
      </c>
      <c r="G756" s="5" t="s">
        <v>39</v>
      </c>
      <c r="H756" s="18">
        <v>65.889622750000001</v>
      </c>
      <c r="I756" s="19" t="s">
        <v>40</v>
      </c>
      <c r="J756" s="18">
        <v>0.13326497350000466</v>
      </c>
      <c r="K756" s="5" t="s">
        <v>44</v>
      </c>
      <c r="L756" s="101" t="s">
        <v>188</v>
      </c>
      <c r="M756" s="5">
        <v>0.28999999999999998</v>
      </c>
      <c r="N756" s="59">
        <v>8.7759968000000015</v>
      </c>
      <c r="O756" s="59">
        <v>0.22077799999999748</v>
      </c>
      <c r="BU756" s="61"/>
    </row>
    <row r="757" spans="1:73" x14ac:dyDescent="0.35">
      <c r="A757" s="7" t="s">
        <v>1379</v>
      </c>
      <c r="B757" s="7" t="s">
        <v>1382</v>
      </c>
      <c r="C757" s="17" t="s">
        <v>573</v>
      </c>
      <c r="D757" s="5" t="s">
        <v>38</v>
      </c>
      <c r="E757" t="s">
        <v>687</v>
      </c>
      <c r="F757">
        <v>215.815</v>
      </c>
      <c r="G757" s="5" t="s">
        <v>39</v>
      </c>
      <c r="H757" s="18">
        <v>65.891874999999999</v>
      </c>
      <c r="I757" s="19" t="s">
        <v>40</v>
      </c>
      <c r="J757" s="18">
        <v>0.13103925000001482</v>
      </c>
      <c r="K757" s="5" t="s">
        <v>44</v>
      </c>
      <c r="L757" s="101" t="s">
        <v>188</v>
      </c>
      <c r="M757" s="5">
        <v>0.2</v>
      </c>
      <c r="N757" s="59">
        <v>9.1737500000000018</v>
      </c>
      <c r="O757" s="59">
        <v>0.61853119999999784</v>
      </c>
      <c r="BU757" s="61"/>
    </row>
    <row r="758" spans="1:73" x14ac:dyDescent="0.35">
      <c r="A758" s="7" t="s">
        <v>1379</v>
      </c>
      <c r="B758" s="7" t="s">
        <v>1382</v>
      </c>
      <c r="C758" s="17" t="s">
        <v>573</v>
      </c>
      <c r="D758" s="5" t="s">
        <v>38</v>
      </c>
      <c r="E758" t="s">
        <v>688</v>
      </c>
      <c r="F758">
        <v>215.82499999999999</v>
      </c>
      <c r="G758" s="5" t="s">
        <v>39</v>
      </c>
      <c r="H758" s="18">
        <v>65.894125000000003</v>
      </c>
      <c r="I758" s="19" t="s">
        <v>40</v>
      </c>
      <c r="J758" s="18">
        <v>0.12881575000001533</v>
      </c>
      <c r="K758" s="5" t="s">
        <v>44</v>
      </c>
      <c r="L758" s="101" t="s">
        <v>188</v>
      </c>
      <c r="M758" s="5">
        <v>0.22</v>
      </c>
      <c r="N758" s="59">
        <v>9.0853212000000028</v>
      </c>
      <c r="O758" s="59">
        <v>0.53010239999999875</v>
      </c>
      <c r="BU758" s="61"/>
    </row>
    <row r="759" spans="1:73" x14ac:dyDescent="0.35">
      <c r="A759" s="7" t="s">
        <v>1379</v>
      </c>
      <c r="B759" s="7" t="s">
        <v>1382</v>
      </c>
      <c r="C759" s="17" t="s">
        <v>573</v>
      </c>
      <c r="D759" s="5" t="s">
        <v>38</v>
      </c>
      <c r="E759" t="s">
        <v>689</v>
      </c>
      <c r="F759">
        <v>215.83501000000001</v>
      </c>
      <c r="G759" s="5" t="s">
        <v>39</v>
      </c>
      <c r="H759" s="18">
        <v>65.89637725</v>
      </c>
      <c r="I759" s="19" t="s">
        <v>40</v>
      </c>
      <c r="J759" s="18">
        <v>0.12659002650001128</v>
      </c>
      <c r="K759" s="5" t="s">
        <v>44</v>
      </c>
      <c r="L759" s="101" t="s">
        <v>188</v>
      </c>
      <c r="M759" s="5">
        <v>0.19</v>
      </c>
      <c r="N759" s="59">
        <v>9.2179728000000019</v>
      </c>
      <c r="O759" s="59">
        <v>0.66275399999999784</v>
      </c>
      <c r="BU759" s="61"/>
    </row>
    <row r="760" spans="1:73" x14ac:dyDescent="0.35">
      <c r="A760" s="7" t="s">
        <v>1379</v>
      </c>
      <c r="B760" s="7" t="s">
        <v>1382</v>
      </c>
      <c r="C760" s="17" t="s">
        <v>573</v>
      </c>
      <c r="D760" s="5" t="s">
        <v>38</v>
      </c>
      <c r="E760" t="s">
        <v>690</v>
      </c>
      <c r="F760">
        <v>215.845</v>
      </c>
      <c r="G760" s="5" t="s">
        <v>39</v>
      </c>
      <c r="H760" s="18">
        <v>65.898624999999996</v>
      </c>
      <c r="I760" s="19" t="s">
        <v>40</v>
      </c>
      <c r="J760" s="18">
        <v>0.12436875000000214</v>
      </c>
      <c r="K760" s="5" t="s">
        <v>44</v>
      </c>
      <c r="L760" s="101" t="s">
        <v>188</v>
      </c>
      <c r="M760" s="5">
        <v>0.26</v>
      </c>
      <c r="N760" s="59">
        <v>8.908530800000003</v>
      </c>
      <c r="O760" s="59">
        <v>0.35331199999999896</v>
      </c>
      <c r="BU760" s="61"/>
    </row>
    <row r="761" spans="1:73" x14ac:dyDescent="0.35">
      <c r="A761" s="7" t="s">
        <v>1379</v>
      </c>
      <c r="B761" s="7" t="s">
        <v>1382</v>
      </c>
      <c r="C761" s="17" t="s">
        <v>573</v>
      </c>
      <c r="D761" s="5" t="s">
        <v>38</v>
      </c>
      <c r="E761" t="s">
        <v>691</v>
      </c>
      <c r="F761">
        <v>215.85499999999999</v>
      </c>
      <c r="G761" s="5" t="s">
        <v>39</v>
      </c>
      <c r="H761" s="18">
        <v>65.900874999999999</v>
      </c>
      <c r="I761" s="19" t="s">
        <v>40</v>
      </c>
      <c r="J761" s="18">
        <v>0.12214525000001686</v>
      </c>
      <c r="K761" s="5" t="s">
        <v>44</v>
      </c>
      <c r="L761" s="101" t="s">
        <v>188</v>
      </c>
      <c r="M761" s="5">
        <v>0.24</v>
      </c>
      <c r="N761" s="59">
        <v>8.9969148000000008</v>
      </c>
      <c r="O761" s="59">
        <v>0.44169599999999676</v>
      </c>
      <c r="BU761" s="61"/>
    </row>
    <row r="762" spans="1:73" x14ac:dyDescent="0.35">
      <c r="A762" s="7" t="s">
        <v>1379</v>
      </c>
      <c r="B762" s="7" t="s">
        <v>1382</v>
      </c>
      <c r="C762" s="17" t="s">
        <v>573</v>
      </c>
      <c r="D762" s="5" t="s">
        <v>38</v>
      </c>
      <c r="E762" t="s">
        <v>692</v>
      </c>
      <c r="F762">
        <v>215.86501000000001</v>
      </c>
      <c r="G762" s="5" t="s">
        <v>39</v>
      </c>
      <c r="H762" s="18">
        <v>65.903127249999997</v>
      </c>
      <c r="I762" s="19" t="s">
        <v>40</v>
      </c>
      <c r="J762" s="18">
        <v>0.11991952650001281</v>
      </c>
      <c r="K762" s="5" t="s">
        <v>44</v>
      </c>
      <c r="L762" s="101" t="s">
        <v>188</v>
      </c>
      <c r="M762" s="5">
        <v>0.31</v>
      </c>
      <c r="N762" s="59">
        <v>8.6876688000000026</v>
      </c>
      <c r="O762" s="59">
        <v>0.13244999999999862</v>
      </c>
      <c r="BU762" s="61"/>
    </row>
    <row r="763" spans="1:73" x14ac:dyDescent="0.35">
      <c r="A763" s="7" t="s">
        <v>1379</v>
      </c>
      <c r="B763" s="7" t="s">
        <v>1382</v>
      </c>
      <c r="C763" s="17" t="s">
        <v>573</v>
      </c>
      <c r="D763" s="5" t="s">
        <v>38</v>
      </c>
      <c r="E763" t="s">
        <v>693</v>
      </c>
      <c r="F763">
        <v>215.875</v>
      </c>
      <c r="G763" s="5" t="s">
        <v>39</v>
      </c>
      <c r="H763" s="18">
        <v>65.905375000000006</v>
      </c>
      <c r="I763" s="19" t="s">
        <v>40</v>
      </c>
      <c r="J763" s="18">
        <v>0.11769825000000367</v>
      </c>
      <c r="K763" s="5" t="s">
        <v>44</v>
      </c>
      <c r="L763" s="101" t="s">
        <v>188</v>
      </c>
      <c r="M763" s="5">
        <v>0.2</v>
      </c>
      <c r="N763" s="59">
        <v>9.1737500000000018</v>
      </c>
      <c r="O763" s="59">
        <v>0.61853119999999784</v>
      </c>
      <c r="BU763" s="61"/>
    </row>
    <row r="764" spans="1:73" x14ac:dyDescent="0.35">
      <c r="A764" s="7" t="s">
        <v>1379</v>
      </c>
      <c r="B764" s="7" t="s">
        <v>1382</v>
      </c>
      <c r="C764" s="17" t="s">
        <v>573</v>
      </c>
      <c r="D764" s="5" t="s">
        <v>38</v>
      </c>
      <c r="E764" t="s">
        <v>694</v>
      </c>
      <c r="F764">
        <v>215.88498999999999</v>
      </c>
      <c r="G764" s="5" t="s">
        <v>39</v>
      </c>
      <c r="H764" s="18">
        <v>65.907622750000002</v>
      </c>
      <c r="I764" s="19" t="s">
        <v>40</v>
      </c>
      <c r="J764" s="18">
        <v>0.11547697350000874</v>
      </c>
      <c r="K764" s="5" t="s">
        <v>44</v>
      </c>
      <c r="L764" s="101" t="s">
        <v>188</v>
      </c>
      <c r="M764" s="5">
        <v>0.25</v>
      </c>
      <c r="N764" s="59">
        <v>8.9527200000000011</v>
      </c>
      <c r="O764" s="59">
        <v>0.39750119999999711</v>
      </c>
      <c r="BU764" s="61"/>
    </row>
    <row r="765" spans="1:73" x14ac:dyDescent="0.35">
      <c r="A765" s="7" t="s">
        <v>1379</v>
      </c>
      <c r="B765" s="7" t="s">
        <v>1382</v>
      </c>
      <c r="C765" s="17" t="s">
        <v>573</v>
      </c>
      <c r="D765" s="5" t="s">
        <v>38</v>
      </c>
      <c r="E765" t="s">
        <v>695</v>
      </c>
      <c r="F765">
        <v>215.89500000000001</v>
      </c>
      <c r="G765" s="5" t="s">
        <v>39</v>
      </c>
      <c r="H765" s="18">
        <v>65.909875</v>
      </c>
      <c r="I765" s="19" t="s">
        <v>40</v>
      </c>
      <c r="J765" s="18">
        <v>0.11325125000000469</v>
      </c>
      <c r="K765" s="5" t="s">
        <v>44</v>
      </c>
      <c r="L765" s="101" t="s">
        <v>188</v>
      </c>
      <c r="M765" s="5">
        <v>0.28000000000000003</v>
      </c>
      <c r="N765" s="59">
        <v>8.8201692000000023</v>
      </c>
      <c r="O765" s="59">
        <v>0.26495039999999825</v>
      </c>
      <c r="BU765" s="61"/>
    </row>
    <row r="766" spans="1:73" x14ac:dyDescent="0.35">
      <c r="A766" s="7" t="s">
        <v>1379</v>
      </c>
      <c r="B766" s="7" t="s">
        <v>1382</v>
      </c>
      <c r="C766" s="17" t="s">
        <v>573</v>
      </c>
      <c r="D766" s="5" t="s">
        <v>38</v>
      </c>
      <c r="E766" t="s">
        <v>696</v>
      </c>
      <c r="F766">
        <v>215.91498999999999</v>
      </c>
      <c r="G766" s="5" t="s">
        <v>39</v>
      </c>
      <c r="H766" s="18">
        <v>65.914274131578907</v>
      </c>
      <c r="I766" s="19" t="s">
        <v>40</v>
      </c>
      <c r="J766" s="18">
        <v>0.10880647350001027</v>
      </c>
      <c r="K766" s="5" t="s">
        <v>44</v>
      </c>
      <c r="L766" s="101" t="s">
        <v>188</v>
      </c>
      <c r="M766" s="5">
        <v>0.24</v>
      </c>
      <c r="N766" s="59">
        <v>8.9969148000000008</v>
      </c>
      <c r="O766" s="59">
        <v>0.44169599999999676</v>
      </c>
      <c r="BU766" s="61"/>
    </row>
    <row r="767" spans="1:73" x14ac:dyDescent="0.35">
      <c r="A767" s="7" t="s">
        <v>1379</v>
      </c>
      <c r="B767" s="7" t="s">
        <v>1382</v>
      </c>
      <c r="C767" s="17" t="s">
        <v>573</v>
      </c>
      <c r="D767" s="5" t="s">
        <v>38</v>
      </c>
      <c r="E767" t="s">
        <v>697</v>
      </c>
      <c r="F767">
        <v>215.92500000000001</v>
      </c>
      <c r="G767" s="5" t="s">
        <v>39</v>
      </c>
      <c r="H767" s="18">
        <v>65.916460526315802</v>
      </c>
      <c r="I767" s="19" t="s">
        <v>40</v>
      </c>
      <c r="J767" s="18">
        <v>0.10658075000000622</v>
      </c>
      <c r="K767" s="5" t="s">
        <v>44</v>
      </c>
      <c r="L767" s="101" t="s">
        <v>188</v>
      </c>
      <c r="M767" s="5">
        <v>0.28000000000000003</v>
      </c>
      <c r="N767" s="59">
        <v>8.8201692000000023</v>
      </c>
      <c r="O767" s="59">
        <v>0.26495039999999825</v>
      </c>
      <c r="BU767" s="61"/>
    </row>
    <row r="768" spans="1:73" x14ac:dyDescent="0.35">
      <c r="A768" s="7" t="s">
        <v>1379</v>
      </c>
      <c r="B768" s="7" t="s">
        <v>1382</v>
      </c>
      <c r="C768" s="17" t="s">
        <v>573</v>
      </c>
      <c r="D768" s="5" t="s">
        <v>38</v>
      </c>
      <c r="E768" t="s">
        <v>698</v>
      </c>
      <c r="F768">
        <v>215.935</v>
      </c>
      <c r="G768" s="5" t="s">
        <v>39</v>
      </c>
      <c r="H768" s="18">
        <v>65.918644736842097</v>
      </c>
      <c r="I768" s="19" t="s">
        <v>40</v>
      </c>
      <c r="J768" s="18">
        <v>0.10435725000000673</v>
      </c>
      <c r="K768" s="5" t="s">
        <v>44</v>
      </c>
      <c r="L768" s="101" t="s">
        <v>188</v>
      </c>
      <c r="M768" s="5">
        <v>0.22</v>
      </c>
      <c r="N768" s="59">
        <v>9.0853212000000028</v>
      </c>
      <c r="O768" s="59">
        <v>0.53010239999999875</v>
      </c>
      <c r="BU768" s="61"/>
    </row>
    <row r="769" spans="1:73" x14ac:dyDescent="0.35">
      <c r="A769" s="7" t="s">
        <v>1379</v>
      </c>
      <c r="B769" s="7" t="s">
        <v>1382</v>
      </c>
      <c r="C769" s="17" t="s">
        <v>573</v>
      </c>
      <c r="D769" s="5" t="s">
        <v>38</v>
      </c>
      <c r="E769" t="s">
        <v>699</v>
      </c>
      <c r="F769">
        <v>215.94501</v>
      </c>
      <c r="G769" s="5" t="s">
        <v>39</v>
      </c>
      <c r="H769" s="18">
        <v>65.920831131579007</v>
      </c>
      <c r="I769" s="19" t="s">
        <v>40</v>
      </c>
      <c r="J769" s="18">
        <v>0.10213152650001689</v>
      </c>
      <c r="K769" s="5" t="s">
        <v>44</v>
      </c>
      <c r="L769" s="101" t="s">
        <v>188</v>
      </c>
      <c r="M769" s="5">
        <v>0.25</v>
      </c>
      <c r="N769" s="59">
        <v>8.9527200000000011</v>
      </c>
      <c r="O769" s="59">
        <v>0.39750119999999711</v>
      </c>
      <c r="BU769" s="61"/>
    </row>
    <row r="770" spans="1:73" x14ac:dyDescent="0.35">
      <c r="A770" s="7" t="s">
        <v>1379</v>
      </c>
      <c r="B770" s="7" t="s">
        <v>1382</v>
      </c>
      <c r="C770" s="17" t="s">
        <v>573</v>
      </c>
      <c r="D770" s="5" t="s">
        <v>38</v>
      </c>
      <c r="E770" t="s">
        <v>700</v>
      </c>
      <c r="F770">
        <v>215.95500000000001</v>
      </c>
      <c r="G770" s="5" t="s">
        <v>39</v>
      </c>
      <c r="H770" s="18">
        <v>65.923013157894701</v>
      </c>
      <c r="I770" s="19" t="s">
        <v>40</v>
      </c>
      <c r="J770" s="18">
        <v>9.991025000000775E-2</v>
      </c>
      <c r="K770" s="5" t="s">
        <v>44</v>
      </c>
      <c r="L770" s="101" t="s">
        <v>188</v>
      </c>
      <c r="M770" s="5">
        <v>0.25</v>
      </c>
      <c r="N770" s="59">
        <v>8.9527200000000011</v>
      </c>
      <c r="O770" s="59">
        <v>0.39750119999999711</v>
      </c>
      <c r="BU770" s="61"/>
    </row>
    <row r="771" spans="1:73" x14ac:dyDescent="0.35">
      <c r="A771" s="7" t="s">
        <v>1379</v>
      </c>
      <c r="B771" s="7" t="s">
        <v>1382</v>
      </c>
      <c r="C771" s="17" t="s">
        <v>573</v>
      </c>
      <c r="D771" s="5" t="s">
        <v>38</v>
      </c>
      <c r="E771" t="s">
        <v>701</v>
      </c>
      <c r="F771">
        <v>215.965</v>
      </c>
      <c r="G771" s="5" t="s">
        <v>39</v>
      </c>
      <c r="H771" s="18">
        <v>65.925197368421095</v>
      </c>
      <c r="I771" s="19" t="s">
        <v>40</v>
      </c>
      <c r="J771" s="18">
        <v>9.768675000000826E-2</v>
      </c>
      <c r="K771" s="5" t="s">
        <v>44</v>
      </c>
      <c r="L771" s="101" t="s">
        <v>188</v>
      </c>
      <c r="M771" s="5">
        <v>0.28999999999999998</v>
      </c>
      <c r="N771" s="59">
        <v>8.7759968000000015</v>
      </c>
      <c r="O771" s="59">
        <v>0.22077799999999748</v>
      </c>
      <c r="BU771" s="61"/>
    </row>
    <row r="772" spans="1:73" x14ac:dyDescent="0.35">
      <c r="A772" s="7" t="s">
        <v>1379</v>
      </c>
      <c r="B772" s="7" t="s">
        <v>1382</v>
      </c>
      <c r="C772" s="17" t="s">
        <v>573</v>
      </c>
      <c r="D772" s="5" t="s">
        <v>38</v>
      </c>
      <c r="E772" t="s">
        <v>702</v>
      </c>
      <c r="F772">
        <v>215.97501</v>
      </c>
      <c r="G772" s="5" t="s">
        <v>39</v>
      </c>
      <c r="H772" s="18">
        <v>65.927383763157906</v>
      </c>
      <c r="I772" s="19" t="s">
        <v>40</v>
      </c>
      <c r="J772" s="18">
        <v>9.5461026500004209E-2</v>
      </c>
      <c r="K772" s="5" t="s">
        <v>44</v>
      </c>
      <c r="L772" s="101" t="s">
        <v>188</v>
      </c>
      <c r="M772" s="5">
        <v>0.33</v>
      </c>
      <c r="N772" s="59">
        <v>8.5993632000000026</v>
      </c>
      <c r="O772" s="59">
        <v>4.414439999999864E-2</v>
      </c>
      <c r="BU772" s="61"/>
    </row>
    <row r="773" spans="1:73" x14ac:dyDescent="0.35">
      <c r="A773" s="7" t="s">
        <v>1379</v>
      </c>
      <c r="B773" s="7" t="s">
        <v>1382</v>
      </c>
      <c r="C773" s="17" t="s">
        <v>573</v>
      </c>
      <c r="D773" s="5" t="s">
        <v>38</v>
      </c>
      <c r="E773" t="s">
        <v>703</v>
      </c>
      <c r="F773">
        <v>215.98500000000001</v>
      </c>
      <c r="G773" s="5" t="s">
        <v>39</v>
      </c>
      <c r="H773" s="18">
        <v>65.929565789473699</v>
      </c>
      <c r="I773" s="19" t="s">
        <v>40</v>
      </c>
      <c r="J773" s="18">
        <v>9.323975000000928E-2</v>
      </c>
      <c r="K773" s="5" t="s">
        <v>44</v>
      </c>
      <c r="L773" s="101" t="s">
        <v>188</v>
      </c>
      <c r="M773" s="5">
        <v>0.26</v>
      </c>
      <c r="N773" s="59">
        <v>8.908530800000003</v>
      </c>
      <c r="O773" s="59">
        <v>0.35331199999999896</v>
      </c>
      <c r="BU773" s="61"/>
    </row>
    <row r="774" spans="1:73" x14ac:dyDescent="0.35">
      <c r="A774" s="7" t="s">
        <v>1379</v>
      </c>
      <c r="B774" s="7" t="s">
        <v>1382</v>
      </c>
      <c r="C774" s="17" t="s">
        <v>573</v>
      </c>
      <c r="D774" s="5" t="s">
        <v>38</v>
      </c>
      <c r="E774" t="s">
        <v>704</v>
      </c>
      <c r="F774">
        <v>216.005</v>
      </c>
      <c r="G774" s="5" t="s">
        <v>39</v>
      </c>
      <c r="H774" s="18">
        <v>65.933934210526303</v>
      </c>
      <c r="I774" s="19" t="s">
        <v>40</v>
      </c>
      <c r="J774" s="18">
        <v>8.8792750000010301E-2</v>
      </c>
      <c r="K774" s="5" t="s">
        <v>44</v>
      </c>
      <c r="L774" s="101" t="s">
        <v>188</v>
      </c>
      <c r="M774" s="5">
        <v>0.3</v>
      </c>
      <c r="N774" s="59">
        <v>8.7318300000000022</v>
      </c>
      <c r="O774" s="59">
        <v>0.17661119999999819</v>
      </c>
      <c r="BU774" s="61"/>
    </row>
    <row r="775" spans="1:73" x14ac:dyDescent="0.35">
      <c r="A775" s="7" t="s">
        <v>1379</v>
      </c>
      <c r="B775" s="7" t="s">
        <v>1382</v>
      </c>
      <c r="C775" s="17" t="s">
        <v>573</v>
      </c>
      <c r="D775" s="5" t="s">
        <v>38</v>
      </c>
      <c r="E775" t="s">
        <v>705</v>
      </c>
      <c r="F775">
        <v>216.02499</v>
      </c>
      <c r="G775" s="5" t="s">
        <v>39</v>
      </c>
      <c r="H775" s="18">
        <v>65.938300447368405</v>
      </c>
      <c r="I775" s="19" t="s">
        <v>40</v>
      </c>
      <c r="J775" s="18">
        <v>8.4347973500015883E-2</v>
      </c>
      <c r="K775" s="5" t="s">
        <v>44</v>
      </c>
      <c r="L775" s="101" t="s">
        <v>188</v>
      </c>
      <c r="N775" s="59"/>
      <c r="O775" s="59"/>
      <c r="BU775" s="61"/>
    </row>
    <row r="776" spans="1:73" x14ac:dyDescent="0.35">
      <c r="A776" s="7" t="s">
        <v>1379</v>
      </c>
      <c r="B776" s="7" t="s">
        <v>1382</v>
      </c>
      <c r="C776" s="17" t="s">
        <v>573</v>
      </c>
      <c r="D776" s="5" t="s">
        <v>38</v>
      </c>
      <c r="E776" t="s">
        <v>706</v>
      </c>
      <c r="F776">
        <v>216.04499999999999</v>
      </c>
      <c r="G776" s="5" t="s">
        <v>39</v>
      </c>
      <c r="H776" s="18">
        <v>65.942671052631596</v>
      </c>
      <c r="I776" s="19" t="s">
        <v>40</v>
      </c>
      <c r="J776" s="18">
        <v>7.9898750000012342E-2</v>
      </c>
      <c r="K776" s="5" t="s">
        <v>44</v>
      </c>
      <c r="L776" s="101" t="s">
        <v>188</v>
      </c>
      <c r="M776" s="5">
        <v>0.32</v>
      </c>
      <c r="N776" s="59">
        <v>8.6435132000000028</v>
      </c>
      <c r="O776" s="59">
        <v>8.8294399999998774E-2</v>
      </c>
      <c r="BU776" s="61"/>
    </row>
    <row r="777" spans="1:73" x14ac:dyDescent="0.35">
      <c r="A777" s="7" t="s">
        <v>1379</v>
      </c>
      <c r="B777" s="7" t="s">
        <v>1382</v>
      </c>
      <c r="C777" s="17" t="s">
        <v>573</v>
      </c>
      <c r="D777" s="5" t="s">
        <v>38</v>
      </c>
      <c r="E777" t="s">
        <v>707</v>
      </c>
      <c r="F777">
        <v>216.05499</v>
      </c>
      <c r="G777" s="5" t="s">
        <v>39</v>
      </c>
      <c r="H777" s="18">
        <v>65.944853078947403</v>
      </c>
      <c r="I777" s="19" t="s">
        <v>40</v>
      </c>
      <c r="J777" s="18">
        <v>7.7677473500003202E-2</v>
      </c>
      <c r="K777" s="5" t="s">
        <v>44</v>
      </c>
      <c r="L777" s="101" t="s">
        <v>188</v>
      </c>
      <c r="M777" s="5">
        <v>0.26</v>
      </c>
      <c r="N777" s="59">
        <v>8.908530800000003</v>
      </c>
      <c r="O777" s="59">
        <v>0.35331199999999896</v>
      </c>
      <c r="BU777" s="61"/>
    </row>
    <row r="778" spans="1:73" x14ac:dyDescent="0.35">
      <c r="A778" s="7" t="s">
        <v>1379</v>
      </c>
      <c r="B778" s="7" t="s">
        <v>1382</v>
      </c>
      <c r="C778" s="17" t="s">
        <v>573</v>
      </c>
      <c r="D778" s="5" t="s">
        <v>38</v>
      </c>
      <c r="E778" t="s">
        <v>708</v>
      </c>
      <c r="F778">
        <v>216.065</v>
      </c>
      <c r="G778" s="5" t="s">
        <v>39</v>
      </c>
      <c r="H778" s="18">
        <v>65.9470394736842</v>
      </c>
      <c r="I778" s="19" t="s">
        <v>40</v>
      </c>
      <c r="J778" s="18">
        <v>7.5451750000013362E-2</v>
      </c>
      <c r="K778" s="5" t="s">
        <v>44</v>
      </c>
      <c r="L778" s="101" t="s">
        <v>188</v>
      </c>
      <c r="M778" s="5">
        <v>0.22</v>
      </c>
      <c r="N778" s="59">
        <v>9.0853212000000028</v>
      </c>
      <c r="O778" s="59">
        <v>0.53010239999999875</v>
      </c>
      <c r="BU778" s="61"/>
    </row>
    <row r="779" spans="1:73" x14ac:dyDescent="0.35">
      <c r="A779" s="7" t="s">
        <v>1379</v>
      </c>
      <c r="B779" s="7" t="s">
        <v>1382</v>
      </c>
      <c r="C779" s="17" t="s">
        <v>573</v>
      </c>
      <c r="D779" s="5" t="s">
        <v>38</v>
      </c>
      <c r="E779" t="s">
        <v>709</v>
      </c>
      <c r="F779">
        <v>216.07499999999999</v>
      </c>
      <c r="G779" s="5" t="s">
        <v>39</v>
      </c>
      <c r="H779" s="18">
        <v>65.949223684210494</v>
      </c>
      <c r="I779" s="19" t="s">
        <v>40</v>
      </c>
      <c r="J779" s="18">
        <v>7.3228250000013873E-2</v>
      </c>
      <c r="K779" s="5" t="s">
        <v>44</v>
      </c>
      <c r="L779" s="101" t="s">
        <v>188</v>
      </c>
      <c r="M779" s="5">
        <v>0.27</v>
      </c>
      <c r="N779" s="59">
        <v>8.8643472000000028</v>
      </c>
      <c r="O779" s="59">
        <v>0.30912839999999875</v>
      </c>
      <c r="BU779" s="61"/>
    </row>
    <row r="780" spans="1:73" x14ac:dyDescent="0.35">
      <c r="A780" s="7" t="s">
        <v>1379</v>
      </c>
      <c r="B780" s="7" t="s">
        <v>1382</v>
      </c>
      <c r="C780" s="17" t="s">
        <v>573</v>
      </c>
      <c r="D780" s="5" t="s">
        <v>38</v>
      </c>
      <c r="E780" t="s">
        <v>710</v>
      </c>
      <c r="F780">
        <v>216.08501000000001</v>
      </c>
      <c r="G780" s="5" t="s">
        <v>39</v>
      </c>
      <c r="H780" s="18">
        <v>65.951410078947404</v>
      </c>
      <c r="I780" s="19" t="s">
        <v>40</v>
      </c>
      <c r="J780" s="18">
        <v>7.1002526500009822E-2</v>
      </c>
      <c r="K780" s="5" t="s">
        <v>44</v>
      </c>
      <c r="L780" s="101" t="s">
        <v>188</v>
      </c>
      <c r="M780" s="5">
        <v>0.31</v>
      </c>
      <c r="N780" s="59">
        <v>8.6876688000000026</v>
      </c>
      <c r="O780" s="59">
        <v>0.13244999999999862</v>
      </c>
      <c r="BU780" s="61"/>
    </row>
    <row r="781" spans="1:73" x14ac:dyDescent="0.35">
      <c r="A781" s="7" t="s">
        <v>1379</v>
      </c>
      <c r="B781" s="7" t="s">
        <v>1382</v>
      </c>
      <c r="C781" s="17" t="s">
        <v>573</v>
      </c>
      <c r="D781" s="5" t="s">
        <v>38</v>
      </c>
      <c r="E781" t="s">
        <v>711</v>
      </c>
      <c r="F781">
        <v>216.095</v>
      </c>
      <c r="G781" s="5" t="s">
        <v>39</v>
      </c>
      <c r="H781" s="18">
        <v>65.953592105263198</v>
      </c>
      <c r="I781" s="19" t="s">
        <v>40</v>
      </c>
      <c r="J781" s="18">
        <v>6.8781250000014893E-2</v>
      </c>
      <c r="K781" s="5" t="s">
        <v>44</v>
      </c>
      <c r="L781" s="101" t="s">
        <v>188</v>
      </c>
      <c r="M781" s="5">
        <v>0.28000000000000003</v>
      </c>
      <c r="N781" s="59">
        <v>8.8201692000000023</v>
      </c>
      <c r="O781" s="59">
        <v>0.26495039999999825</v>
      </c>
      <c r="BU781" s="61"/>
    </row>
    <row r="782" spans="1:73" x14ac:dyDescent="0.35">
      <c r="A782" s="7" t="s">
        <v>1379</v>
      </c>
      <c r="B782" s="7" t="s">
        <v>1382</v>
      </c>
      <c r="C782" s="17" t="s">
        <v>573</v>
      </c>
      <c r="D782" s="5" t="s">
        <v>38</v>
      </c>
      <c r="E782" t="s">
        <v>712</v>
      </c>
      <c r="F782">
        <v>216.10499999999999</v>
      </c>
      <c r="G782" s="5" t="s">
        <v>39</v>
      </c>
      <c r="H782" s="18">
        <v>65.955776315789507</v>
      </c>
      <c r="I782" s="19" t="s">
        <v>40</v>
      </c>
      <c r="J782" s="18">
        <v>6.6557750000015403E-2</v>
      </c>
      <c r="K782" s="5" t="s">
        <v>44</v>
      </c>
      <c r="L782" s="101" t="s">
        <v>188</v>
      </c>
      <c r="M782" s="5">
        <v>0.28000000000000003</v>
      </c>
      <c r="N782" s="59">
        <v>8.8201692000000023</v>
      </c>
      <c r="O782" s="59">
        <v>0.26495039999999825</v>
      </c>
      <c r="BU782" s="61"/>
    </row>
    <row r="783" spans="1:73" x14ac:dyDescent="0.35">
      <c r="A783" s="7" t="s">
        <v>1379</v>
      </c>
      <c r="B783" s="7" t="s">
        <v>1382</v>
      </c>
      <c r="C783" s="17" t="s">
        <v>573</v>
      </c>
      <c r="D783" s="5" t="s">
        <v>38</v>
      </c>
      <c r="E783" t="s">
        <v>713</v>
      </c>
      <c r="F783">
        <v>216.125</v>
      </c>
      <c r="G783" s="5" t="s">
        <v>39</v>
      </c>
      <c r="H783" s="18">
        <v>65.960144736842096</v>
      </c>
      <c r="I783" s="19" t="s">
        <v>40</v>
      </c>
      <c r="J783" s="18">
        <v>6.2110750000016424E-2</v>
      </c>
      <c r="K783" s="5" t="s">
        <v>44</v>
      </c>
      <c r="L783" s="101" t="s">
        <v>188</v>
      </c>
      <c r="M783" s="5">
        <v>0.26</v>
      </c>
      <c r="N783" s="59">
        <v>8.908530800000003</v>
      </c>
      <c r="O783" s="59">
        <v>0.35331199999999896</v>
      </c>
      <c r="BU783" s="61"/>
    </row>
    <row r="784" spans="1:73" x14ac:dyDescent="0.35">
      <c r="A784" s="7" t="s">
        <v>1379</v>
      </c>
      <c r="B784" s="7" t="s">
        <v>1382</v>
      </c>
      <c r="C784" s="17" t="s">
        <v>573</v>
      </c>
      <c r="D784" s="5" t="s">
        <v>38</v>
      </c>
      <c r="E784" t="s">
        <v>714</v>
      </c>
      <c r="F784">
        <v>216.13498999999999</v>
      </c>
      <c r="G784" s="5" t="s">
        <v>39</v>
      </c>
      <c r="H784" s="18">
        <v>65.962326763157904</v>
      </c>
      <c r="I784" s="19" t="s">
        <v>40</v>
      </c>
      <c r="J784" s="18">
        <v>5.9889473500007284E-2</v>
      </c>
      <c r="K784" s="5" t="s">
        <v>44</v>
      </c>
      <c r="L784" s="101" t="s">
        <v>188</v>
      </c>
      <c r="M784" s="5">
        <v>0.28999999999999998</v>
      </c>
      <c r="N784" s="59">
        <v>8.7759968000000015</v>
      </c>
      <c r="O784" s="59">
        <v>0.22077799999999748</v>
      </c>
      <c r="BU784" s="61"/>
    </row>
    <row r="785" spans="1:73" x14ac:dyDescent="0.35">
      <c r="A785" s="7" t="s">
        <v>1379</v>
      </c>
      <c r="B785" s="7" t="s">
        <v>1382</v>
      </c>
      <c r="C785" s="17" t="s">
        <v>573</v>
      </c>
      <c r="D785" s="5" t="s">
        <v>38</v>
      </c>
      <c r="E785" t="s">
        <v>715</v>
      </c>
      <c r="F785">
        <v>216.14500000000001</v>
      </c>
      <c r="G785" s="5" t="s">
        <v>39</v>
      </c>
      <c r="H785" s="18">
        <v>65.9645131578947</v>
      </c>
      <c r="I785" s="19" t="s">
        <v>40</v>
      </c>
      <c r="J785" s="18">
        <v>5.7663750000003233E-2</v>
      </c>
      <c r="K785" s="5" t="s">
        <v>44</v>
      </c>
      <c r="L785" s="101" t="s">
        <v>188</v>
      </c>
      <c r="M785" s="5">
        <v>0.2</v>
      </c>
      <c r="N785" s="59">
        <v>9.1737500000000018</v>
      </c>
      <c r="O785" s="59">
        <v>0.61853119999999784</v>
      </c>
      <c r="BU785" s="61"/>
    </row>
    <row r="786" spans="1:73" x14ac:dyDescent="0.35">
      <c r="A786" s="7" t="s">
        <v>1379</v>
      </c>
      <c r="B786" s="7" t="s">
        <v>1382</v>
      </c>
      <c r="C786" s="17" t="s">
        <v>573</v>
      </c>
      <c r="D786" s="5" t="s">
        <v>38</v>
      </c>
      <c r="E786" t="s">
        <v>716</v>
      </c>
      <c r="F786">
        <v>216.16498999999999</v>
      </c>
      <c r="G786" s="5" t="s">
        <v>39</v>
      </c>
      <c r="H786" s="18">
        <v>65.968879394736803</v>
      </c>
      <c r="I786" s="19" t="s">
        <v>40</v>
      </c>
      <c r="J786" s="18">
        <v>5.3218973500008815E-2</v>
      </c>
      <c r="K786" s="5" t="s">
        <v>44</v>
      </c>
      <c r="L786" s="101" t="s">
        <v>188</v>
      </c>
      <c r="M786" s="5">
        <v>0.24</v>
      </c>
      <c r="N786" s="59">
        <v>8.9969148000000008</v>
      </c>
      <c r="O786" s="59">
        <v>0.44169599999999676</v>
      </c>
      <c r="BU786" s="61"/>
    </row>
    <row r="787" spans="1:73" x14ac:dyDescent="0.35">
      <c r="A787" s="7" t="s">
        <v>1379</v>
      </c>
      <c r="B787" s="7" t="s">
        <v>1382</v>
      </c>
      <c r="C787" s="17" t="s">
        <v>573</v>
      </c>
      <c r="D787" s="5" t="s">
        <v>38</v>
      </c>
      <c r="E787" t="s">
        <v>717</v>
      </c>
      <c r="F787">
        <v>216.185</v>
      </c>
      <c r="G787" s="5" t="s">
        <v>39</v>
      </c>
      <c r="H787" s="18">
        <v>65.973249999999993</v>
      </c>
      <c r="I787" s="19" t="s">
        <v>40</v>
      </c>
      <c r="J787" s="18">
        <v>4.8769750000005274E-2</v>
      </c>
      <c r="K787" s="5" t="s">
        <v>44</v>
      </c>
      <c r="L787" s="101" t="s">
        <v>188</v>
      </c>
      <c r="M787" s="5">
        <v>0.35</v>
      </c>
      <c r="N787" s="59">
        <v>8.5110800000000015</v>
      </c>
      <c r="O787" s="59">
        <v>-4.4138800000002476E-2</v>
      </c>
      <c r="BU787" s="61"/>
    </row>
    <row r="788" spans="1:73" x14ac:dyDescent="0.35">
      <c r="A788" s="7" t="s">
        <v>1379</v>
      </c>
      <c r="B788" s="7" t="s">
        <v>1382</v>
      </c>
      <c r="C788" s="17" t="s">
        <v>573</v>
      </c>
      <c r="D788" s="5" t="s">
        <v>38</v>
      </c>
      <c r="E788" t="s">
        <v>718</v>
      </c>
      <c r="F788">
        <v>216.20500000000001</v>
      </c>
      <c r="G788" s="5" t="s">
        <v>39</v>
      </c>
      <c r="H788" s="18">
        <v>65.977618421052597</v>
      </c>
      <c r="I788" s="19" t="s">
        <v>40</v>
      </c>
      <c r="J788" s="18">
        <v>4.461165000000733E-2</v>
      </c>
      <c r="K788" s="5" t="s">
        <v>44</v>
      </c>
      <c r="L788" s="101" t="s">
        <v>188</v>
      </c>
      <c r="M788" s="5">
        <v>0.27</v>
      </c>
      <c r="N788" s="59">
        <v>8.8643472000000028</v>
      </c>
      <c r="O788" s="59">
        <v>0.30912839999999875</v>
      </c>
      <c r="BU788" s="61"/>
    </row>
    <row r="789" spans="1:73" x14ac:dyDescent="0.35">
      <c r="A789" s="7" t="s">
        <v>1379</v>
      </c>
      <c r="B789" s="7" t="s">
        <v>1382</v>
      </c>
      <c r="C789" s="17" t="s">
        <v>573</v>
      </c>
      <c r="D789" s="5" t="s">
        <v>38</v>
      </c>
      <c r="E789" t="s">
        <v>719</v>
      </c>
      <c r="F789">
        <v>216.22501</v>
      </c>
      <c r="G789" s="5" t="s">
        <v>39</v>
      </c>
      <c r="H789" s="18">
        <v>65.981989026315802</v>
      </c>
      <c r="I789" s="19" t="s">
        <v>40</v>
      </c>
      <c r="J789" s="18">
        <v>4.0547819100012816E-2</v>
      </c>
      <c r="K789" s="5" t="s">
        <v>44</v>
      </c>
      <c r="L789" s="101" t="s">
        <v>188</v>
      </c>
      <c r="M789" s="5">
        <v>0.39</v>
      </c>
      <c r="N789" s="59">
        <v>8.334580800000003</v>
      </c>
      <c r="O789" s="59">
        <v>-0.220638000000001</v>
      </c>
      <c r="BU789" s="61"/>
    </row>
    <row r="790" spans="1:73" x14ac:dyDescent="0.35">
      <c r="A790" s="7" t="s">
        <v>1379</v>
      </c>
      <c r="B790" s="7" t="s">
        <v>1382</v>
      </c>
      <c r="C790" s="17" t="s">
        <v>573</v>
      </c>
      <c r="D790" s="5" t="s">
        <v>38</v>
      </c>
      <c r="E790" t="s">
        <v>720</v>
      </c>
      <c r="F790">
        <v>216.245</v>
      </c>
      <c r="G790" s="5" t="s">
        <v>39</v>
      </c>
      <c r="H790" s="18">
        <v>65.986355263157904</v>
      </c>
      <c r="I790" s="19" t="s">
        <v>40</v>
      </c>
      <c r="J790" s="18">
        <v>3.6488050000002659E-2</v>
      </c>
      <c r="K790" s="5" t="s">
        <v>44</v>
      </c>
      <c r="L790" s="101" t="s">
        <v>188</v>
      </c>
      <c r="M790" s="5">
        <v>0.41</v>
      </c>
      <c r="N790" s="59">
        <v>8.246364800000002</v>
      </c>
      <c r="O790" s="59">
        <v>-0.30885400000000196</v>
      </c>
      <c r="BU790" s="61"/>
    </row>
    <row r="791" spans="1:73" x14ac:dyDescent="0.35">
      <c r="A791" s="7" t="s">
        <v>1379</v>
      </c>
      <c r="B791" s="7" t="s">
        <v>1382</v>
      </c>
      <c r="C791" s="17" t="s">
        <v>573</v>
      </c>
      <c r="D791" s="5" t="s">
        <v>38</v>
      </c>
      <c r="E791" t="s">
        <v>721</v>
      </c>
      <c r="F791">
        <v>216.26499999999999</v>
      </c>
      <c r="G791" s="5" t="s">
        <v>39</v>
      </c>
      <c r="H791" s="18">
        <v>65.990723684210494</v>
      </c>
      <c r="I791" s="19" t="s">
        <v>40</v>
      </c>
      <c r="J791" s="18">
        <v>3.2426250000000323E-2</v>
      </c>
      <c r="K791" s="5" t="s">
        <v>44</v>
      </c>
      <c r="L791" s="101" t="s">
        <v>188</v>
      </c>
      <c r="M791" s="5">
        <v>0.37</v>
      </c>
      <c r="N791" s="59">
        <v>8.4228192000000028</v>
      </c>
      <c r="O791" s="59">
        <v>-0.13239960000000117</v>
      </c>
      <c r="BU791" s="61"/>
    </row>
    <row r="792" spans="1:73" x14ac:dyDescent="0.35">
      <c r="A792" s="7" t="s">
        <v>1379</v>
      </c>
      <c r="B792" s="7" t="s">
        <v>1382</v>
      </c>
      <c r="C792" s="17" t="s">
        <v>573</v>
      </c>
      <c r="D792" s="5" t="s">
        <v>38</v>
      </c>
      <c r="E792" t="s">
        <v>722</v>
      </c>
      <c r="F792">
        <v>216.285</v>
      </c>
      <c r="G792" s="5" t="s">
        <v>39</v>
      </c>
      <c r="H792" s="18">
        <v>65.994325581395302</v>
      </c>
      <c r="I792" s="19" t="s">
        <v>40</v>
      </c>
      <c r="J792" s="18">
        <v>2.8364449999997987E-2</v>
      </c>
      <c r="K792" s="5" t="s">
        <v>44</v>
      </c>
      <c r="L792" s="101" t="s">
        <v>188</v>
      </c>
      <c r="M792" s="5">
        <v>0.36</v>
      </c>
      <c r="N792" s="59">
        <v>8.4669468000000023</v>
      </c>
      <c r="O792" s="59">
        <v>-8.8272000000001682E-2</v>
      </c>
      <c r="BU792" s="61"/>
    </row>
    <row r="793" spans="1:73" x14ac:dyDescent="0.35">
      <c r="A793" s="7" t="s">
        <v>1379</v>
      </c>
      <c r="B793" s="7" t="s">
        <v>1382</v>
      </c>
      <c r="C793" s="17" t="s">
        <v>573</v>
      </c>
      <c r="D793" s="5" t="s">
        <v>38</v>
      </c>
      <c r="E793" t="s">
        <v>723</v>
      </c>
      <c r="F793">
        <v>216.30499</v>
      </c>
      <c r="G793" s="5" t="s">
        <v>39</v>
      </c>
      <c r="H793" s="18">
        <v>65.995627255814</v>
      </c>
      <c r="I793" s="19" t="s">
        <v>40</v>
      </c>
      <c r="J793" s="18">
        <v>2.6387425568188405E-2</v>
      </c>
      <c r="K793" s="5" t="s">
        <v>44</v>
      </c>
      <c r="L793" s="101" t="s">
        <v>188</v>
      </c>
      <c r="M793" s="5">
        <v>0.43</v>
      </c>
      <c r="N793" s="59">
        <v>8.1581712000000035</v>
      </c>
      <c r="O793" s="59">
        <v>-0.3970476000000005</v>
      </c>
      <c r="BU793" s="61"/>
    </row>
    <row r="794" spans="1:73" x14ac:dyDescent="0.35">
      <c r="A794" s="7" t="s">
        <v>1379</v>
      </c>
      <c r="B794" s="7" t="s">
        <v>1382</v>
      </c>
      <c r="C794" s="17" t="s">
        <v>573</v>
      </c>
      <c r="D794" s="5" t="s">
        <v>38</v>
      </c>
      <c r="E794" t="s">
        <v>724</v>
      </c>
      <c r="F794">
        <v>216.32499999999999</v>
      </c>
      <c r="G794" s="5" t="s">
        <v>39</v>
      </c>
      <c r="H794" s="18">
        <v>65.9969302325581</v>
      </c>
      <c r="I794" s="19" t="s">
        <v>40</v>
      </c>
      <c r="J794" s="18">
        <v>2.5103829545457756E-2</v>
      </c>
      <c r="K794" s="5" t="s">
        <v>44</v>
      </c>
      <c r="L794" s="101" t="s">
        <v>188</v>
      </c>
      <c r="M794" s="5">
        <v>0.5</v>
      </c>
      <c r="N794" s="59">
        <v>7.8496700000000033</v>
      </c>
      <c r="O794" s="59">
        <v>-0.70554880000000075</v>
      </c>
      <c r="BU794" s="61"/>
    </row>
    <row r="795" spans="1:73" x14ac:dyDescent="0.35">
      <c r="A795" s="7" t="s">
        <v>1379</v>
      </c>
      <c r="B795" s="7" t="s">
        <v>1382</v>
      </c>
      <c r="C795" s="17" t="s">
        <v>573</v>
      </c>
      <c r="D795" s="5" t="s">
        <v>38</v>
      </c>
      <c r="E795" t="s">
        <v>725</v>
      </c>
      <c r="F795">
        <v>216.345</v>
      </c>
      <c r="G795" s="5" t="s">
        <v>39</v>
      </c>
      <c r="H795" s="18">
        <v>65.998232558139506</v>
      </c>
      <c r="I795" s="19" t="s">
        <v>40</v>
      </c>
      <c r="J795" s="18">
        <v>2.3820874999998409E-2</v>
      </c>
      <c r="K795" s="5" t="s">
        <v>44</v>
      </c>
      <c r="L795" s="101" t="s">
        <v>188</v>
      </c>
      <c r="M795" s="5">
        <v>0.44</v>
      </c>
      <c r="N795" s="59">
        <v>8.114082800000002</v>
      </c>
      <c r="O795" s="59">
        <v>-0.44113600000000197</v>
      </c>
      <c r="BU795" s="61"/>
    </row>
    <row r="796" spans="1:73" x14ac:dyDescent="0.35">
      <c r="A796" s="7" t="s">
        <v>1379</v>
      </c>
      <c r="B796" s="7" t="s">
        <v>1382</v>
      </c>
      <c r="C796" s="17" t="s">
        <v>573</v>
      </c>
      <c r="D796" s="5" t="s">
        <v>38</v>
      </c>
      <c r="E796" t="s">
        <v>726</v>
      </c>
      <c r="F796">
        <v>216.36501000000001</v>
      </c>
      <c r="G796" s="5" t="s">
        <v>39</v>
      </c>
      <c r="H796" s="18">
        <v>65.999535534883705</v>
      </c>
      <c r="I796" s="19" t="s">
        <v>40</v>
      </c>
      <c r="J796" s="18">
        <v>2.2537278977267761E-2</v>
      </c>
      <c r="K796" s="5" t="s">
        <v>44</v>
      </c>
      <c r="L796" s="101" t="s">
        <v>188</v>
      </c>
      <c r="M796" s="5">
        <v>0.37</v>
      </c>
      <c r="N796" s="59">
        <v>8.4228192000000028</v>
      </c>
      <c r="O796" s="59">
        <v>-0.13239960000000117</v>
      </c>
      <c r="BU796" s="61"/>
    </row>
    <row r="797" spans="1:73" x14ac:dyDescent="0.35">
      <c r="A797" s="7" t="s">
        <v>1379</v>
      </c>
      <c r="B797" s="7" t="s">
        <v>1382</v>
      </c>
      <c r="C797" s="17" t="s">
        <v>573</v>
      </c>
      <c r="D797" s="5" t="s">
        <v>38</v>
      </c>
      <c r="E797" t="s">
        <v>727</v>
      </c>
      <c r="F797">
        <v>216.38498999999999</v>
      </c>
      <c r="G797" s="5" t="s">
        <v>39</v>
      </c>
      <c r="H797" s="18">
        <v>66.000836558139497</v>
      </c>
      <c r="I797" s="19" t="s">
        <v>40</v>
      </c>
      <c r="J797" s="18">
        <v>2.1255607386365227E-2</v>
      </c>
      <c r="K797" s="5" t="s">
        <v>44</v>
      </c>
      <c r="L797" s="101" t="s">
        <v>188</v>
      </c>
      <c r="M797" s="5">
        <v>0.43</v>
      </c>
      <c r="N797" s="59">
        <v>8.1581712000000035</v>
      </c>
      <c r="O797" s="59">
        <v>-0.3970476000000005</v>
      </c>
      <c r="BU797" s="61"/>
    </row>
    <row r="798" spans="1:73" x14ac:dyDescent="0.35">
      <c r="A798" s="7" t="s">
        <v>1379</v>
      </c>
      <c r="B798" s="7" t="s">
        <v>1382</v>
      </c>
      <c r="C798" s="17" t="s">
        <v>573</v>
      </c>
      <c r="D798" s="5" t="s">
        <v>38</v>
      </c>
      <c r="E798" t="s">
        <v>728</v>
      </c>
      <c r="F798">
        <v>216.405</v>
      </c>
      <c r="G798" s="5" t="s">
        <v>39</v>
      </c>
      <c r="H798" s="18">
        <v>66.002139534883696</v>
      </c>
      <c r="I798" s="19" t="s">
        <v>40</v>
      </c>
      <c r="J798" s="18">
        <v>1.9972011363634579E-2</v>
      </c>
      <c r="K798" s="5" t="s">
        <v>44</v>
      </c>
      <c r="L798" s="101" t="s">
        <v>188</v>
      </c>
      <c r="M798" s="5">
        <v>0.32</v>
      </c>
      <c r="N798" s="59">
        <v>8.6435132000000028</v>
      </c>
      <c r="O798" s="59">
        <v>8.8294399999998774E-2</v>
      </c>
      <c r="BU798" s="61"/>
    </row>
    <row r="799" spans="1:73" x14ac:dyDescent="0.35">
      <c r="A799" s="7" t="s">
        <v>1379</v>
      </c>
      <c r="B799" s="7" t="s">
        <v>1382</v>
      </c>
      <c r="C799" s="17" t="s">
        <v>573</v>
      </c>
      <c r="D799" s="5" t="s">
        <v>38</v>
      </c>
      <c r="E799" t="s">
        <v>729</v>
      </c>
      <c r="F799">
        <v>216.42500000000001</v>
      </c>
      <c r="G799" s="5" t="s">
        <v>39</v>
      </c>
      <c r="H799" s="18">
        <v>66.003441860465102</v>
      </c>
      <c r="I799" s="19" t="s">
        <v>40</v>
      </c>
      <c r="J799" s="18">
        <v>1.8689056818189442E-2</v>
      </c>
      <c r="K799" s="5" t="s">
        <v>44</v>
      </c>
      <c r="L799" s="101" t="s">
        <v>188</v>
      </c>
      <c r="M799" s="5">
        <v>0.32</v>
      </c>
      <c r="N799" s="59">
        <v>8.6435132000000028</v>
      </c>
      <c r="O799" s="59">
        <v>8.8294399999998774E-2</v>
      </c>
      <c r="BU799" s="61"/>
    </row>
    <row r="800" spans="1:73" x14ac:dyDescent="0.35">
      <c r="A800" s="7" t="s">
        <v>1379</v>
      </c>
      <c r="B800" s="7" t="s">
        <v>1382</v>
      </c>
      <c r="C800" s="17" t="s">
        <v>573</v>
      </c>
      <c r="D800" s="5" t="s">
        <v>38</v>
      </c>
      <c r="E800" t="s">
        <v>730</v>
      </c>
      <c r="F800">
        <v>216.465</v>
      </c>
      <c r="G800" s="5" t="s">
        <v>39</v>
      </c>
      <c r="H800" s="18">
        <v>66.0060465116279</v>
      </c>
      <c r="I800" s="19" t="s">
        <v>40</v>
      </c>
      <c r="J800" s="18">
        <v>1.6123147727270748E-2</v>
      </c>
      <c r="K800" s="5" t="s">
        <v>44</v>
      </c>
      <c r="L800" s="101" t="s">
        <v>188</v>
      </c>
      <c r="M800" s="5">
        <v>0.3</v>
      </c>
      <c r="N800" s="59">
        <v>8.7318300000000022</v>
      </c>
      <c r="O800" s="59">
        <v>0.17661119999999819</v>
      </c>
      <c r="BU800" s="61"/>
    </row>
    <row r="801" spans="1:73" x14ac:dyDescent="0.35">
      <c r="A801" s="7" t="s">
        <v>1379</v>
      </c>
      <c r="B801" s="7" t="s">
        <v>1382</v>
      </c>
      <c r="C801" s="17" t="s">
        <v>573</v>
      </c>
      <c r="D801" s="5" t="s">
        <v>38</v>
      </c>
      <c r="E801" t="s">
        <v>731</v>
      </c>
      <c r="F801">
        <v>216.48500000000001</v>
      </c>
      <c r="G801" s="5" t="s">
        <v>39</v>
      </c>
      <c r="H801" s="18">
        <v>66.007348837209307</v>
      </c>
      <c r="I801" s="19" t="s">
        <v>40</v>
      </c>
      <c r="J801" s="18">
        <v>1.4840193181825612E-2</v>
      </c>
      <c r="K801" s="5" t="s">
        <v>44</v>
      </c>
      <c r="L801" s="101" t="s">
        <v>188</v>
      </c>
      <c r="M801" s="5">
        <v>0.3</v>
      </c>
      <c r="N801" s="59">
        <v>8.7318300000000022</v>
      </c>
      <c r="O801" s="59">
        <v>0.17661119999999819</v>
      </c>
      <c r="BU801" s="61"/>
    </row>
    <row r="802" spans="1:73" x14ac:dyDescent="0.35">
      <c r="A802" s="7" t="s">
        <v>1379</v>
      </c>
      <c r="B802" s="7" t="s">
        <v>1382</v>
      </c>
      <c r="C802" s="17" t="s">
        <v>573</v>
      </c>
      <c r="D802" s="5" t="s">
        <v>38</v>
      </c>
      <c r="E802" t="s">
        <v>732</v>
      </c>
      <c r="F802">
        <v>216.51499999999999</v>
      </c>
      <c r="G802" s="5" t="s">
        <v>39</v>
      </c>
      <c r="H802" s="18">
        <v>66.009302325581402</v>
      </c>
      <c r="I802" s="19" t="s">
        <v>40</v>
      </c>
      <c r="J802" s="18">
        <v>1.2915761363643696E-2</v>
      </c>
      <c r="K802" s="5" t="s">
        <v>44</v>
      </c>
      <c r="L802" s="101" t="s">
        <v>188</v>
      </c>
      <c r="M802" s="5">
        <v>0.33</v>
      </c>
      <c r="N802" s="59">
        <v>8.5993632000000026</v>
      </c>
      <c r="O802" s="59">
        <v>4.414439999999864E-2</v>
      </c>
      <c r="BU802" s="61"/>
    </row>
    <row r="803" spans="1:73" x14ac:dyDescent="0.35">
      <c r="A803" s="7" t="s">
        <v>1379</v>
      </c>
      <c r="B803" s="7" t="s">
        <v>1382</v>
      </c>
      <c r="C803" s="17" t="s">
        <v>573</v>
      </c>
      <c r="D803" s="5" t="s">
        <v>38</v>
      </c>
      <c r="E803" t="s">
        <v>733</v>
      </c>
      <c r="F803">
        <v>216.535</v>
      </c>
      <c r="G803" s="5" t="s">
        <v>39</v>
      </c>
      <c r="H803" s="18">
        <v>66.010604651162794</v>
      </c>
      <c r="I803" s="19" t="s">
        <v>40</v>
      </c>
      <c r="J803" s="18">
        <v>1.1632806818184349E-2</v>
      </c>
      <c r="K803" s="5" t="s">
        <v>44</v>
      </c>
      <c r="L803" s="101" t="s">
        <v>188</v>
      </c>
      <c r="M803" s="5">
        <v>0.37</v>
      </c>
      <c r="N803" s="59">
        <v>8.4228192000000028</v>
      </c>
      <c r="O803" s="59">
        <v>-0.13239960000000117</v>
      </c>
      <c r="BU803" s="61"/>
    </row>
    <row r="804" spans="1:73" x14ac:dyDescent="0.35">
      <c r="A804" s="7" t="s">
        <v>1379</v>
      </c>
      <c r="B804" s="7" t="s">
        <v>1382</v>
      </c>
      <c r="C804" s="17" t="s">
        <v>573</v>
      </c>
      <c r="D804" s="5" t="s">
        <v>38</v>
      </c>
      <c r="E804" t="s">
        <v>734</v>
      </c>
      <c r="F804">
        <v>216.55499</v>
      </c>
      <c r="G804" s="5" t="s">
        <v>39</v>
      </c>
      <c r="H804" s="18">
        <v>66.011906325581407</v>
      </c>
      <c r="I804" s="19" t="s">
        <v>40</v>
      </c>
      <c r="J804" s="18">
        <v>1.0350493750010514E-2</v>
      </c>
      <c r="K804" s="5" t="s">
        <v>44</v>
      </c>
      <c r="L804" s="101" t="s">
        <v>188</v>
      </c>
      <c r="M804" s="5">
        <v>0.25</v>
      </c>
      <c r="N804" s="59">
        <v>8.9527200000000011</v>
      </c>
      <c r="O804" s="59">
        <v>0.39750119999999711</v>
      </c>
      <c r="BU804" s="61"/>
    </row>
    <row r="805" spans="1:73" x14ac:dyDescent="0.35">
      <c r="A805" s="7" t="s">
        <v>1379</v>
      </c>
      <c r="B805" s="7" t="s">
        <v>1382</v>
      </c>
      <c r="C805" s="17" t="s">
        <v>573</v>
      </c>
      <c r="D805" s="5" t="s">
        <v>38</v>
      </c>
      <c r="E805" t="s">
        <v>735</v>
      </c>
      <c r="F805">
        <v>216.58501000000001</v>
      </c>
      <c r="G805" s="5" t="s">
        <v>39</v>
      </c>
      <c r="H805" s="18">
        <v>66.013861116279102</v>
      </c>
      <c r="I805" s="19" t="s">
        <v>40</v>
      </c>
      <c r="J805" s="18">
        <v>8.4247789772717852E-3</v>
      </c>
      <c r="K805" s="5" t="s">
        <v>44</v>
      </c>
      <c r="L805" s="101" t="s">
        <v>188</v>
      </c>
      <c r="M805" s="5">
        <v>0.39</v>
      </c>
      <c r="N805" s="59">
        <v>8.334580800000003</v>
      </c>
      <c r="O805" s="59">
        <v>-0.220638000000001</v>
      </c>
      <c r="BU805" s="61"/>
    </row>
    <row r="806" spans="1:73" x14ac:dyDescent="0.35">
      <c r="A806" s="7" t="s">
        <v>1379</v>
      </c>
      <c r="B806" s="7" t="s">
        <v>1382</v>
      </c>
      <c r="C806" s="17" t="s">
        <v>573</v>
      </c>
      <c r="D806" s="5" t="s">
        <v>38</v>
      </c>
      <c r="E806" t="s">
        <v>736</v>
      </c>
      <c r="F806">
        <v>216.60499999999999</v>
      </c>
      <c r="G806" s="5" t="s">
        <v>39</v>
      </c>
      <c r="H806" s="18">
        <v>66.015162790697701</v>
      </c>
      <c r="I806" s="19" t="s">
        <v>40</v>
      </c>
      <c r="J806" s="18">
        <v>7.1424659090979503E-3</v>
      </c>
      <c r="K806" s="5" t="s">
        <v>44</v>
      </c>
      <c r="L806" s="101" t="s">
        <v>188</v>
      </c>
      <c r="M806" s="5">
        <v>0.33</v>
      </c>
      <c r="N806" s="59">
        <v>8.5993632000000026</v>
      </c>
      <c r="O806" s="59">
        <v>4.414439999999864E-2</v>
      </c>
      <c r="BU806" s="61"/>
    </row>
    <row r="807" spans="1:73" x14ac:dyDescent="0.35">
      <c r="A807" s="7" t="s">
        <v>1379</v>
      </c>
      <c r="B807" s="7" t="s">
        <v>1382</v>
      </c>
      <c r="C807" s="17" t="s">
        <v>573</v>
      </c>
      <c r="D807" s="5" t="s">
        <v>38</v>
      </c>
      <c r="E807" t="s">
        <v>737</v>
      </c>
      <c r="F807">
        <v>216.625</v>
      </c>
      <c r="G807" s="5" t="s">
        <v>39</v>
      </c>
      <c r="H807" s="18">
        <v>66.016465116279093</v>
      </c>
      <c r="I807" s="19" t="s">
        <v>40</v>
      </c>
      <c r="J807" s="18">
        <v>5.8595113636386031E-3</v>
      </c>
      <c r="K807" s="5" t="s">
        <v>44</v>
      </c>
      <c r="L807" s="101" t="s">
        <v>188</v>
      </c>
      <c r="M807" s="5">
        <v>0.3</v>
      </c>
      <c r="N807" s="59">
        <v>8.7318300000000022</v>
      </c>
      <c r="O807" s="59">
        <v>0.17661119999999819</v>
      </c>
      <c r="BU807" s="61"/>
    </row>
    <row r="808" spans="1:73" x14ac:dyDescent="0.35">
      <c r="A808" s="7" t="s">
        <v>1379</v>
      </c>
      <c r="B808" s="7" t="s">
        <v>1382</v>
      </c>
      <c r="C808" s="17" t="s">
        <v>573</v>
      </c>
      <c r="D808" s="5" t="s">
        <v>38</v>
      </c>
      <c r="E808" t="s">
        <v>738</v>
      </c>
      <c r="F808">
        <v>216.64500000000001</v>
      </c>
      <c r="G808" s="5" t="s">
        <v>39</v>
      </c>
      <c r="H808" s="18">
        <v>66.017767441860499</v>
      </c>
      <c r="I808" s="19" t="s">
        <v>40</v>
      </c>
      <c r="J808" s="18">
        <v>4.5765568181934668E-3</v>
      </c>
      <c r="K808" s="5" t="s">
        <v>44</v>
      </c>
      <c r="L808" s="101" t="s">
        <v>188</v>
      </c>
      <c r="M808" s="5">
        <v>0.24</v>
      </c>
      <c r="N808" s="59">
        <v>8.9969148000000008</v>
      </c>
      <c r="O808" s="59">
        <v>0.44169599999999676</v>
      </c>
      <c r="BU808" s="61"/>
    </row>
    <row r="809" spans="1:73" x14ac:dyDescent="0.35">
      <c r="A809" s="7" t="s">
        <v>1379</v>
      </c>
      <c r="B809" s="7" t="s">
        <v>1382</v>
      </c>
      <c r="C809" s="17" t="s">
        <v>573</v>
      </c>
      <c r="D809" s="5" t="s">
        <v>38</v>
      </c>
      <c r="E809" t="s">
        <v>739</v>
      </c>
      <c r="F809">
        <v>216.655</v>
      </c>
      <c r="G809" s="5" t="s">
        <v>39</v>
      </c>
      <c r="H809" s="18">
        <v>66.018418604651202</v>
      </c>
      <c r="I809" s="19" t="s">
        <v>40</v>
      </c>
      <c r="J809" s="18">
        <v>3.9350795454566878E-3</v>
      </c>
      <c r="K809" s="5" t="s">
        <v>44</v>
      </c>
      <c r="L809" s="101" t="s">
        <v>188</v>
      </c>
      <c r="M809" s="5">
        <v>0.24</v>
      </c>
      <c r="N809" s="59">
        <v>8.9969148000000008</v>
      </c>
      <c r="O809" s="59">
        <v>0.44169599999999676</v>
      </c>
      <c r="BU809" s="61"/>
    </row>
    <row r="810" spans="1:73" x14ac:dyDescent="0.35">
      <c r="A810" s="7" t="s">
        <v>1379</v>
      </c>
      <c r="B810" s="7" t="s">
        <v>1382</v>
      </c>
      <c r="C810" s="17" t="s">
        <v>573</v>
      </c>
      <c r="D810" s="5" t="s">
        <v>38</v>
      </c>
      <c r="E810" t="s">
        <v>740</v>
      </c>
      <c r="F810">
        <v>216.73500000000001</v>
      </c>
      <c r="G810" s="5" t="s">
        <v>39</v>
      </c>
      <c r="H810" s="18">
        <v>66.023094674556205</v>
      </c>
      <c r="I810" s="19" t="s">
        <v>40</v>
      </c>
      <c r="J810" s="18">
        <v>-1.0980911458204901E-3</v>
      </c>
      <c r="K810" s="5" t="s">
        <v>44</v>
      </c>
      <c r="L810" s="101" t="s">
        <v>188</v>
      </c>
      <c r="M810" s="5">
        <v>0.34</v>
      </c>
      <c r="N810" s="59">
        <v>8.555218800000004</v>
      </c>
      <c r="O810" s="59">
        <v>0</v>
      </c>
      <c r="BU810" s="61"/>
    </row>
    <row r="811" spans="1:73" x14ac:dyDescent="0.35">
      <c r="A811" s="7" t="s">
        <v>1379</v>
      </c>
      <c r="B811" s="7" t="s">
        <v>1382</v>
      </c>
      <c r="C811" s="17" t="s">
        <v>573</v>
      </c>
      <c r="D811" s="5" t="s">
        <v>38</v>
      </c>
      <c r="E811" t="s">
        <v>741</v>
      </c>
      <c r="F811">
        <v>216.82499999999999</v>
      </c>
      <c r="G811" s="5" t="s">
        <v>39</v>
      </c>
      <c r="H811" s="18">
        <v>66.027035502958597</v>
      </c>
      <c r="I811" s="19" t="s">
        <v>40</v>
      </c>
      <c r="J811" s="18">
        <v>-5.0957317708224537E-3</v>
      </c>
      <c r="K811" s="5" t="s">
        <v>44</v>
      </c>
      <c r="L811" s="101" t="s">
        <v>188</v>
      </c>
      <c r="M811" s="5">
        <v>0.47</v>
      </c>
      <c r="N811" s="59">
        <v>7.9818512000000013</v>
      </c>
      <c r="O811" s="59">
        <v>-0.57336760000000275</v>
      </c>
      <c r="BU811" s="61"/>
    </row>
    <row r="812" spans="1:73" x14ac:dyDescent="0.35">
      <c r="A812" s="7" t="s">
        <v>1379</v>
      </c>
      <c r="B812" s="7" t="s">
        <v>1382</v>
      </c>
      <c r="C812" s="17" t="s">
        <v>573</v>
      </c>
      <c r="D812" s="5" t="s">
        <v>38</v>
      </c>
      <c r="E812" t="s">
        <v>742</v>
      </c>
      <c r="F812">
        <v>216.83501000000001</v>
      </c>
      <c r="G812" s="5" t="s">
        <v>39</v>
      </c>
      <c r="H812" s="18">
        <v>66.027473810650903</v>
      </c>
      <c r="I812" s="19" t="s">
        <v>40</v>
      </c>
      <c r="J812" s="18">
        <v>-5.5403582447866029E-3</v>
      </c>
      <c r="K812" s="5" t="s">
        <v>44</v>
      </c>
      <c r="L812" s="101" t="s">
        <v>188</v>
      </c>
      <c r="M812" s="5">
        <v>0.49</v>
      </c>
      <c r="N812" s="59">
        <v>7.893724800000002</v>
      </c>
      <c r="O812" s="59">
        <v>-0.66149400000000202</v>
      </c>
      <c r="BU812" s="61"/>
    </row>
    <row r="813" spans="1:73" x14ac:dyDescent="0.35">
      <c r="A813" s="7" t="s">
        <v>1379</v>
      </c>
      <c r="B813" s="7" t="s">
        <v>1382</v>
      </c>
      <c r="C813" s="17" t="s">
        <v>573</v>
      </c>
      <c r="D813" s="5" t="s">
        <v>38</v>
      </c>
      <c r="E813" t="s">
        <v>743</v>
      </c>
      <c r="F813">
        <v>217.05499</v>
      </c>
      <c r="G813" s="5" t="s">
        <v>39</v>
      </c>
      <c r="H813" s="18">
        <v>66.037106071005894</v>
      </c>
      <c r="I813" s="19" t="s">
        <v>40</v>
      </c>
      <c r="J813" s="18">
        <v>-1.5311480296873015E-2</v>
      </c>
      <c r="K813" s="5" t="s">
        <v>44</v>
      </c>
      <c r="L813" s="101" t="s">
        <v>188</v>
      </c>
      <c r="M813" s="5">
        <v>0.44</v>
      </c>
      <c r="N813" s="59">
        <v>8.114082800000002</v>
      </c>
      <c r="O813" s="59">
        <v>-0.44113600000000197</v>
      </c>
      <c r="BU813" s="61"/>
    </row>
    <row r="814" spans="1:73" x14ac:dyDescent="0.35">
      <c r="A814" s="7" t="s">
        <v>1379</v>
      </c>
      <c r="B814" s="7" t="s">
        <v>1382</v>
      </c>
      <c r="C814" s="17" t="s">
        <v>573</v>
      </c>
      <c r="D814" s="5" t="s">
        <v>38</v>
      </c>
      <c r="E814" t="s">
        <v>744</v>
      </c>
      <c r="F814">
        <v>217.11501000000001</v>
      </c>
      <c r="G814" s="5" t="s">
        <v>39</v>
      </c>
      <c r="H814" s="18">
        <v>66.0397341656805</v>
      </c>
      <c r="I814" s="19" t="s">
        <v>40</v>
      </c>
      <c r="J814" s="18">
        <v>-1.7977462411451484E-2</v>
      </c>
      <c r="K814" s="5" t="s">
        <v>44</v>
      </c>
      <c r="L814" s="101" t="s">
        <v>188</v>
      </c>
      <c r="M814" s="5">
        <v>0.42</v>
      </c>
      <c r="N814" s="59">
        <v>8.2022652000000029</v>
      </c>
      <c r="O814" s="59">
        <v>-0.35295360000000109</v>
      </c>
      <c r="BU814" s="61"/>
    </row>
    <row r="815" spans="1:73" x14ac:dyDescent="0.35">
      <c r="A815" s="7" t="s">
        <v>1379</v>
      </c>
      <c r="B815" s="7" t="s">
        <v>1382</v>
      </c>
      <c r="C815" s="17" t="s">
        <v>573</v>
      </c>
      <c r="D815" s="5" t="s">
        <v>38</v>
      </c>
      <c r="E815" t="s">
        <v>745</v>
      </c>
      <c r="F815">
        <v>217.17500000000001</v>
      </c>
      <c r="G815" s="5" t="s">
        <v>39</v>
      </c>
      <c r="H815" s="18">
        <v>66.042360946745603</v>
      </c>
      <c r="I815" s="19" t="s">
        <v>40</v>
      </c>
      <c r="J815" s="18">
        <v>-2.0642111979157107E-2</v>
      </c>
      <c r="K815" s="5" t="s">
        <v>44</v>
      </c>
      <c r="L815" s="101" t="s">
        <v>188</v>
      </c>
      <c r="M815" s="5">
        <v>0.38</v>
      </c>
      <c r="N815" s="59">
        <v>8.3786972000000013</v>
      </c>
      <c r="O815" s="59">
        <v>-0.17652160000000272</v>
      </c>
      <c r="BU815" s="61"/>
    </row>
    <row r="816" spans="1:73" x14ac:dyDescent="0.35">
      <c r="A816" s="7" t="s">
        <v>1379</v>
      </c>
      <c r="B816" s="7" t="s">
        <v>1382</v>
      </c>
      <c r="C816" s="17" t="s">
        <v>573</v>
      </c>
      <c r="D816" s="5" t="s">
        <v>38</v>
      </c>
      <c r="E816" t="s">
        <v>746</v>
      </c>
      <c r="F816">
        <v>217.23500000000001</v>
      </c>
      <c r="G816" s="5" t="s">
        <v>39</v>
      </c>
      <c r="H816" s="18">
        <v>66.044988165680493</v>
      </c>
      <c r="I816" s="19" t="s">
        <v>40</v>
      </c>
      <c r="J816" s="18">
        <v>-2.3307205729153679E-2</v>
      </c>
      <c r="K816" s="5" t="s">
        <v>44</v>
      </c>
      <c r="L816" s="101" t="s">
        <v>188</v>
      </c>
      <c r="M816" s="5">
        <v>0.37</v>
      </c>
      <c r="N816" s="59">
        <v>8.4228192000000028</v>
      </c>
      <c r="O816" s="59">
        <v>-0.13239960000000117</v>
      </c>
      <c r="BU816" s="61"/>
    </row>
    <row r="817" spans="1:73" x14ac:dyDescent="0.35">
      <c r="A817" s="7" t="s">
        <v>1379</v>
      </c>
      <c r="B817" s="7" t="s">
        <v>1382</v>
      </c>
      <c r="C817" s="17" t="s">
        <v>573</v>
      </c>
      <c r="D817" s="5" t="s">
        <v>38</v>
      </c>
      <c r="E817" t="s">
        <v>747</v>
      </c>
      <c r="F817">
        <v>217.29499999999999</v>
      </c>
      <c r="G817" s="5" t="s">
        <v>39</v>
      </c>
      <c r="H817" s="18">
        <v>66.047615384615398</v>
      </c>
      <c r="I817" s="19" t="s">
        <v>40</v>
      </c>
      <c r="J817" s="18">
        <v>-2.5972299479164462E-2</v>
      </c>
      <c r="K817" s="5" t="s">
        <v>44</v>
      </c>
      <c r="L817" s="101" t="s">
        <v>188</v>
      </c>
      <c r="M817" s="5">
        <v>0.32</v>
      </c>
      <c r="N817" s="59">
        <v>8.6435132000000028</v>
      </c>
      <c r="O817" s="59">
        <v>8.8294399999998774E-2</v>
      </c>
      <c r="BU817" s="61"/>
    </row>
    <row r="818" spans="1:73" x14ac:dyDescent="0.35">
      <c r="A818" s="7" t="s">
        <v>1379</v>
      </c>
      <c r="B818" s="7" t="s">
        <v>1382</v>
      </c>
      <c r="C818" s="17" t="s">
        <v>573</v>
      </c>
      <c r="D818" s="5" t="s">
        <v>38</v>
      </c>
      <c r="E818" t="s">
        <v>748</v>
      </c>
      <c r="F818">
        <v>217.41498999999999</v>
      </c>
      <c r="G818" s="5" t="s">
        <v>39</v>
      </c>
      <c r="H818" s="18">
        <v>66.052869384615406</v>
      </c>
      <c r="I818" s="19" t="s">
        <v>40</v>
      </c>
      <c r="J818" s="18">
        <v>-3.1302042796866658E-2</v>
      </c>
      <c r="K818" s="5" t="s">
        <v>44</v>
      </c>
      <c r="L818" s="101" t="s">
        <v>188</v>
      </c>
      <c r="M818" s="5">
        <v>0.37</v>
      </c>
      <c r="N818" s="59">
        <v>8.4228192000000028</v>
      </c>
      <c r="O818" s="59">
        <v>-0.13239960000000117</v>
      </c>
      <c r="BU818" s="61"/>
    </row>
    <row r="819" spans="1:73" x14ac:dyDescent="0.35">
      <c r="A819" s="7" t="s">
        <v>1379</v>
      </c>
      <c r="B819" s="7" t="s">
        <v>1382</v>
      </c>
      <c r="C819" s="17" t="s">
        <v>573</v>
      </c>
      <c r="D819" s="5" t="s">
        <v>38</v>
      </c>
      <c r="E819" t="s">
        <v>749</v>
      </c>
      <c r="F819">
        <v>217.505</v>
      </c>
      <c r="G819" s="5" t="s">
        <v>39</v>
      </c>
      <c r="H819" s="18">
        <v>66.056810650887599</v>
      </c>
      <c r="I819" s="19" t="s">
        <v>40</v>
      </c>
      <c r="J819" s="18">
        <v>-3.530012760415957E-2</v>
      </c>
      <c r="K819" s="5" t="s">
        <v>44</v>
      </c>
      <c r="L819" s="101" t="s">
        <v>188</v>
      </c>
      <c r="M819" s="5">
        <v>0.1</v>
      </c>
      <c r="N819" s="59">
        <v>9.6162300000000034</v>
      </c>
      <c r="O819" s="59">
        <v>1.0610111999999994</v>
      </c>
      <c r="BU819" s="61"/>
    </row>
    <row r="820" spans="1:73" x14ac:dyDescent="0.35">
      <c r="A820" s="7" t="s">
        <v>1379</v>
      </c>
      <c r="B820" s="7" t="s">
        <v>1382</v>
      </c>
      <c r="C820" s="17" t="s">
        <v>573</v>
      </c>
      <c r="D820" s="5" t="s">
        <v>38</v>
      </c>
      <c r="E820" t="s">
        <v>750</v>
      </c>
      <c r="F820">
        <v>217.60499999999999</v>
      </c>
      <c r="G820" s="5" t="s">
        <v>39</v>
      </c>
      <c r="H820" s="18">
        <v>66.061189349112396</v>
      </c>
      <c r="I820" s="19" t="s">
        <v>40</v>
      </c>
      <c r="J820" s="18">
        <v>-3.9741950520820524E-2</v>
      </c>
      <c r="K820" s="5" t="s">
        <v>44</v>
      </c>
      <c r="L820" s="101" t="s">
        <v>188</v>
      </c>
      <c r="M820" s="5">
        <v>0.32</v>
      </c>
      <c r="N820" s="59">
        <v>8.6435132000000028</v>
      </c>
      <c r="O820" s="59">
        <v>8.8294399999998774E-2</v>
      </c>
      <c r="BU820" s="61"/>
    </row>
    <row r="821" spans="1:73" x14ac:dyDescent="0.35">
      <c r="A821" s="7" t="s">
        <v>1379</v>
      </c>
      <c r="B821" s="7" t="s">
        <v>1382</v>
      </c>
      <c r="C821" s="17" t="s">
        <v>573</v>
      </c>
      <c r="D821" s="5" t="s">
        <v>38</v>
      </c>
      <c r="E821" t="s">
        <v>751</v>
      </c>
      <c r="F821">
        <v>217.72501</v>
      </c>
      <c r="G821" s="5" t="s">
        <v>39</v>
      </c>
      <c r="H821" s="18">
        <v>66.066444224852106</v>
      </c>
      <c r="I821" s="19" t="s">
        <v>40</v>
      </c>
      <c r="J821" s="18">
        <v>-4.5072582203118827E-2</v>
      </c>
      <c r="K821" s="5" t="s">
        <v>44</v>
      </c>
      <c r="L821" s="101" t="s">
        <v>188</v>
      </c>
      <c r="M821" s="5">
        <v>0.14000000000000001</v>
      </c>
      <c r="N821" s="59">
        <v>9.4391708000000012</v>
      </c>
      <c r="O821" s="59">
        <v>0.88395199999999718</v>
      </c>
      <c r="BU821" s="61"/>
    </row>
    <row r="822" spans="1:73" x14ac:dyDescent="0.35">
      <c r="A822" s="7" t="s">
        <v>1379</v>
      </c>
      <c r="B822" s="7" t="s">
        <v>1382</v>
      </c>
      <c r="C822" s="17" t="s">
        <v>573</v>
      </c>
      <c r="D822" s="5" t="s">
        <v>38</v>
      </c>
      <c r="E822" t="s">
        <v>752</v>
      </c>
      <c r="F822">
        <v>217.785</v>
      </c>
      <c r="G822" s="5" t="s">
        <v>39</v>
      </c>
      <c r="H822" s="18">
        <v>66.069071005917195</v>
      </c>
      <c r="I822" s="19" t="s">
        <v>40</v>
      </c>
      <c r="J822" s="18">
        <v>-4.7737231770824451E-2</v>
      </c>
      <c r="K822" s="5" t="s">
        <v>44</v>
      </c>
      <c r="L822" s="101" t="s">
        <v>188</v>
      </c>
      <c r="M822" s="5">
        <v>0.24</v>
      </c>
      <c r="N822" s="59">
        <v>8.9969148000000008</v>
      </c>
      <c r="O822" s="59">
        <v>0.44169599999999676</v>
      </c>
      <c r="BU822" s="61"/>
    </row>
    <row r="823" spans="1:73" x14ac:dyDescent="0.35">
      <c r="A823" s="7" t="s">
        <v>1379</v>
      </c>
      <c r="B823" s="7" t="s">
        <v>1382</v>
      </c>
      <c r="C823" s="17" t="s">
        <v>573</v>
      </c>
      <c r="D823" s="5" t="s">
        <v>38</v>
      </c>
      <c r="E823" t="s">
        <v>753</v>
      </c>
      <c r="F823">
        <v>217.845</v>
      </c>
      <c r="G823" s="5" t="s">
        <v>39</v>
      </c>
      <c r="H823" s="18">
        <v>66.071698224852099</v>
      </c>
      <c r="I823" s="19" t="s">
        <v>40</v>
      </c>
      <c r="J823" s="18">
        <v>-5.0402325520821023E-2</v>
      </c>
      <c r="K823" s="5" t="s">
        <v>44</v>
      </c>
      <c r="L823" s="101" t="s">
        <v>188</v>
      </c>
      <c r="M823" s="5">
        <v>0.26</v>
      </c>
      <c r="N823" s="59">
        <v>8.908530800000003</v>
      </c>
      <c r="O823" s="59">
        <v>0.35331199999999896</v>
      </c>
      <c r="BU823" s="61"/>
    </row>
    <row r="824" spans="1:73" x14ac:dyDescent="0.35">
      <c r="A824" s="7" t="s">
        <v>1379</v>
      </c>
      <c r="B824" s="7" t="s">
        <v>1382</v>
      </c>
      <c r="C824" s="17" t="s">
        <v>573</v>
      </c>
      <c r="D824" s="5" t="s">
        <v>38</v>
      </c>
      <c r="E824" t="s">
        <v>754</v>
      </c>
      <c r="F824">
        <v>217.905</v>
      </c>
      <c r="G824" s="5" t="s">
        <v>39</v>
      </c>
      <c r="H824" s="18">
        <v>66.074325443787004</v>
      </c>
      <c r="I824" s="19" t="s">
        <v>40</v>
      </c>
      <c r="J824" s="18">
        <v>-5.3067419270831806E-2</v>
      </c>
      <c r="K824" s="5" t="s">
        <v>44</v>
      </c>
      <c r="L824" s="101" t="s">
        <v>188</v>
      </c>
      <c r="M824" s="5">
        <v>0.26</v>
      </c>
      <c r="N824" s="59">
        <v>8.908530800000003</v>
      </c>
      <c r="O824" s="59">
        <v>0.35331199999999896</v>
      </c>
      <c r="BU824" s="61"/>
    </row>
    <row r="825" spans="1:73" x14ac:dyDescent="0.35">
      <c r="A825" s="7" t="s">
        <v>1379</v>
      </c>
      <c r="B825" s="7" t="s">
        <v>1382</v>
      </c>
      <c r="C825" s="17" t="s">
        <v>573</v>
      </c>
      <c r="D825" s="5" t="s">
        <v>38</v>
      </c>
      <c r="E825" t="s">
        <v>755</v>
      </c>
      <c r="F825">
        <v>218.02499</v>
      </c>
      <c r="G825" s="5" t="s">
        <v>39</v>
      </c>
      <c r="H825" s="18">
        <v>66.079579443786997</v>
      </c>
      <c r="I825" s="19" t="s">
        <v>40</v>
      </c>
      <c r="J825" s="18">
        <v>-5.8397162588534002E-2</v>
      </c>
      <c r="K825" s="5" t="s">
        <v>44</v>
      </c>
      <c r="L825" s="101" t="s">
        <v>188</v>
      </c>
      <c r="M825" s="5">
        <v>0.14000000000000001</v>
      </c>
      <c r="N825" s="59">
        <v>9.4391708000000012</v>
      </c>
      <c r="O825" s="59">
        <v>0.88395199999999718</v>
      </c>
      <c r="BU825" s="61"/>
    </row>
    <row r="826" spans="1:73" x14ac:dyDescent="0.35">
      <c r="A826" s="7" t="s">
        <v>1379</v>
      </c>
      <c r="B826" s="7" t="s">
        <v>1382</v>
      </c>
      <c r="C826" s="17" t="s">
        <v>573</v>
      </c>
      <c r="D826" s="5" t="s">
        <v>38</v>
      </c>
      <c r="E826" t="s">
        <v>756</v>
      </c>
      <c r="F826">
        <v>218.11501000000001</v>
      </c>
      <c r="G826" s="5" t="s">
        <v>39</v>
      </c>
      <c r="H826" s="18">
        <v>66.083521147929005</v>
      </c>
      <c r="I826" s="19" t="s">
        <v>40</v>
      </c>
      <c r="J826" s="18">
        <v>-6.2395691578117862E-2</v>
      </c>
      <c r="K826" s="5" t="s">
        <v>44</v>
      </c>
      <c r="L826" s="101" t="s">
        <v>188</v>
      </c>
      <c r="M826" s="5">
        <v>0.1</v>
      </c>
      <c r="N826" s="59">
        <v>9.6162300000000034</v>
      </c>
      <c r="O826" s="59">
        <v>1.0610111999999994</v>
      </c>
      <c r="BU826" s="61"/>
    </row>
    <row r="827" spans="1:73" x14ac:dyDescent="0.35">
      <c r="A827" s="7" t="s">
        <v>1379</v>
      </c>
      <c r="B827" s="7" t="s">
        <v>1382</v>
      </c>
      <c r="C827" s="17" t="s">
        <v>573</v>
      </c>
      <c r="D827" s="5" t="s">
        <v>38</v>
      </c>
      <c r="E827" t="s">
        <v>757</v>
      </c>
      <c r="F827">
        <v>218.20500000000001</v>
      </c>
      <c r="G827" s="5" t="s">
        <v>39</v>
      </c>
      <c r="H827" s="18">
        <v>66.087461538461497</v>
      </c>
      <c r="I827" s="19" t="s">
        <v>40</v>
      </c>
      <c r="J827" s="18">
        <v>-6.6392888020828877E-2</v>
      </c>
      <c r="K827" s="5" t="s">
        <v>44</v>
      </c>
      <c r="L827" s="101" t="s">
        <v>188</v>
      </c>
      <c r="M827" s="5">
        <v>-0.04</v>
      </c>
      <c r="N827" s="59">
        <v>10.236642800000002</v>
      </c>
      <c r="O827" s="59">
        <v>1.681423999999998</v>
      </c>
      <c r="BU827" s="61"/>
    </row>
    <row r="828" spans="1:73" x14ac:dyDescent="0.35">
      <c r="A828" s="7" t="s">
        <v>1379</v>
      </c>
      <c r="B828" s="7" t="s">
        <v>1382</v>
      </c>
      <c r="C828" s="17" t="s">
        <v>573</v>
      </c>
      <c r="D828" s="5" t="s">
        <v>38</v>
      </c>
      <c r="E828" t="s">
        <v>758</v>
      </c>
      <c r="F828">
        <v>218.505</v>
      </c>
      <c r="G828" s="5" t="s">
        <v>39</v>
      </c>
      <c r="H828" s="18">
        <v>66.101106818181805</v>
      </c>
      <c r="I828" s="19" t="s">
        <v>40</v>
      </c>
      <c r="J828" s="18">
        <v>-7.9718356770825949E-2</v>
      </c>
      <c r="K828" s="5" t="s">
        <v>44</v>
      </c>
      <c r="L828" s="101" t="s">
        <v>188</v>
      </c>
      <c r="M828" s="5">
        <v>-0.04</v>
      </c>
      <c r="N828" s="59">
        <v>10.236642800000002</v>
      </c>
      <c r="O828" s="59">
        <v>1.681423999999998</v>
      </c>
      <c r="BU828" s="61"/>
    </row>
    <row r="829" spans="1:73" x14ac:dyDescent="0.35">
      <c r="A829" s="7" t="s">
        <v>1379</v>
      </c>
      <c r="B829" s="7" t="s">
        <v>1382</v>
      </c>
      <c r="C829" s="17" t="s">
        <v>573</v>
      </c>
      <c r="D829" s="5" t="s">
        <v>38</v>
      </c>
      <c r="E829" t="s">
        <v>759</v>
      </c>
      <c r="F829">
        <v>218.565</v>
      </c>
      <c r="G829" s="5" t="s">
        <v>39</v>
      </c>
      <c r="H829" s="18">
        <v>66.104024999999993</v>
      </c>
      <c r="I829" s="19" t="s">
        <v>40</v>
      </c>
      <c r="J829" s="18">
        <v>-8.2383450520822521E-2</v>
      </c>
      <c r="K829" s="5" t="s">
        <v>44</v>
      </c>
      <c r="L829" s="101" t="s">
        <v>188</v>
      </c>
      <c r="M829" s="5">
        <v>-0.03</v>
      </c>
      <c r="N829" s="59">
        <v>10.192291200000001</v>
      </c>
      <c r="O829" s="59">
        <v>1.6370723999999974</v>
      </c>
      <c r="BU829" s="61"/>
    </row>
    <row r="830" spans="1:73" x14ac:dyDescent="0.35">
      <c r="A830" s="7" t="s">
        <v>1379</v>
      </c>
      <c r="B830" s="7" t="s">
        <v>1382</v>
      </c>
      <c r="C830" s="17" t="s">
        <v>573</v>
      </c>
      <c r="D830" s="5" t="s">
        <v>38</v>
      </c>
      <c r="E830" t="s">
        <v>760</v>
      </c>
      <c r="F830">
        <v>218.655</v>
      </c>
      <c r="G830" s="5" t="s">
        <v>39</v>
      </c>
      <c r="H830" s="18">
        <v>66.108402272727304</v>
      </c>
      <c r="I830" s="19" t="s">
        <v>40</v>
      </c>
      <c r="J830" s="18">
        <v>-8.6404940329217084E-2</v>
      </c>
      <c r="K830" s="5" t="s">
        <v>44</v>
      </c>
      <c r="L830" s="101" t="s">
        <v>188</v>
      </c>
      <c r="M830" s="5">
        <v>0.03</v>
      </c>
      <c r="N830" s="59">
        <v>9.9262992000000008</v>
      </c>
      <c r="O830" s="59">
        <v>1.3710803999999968</v>
      </c>
      <c r="BU830" s="61"/>
    </row>
    <row r="831" spans="1:73" x14ac:dyDescent="0.35">
      <c r="A831" s="7" t="s">
        <v>1379</v>
      </c>
      <c r="B831" s="7" t="s">
        <v>1382</v>
      </c>
      <c r="C831" s="17" t="s">
        <v>573</v>
      </c>
      <c r="D831" s="5" t="s">
        <v>38</v>
      </c>
      <c r="E831" t="s">
        <v>761</v>
      </c>
      <c r="F831">
        <v>218.745</v>
      </c>
      <c r="G831" s="5" t="s">
        <v>39</v>
      </c>
      <c r="H831" s="18">
        <v>66.112779545454501</v>
      </c>
      <c r="I831" s="19" t="s">
        <v>40</v>
      </c>
      <c r="J831" s="18">
        <v>-9.0831866255143723E-2</v>
      </c>
      <c r="K831" s="5" t="s">
        <v>44</v>
      </c>
      <c r="L831" s="101" t="s">
        <v>188</v>
      </c>
      <c r="M831" s="5">
        <v>-7.0000000000000007E-2</v>
      </c>
      <c r="N831" s="59">
        <v>10.369731200000002</v>
      </c>
      <c r="O831" s="59">
        <v>1.8145123999999981</v>
      </c>
      <c r="BU831" s="61"/>
    </row>
    <row r="832" spans="1:73" x14ac:dyDescent="0.35">
      <c r="A832" s="7" t="s">
        <v>1379</v>
      </c>
      <c r="B832" s="7" t="s">
        <v>1382</v>
      </c>
      <c r="C832" s="17" t="s">
        <v>573</v>
      </c>
      <c r="D832" s="5" t="s">
        <v>38</v>
      </c>
      <c r="E832" t="s">
        <v>762</v>
      </c>
      <c r="F832">
        <v>218.80499</v>
      </c>
      <c r="G832" s="5" t="s">
        <v>39</v>
      </c>
      <c r="H832" s="18">
        <v>66.1156972409091</v>
      </c>
      <c r="I832" s="19" t="s">
        <v>40</v>
      </c>
      <c r="J832" s="18">
        <v>-9.3782658325096691E-2</v>
      </c>
      <c r="K832" s="5" t="s">
        <v>44</v>
      </c>
      <c r="L832" s="101" t="s">
        <v>188</v>
      </c>
      <c r="M832" s="5">
        <v>-0.12</v>
      </c>
      <c r="N832" s="59">
        <v>10.591657200000002</v>
      </c>
      <c r="O832" s="59">
        <v>2.036438399999998</v>
      </c>
      <c r="BU832" s="61"/>
    </row>
    <row r="833" spans="1:73" x14ac:dyDescent="0.35">
      <c r="A833" s="7" t="s">
        <v>1379</v>
      </c>
      <c r="B833" s="7" t="s">
        <v>1382</v>
      </c>
      <c r="C833" s="17" t="s">
        <v>573</v>
      </c>
      <c r="D833" s="5" t="s">
        <v>38</v>
      </c>
      <c r="E833" t="s">
        <v>763</v>
      </c>
      <c r="F833">
        <v>218.86501000000001</v>
      </c>
      <c r="G833" s="5" t="s">
        <v>39</v>
      </c>
      <c r="H833" s="18">
        <v>66.118616395454595</v>
      </c>
      <c r="I833" s="19" t="s">
        <v>40</v>
      </c>
      <c r="J833" s="18">
        <v>-9.6734926037029823E-2</v>
      </c>
      <c r="K833" s="5" t="s">
        <v>44</v>
      </c>
      <c r="L833" s="101" t="s">
        <v>188</v>
      </c>
      <c r="M833" s="5">
        <v>-0.09</v>
      </c>
      <c r="N833" s="59">
        <v>10.458484800000001</v>
      </c>
      <c r="O833" s="59">
        <v>1.9032659999999968</v>
      </c>
      <c r="BU833" s="61"/>
    </row>
    <row r="834" spans="1:73" x14ac:dyDescent="0.35">
      <c r="A834" s="7" t="s">
        <v>1379</v>
      </c>
      <c r="B834" s="7" t="s">
        <v>1382</v>
      </c>
      <c r="C834" s="17" t="s">
        <v>573</v>
      </c>
      <c r="D834" s="5" t="s">
        <v>38</v>
      </c>
      <c r="E834" t="s">
        <v>764</v>
      </c>
      <c r="F834">
        <v>218.92500000000001</v>
      </c>
      <c r="G834" s="5" t="s">
        <v>39</v>
      </c>
      <c r="H834" s="18">
        <v>66.121534090909094</v>
      </c>
      <c r="I834" s="19" t="s">
        <v>40</v>
      </c>
      <c r="J834" s="18">
        <v>-9.9685718106997001E-2</v>
      </c>
      <c r="K834" s="5" t="s">
        <v>44</v>
      </c>
      <c r="L834" s="101" t="s">
        <v>188</v>
      </c>
      <c r="M834" s="5">
        <v>-0.04</v>
      </c>
      <c r="N834" s="59">
        <v>10.236642800000002</v>
      </c>
      <c r="O834" s="59">
        <v>1.681423999999998</v>
      </c>
      <c r="BU834" s="61"/>
    </row>
    <row r="835" spans="1:73" x14ac:dyDescent="0.35">
      <c r="A835" s="7" t="s">
        <v>1379</v>
      </c>
      <c r="B835" s="7" t="s">
        <v>1382</v>
      </c>
      <c r="C835" s="17" t="s">
        <v>573</v>
      </c>
      <c r="D835" s="5" t="s">
        <v>38</v>
      </c>
      <c r="E835" t="s">
        <v>765</v>
      </c>
      <c r="F835">
        <v>218.95500000000001</v>
      </c>
      <c r="G835" s="5" t="s">
        <v>39</v>
      </c>
      <c r="H835" s="18">
        <v>66.122993181818202</v>
      </c>
      <c r="I835" s="19" t="s">
        <v>40</v>
      </c>
      <c r="J835" s="18">
        <v>-0.10116136008230114</v>
      </c>
      <c r="K835" s="5" t="s">
        <v>44</v>
      </c>
      <c r="L835" s="101" t="s">
        <v>188</v>
      </c>
      <c r="M835" s="5">
        <v>-0.06</v>
      </c>
      <c r="N835" s="59">
        <v>10.325362800000001</v>
      </c>
      <c r="O835" s="59">
        <v>1.7701439999999966</v>
      </c>
      <c r="BU835" s="61"/>
    </row>
    <row r="836" spans="1:73" x14ac:dyDescent="0.35">
      <c r="A836" s="7" t="s">
        <v>1379</v>
      </c>
      <c r="B836" s="7" t="s">
        <v>1382</v>
      </c>
      <c r="C836" s="17" t="s">
        <v>573</v>
      </c>
      <c r="D836" s="5" t="s">
        <v>38</v>
      </c>
      <c r="E836" t="s">
        <v>766</v>
      </c>
      <c r="F836">
        <v>219.07499999999999</v>
      </c>
      <c r="G836" s="5" t="s">
        <v>39</v>
      </c>
      <c r="H836" s="18">
        <v>66.128829545454593</v>
      </c>
      <c r="I836" s="19" t="s">
        <v>40</v>
      </c>
      <c r="J836" s="18">
        <v>-0.10706392798353193</v>
      </c>
      <c r="K836" s="5" t="s">
        <v>44</v>
      </c>
      <c r="L836" s="101" t="s">
        <v>188</v>
      </c>
      <c r="M836" s="5">
        <v>-0.09</v>
      </c>
      <c r="N836" s="59">
        <v>10.458484800000001</v>
      </c>
      <c r="O836" s="59">
        <v>1.9032659999999968</v>
      </c>
      <c r="BU836" s="61"/>
    </row>
    <row r="837" spans="1:73" x14ac:dyDescent="0.35">
      <c r="A837" s="7" t="s">
        <v>1379</v>
      </c>
      <c r="B837" s="7" t="s">
        <v>1382</v>
      </c>
      <c r="C837" s="17" t="s">
        <v>573</v>
      </c>
      <c r="D837" s="5" t="s">
        <v>38</v>
      </c>
      <c r="E837" t="s">
        <v>767</v>
      </c>
      <c r="F837">
        <v>219.10499999999999</v>
      </c>
      <c r="G837" s="5" t="s">
        <v>39</v>
      </c>
      <c r="H837" s="18">
        <v>66.130288636363602</v>
      </c>
      <c r="I837" s="19" t="s">
        <v>40</v>
      </c>
      <c r="J837" s="18">
        <v>-0.10853956995883607</v>
      </c>
      <c r="K837" s="5" t="s">
        <v>44</v>
      </c>
      <c r="L837" s="101" t="s">
        <v>188</v>
      </c>
      <c r="M837" s="5">
        <v>-0.08</v>
      </c>
      <c r="N837" s="59">
        <v>10.414105200000002</v>
      </c>
      <c r="O837" s="59">
        <v>1.8588863999999976</v>
      </c>
      <c r="BU837" s="61"/>
    </row>
    <row r="838" spans="1:73" x14ac:dyDescent="0.35">
      <c r="A838" s="7" t="s">
        <v>1379</v>
      </c>
      <c r="B838" s="7" t="s">
        <v>1382</v>
      </c>
      <c r="C838" s="17" t="s">
        <v>573</v>
      </c>
      <c r="D838" s="5" t="s">
        <v>38</v>
      </c>
      <c r="E838" t="s">
        <v>768</v>
      </c>
      <c r="F838">
        <v>219.16498999999999</v>
      </c>
      <c r="G838" s="5" t="s">
        <v>39</v>
      </c>
      <c r="H838" s="18">
        <v>66.133206331818201</v>
      </c>
      <c r="I838" s="19" t="s">
        <v>40</v>
      </c>
      <c r="J838" s="18">
        <v>-0.11149036202880325</v>
      </c>
      <c r="K838" s="5" t="s">
        <v>44</v>
      </c>
      <c r="L838" s="101" t="s">
        <v>188</v>
      </c>
      <c r="M838" s="5">
        <v>0.01</v>
      </c>
      <c r="N838" s="59">
        <v>10.014940800000002</v>
      </c>
      <c r="O838" s="59">
        <v>1.4597219999999975</v>
      </c>
      <c r="BU838" s="61"/>
    </row>
    <row r="839" spans="1:73" x14ac:dyDescent="0.35">
      <c r="A839" s="7" t="s">
        <v>1379</v>
      </c>
      <c r="B839" s="7" t="s">
        <v>1382</v>
      </c>
      <c r="C839" s="17" t="s">
        <v>573</v>
      </c>
      <c r="D839" s="5" t="s">
        <v>38</v>
      </c>
      <c r="E839" t="s">
        <v>769</v>
      </c>
      <c r="F839">
        <v>219.19501</v>
      </c>
      <c r="G839" s="5" t="s">
        <v>39</v>
      </c>
      <c r="H839" s="18">
        <v>66.134666395454502</v>
      </c>
      <c r="I839" s="19" t="s">
        <v>40</v>
      </c>
      <c r="J839" s="18">
        <v>-0.11296698776543224</v>
      </c>
      <c r="K839" s="5" t="s">
        <v>44</v>
      </c>
      <c r="L839" s="101" t="s">
        <v>188</v>
      </c>
      <c r="M839" s="5">
        <v>-0.15</v>
      </c>
      <c r="N839" s="59">
        <v>10.724880000000002</v>
      </c>
      <c r="O839" s="59">
        <v>2.1696611999999984</v>
      </c>
      <c r="BU839" s="61"/>
    </row>
    <row r="840" spans="1:73" x14ac:dyDescent="0.35">
      <c r="A840" s="7" t="s">
        <v>1379</v>
      </c>
      <c r="B840" s="7" t="s">
        <v>1382</v>
      </c>
      <c r="C840" s="17" t="s">
        <v>573</v>
      </c>
      <c r="D840" s="5" t="s">
        <v>38</v>
      </c>
      <c r="E840" t="s">
        <v>770</v>
      </c>
      <c r="F840">
        <v>219.255</v>
      </c>
      <c r="G840" s="5" t="s">
        <v>39</v>
      </c>
      <c r="H840" s="18">
        <v>66.137584090909101</v>
      </c>
      <c r="I840" s="19" t="s">
        <v>40</v>
      </c>
      <c r="J840" s="18">
        <v>-0.1159177798353852</v>
      </c>
      <c r="K840" s="5" t="s">
        <v>44</v>
      </c>
      <c r="L840" s="101" t="s">
        <v>188</v>
      </c>
      <c r="M840" s="5">
        <v>-0.18</v>
      </c>
      <c r="N840" s="59">
        <v>10.858153200000002</v>
      </c>
      <c r="O840" s="59">
        <v>2.302934399999998</v>
      </c>
      <c r="BU840" s="61"/>
    </row>
    <row r="841" spans="1:73" x14ac:dyDescent="0.35">
      <c r="A841" s="7" t="s">
        <v>1379</v>
      </c>
      <c r="B841" s="7" t="s">
        <v>1382</v>
      </c>
      <c r="C841" s="17" t="s">
        <v>573</v>
      </c>
      <c r="D841" s="5" t="s">
        <v>38</v>
      </c>
      <c r="E841" t="s">
        <v>771</v>
      </c>
      <c r="F841">
        <v>219.315</v>
      </c>
      <c r="G841" s="5" t="s">
        <v>39</v>
      </c>
      <c r="H841" s="18">
        <v>66.140502272727304</v>
      </c>
      <c r="I841" s="19" t="s">
        <v>40</v>
      </c>
      <c r="J841" s="18">
        <v>-0.1188690637860077</v>
      </c>
      <c r="K841" s="5" t="s">
        <v>44</v>
      </c>
      <c r="L841" s="101" t="s">
        <v>188</v>
      </c>
      <c r="M841" s="5">
        <v>-0.26</v>
      </c>
      <c r="N841" s="59">
        <v>11.213794800000001</v>
      </c>
      <c r="O841" s="59">
        <v>2.6585759999999965</v>
      </c>
      <c r="BU841" s="61"/>
    </row>
    <row r="842" spans="1:73" x14ac:dyDescent="0.35">
      <c r="A842" s="7" t="s">
        <v>1379</v>
      </c>
      <c r="B842" s="7" t="s">
        <v>1382</v>
      </c>
      <c r="C842" s="17" t="s">
        <v>573</v>
      </c>
      <c r="D842" s="5" t="s">
        <v>38</v>
      </c>
      <c r="E842" t="s">
        <v>772</v>
      </c>
      <c r="F842">
        <v>219.405</v>
      </c>
      <c r="G842" s="5" t="s">
        <v>39</v>
      </c>
      <c r="H842" s="18">
        <v>66.144879545454501</v>
      </c>
      <c r="I842" s="19" t="s">
        <v>40</v>
      </c>
      <c r="J842" s="18">
        <v>-0.12329598971193434</v>
      </c>
      <c r="K842" s="5" t="s">
        <v>44</v>
      </c>
      <c r="L842" s="101" t="s">
        <v>188</v>
      </c>
      <c r="M842" s="5">
        <v>-0.15</v>
      </c>
      <c r="N842" s="59">
        <v>10.724880000000002</v>
      </c>
      <c r="O842" s="59">
        <v>2.1696611999999984</v>
      </c>
      <c r="BU842" s="61"/>
    </row>
    <row r="843" spans="1:73" x14ac:dyDescent="0.35">
      <c r="A843" s="7" t="s">
        <v>1379</v>
      </c>
      <c r="B843" s="7" t="s">
        <v>1382</v>
      </c>
      <c r="C843" s="17" t="s">
        <v>573</v>
      </c>
      <c r="D843" s="5" t="s">
        <v>38</v>
      </c>
      <c r="E843" t="s">
        <v>773</v>
      </c>
      <c r="F843">
        <v>219.465</v>
      </c>
      <c r="G843" s="5" t="s">
        <v>39</v>
      </c>
      <c r="H843" s="18">
        <v>66.147797727272703</v>
      </c>
      <c r="I843" s="19" t="s">
        <v>40</v>
      </c>
      <c r="J843" s="18">
        <v>-0.12624727366254263</v>
      </c>
      <c r="K843" s="5" t="s">
        <v>44</v>
      </c>
      <c r="L843" s="101" t="s">
        <v>188</v>
      </c>
      <c r="M843" s="5">
        <v>-0.17</v>
      </c>
      <c r="N843" s="59">
        <v>10.813723200000002</v>
      </c>
      <c r="O843" s="59">
        <v>2.2585043999999979</v>
      </c>
      <c r="BU843" s="61"/>
    </row>
    <row r="844" spans="1:73" x14ac:dyDescent="0.35">
      <c r="A844" s="7" t="s">
        <v>1379</v>
      </c>
      <c r="B844" s="7" t="s">
        <v>1382</v>
      </c>
      <c r="C844" s="17" t="s">
        <v>573</v>
      </c>
      <c r="D844" s="5" t="s">
        <v>38</v>
      </c>
      <c r="E844" t="s">
        <v>774</v>
      </c>
      <c r="F844">
        <v>219.495</v>
      </c>
      <c r="G844" s="5" t="s">
        <v>39</v>
      </c>
      <c r="H844" s="18">
        <v>66.149256818181797</v>
      </c>
      <c r="I844" s="19" t="s">
        <v>40</v>
      </c>
      <c r="J844" s="18">
        <v>-0.12772291563786098</v>
      </c>
      <c r="K844" s="5" t="s">
        <v>44</v>
      </c>
      <c r="L844" s="101" t="s">
        <v>188</v>
      </c>
      <c r="M844" s="5">
        <v>-0.1</v>
      </c>
      <c r="N844" s="59">
        <v>10.502870000000003</v>
      </c>
      <c r="O844" s="59">
        <v>1.9476511999999992</v>
      </c>
      <c r="BU844" s="61"/>
    </row>
    <row r="845" spans="1:73" x14ac:dyDescent="0.35">
      <c r="A845" s="7" t="s">
        <v>1379</v>
      </c>
      <c r="B845" s="7" t="s">
        <v>1382</v>
      </c>
      <c r="C845" s="17" t="s">
        <v>573</v>
      </c>
      <c r="D845" s="5" t="s">
        <v>38</v>
      </c>
      <c r="E845" t="s">
        <v>775</v>
      </c>
      <c r="F845">
        <v>219.55499</v>
      </c>
      <c r="G845" s="5" t="s">
        <v>39</v>
      </c>
      <c r="H845" s="18">
        <v>66.152174513636396</v>
      </c>
      <c r="I845" s="19" t="s">
        <v>40</v>
      </c>
      <c r="J845" s="18">
        <v>-0.13067370770781395</v>
      </c>
      <c r="K845" s="5" t="s">
        <v>44</v>
      </c>
      <c r="L845" s="101" t="s">
        <v>188</v>
      </c>
      <c r="M845" s="5">
        <v>-7.0000000000000007E-2</v>
      </c>
      <c r="N845" s="59">
        <v>10.369731200000002</v>
      </c>
      <c r="O845" s="59">
        <v>1.8145123999999981</v>
      </c>
      <c r="BU845" s="61"/>
    </row>
    <row r="846" spans="1:73" x14ac:dyDescent="0.35">
      <c r="A846" s="7" t="s">
        <v>1379</v>
      </c>
      <c r="B846" s="7" t="s">
        <v>1382</v>
      </c>
      <c r="C846" s="17" t="s">
        <v>573</v>
      </c>
      <c r="D846" s="5" t="s">
        <v>38</v>
      </c>
      <c r="E846" t="s">
        <v>776</v>
      </c>
      <c r="F846">
        <v>219.61501000000001</v>
      </c>
      <c r="G846" s="5" t="s">
        <v>39</v>
      </c>
      <c r="H846" s="18">
        <v>66.155093668181806</v>
      </c>
      <c r="I846" s="19" t="s">
        <v>40</v>
      </c>
      <c r="J846" s="18">
        <v>-0.13362597541974708</v>
      </c>
      <c r="K846" s="5" t="s">
        <v>44</v>
      </c>
      <c r="L846" s="101" t="s">
        <v>188</v>
      </c>
      <c r="M846" s="5">
        <v>-0.11</v>
      </c>
      <c r="N846" s="59">
        <v>10.547260800000002</v>
      </c>
      <c r="O846" s="59">
        <v>1.9920419999999979</v>
      </c>
      <c r="BU846" s="61"/>
    </row>
    <row r="847" spans="1:73" x14ac:dyDescent="0.35">
      <c r="A847" s="7" t="s">
        <v>1379</v>
      </c>
      <c r="B847" s="7" t="s">
        <v>1382</v>
      </c>
      <c r="C847" s="17" t="s">
        <v>573</v>
      </c>
      <c r="D847" s="5" t="s">
        <v>38</v>
      </c>
      <c r="E847" t="s">
        <v>777</v>
      </c>
      <c r="F847">
        <v>219.67500000000001</v>
      </c>
      <c r="G847" s="5" t="s">
        <v>39</v>
      </c>
      <c r="H847" s="18">
        <v>66.158011363636405</v>
      </c>
      <c r="I847" s="19" t="s">
        <v>40</v>
      </c>
      <c r="J847" s="18">
        <v>-0.13657676748971426</v>
      </c>
      <c r="K847" s="5" t="s">
        <v>44</v>
      </c>
      <c r="L847" s="101" t="s">
        <v>188</v>
      </c>
      <c r="M847" s="5">
        <v>-0.15</v>
      </c>
      <c r="N847" s="59">
        <v>10.724880000000002</v>
      </c>
      <c r="O847" s="59">
        <v>2.1696611999999984</v>
      </c>
      <c r="BU847" s="61"/>
    </row>
    <row r="848" spans="1:73" x14ac:dyDescent="0.35">
      <c r="A848" s="7" t="s">
        <v>1379</v>
      </c>
      <c r="B848" s="7" t="s">
        <v>1382</v>
      </c>
      <c r="C848" s="17" t="s">
        <v>573</v>
      </c>
      <c r="D848" s="5" t="s">
        <v>38</v>
      </c>
      <c r="E848" t="s">
        <v>778</v>
      </c>
      <c r="F848">
        <v>219.70500000000001</v>
      </c>
      <c r="G848" s="5" t="s">
        <v>39</v>
      </c>
      <c r="H848" s="18">
        <v>66.159470454545499</v>
      </c>
      <c r="I848" s="19" t="s">
        <v>40</v>
      </c>
      <c r="J848" s="18">
        <v>-0.1380524094650184</v>
      </c>
      <c r="K848" s="5" t="s">
        <v>44</v>
      </c>
      <c r="L848" s="101" t="s">
        <v>188</v>
      </c>
      <c r="M848" s="5">
        <v>-0.28999999999999998</v>
      </c>
      <c r="N848" s="59">
        <v>11.347252800000001</v>
      </c>
      <c r="O848" s="59">
        <v>2.7920339999999975</v>
      </c>
      <c r="BU848" s="61"/>
    </row>
    <row r="849" spans="1:73" x14ac:dyDescent="0.35">
      <c r="A849" s="7" t="s">
        <v>1379</v>
      </c>
      <c r="B849" s="7" t="s">
        <v>1382</v>
      </c>
      <c r="C849" s="17" t="s">
        <v>573</v>
      </c>
      <c r="D849" s="5" t="s">
        <v>38</v>
      </c>
      <c r="E849" t="s">
        <v>779</v>
      </c>
      <c r="F849">
        <v>219.76499999999999</v>
      </c>
      <c r="G849" s="5" t="s">
        <v>39</v>
      </c>
      <c r="H849" s="18">
        <v>66.162388636363602</v>
      </c>
      <c r="I849" s="19" t="s">
        <v>40</v>
      </c>
      <c r="J849" s="18">
        <v>-0.1410036934156409</v>
      </c>
      <c r="K849" s="5" t="s">
        <v>44</v>
      </c>
      <c r="L849" s="101" t="s">
        <v>188</v>
      </c>
      <c r="M849" s="5">
        <v>-0.27</v>
      </c>
      <c r="N849" s="59">
        <v>11.258275200000002</v>
      </c>
      <c r="O849" s="59">
        <v>2.7030563999999977</v>
      </c>
      <c r="BU849" s="61"/>
    </row>
    <row r="850" spans="1:73" x14ac:dyDescent="0.35">
      <c r="A850" s="7" t="s">
        <v>1379</v>
      </c>
      <c r="B850" s="7" t="s">
        <v>1382</v>
      </c>
      <c r="C850" s="17" t="s">
        <v>573</v>
      </c>
      <c r="D850" s="5" t="s">
        <v>38</v>
      </c>
      <c r="E850" t="s">
        <v>780</v>
      </c>
      <c r="F850">
        <v>219.82499999999999</v>
      </c>
      <c r="G850" s="5" t="s">
        <v>39</v>
      </c>
      <c r="H850" s="18">
        <v>66.165306818181804</v>
      </c>
      <c r="I850" s="19" t="s">
        <v>40</v>
      </c>
      <c r="J850" s="18">
        <v>-0.14395497736624918</v>
      </c>
      <c r="K850" s="5" t="s">
        <v>44</v>
      </c>
      <c r="L850" s="101" t="s">
        <v>188</v>
      </c>
      <c r="M850" s="5">
        <v>-0.32</v>
      </c>
      <c r="N850" s="59">
        <v>11.480761200000002</v>
      </c>
      <c r="O850" s="59">
        <v>2.9255423999999977</v>
      </c>
      <c r="BU850" s="61"/>
    </row>
    <row r="851" spans="1:73" x14ac:dyDescent="0.35">
      <c r="A851" s="7" t="s">
        <v>1379</v>
      </c>
      <c r="B851" s="7" t="s">
        <v>1382</v>
      </c>
      <c r="C851" s="17" t="s">
        <v>573</v>
      </c>
      <c r="D851" s="5" t="s">
        <v>38</v>
      </c>
      <c r="E851" t="s">
        <v>781</v>
      </c>
      <c r="F851">
        <v>219.91498999999999</v>
      </c>
      <c r="G851" s="5" t="s">
        <v>39</v>
      </c>
      <c r="H851" s="18">
        <v>66.169683604545497</v>
      </c>
      <c r="I851" s="19" t="s">
        <v>40</v>
      </c>
      <c r="J851" s="18">
        <v>-0.1483814114115205</v>
      </c>
      <c r="K851" s="5" t="s">
        <v>44</v>
      </c>
      <c r="L851" s="101" t="s">
        <v>188</v>
      </c>
      <c r="M851" s="5">
        <v>-0.3</v>
      </c>
      <c r="N851" s="59">
        <v>11.391750000000002</v>
      </c>
      <c r="O851" s="59">
        <v>2.8365311999999978</v>
      </c>
      <c r="BU851" s="61"/>
    </row>
    <row r="852" spans="1:73" x14ac:dyDescent="0.35">
      <c r="A852" s="7" t="s">
        <v>1379</v>
      </c>
      <c r="B852" s="7" t="s">
        <v>1382</v>
      </c>
      <c r="C852" s="17" t="s">
        <v>573</v>
      </c>
      <c r="D852" s="5" t="s">
        <v>38</v>
      </c>
      <c r="E852" t="s">
        <v>782</v>
      </c>
      <c r="F852">
        <v>219.97501</v>
      </c>
      <c r="G852" s="5" t="s">
        <v>39</v>
      </c>
      <c r="H852" s="18">
        <v>66.172602759090907</v>
      </c>
      <c r="I852" s="19" t="s">
        <v>40</v>
      </c>
      <c r="J852" s="18">
        <v>-0.15133367912345363</v>
      </c>
      <c r="K852" s="5" t="s">
        <v>44</v>
      </c>
      <c r="L852" s="101" t="s">
        <v>188</v>
      </c>
      <c r="M852" s="5">
        <v>-0.27</v>
      </c>
      <c r="N852" s="59">
        <v>11.258275200000002</v>
      </c>
      <c r="O852" s="59">
        <v>2.7030563999999977</v>
      </c>
      <c r="BU852" s="61"/>
    </row>
    <row r="853" spans="1:73" x14ac:dyDescent="0.35">
      <c r="A853" s="7" t="s">
        <v>1379</v>
      </c>
      <c r="B853" s="7" t="s">
        <v>1382</v>
      </c>
      <c r="C853" s="17" t="s">
        <v>573</v>
      </c>
      <c r="D853" s="5" t="s">
        <v>38</v>
      </c>
      <c r="E853" t="s">
        <v>783</v>
      </c>
      <c r="F853">
        <v>220.035</v>
      </c>
      <c r="G853" s="5" t="s">
        <v>39</v>
      </c>
      <c r="H853" s="18">
        <v>66.175520454545506</v>
      </c>
      <c r="I853" s="19" t="s">
        <v>40</v>
      </c>
      <c r="J853" s="18">
        <v>-0.1542844711934066</v>
      </c>
      <c r="K853" s="5" t="s">
        <v>44</v>
      </c>
      <c r="L853" s="101" t="s">
        <v>188</v>
      </c>
      <c r="M853" s="5">
        <v>-0.26</v>
      </c>
      <c r="N853" s="59">
        <v>11.213794800000001</v>
      </c>
      <c r="O853" s="59">
        <v>2.6585759999999965</v>
      </c>
      <c r="BU853" s="61"/>
    </row>
    <row r="854" spans="1:73" x14ac:dyDescent="0.35">
      <c r="A854" s="7" t="s">
        <v>1379</v>
      </c>
      <c r="B854" s="7" t="s">
        <v>1382</v>
      </c>
      <c r="C854" s="17" t="s">
        <v>573</v>
      </c>
      <c r="D854" s="5" t="s">
        <v>38</v>
      </c>
      <c r="E854" t="s">
        <v>784</v>
      </c>
      <c r="F854">
        <v>220.065</v>
      </c>
      <c r="G854" s="5" t="s">
        <v>39</v>
      </c>
      <c r="H854" s="18">
        <v>66.1769795454545</v>
      </c>
      <c r="I854" s="19" t="s">
        <v>40</v>
      </c>
      <c r="J854" s="18">
        <v>-0.15576011316872496</v>
      </c>
      <c r="K854" s="5" t="s">
        <v>44</v>
      </c>
      <c r="L854" s="101" t="s">
        <v>188</v>
      </c>
      <c r="M854" s="5">
        <v>-0.2</v>
      </c>
      <c r="N854" s="59">
        <v>10.947030000000003</v>
      </c>
      <c r="O854" s="59">
        <v>2.3918111999999994</v>
      </c>
      <c r="BU854" s="61"/>
    </row>
    <row r="855" spans="1:73" x14ac:dyDescent="0.35">
      <c r="A855" s="7" t="s">
        <v>1379</v>
      </c>
      <c r="B855" s="7" t="s">
        <v>1382</v>
      </c>
      <c r="C855" s="17" t="s">
        <v>573</v>
      </c>
      <c r="D855" s="5" t="s">
        <v>38</v>
      </c>
      <c r="E855" t="s">
        <v>785</v>
      </c>
      <c r="F855">
        <v>220.125</v>
      </c>
      <c r="G855" s="5" t="s">
        <v>39</v>
      </c>
      <c r="H855" s="18">
        <v>66.179897727272703</v>
      </c>
      <c r="I855" s="19" t="s">
        <v>40</v>
      </c>
      <c r="J855" s="18">
        <v>-0.15871139711933324</v>
      </c>
      <c r="K855" s="5" t="s">
        <v>44</v>
      </c>
      <c r="L855" s="101" t="s">
        <v>188</v>
      </c>
      <c r="M855" s="5">
        <v>-0.16</v>
      </c>
      <c r="N855" s="59">
        <v>10.769298800000003</v>
      </c>
      <c r="O855" s="59">
        <v>2.2140799999999992</v>
      </c>
      <c r="BU855" s="61"/>
    </row>
    <row r="856" spans="1:73" x14ac:dyDescent="0.35">
      <c r="A856" s="7" t="s">
        <v>1379</v>
      </c>
      <c r="B856" s="7" t="s">
        <v>1382</v>
      </c>
      <c r="C856" s="17" t="s">
        <v>573</v>
      </c>
      <c r="D856" s="5" t="s">
        <v>38</v>
      </c>
      <c r="E856" t="s">
        <v>786</v>
      </c>
      <c r="F856">
        <v>220.155</v>
      </c>
      <c r="G856" s="5" t="s">
        <v>39</v>
      </c>
      <c r="H856" s="18">
        <v>66.181356818181797</v>
      </c>
      <c r="I856" s="19" t="s">
        <v>40</v>
      </c>
      <c r="J856" s="18">
        <v>-0.1601870390946516</v>
      </c>
      <c r="K856" s="5" t="s">
        <v>44</v>
      </c>
      <c r="L856" s="101" t="s">
        <v>188</v>
      </c>
      <c r="M856" s="5">
        <v>-0.26</v>
      </c>
      <c r="N856" s="59">
        <v>11.213794800000001</v>
      </c>
      <c r="O856" s="59">
        <v>2.6585759999999965</v>
      </c>
      <c r="BU856" s="61"/>
    </row>
    <row r="857" spans="1:73" x14ac:dyDescent="0.35">
      <c r="A857" s="7" t="s">
        <v>1379</v>
      </c>
      <c r="B857" s="7" t="s">
        <v>1382</v>
      </c>
      <c r="C857" s="17" t="s">
        <v>573</v>
      </c>
      <c r="D857" s="5" t="s">
        <v>38</v>
      </c>
      <c r="E857" t="s">
        <v>787</v>
      </c>
      <c r="F857">
        <v>220.215</v>
      </c>
      <c r="G857" s="5" t="s">
        <v>39</v>
      </c>
      <c r="H857" s="18">
        <v>66.184275</v>
      </c>
      <c r="I857" s="19" t="s">
        <v>40</v>
      </c>
      <c r="J857" s="18">
        <v>-0.16313832304525988</v>
      </c>
      <c r="K857" s="5" t="s">
        <v>44</v>
      </c>
      <c r="L857" s="101" t="s">
        <v>188</v>
      </c>
      <c r="M857" s="5">
        <v>-0.33</v>
      </c>
      <c r="N857" s="59">
        <v>11.525275200000003</v>
      </c>
      <c r="O857" s="59">
        <v>2.9700563999999989</v>
      </c>
      <c r="BU857" s="61"/>
    </row>
    <row r="858" spans="1:73" x14ac:dyDescent="0.35">
      <c r="A858" s="7" t="s">
        <v>1379</v>
      </c>
      <c r="B858" s="7" t="s">
        <v>1382</v>
      </c>
      <c r="C858" s="17" t="s">
        <v>573</v>
      </c>
      <c r="D858" s="5" t="s">
        <v>38</v>
      </c>
      <c r="E858" t="s">
        <v>788</v>
      </c>
      <c r="F858">
        <v>220.245</v>
      </c>
      <c r="G858" s="5" t="s">
        <v>39</v>
      </c>
      <c r="H858" s="18">
        <v>66.185734090909094</v>
      </c>
      <c r="I858" s="19" t="s">
        <v>40</v>
      </c>
      <c r="J858" s="18">
        <v>-0.16461396502057823</v>
      </c>
      <c r="K858" s="5" t="s">
        <v>44</v>
      </c>
      <c r="L858" s="101" t="s">
        <v>188</v>
      </c>
      <c r="M858" s="5">
        <v>-0.32</v>
      </c>
      <c r="N858" s="59">
        <v>11.480761200000002</v>
      </c>
      <c r="O858" s="59">
        <v>2.9255423999999977</v>
      </c>
      <c r="BU858" s="61"/>
    </row>
    <row r="859" spans="1:73" x14ac:dyDescent="0.35">
      <c r="A859" s="7" t="s">
        <v>1379</v>
      </c>
      <c r="B859" s="7" t="s">
        <v>1382</v>
      </c>
      <c r="C859" s="17" t="s">
        <v>573</v>
      </c>
      <c r="D859" s="5" t="s">
        <v>38</v>
      </c>
      <c r="E859" t="s">
        <v>789</v>
      </c>
      <c r="F859">
        <v>220.27499</v>
      </c>
      <c r="G859" s="5" t="s">
        <v>39</v>
      </c>
      <c r="H859" s="18">
        <v>66.187192695454598</v>
      </c>
      <c r="I859" s="19" t="s">
        <v>40</v>
      </c>
      <c r="J859" s="18">
        <v>-0.16608911511522706</v>
      </c>
      <c r="K859" s="5" t="s">
        <v>44</v>
      </c>
      <c r="L859" s="101" t="s">
        <v>188</v>
      </c>
      <c r="M859" s="5">
        <v>-0.2</v>
      </c>
      <c r="N859" s="59">
        <v>10.947030000000003</v>
      </c>
      <c r="O859" s="59">
        <v>2.3918111999999994</v>
      </c>
      <c r="BU859" s="61"/>
    </row>
    <row r="860" spans="1:73" x14ac:dyDescent="0.35">
      <c r="A860" s="7" t="s">
        <v>1379</v>
      </c>
      <c r="B860" s="7" t="s">
        <v>1382</v>
      </c>
      <c r="C860" s="17" t="s">
        <v>573</v>
      </c>
      <c r="D860" s="5" t="s">
        <v>38</v>
      </c>
      <c r="E860" t="s">
        <v>790</v>
      </c>
      <c r="F860">
        <v>220.30499</v>
      </c>
      <c r="G860" s="5" t="s">
        <v>39</v>
      </c>
      <c r="H860" s="18">
        <v>66.188651786363593</v>
      </c>
      <c r="I860" s="19" t="s">
        <v>40</v>
      </c>
      <c r="J860" s="18">
        <v>-0.1675647570905312</v>
      </c>
      <c r="K860" s="5" t="s">
        <v>44</v>
      </c>
      <c r="L860" s="101" t="s">
        <v>188</v>
      </c>
      <c r="M860" s="5">
        <v>0.01</v>
      </c>
      <c r="N860" s="59">
        <v>10.014940800000002</v>
      </c>
      <c r="O860" s="59">
        <v>1.4597219999999975</v>
      </c>
      <c r="BU860" s="61"/>
    </row>
    <row r="861" spans="1:73" x14ac:dyDescent="0.35">
      <c r="A861" s="7" t="s">
        <v>1379</v>
      </c>
      <c r="B861" s="7" t="s">
        <v>1382</v>
      </c>
      <c r="C861" s="17" t="s">
        <v>573</v>
      </c>
      <c r="D861" s="5" t="s">
        <v>38</v>
      </c>
      <c r="E861" t="s">
        <v>791</v>
      </c>
      <c r="F861">
        <v>220.36501000000001</v>
      </c>
      <c r="G861" s="5" t="s">
        <v>39</v>
      </c>
      <c r="H861" s="18">
        <v>66.191570940909102</v>
      </c>
      <c r="I861" s="19" t="s">
        <v>40</v>
      </c>
      <c r="J861" s="18">
        <v>-0.17051702480246433</v>
      </c>
      <c r="K861" s="5" t="s">
        <v>44</v>
      </c>
      <c r="L861" s="101" t="s">
        <v>188</v>
      </c>
      <c r="M861" s="5">
        <v>-0.31</v>
      </c>
      <c r="N861" s="59">
        <v>11.436252800000002</v>
      </c>
      <c r="O861" s="59">
        <v>2.8810339999999979</v>
      </c>
      <c r="BU861" s="61"/>
    </row>
    <row r="862" spans="1:73" x14ac:dyDescent="0.35">
      <c r="A862" s="7" t="s">
        <v>1379</v>
      </c>
      <c r="B862" s="7" t="s">
        <v>1382</v>
      </c>
      <c r="C862" s="17" t="s">
        <v>573</v>
      </c>
      <c r="D862" s="5" t="s">
        <v>38</v>
      </c>
      <c r="E862" t="s">
        <v>792</v>
      </c>
      <c r="F862">
        <v>220.39500000000001</v>
      </c>
      <c r="G862" s="5" t="s">
        <v>39</v>
      </c>
      <c r="H862" s="18">
        <v>66.193029545454607</v>
      </c>
      <c r="I862" s="19" t="s">
        <v>40</v>
      </c>
      <c r="J862" s="18">
        <v>-0.17199217489711316</v>
      </c>
      <c r="K862" s="5" t="s">
        <v>44</v>
      </c>
      <c r="L862" s="101" t="s">
        <v>188</v>
      </c>
      <c r="M862" s="5">
        <v>-0.33</v>
      </c>
      <c r="N862" s="59">
        <v>11.525275200000003</v>
      </c>
      <c r="O862" s="59">
        <v>2.9700563999999989</v>
      </c>
      <c r="BU862" s="61"/>
    </row>
    <row r="863" spans="1:73" x14ac:dyDescent="0.35">
      <c r="A863" s="7" t="s">
        <v>1379</v>
      </c>
      <c r="B863" s="7" t="s">
        <v>1382</v>
      </c>
      <c r="C863" s="17" t="s">
        <v>573</v>
      </c>
      <c r="D863" s="5" t="s">
        <v>38</v>
      </c>
      <c r="E863" t="s">
        <v>793</v>
      </c>
      <c r="F863">
        <v>220.42500000000001</v>
      </c>
      <c r="G863" s="5" t="s">
        <v>39</v>
      </c>
      <c r="H863" s="18">
        <v>66.194488636363602</v>
      </c>
      <c r="I863" s="19" t="s">
        <v>40</v>
      </c>
      <c r="J863" s="18">
        <v>-0.17346781687243151</v>
      </c>
      <c r="K863" s="5" t="s">
        <v>44</v>
      </c>
      <c r="L863" s="101" t="s">
        <v>188</v>
      </c>
      <c r="M863" s="5">
        <v>-0.28000000000000003</v>
      </c>
      <c r="N863" s="59">
        <v>11.302761200000003</v>
      </c>
      <c r="O863" s="59">
        <v>2.7475423999999986</v>
      </c>
      <c r="BU863" s="61"/>
    </row>
    <row r="864" spans="1:73" x14ac:dyDescent="0.35">
      <c r="A864" s="7" t="s">
        <v>1379</v>
      </c>
      <c r="B864" s="7" t="s">
        <v>1382</v>
      </c>
      <c r="C864" s="17" t="s">
        <v>573</v>
      </c>
      <c r="D864" s="5" t="s">
        <v>38</v>
      </c>
      <c r="E864" t="s">
        <v>794</v>
      </c>
      <c r="F864">
        <v>220.51499999999999</v>
      </c>
      <c r="G864" s="5" t="s">
        <v>39</v>
      </c>
      <c r="H864" s="18">
        <v>66.198865909090898</v>
      </c>
      <c r="I864" s="19" t="s">
        <v>40</v>
      </c>
      <c r="J864" s="18">
        <v>-0.17789474279835815</v>
      </c>
      <c r="K864" s="5" t="s">
        <v>44</v>
      </c>
      <c r="L864" s="101" t="s">
        <v>188</v>
      </c>
      <c r="M864" s="5">
        <v>-0.36</v>
      </c>
      <c r="N864" s="59">
        <v>11.658850800000003</v>
      </c>
      <c r="O864" s="59">
        <v>3.1036319999999993</v>
      </c>
      <c r="BU864" s="61"/>
    </row>
    <row r="865" spans="1:73" x14ac:dyDescent="0.35">
      <c r="A865" s="7" t="s">
        <v>1379</v>
      </c>
      <c r="B865" s="7" t="s">
        <v>1382</v>
      </c>
      <c r="C865" s="17" t="s">
        <v>573</v>
      </c>
      <c r="D865" s="5" t="s">
        <v>38</v>
      </c>
      <c r="E865" t="s">
        <v>795</v>
      </c>
      <c r="F865">
        <v>220.54499999999999</v>
      </c>
      <c r="G865" s="5" t="s">
        <v>39</v>
      </c>
      <c r="H865" s="18">
        <v>66.200325000000007</v>
      </c>
      <c r="I865" s="19" t="s">
        <v>40</v>
      </c>
      <c r="J865" s="18">
        <v>-0.17937038477366229</v>
      </c>
      <c r="K865" s="5" t="s">
        <v>44</v>
      </c>
      <c r="L865" s="101" t="s">
        <v>188</v>
      </c>
      <c r="M865" s="5">
        <v>-0.33</v>
      </c>
      <c r="N865" s="59">
        <v>11.525275200000003</v>
      </c>
      <c r="O865" s="59">
        <v>2.9700563999999989</v>
      </c>
      <c r="BU865" s="61"/>
    </row>
    <row r="866" spans="1:73" x14ac:dyDescent="0.35">
      <c r="A866" s="7" t="s">
        <v>1379</v>
      </c>
      <c r="B866" s="7" t="s">
        <v>1382</v>
      </c>
      <c r="C866" s="17" t="s">
        <v>573</v>
      </c>
      <c r="D866" s="5" t="s">
        <v>38</v>
      </c>
      <c r="E866" t="s">
        <v>796</v>
      </c>
      <c r="F866">
        <v>220.66498999999999</v>
      </c>
      <c r="G866" s="5" t="s">
        <v>39</v>
      </c>
      <c r="H866" s="18">
        <v>66.206342342857099</v>
      </c>
      <c r="I866" s="19" t="s">
        <v>40</v>
      </c>
      <c r="J866" s="18">
        <v>-0.18527246079423776</v>
      </c>
      <c r="K866" s="5" t="s">
        <v>44</v>
      </c>
      <c r="L866" s="101" t="s">
        <v>188</v>
      </c>
      <c r="M866" s="5">
        <v>-0.3</v>
      </c>
      <c r="N866" s="59">
        <v>11.391750000000002</v>
      </c>
      <c r="O866" s="59">
        <v>2.8365311999999978</v>
      </c>
      <c r="BU866" s="61"/>
    </row>
    <row r="867" spans="1:73" x14ac:dyDescent="0.35">
      <c r="A867" s="7" t="s">
        <v>1379</v>
      </c>
      <c r="B867" s="7" t="s">
        <v>1382</v>
      </c>
      <c r="C867" s="17" t="s">
        <v>573</v>
      </c>
      <c r="D867" s="5" t="s">
        <v>38</v>
      </c>
      <c r="E867" t="s">
        <v>797</v>
      </c>
      <c r="F867">
        <v>220.69501</v>
      </c>
      <c r="G867" s="5" t="s">
        <v>39</v>
      </c>
      <c r="H867" s="18">
        <v>66.207886228571397</v>
      </c>
      <c r="I867" s="19" t="s">
        <v>40</v>
      </c>
      <c r="J867" s="18">
        <v>-0.18674908653086675</v>
      </c>
      <c r="K867" s="5" t="s">
        <v>44</v>
      </c>
      <c r="L867" s="101" t="s">
        <v>188</v>
      </c>
      <c r="M867" s="5">
        <v>-0.15</v>
      </c>
      <c r="N867" s="59">
        <v>10.724880000000002</v>
      </c>
      <c r="O867" s="59">
        <v>2.1696611999999984</v>
      </c>
      <c r="BU867" s="61"/>
    </row>
    <row r="868" spans="1:73" x14ac:dyDescent="0.35">
      <c r="A868" s="7" t="s">
        <v>1379</v>
      </c>
      <c r="B868" s="7" t="s">
        <v>1382</v>
      </c>
      <c r="C868" s="17" t="s">
        <v>573</v>
      </c>
      <c r="D868" s="5" t="s">
        <v>38</v>
      </c>
      <c r="E868" t="s">
        <v>798</v>
      </c>
      <c r="F868">
        <v>220.72501</v>
      </c>
      <c r="G868" s="5" t="s">
        <v>39</v>
      </c>
      <c r="H868" s="18">
        <v>66.209429085714305</v>
      </c>
      <c r="I868" s="19" t="s">
        <v>40</v>
      </c>
      <c r="J868" s="18">
        <v>-0.18822472850617089</v>
      </c>
      <c r="K868" s="5" t="s">
        <v>44</v>
      </c>
      <c r="L868" s="101" t="s">
        <v>188</v>
      </c>
      <c r="M868" s="5">
        <v>-0.1</v>
      </c>
      <c r="N868" s="59">
        <v>10.502870000000003</v>
      </c>
      <c r="O868" s="59">
        <v>1.9476511999999992</v>
      </c>
      <c r="BU868" s="61"/>
    </row>
    <row r="869" spans="1:73" x14ac:dyDescent="0.35">
      <c r="A869" s="7" t="s">
        <v>1379</v>
      </c>
      <c r="B869" s="7" t="s">
        <v>1382</v>
      </c>
      <c r="C869" s="17" t="s">
        <v>573</v>
      </c>
      <c r="D869" s="5" t="s">
        <v>38</v>
      </c>
      <c r="E869" t="s">
        <v>799</v>
      </c>
      <c r="F869">
        <v>220.815</v>
      </c>
      <c r="G869" s="5" t="s">
        <v>39</v>
      </c>
      <c r="H869" s="18">
        <v>66.214057142857101</v>
      </c>
      <c r="I869" s="19" t="s">
        <v>40</v>
      </c>
      <c r="J869" s="18">
        <v>-0.19265116255144221</v>
      </c>
      <c r="K869" s="5" t="s">
        <v>44</v>
      </c>
      <c r="L869" s="101" t="s">
        <v>188</v>
      </c>
      <c r="M869" s="5">
        <v>-0.02</v>
      </c>
      <c r="N869" s="59">
        <v>10.147945200000004</v>
      </c>
      <c r="O869" s="59">
        <v>1.5927264000000001</v>
      </c>
      <c r="BU869" s="61"/>
    </row>
    <row r="870" spans="1:73" x14ac:dyDescent="0.35">
      <c r="A870" s="7" t="s">
        <v>1379</v>
      </c>
      <c r="B870" s="7" t="s">
        <v>1382</v>
      </c>
      <c r="C870" s="17" t="s">
        <v>573</v>
      </c>
      <c r="D870" s="5" t="s">
        <v>38</v>
      </c>
      <c r="E870" t="s">
        <v>800</v>
      </c>
      <c r="F870">
        <v>220.845</v>
      </c>
      <c r="G870" s="5" t="s">
        <v>39</v>
      </c>
      <c r="H870" s="18">
        <v>66.215599999999995</v>
      </c>
      <c r="I870" s="19" t="s">
        <v>40</v>
      </c>
      <c r="J870" s="18">
        <v>-0.19412680452674635</v>
      </c>
      <c r="K870" s="5" t="s">
        <v>44</v>
      </c>
      <c r="L870" s="101" t="s">
        <v>188</v>
      </c>
      <c r="M870" s="5">
        <v>-0.17</v>
      </c>
      <c r="N870" s="59">
        <v>10.813723200000002</v>
      </c>
      <c r="O870" s="59">
        <v>2.2585043999999979</v>
      </c>
      <c r="BU870" s="61"/>
    </row>
    <row r="871" spans="1:73" x14ac:dyDescent="0.35">
      <c r="A871" s="7" t="s">
        <v>1379</v>
      </c>
      <c r="B871" s="7" t="s">
        <v>1382</v>
      </c>
      <c r="C871" s="17" t="s">
        <v>573</v>
      </c>
      <c r="D871" s="5" t="s">
        <v>38</v>
      </c>
      <c r="E871" t="s">
        <v>801</v>
      </c>
      <c r="F871">
        <v>220.875</v>
      </c>
      <c r="G871" s="5" t="s">
        <v>39</v>
      </c>
      <c r="H871" s="18">
        <v>66.217142857142903</v>
      </c>
      <c r="I871" s="19" t="s">
        <v>40</v>
      </c>
      <c r="J871" s="18">
        <v>-0.1956024465020505</v>
      </c>
      <c r="K871" s="5" t="s">
        <v>44</v>
      </c>
      <c r="L871" s="101" t="s">
        <v>188</v>
      </c>
      <c r="M871" s="5">
        <v>-0.28000000000000003</v>
      </c>
      <c r="N871" s="59">
        <v>11.302761200000003</v>
      </c>
      <c r="O871" s="59">
        <v>2.7475423999999986</v>
      </c>
      <c r="BU871" s="61"/>
    </row>
    <row r="872" spans="1:73" x14ac:dyDescent="0.35">
      <c r="A872" s="7" t="s">
        <v>1379</v>
      </c>
      <c r="B872" s="7" t="s">
        <v>1382</v>
      </c>
      <c r="C872" s="17" t="s">
        <v>573</v>
      </c>
      <c r="D872" s="5" t="s">
        <v>38</v>
      </c>
      <c r="E872" t="s">
        <v>802</v>
      </c>
      <c r="F872">
        <v>220.935</v>
      </c>
      <c r="G872" s="5" t="s">
        <v>39</v>
      </c>
      <c r="H872" s="18">
        <v>66.220228571428606</v>
      </c>
      <c r="I872" s="19" t="s">
        <v>40</v>
      </c>
      <c r="J872" s="18">
        <v>-0.19855373045267299</v>
      </c>
      <c r="K872" s="5" t="s">
        <v>44</v>
      </c>
      <c r="L872" s="101" t="s">
        <v>188</v>
      </c>
      <c r="M872" s="5">
        <v>-0.24</v>
      </c>
      <c r="N872" s="59">
        <v>11.124850800000003</v>
      </c>
      <c r="O872" s="59">
        <v>2.5696319999999986</v>
      </c>
      <c r="BU872" s="61"/>
    </row>
    <row r="873" spans="1:73" x14ac:dyDescent="0.35">
      <c r="A873" s="7" t="s">
        <v>1379</v>
      </c>
      <c r="B873" s="7" t="s">
        <v>1382</v>
      </c>
      <c r="C873" s="17" t="s">
        <v>573</v>
      </c>
      <c r="D873" s="5" t="s">
        <v>38</v>
      </c>
      <c r="E873" t="s">
        <v>803</v>
      </c>
      <c r="F873">
        <v>220.995</v>
      </c>
      <c r="G873" s="5" t="s">
        <v>39</v>
      </c>
      <c r="H873" s="18">
        <v>66.223314285714295</v>
      </c>
      <c r="I873" s="19" t="s">
        <v>40</v>
      </c>
      <c r="J873" s="18">
        <v>-0.20150501440329549</v>
      </c>
      <c r="K873" s="5" t="s">
        <v>44</v>
      </c>
      <c r="L873" s="101" t="s">
        <v>188</v>
      </c>
      <c r="M873" s="5">
        <v>-0.22</v>
      </c>
      <c r="N873" s="59">
        <v>11.035929200000004</v>
      </c>
      <c r="O873" s="59">
        <v>2.4807103999999995</v>
      </c>
      <c r="BU873" s="61"/>
    </row>
    <row r="874" spans="1:73" x14ac:dyDescent="0.35">
      <c r="A874" s="7" t="s">
        <v>1379</v>
      </c>
      <c r="B874" s="7" t="s">
        <v>1382</v>
      </c>
      <c r="C874" s="17" t="s">
        <v>573</v>
      </c>
      <c r="D874" s="5" t="s">
        <v>38</v>
      </c>
      <c r="E874" t="s">
        <v>804</v>
      </c>
      <c r="F874">
        <v>221.02499</v>
      </c>
      <c r="G874" s="5" t="s">
        <v>39</v>
      </c>
      <c r="H874" s="18">
        <v>66.224856628571402</v>
      </c>
      <c r="I874" s="19" t="s">
        <v>40</v>
      </c>
      <c r="J874" s="18">
        <v>-0.20298016449794432</v>
      </c>
      <c r="K874" s="5" t="s">
        <v>44</v>
      </c>
      <c r="L874" s="101" t="s">
        <v>188</v>
      </c>
      <c r="M874" s="5">
        <v>-0.31</v>
      </c>
      <c r="N874" s="59">
        <v>11.436252800000002</v>
      </c>
      <c r="O874" s="59">
        <v>2.8810339999999979</v>
      </c>
      <c r="BU874" s="61"/>
    </row>
    <row r="875" spans="1:73" x14ac:dyDescent="0.35">
      <c r="A875" s="7" t="s">
        <v>1379</v>
      </c>
      <c r="B875" s="7" t="s">
        <v>1382</v>
      </c>
      <c r="C875" s="17" t="s">
        <v>573</v>
      </c>
      <c r="D875" s="5" t="s">
        <v>38</v>
      </c>
      <c r="E875" t="s">
        <v>805</v>
      </c>
      <c r="F875">
        <v>221.08501000000001</v>
      </c>
      <c r="G875" s="5" t="s">
        <v>39</v>
      </c>
      <c r="H875" s="18">
        <v>66.227943371428594</v>
      </c>
      <c r="I875" s="19" t="s">
        <v>40</v>
      </c>
      <c r="J875" s="18">
        <v>-0.20594768616949466</v>
      </c>
      <c r="K875" s="5" t="s">
        <v>44</v>
      </c>
      <c r="L875" s="101" t="s">
        <v>188</v>
      </c>
      <c r="M875" s="5">
        <v>-0.35</v>
      </c>
      <c r="N875" s="59">
        <v>11.614320000000001</v>
      </c>
      <c r="O875" s="59">
        <v>3.0591011999999971</v>
      </c>
      <c r="BU875" s="61"/>
    </row>
    <row r="876" spans="1:73" x14ac:dyDescent="0.35">
      <c r="A876" s="7" t="s">
        <v>1379</v>
      </c>
      <c r="B876" s="7" t="s">
        <v>1382</v>
      </c>
      <c r="C876" s="17" t="s">
        <v>573</v>
      </c>
      <c r="D876" s="5" t="s">
        <v>38</v>
      </c>
      <c r="E876" t="s">
        <v>806</v>
      </c>
      <c r="F876">
        <v>221.11501000000001</v>
      </c>
      <c r="G876" s="5" t="s">
        <v>39</v>
      </c>
      <c r="H876" s="18">
        <v>66.229486228571403</v>
      </c>
      <c r="I876" s="19" t="s">
        <v>40</v>
      </c>
      <c r="J876" s="18">
        <v>-0.20751466922034467</v>
      </c>
      <c r="K876" s="5" t="s">
        <v>44</v>
      </c>
      <c r="L876" s="101" t="s">
        <v>188</v>
      </c>
      <c r="M876" s="5">
        <v>-0.26</v>
      </c>
      <c r="N876" s="59">
        <v>11.213794800000001</v>
      </c>
      <c r="O876" s="59">
        <v>2.6585759999999965</v>
      </c>
      <c r="BU876" s="61"/>
    </row>
    <row r="877" spans="1:73" x14ac:dyDescent="0.35">
      <c r="A877" s="7" t="s">
        <v>1379</v>
      </c>
      <c r="B877" s="7" t="s">
        <v>1382</v>
      </c>
      <c r="C877" s="17" t="s">
        <v>573</v>
      </c>
      <c r="D877" s="5" t="s">
        <v>38</v>
      </c>
      <c r="E877" t="s">
        <v>807</v>
      </c>
      <c r="F877">
        <v>221.14500000000001</v>
      </c>
      <c r="G877" s="5" t="s">
        <v>39</v>
      </c>
      <c r="H877" s="18">
        <v>66.231028571428595</v>
      </c>
      <c r="I877" s="19" t="s">
        <v>40</v>
      </c>
      <c r="J877" s="18">
        <v>-0.20908112994349892</v>
      </c>
      <c r="K877" s="5" t="s">
        <v>44</v>
      </c>
      <c r="L877" s="101" t="s">
        <v>188</v>
      </c>
      <c r="M877" s="5">
        <v>-0.31</v>
      </c>
      <c r="N877" s="59">
        <v>11.436252800000002</v>
      </c>
      <c r="O877" s="59">
        <v>2.8810339999999979</v>
      </c>
      <c r="BU877" s="61"/>
    </row>
    <row r="878" spans="1:73" x14ac:dyDescent="0.35">
      <c r="A878" s="7" t="s">
        <v>1379</v>
      </c>
      <c r="B878" s="7" t="s">
        <v>1382</v>
      </c>
      <c r="C878" s="17" t="s">
        <v>573</v>
      </c>
      <c r="D878" s="5" t="s">
        <v>38</v>
      </c>
      <c r="E878" t="s">
        <v>808</v>
      </c>
      <c r="F878">
        <v>221.17500000000001</v>
      </c>
      <c r="G878" s="5" t="s">
        <v>39</v>
      </c>
      <c r="H878" s="18">
        <v>66.232571428571404</v>
      </c>
      <c r="I878" s="19" t="s">
        <v>40</v>
      </c>
      <c r="J878" s="18">
        <v>-0.21064811299434893</v>
      </c>
      <c r="K878" s="5" t="s">
        <v>44</v>
      </c>
      <c r="L878" s="101" t="s">
        <v>188</v>
      </c>
      <c r="M878" s="5">
        <v>-0.17</v>
      </c>
      <c r="N878" s="59">
        <v>10.813723200000002</v>
      </c>
      <c r="O878" s="59">
        <v>2.2585043999999979</v>
      </c>
      <c r="BU878" s="61"/>
    </row>
    <row r="879" spans="1:73" x14ac:dyDescent="0.35">
      <c r="A879" s="7" t="s">
        <v>1379</v>
      </c>
      <c r="B879" s="7" t="s">
        <v>1382</v>
      </c>
      <c r="C879" s="17" t="s">
        <v>573</v>
      </c>
      <c r="D879" s="5" t="s">
        <v>38</v>
      </c>
      <c r="E879" t="s">
        <v>809</v>
      </c>
      <c r="F879">
        <v>221.23500000000001</v>
      </c>
      <c r="G879" s="5" t="s">
        <v>39</v>
      </c>
      <c r="H879" s="18">
        <v>66.235657142857093</v>
      </c>
      <c r="I879" s="19" t="s">
        <v>40</v>
      </c>
      <c r="J879" s="18">
        <v>-0.21378207909604896</v>
      </c>
      <c r="K879" s="5" t="s">
        <v>44</v>
      </c>
      <c r="L879" s="101" t="s">
        <v>188</v>
      </c>
      <c r="M879" s="5">
        <v>-0.14000000000000001</v>
      </c>
      <c r="N879" s="59">
        <v>10.680466800000001</v>
      </c>
      <c r="O879" s="59">
        <v>2.1252479999999974</v>
      </c>
      <c r="BU879" s="61"/>
    </row>
    <row r="880" spans="1:73" x14ac:dyDescent="0.35">
      <c r="A880" s="7" t="s">
        <v>1379</v>
      </c>
      <c r="B880" s="7" t="s">
        <v>1382</v>
      </c>
      <c r="C880" s="17" t="s">
        <v>573</v>
      </c>
      <c r="D880" s="5" t="s">
        <v>38</v>
      </c>
      <c r="E880" t="s">
        <v>810</v>
      </c>
      <c r="F880">
        <v>221.29499999999999</v>
      </c>
      <c r="G880" s="5" t="s">
        <v>39</v>
      </c>
      <c r="H880" s="18">
        <v>66.238742857142896</v>
      </c>
      <c r="I880" s="19" t="s">
        <v>40</v>
      </c>
      <c r="J880" s="18">
        <v>-0.21691604519773477</v>
      </c>
      <c r="K880" s="5" t="s">
        <v>44</v>
      </c>
      <c r="L880" s="101" t="s">
        <v>188</v>
      </c>
      <c r="M880" s="5">
        <v>-0.12</v>
      </c>
      <c r="N880" s="59">
        <v>10.591657200000002</v>
      </c>
      <c r="O880" s="59">
        <v>2.036438399999998</v>
      </c>
      <c r="BU880" s="61"/>
    </row>
    <row r="881" spans="1:73" x14ac:dyDescent="0.35">
      <c r="A881" s="7" t="s">
        <v>1379</v>
      </c>
      <c r="B881" s="7" t="s">
        <v>1382</v>
      </c>
      <c r="C881" s="17" t="s">
        <v>573</v>
      </c>
      <c r="D881" s="5" t="s">
        <v>38</v>
      </c>
      <c r="E881" t="s">
        <v>811</v>
      </c>
      <c r="F881">
        <v>221.32499999999999</v>
      </c>
      <c r="G881" s="5" t="s">
        <v>39</v>
      </c>
      <c r="H881" s="18">
        <v>66.240285714285704</v>
      </c>
      <c r="I881" s="19" t="s">
        <v>40</v>
      </c>
      <c r="J881" s="18">
        <v>-0.21848302824858479</v>
      </c>
      <c r="K881" s="5" t="s">
        <v>44</v>
      </c>
      <c r="L881" s="101" t="s">
        <v>188</v>
      </c>
      <c r="M881" s="5">
        <v>-0.15</v>
      </c>
      <c r="N881" s="59">
        <v>10.724880000000002</v>
      </c>
      <c r="O881" s="59">
        <v>2.1696611999999984</v>
      </c>
      <c r="BU881" s="61"/>
    </row>
    <row r="882" spans="1:73" x14ac:dyDescent="0.35">
      <c r="A882" s="7" t="s">
        <v>1379</v>
      </c>
      <c r="B882" s="7" t="s">
        <v>1382</v>
      </c>
      <c r="C882" s="17" t="s">
        <v>573</v>
      </c>
      <c r="D882" s="5" t="s">
        <v>38</v>
      </c>
      <c r="E882" t="s">
        <v>812</v>
      </c>
      <c r="F882">
        <v>221.38498999999999</v>
      </c>
      <c r="G882" s="5" t="s">
        <v>39</v>
      </c>
      <c r="H882" s="18">
        <v>66.243370914285705</v>
      </c>
      <c r="I882" s="19" t="s">
        <v>40</v>
      </c>
      <c r="J882" s="18">
        <v>-0.22161647202260326</v>
      </c>
      <c r="K882" s="5" t="s">
        <v>44</v>
      </c>
      <c r="L882" s="101" t="s">
        <v>188</v>
      </c>
      <c r="M882" s="5">
        <v>-0.05</v>
      </c>
      <c r="N882" s="59">
        <v>10.281000000000002</v>
      </c>
      <c r="O882" s="59">
        <v>1.7257811999999983</v>
      </c>
      <c r="BU882" s="61"/>
    </row>
    <row r="883" spans="1:73" x14ac:dyDescent="0.35">
      <c r="A883" s="7" t="s">
        <v>1379</v>
      </c>
      <c r="B883" s="7" t="s">
        <v>1382</v>
      </c>
      <c r="C883" s="17" t="s">
        <v>573</v>
      </c>
      <c r="D883" s="5" t="s">
        <v>38</v>
      </c>
      <c r="E883" t="s">
        <v>813</v>
      </c>
      <c r="F883">
        <v>221.44501</v>
      </c>
      <c r="G883" s="5" t="s">
        <v>39</v>
      </c>
      <c r="H883" s="18">
        <v>66.246457657142898</v>
      </c>
      <c r="I883" s="19" t="s">
        <v>40</v>
      </c>
      <c r="J883" s="18">
        <v>-0.22475148277965218</v>
      </c>
      <c r="K883" s="5" t="s">
        <v>44</v>
      </c>
      <c r="L883" s="101" t="s">
        <v>188</v>
      </c>
      <c r="M883" s="5">
        <v>-0.18</v>
      </c>
      <c r="N883" s="59">
        <v>10.858153200000002</v>
      </c>
      <c r="O883" s="59">
        <v>2.302934399999998</v>
      </c>
      <c r="BU883" s="61"/>
    </row>
    <row r="884" spans="1:73" x14ac:dyDescent="0.35">
      <c r="A884" s="7" t="s">
        <v>1379</v>
      </c>
      <c r="B884" s="7" t="s">
        <v>1382</v>
      </c>
      <c r="C884" s="17" t="s">
        <v>573</v>
      </c>
      <c r="D884" s="5" t="s">
        <v>38</v>
      </c>
      <c r="E884" t="s">
        <v>814</v>
      </c>
      <c r="F884">
        <v>221.47501</v>
      </c>
      <c r="G884" s="5" t="s">
        <v>39</v>
      </c>
      <c r="H884" s="18">
        <v>66.248000514285707</v>
      </c>
      <c r="I884" s="19" t="s">
        <v>40</v>
      </c>
      <c r="J884" s="18">
        <v>-0.22631846583050219</v>
      </c>
      <c r="K884" s="5" t="s">
        <v>44</v>
      </c>
      <c r="L884" s="101" t="s">
        <v>188</v>
      </c>
      <c r="M884" s="5">
        <v>-0.22</v>
      </c>
      <c r="N884" s="59">
        <v>11.035929200000004</v>
      </c>
      <c r="O884" s="59">
        <v>2.4807103999999995</v>
      </c>
      <c r="BU884" s="61"/>
    </row>
    <row r="885" spans="1:73" x14ac:dyDescent="0.35">
      <c r="A885" s="7" t="s">
        <v>1379</v>
      </c>
      <c r="B885" s="7" t="s">
        <v>1382</v>
      </c>
      <c r="C885" s="17" t="s">
        <v>573</v>
      </c>
      <c r="D885" s="5" t="s">
        <v>38</v>
      </c>
      <c r="E885" t="s">
        <v>815</v>
      </c>
      <c r="F885">
        <v>221.535</v>
      </c>
      <c r="G885" s="5" t="s">
        <v>39</v>
      </c>
      <c r="H885" s="18">
        <v>66.251085714285693</v>
      </c>
      <c r="I885" s="19" t="s">
        <v>40</v>
      </c>
      <c r="J885" s="18">
        <v>-0.22945190960452067</v>
      </c>
      <c r="K885" s="5" t="s">
        <v>44</v>
      </c>
      <c r="L885" s="101" t="s">
        <v>188</v>
      </c>
      <c r="M885" s="5">
        <v>-0.22</v>
      </c>
      <c r="N885" s="59">
        <v>11.035929200000004</v>
      </c>
      <c r="O885" s="59">
        <v>2.4807103999999995</v>
      </c>
      <c r="BU885" s="61"/>
    </row>
    <row r="886" spans="1:73" x14ac:dyDescent="0.35">
      <c r="A886" s="7" t="s">
        <v>1379</v>
      </c>
      <c r="B886" s="7" t="s">
        <v>1382</v>
      </c>
      <c r="C886" s="17" t="s">
        <v>573</v>
      </c>
      <c r="D886" s="5" t="s">
        <v>38</v>
      </c>
      <c r="E886" t="s">
        <v>816</v>
      </c>
      <c r="F886">
        <v>221.595</v>
      </c>
      <c r="G886" s="5" t="s">
        <v>39</v>
      </c>
      <c r="H886" s="18">
        <v>66.254171428571397</v>
      </c>
      <c r="I886" s="19" t="s">
        <v>40</v>
      </c>
      <c r="J886" s="18">
        <v>-0.23258587570620648</v>
      </c>
      <c r="K886" s="5" t="s">
        <v>44</v>
      </c>
      <c r="L886" s="101" t="s">
        <v>188</v>
      </c>
      <c r="M886" s="5">
        <v>-0.25</v>
      </c>
      <c r="N886" s="59">
        <v>11.169320000000003</v>
      </c>
      <c r="O886" s="59">
        <v>2.6141011999999986</v>
      </c>
      <c r="BU886" s="61"/>
    </row>
    <row r="887" spans="1:73" x14ac:dyDescent="0.35">
      <c r="A887" s="7" t="s">
        <v>1379</v>
      </c>
      <c r="B887" s="7" t="s">
        <v>1382</v>
      </c>
      <c r="C887" s="17" t="s">
        <v>573</v>
      </c>
      <c r="D887" s="5" t="s">
        <v>38</v>
      </c>
      <c r="E887" t="s">
        <v>817</v>
      </c>
      <c r="F887">
        <v>221.625</v>
      </c>
      <c r="G887" s="5" t="s">
        <v>39</v>
      </c>
      <c r="H887" s="18">
        <v>66.255714285714305</v>
      </c>
      <c r="I887" s="19" t="s">
        <v>40</v>
      </c>
      <c r="J887" s="18">
        <v>-0.23415285875705649</v>
      </c>
      <c r="K887" s="5" t="s">
        <v>44</v>
      </c>
      <c r="L887" s="101" t="s">
        <v>188</v>
      </c>
      <c r="M887" s="5">
        <v>-0.05</v>
      </c>
      <c r="N887" s="59">
        <v>10.281000000000002</v>
      </c>
      <c r="O887" s="59">
        <v>1.7257811999999983</v>
      </c>
      <c r="BU887" s="61"/>
    </row>
    <row r="888" spans="1:73" x14ac:dyDescent="0.35">
      <c r="A888" s="7" t="s">
        <v>1379</v>
      </c>
      <c r="B888" s="7" t="s">
        <v>1382</v>
      </c>
      <c r="C888" s="17" t="s">
        <v>573</v>
      </c>
      <c r="D888" s="5" t="s">
        <v>38</v>
      </c>
      <c r="E888" t="s">
        <v>818</v>
      </c>
      <c r="F888">
        <v>221.685</v>
      </c>
      <c r="G888" s="5" t="s">
        <v>39</v>
      </c>
      <c r="H888" s="18">
        <v>66.258799999999994</v>
      </c>
      <c r="I888" s="19" t="s">
        <v>40</v>
      </c>
      <c r="J888" s="18">
        <v>-0.23728682485875652</v>
      </c>
      <c r="K888" s="5" t="s">
        <v>44</v>
      </c>
      <c r="L888" s="101" t="s">
        <v>188</v>
      </c>
      <c r="M888" s="5">
        <v>-0.09</v>
      </c>
      <c r="N888" s="59">
        <v>10.458484800000001</v>
      </c>
      <c r="O888" s="59">
        <v>1.9032659999999968</v>
      </c>
      <c r="BU888" s="61"/>
    </row>
    <row r="889" spans="1:73" x14ac:dyDescent="0.35">
      <c r="A889" s="7" t="s">
        <v>1379</v>
      </c>
      <c r="B889" s="7" t="s">
        <v>1382</v>
      </c>
      <c r="C889" s="17" t="s">
        <v>573</v>
      </c>
      <c r="D889" s="5" t="s">
        <v>38</v>
      </c>
      <c r="E889" t="s">
        <v>819</v>
      </c>
      <c r="F889">
        <v>221.715</v>
      </c>
      <c r="G889" s="5" t="s">
        <v>39</v>
      </c>
      <c r="H889" s="18">
        <v>66.260342857142902</v>
      </c>
      <c r="I889" s="19" t="s">
        <v>40</v>
      </c>
      <c r="J889" s="18">
        <v>-0.23885380790960653</v>
      </c>
      <c r="K889" s="5" t="s">
        <v>44</v>
      </c>
      <c r="L889" s="101" t="s">
        <v>188</v>
      </c>
      <c r="M889" s="5">
        <v>-0.1</v>
      </c>
      <c r="N889" s="59">
        <v>10.502870000000003</v>
      </c>
      <c r="O889" s="59">
        <v>1.9476511999999992</v>
      </c>
      <c r="BU889" s="61"/>
    </row>
    <row r="890" spans="1:73" x14ac:dyDescent="0.35">
      <c r="A890" s="7" t="s">
        <v>1379</v>
      </c>
      <c r="B890" s="7" t="s">
        <v>1382</v>
      </c>
      <c r="C890" s="17" t="s">
        <v>573</v>
      </c>
      <c r="D890" s="5" t="s">
        <v>38</v>
      </c>
      <c r="E890" t="s">
        <v>820</v>
      </c>
      <c r="F890">
        <v>221.745</v>
      </c>
      <c r="G890" s="5" t="s">
        <v>39</v>
      </c>
      <c r="H890" s="18">
        <v>66.261885714285697</v>
      </c>
      <c r="I890" s="19" t="s">
        <v>40</v>
      </c>
      <c r="J890" s="18">
        <v>-0.24042079096045654</v>
      </c>
      <c r="K890" s="5" t="s">
        <v>44</v>
      </c>
      <c r="L890" s="101" t="s">
        <v>188</v>
      </c>
      <c r="M890" s="5">
        <v>-0.08</v>
      </c>
      <c r="N890" s="59">
        <v>10.414105200000002</v>
      </c>
      <c r="O890" s="59">
        <v>1.8588863999999976</v>
      </c>
      <c r="BU890" s="61"/>
    </row>
    <row r="891" spans="1:73" x14ac:dyDescent="0.35">
      <c r="A891" s="7" t="s">
        <v>1379</v>
      </c>
      <c r="B891" s="7" t="s">
        <v>1382</v>
      </c>
      <c r="C891" s="17" t="s">
        <v>573</v>
      </c>
      <c r="D891" s="5" t="s">
        <v>38</v>
      </c>
      <c r="E891" t="s">
        <v>821</v>
      </c>
      <c r="F891">
        <v>221.77499</v>
      </c>
      <c r="G891" s="5" t="s">
        <v>39</v>
      </c>
      <c r="H891" s="18">
        <v>66.263428057142903</v>
      </c>
      <c r="I891" s="19" t="s">
        <v>40</v>
      </c>
      <c r="J891" s="18">
        <v>-0.24198725168361079</v>
      </c>
      <c r="K891" s="5" t="s">
        <v>44</v>
      </c>
      <c r="L891" s="101" t="s">
        <v>188</v>
      </c>
      <c r="M891" s="5">
        <v>-0.04</v>
      </c>
      <c r="N891" s="59">
        <v>10.236642800000002</v>
      </c>
      <c r="O891" s="59">
        <v>1.681423999999998</v>
      </c>
      <c r="BU891" s="61"/>
    </row>
    <row r="892" spans="1:73" x14ac:dyDescent="0.35">
      <c r="A892" s="7" t="s">
        <v>1379</v>
      </c>
      <c r="B892" s="7" t="s">
        <v>1382</v>
      </c>
      <c r="C892" s="17" t="s">
        <v>573</v>
      </c>
      <c r="D892" s="5" t="s">
        <v>38</v>
      </c>
      <c r="E892" t="s">
        <v>822</v>
      </c>
      <c r="F892">
        <v>221.83501000000001</v>
      </c>
      <c r="G892" s="5" t="s">
        <v>39</v>
      </c>
      <c r="H892" s="18">
        <v>66.266514799999996</v>
      </c>
      <c r="I892" s="19" t="s">
        <v>40</v>
      </c>
      <c r="J892" s="18">
        <v>-0.24512226244067392</v>
      </c>
      <c r="K892" s="5" t="s">
        <v>44</v>
      </c>
      <c r="L892" s="101" t="s">
        <v>188</v>
      </c>
      <c r="M892" s="5">
        <v>-0.04</v>
      </c>
      <c r="N892" s="59">
        <v>10.236642800000002</v>
      </c>
      <c r="O892" s="59">
        <v>1.681423999999998</v>
      </c>
      <c r="BU892" s="61"/>
    </row>
    <row r="893" spans="1:73" x14ac:dyDescent="0.35">
      <c r="A893" s="7" t="s">
        <v>1379</v>
      </c>
      <c r="B893" s="7" t="s">
        <v>1382</v>
      </c>
      <c r="C893" s="17" t="s">
        <v>573</v>
      </c>
      <c r="D893" s="5" t="s">
        <v>38</v>
      </c>
      <c r="E893" t="s">
        <v>823</v>
      </c>
      <c r="F893">
        <v>221.86501000000001</v>
      </c>
      <c r="G893" s="5" t="s">
        <v>39</v>
      </c>
      <c r="H893" s="18">
        <v>66.268057657142904</v>
      </c>
      <c r="I893" s="19" t="s">
        <v>40</v>
      </c>
      <c r="J893" s="18">
        <v>-0.24668924549152393</v>
      </c>
      <c r="K893" s="5" t="s">
        <v>44</v>
      </c>
      <c r="L893" s="101" t="s">
        <v>188</v>
      </c>
      <c r="M893" s="5">
        <v>-0.03</v>
      </c>
      <c r="N893" s="59">
        <v>10.192291200000001</v>
      </c>
      <c r="O893" s="59">
        <v>1.6370723999999974</v>
      </c>
      <c r="BU893" s="61"/>
    </row>
    <row r="894" spans="1:73" x14ac:dyDescent="0.35">
      <c r="A894" s="7" t="s">
        <v>1379</v>
      </c>
      <c r="B894" s="7" t="s">
        <v>1382</v>
      </c>
      <c r="C894" s="17" t="s">
        <v>573</v>
      </c>
      <c r="D894" s="5" t="s">
        <v>38</v>
      </c>
      <c r="E894" t="s">
        <v>824</v>
      </c>
      <c r="F894">
        <v>221.92500000000001</v>
      </c>
      <c r="G894" s="5" t="s">
        <v>39</v>
      </c>
      <c r="H894" s="18">
        <v>66.271142857142905</v>
      </c>
      <c r="I894" s="19" t="s">
        <v>40</v>
      </c>
      <c r="J894" s="18">
        <v>-0.2498226892655282</v>
      </c>
      <c r="K894" s="5" t="s">
        <v>44</v>
      </c>
      <c r="L894" s="101" t="s">
        <v>188</v>
      </c>
      <c r="M894" s="5">
        <v>0</v>
      </c>
      <c r="N894" s="59">
        <v>10.059270000000003</v>
      </c>
      <c r="O894" s="59">
        <v>1.5040511999999993</v>
      </c>
      <c r="BU894" s="61"/>
    </row>
    <row r="895" spans="1:73" x14ac:dyDescent="0.35">
      <c r="A895" s="7" t="s">
        <v>1379</v>
      </c>
      <c r="B895" s="7" t="s">
        <v>1382</v>
      </c>
      <c r="C895" s="17" t="s">
        <v>573</v>
      </c>
      <c r="D895" s="5" t="s">
        <v>38</v>
      </c>
      <c r="E895" t="s">
        <v>825</v>
      </c>
      <c r="F895">
        <v>221.98500000000001</v>
      </c>
      <c r="G895" s="5" t="s">
        <v>39</v>
      </c>
      <c r="H895" s="18">
        <v>66.274228571428594</v>
      </c>
      <c r="I895" s="19" t="s">
        <v>40</v>
      </c>
      <c r="J895" s="18">
        <v>-0.25295665536722822</v>
      </c>
      <c r="K895" s="5" t="s">
        <v>44</v>
      </c>
      <c r="L895" s="101" t="s">
        <v>188</v>
      </c>
      <c r="M895" s="5">
        <v>-0.04</v>
      </c>
      <c r="N895" s="59">
        <v>10.236642800000002</v>
      </c>
      <c r="O895" s="59">
        <v>1.681423999999998</v>
      </c>
      <c r="BU895" s="61"/>
    </row>
    <row r="896" spans="1:73" x14ac:dyDescent="0.35">
      <c r="A896" s="7" t="s">
        <v>1379</v>
      </c>
      <c r="B896" s="7" t="s">
        <v>1382</v>
      </c>
      <c r="C896" s="17" t="s">
        <v>573</v>
      </c>
      <c r="D896" s="5" t="s">
        <v>38</v>
      </c>
      <c r="E896" t="s">
        <v>826</v>
      </c>
      <c r="F896">
        <v>222.01499999999999</v>
      </c>
      <c r="G896" s="5" t="s">
        <v>39</v>
      </c>
      <c r="H896" s="18">
        <v>66.275771428571403</v>
      </c>
      <c r="I896" s="19" t="s">
        <v>40</v>
      </c>
      <c r="J896" s="18">
        <v>-0.25452363841807824</v>
      </c>
      <c r="K896" s="5" t="s">
        <v>44</v>
      </c>
      <c r="L896" s="101" t="s">
        <v>188</v>
      </c>
      <c r="M896" s="5">
        <v>-0.09</v>
      </c>
      <c r="N896" s="59">
        <v>10.458484800000001</v>
      </c>
      <c r="O896" s="59">
        <v>1.9032659999999968</v>
      </c>
      <c r="BU896" s="61"/>
    </row>
    <row r="897" spans="1:73" x14ac:dyDescent="0.35">
      <c r="A897" s="7" t="s">
        <v>1379</v>
      </c>
      <c r="B897" s="7" t="s">
        <v>1382</v>
      </c>
      <c r="C897" s="17" t="s">
        <v>573</v>
      </c>
      <c r="D897" s="5" t="s">
        <v>38</v>
      </c>
      <c r="E897" t="s">
        <v>827</v>
      </c>
      <c r="F897">
        <v>222.04499999999999</v>
      </c>
      <c r="G897" s="5" t="s">
        <v>39</v>
      </c>
      <c r="H897" s="18">
        <v>66.277314285714297</v>
      </c>
      <c r="I897" s="19" t="s">
        <v>40</v>
      </c>
      <c r="J897" s="18">
        <v>-0.25609062146892825</v>
      </c>
      <c r="K897" s="5" t="s">
        <v>44</v>
      </c>
      <c r="L897" s="101" t="s">
        <v>188</v>
      </c>
      <c r="M897" s="5">
        <v>-0.08</v>
      </c>
      <c r="N897" s="59">
        <v>10.414105200000002</v>
      </c>
      <c r="O897" s="59">
        <v>1.8588863999999976</v>
      </c>
      <c r="BU897" s="61"/>
    </row>
    <row r="898" spans="1:73" x14ac:dyDescent="0.35">
      <c r="A898" s="7" t="s">
        <v>1379</v>
      </c>
      <c r="B898" s="7" t="s">
        <v>1382</v>
      </c>
      <c r="C898" s="17" t="s">
        <v>573</v>
      </c>
      <c r="D898" s="5" t="s">
        <v>38</v>
      </c>
      <c r="E898" t="s">
        <v>828</v>
      </c>
      <c r="F898">
        <v>222.07499999999999</v>
      </c>
      <c r="G898" s="5" t="s">
        <v>39</v>
      </c>
      <c r="H898" s="18">
        <v>66.278857142857106</v>
      </c>
      <c r="I898" s="19" t="s">
        <v>40</v>
      </c>
      <c r="J898" s="18">
        <v>-0.25765760451976405</v>
      </c>
      <c r="K898" s="5" t="s">
        <v>44</v>
      </c>
      <c r="L898" s="101" t="s">
        <v>188</v>
      </c>
      <c r="M898" s="5">
        <v>-0.11</v>
      </c>
      <c r="N898" s="59">
        <v>10.547260800000002</v>
      </c>
      <c r="O898" s="59">
        <v>1.9920419999999979</v>
      </c>
      <c r="BU898" s="61"/>
    </row>
    <row r="899" spans="1:73" x14ac:dyDescent="0.35">
      <c r="A899" s="7" t="s">
        <v>1379</v>
      </c>
      <c r="B899" s="7" t="s">
        <v>1382</v>
      </c>
      <c r="C899" s="17" t="s">
        <v>573</v>
      </c>
      <c r="D899" s="5" t="s">
        <v>38</v>
      </c>
      <c r="E899" t="s">
        <v>829</v>
      </c>
      <c r="F899">
        <v>222.13498999999999</v>
      </c>
      <c r="G899" s="5" t="s">
        <v>39</v>
      </c>
      <c r="H899" s="18">
        <v>66.281942342857107</v>
      </c>
      <c r="I899" s="19" t="s">
        <v>40</v>
      </c>
      <c r="J899" s="18">
        <v>-0.26079104829378252</v>
      </c>
      <c r="K899" s="5" t="s">
        <v>44</v>
      </c>
      <c r="L899" s="101" t="s">
        <v>188</v>
      </c>
      <c r="M899" s="5">
        <v>0.04</v>
      </c>
      <c r="N899" s="59">
        <v>9.8819868000000035</v>
      </c>
      <c r="O899" s="59">
        <v>1.3267679999999995</v>
      </c>
      <c r="BU899" s="61"/>
    </row>
    <row r="900" spans="1:73" x14ac:dyDescent="0.35">
      <c r="A900" s="7" t="s">
        <v>1379</v>
      </c>
      <c r="B900" s="7" t="s">
        <v>1382</v>
      </c>
      <c r="C900" s="17" t="s">
        <v>573</v>
      </c>
      <c r="D900" s="5" t="s">
        <v>38</v>
      </c>
      <c r="E900" t="s">
        <v>830</v>
      </c>
      <c r="F900">
        <v>222.16498999999999</v>
      </c>
      <c r="G900" s="5" t="s">
        <v>39</v>
      </c>
      <c r="H900" s="18">
        <v>66.283485200000001</v>
      </c>
      <c r="I900" s="19" t="s">
        <v>40</v>
      </c>
      <c r="J900" s="18">
        <v>-0.26235803134463254</v>
      </c>
      <c r="K900" s="5" t="s">
        <v>44</v>
      </c>
      <c r="L900" s="101" t="s">
        <v>188</v>
      </c>
      <c r="M900" s="5">
        <v>0.05</v>
      </c>
      <c r="N900" s="59">
        <v>9.8376800000000024</v>
      </c>
      <c r="O900" s="59">
        <v>1.2824611999999984</v>
      </c>
      <c r="BU900" s="61"/>
    </row>
    <row r="901" spans="1:73" x14ac:dyDescent="0.35">
      <c r="A901" s="7" t="s">
        <v>1379</v>
      </c>
      <c r="B901" s="7" t="s">
        <v>1382</v>
      </c>
      <c r="C901" s="17" t="s">
        <v>573</v>
      </c>
      <c r="D901" s="5" t="s">
        <v>38</v>
      </c>
      <c r="E901" t="s">
        <v>831</v>
      </c>
      <c r="F901">
        <v>222.22501</v>
      </c>
      <c r="G901" s="5" t="s">
        <v>39</v>
      </c>
      <c r="H901" s="18">
        <v>66.286571942857194</v>
      </c>
      <c r="I901" s="19" t="s">
        <v>40</v>
      </c>
      <c r="J901" s="18">
        <v>-0.26549304210169566</v>
      </c>
      <c r="K901" s="5" t="s">
        <v>44</v>
      </c>
      <c r="L901" s="101" t="s">
        <v>188</v>
      </c>
      <c r="M901" s="5">
        <v>0.09</v>
      </c>
      <c r="N901" s="59">
        <v>9.6605088000000023</v>
      </c>
      <c r="O901" s="59">
        <v>1.1052899999999983</v>
      </c>
      <c r="BU901" s="61"/>
    </row>
    <row r="902" spans="1:73" x14ac:dyDescent="0.35">
      <c r="A902" s="7" t="s">
        <v>1379</v>
      </c>
      <c r="B902" s="7" t="s">
        <v>1382</v>
      </c>
      <c r="C902" s="17" t="s">
        <v>573</v>
      </c>
      <c r="D902" s="5" t="s">
        <v>38</v>
      </c>
      <c r="E902" t="s">
        <v>832</v>
      </c>
      <c r="F902">
        <v>222.285</v>
      </c>
      <c r="G902" s="5" t="s">
        <v>39</v>
      </c>
      <c r="H902" s="18">
        <v>66.289657142857195</v>
      </c>
      <c r="I902" s="19" t="s">
        <v>40</v>
      </c>
      <c r="J902" s="18">
        <v>-0.26862648587569993</v>
      </c>
      <c r="K902" s="5" t="s">
        <v>44</v>
      </c>
      <c r="L902" s="101" t="s">
        <v>188</v>
      </c>
      <c r="M902" s="5">
        <v>0.16</v>
      </c>
      <c r="N902" s="59">
        <v>9.350674800000002</v>
      </c>
      <c r="O902" s="59">
        <v>0.79545599999999794</v>
      </c>
      <c r="BU902" s="61"/>
    </row>
    <row r="903" spans="1:73" x14ac:dyDescent="0.35">
      <c r="A903" s="7" t="s">
        <v>1379</v>
      </c>
      <c r="B903" s="7" t="s">
        <v>1382</v>
      </c>
      <c r="C903" s="17" t="s">
        <v>573</v>
      </c>
      <c r="D903" s="5" t="s">
        <v>38</v>
      </c>
      <c r="E903" t="s">
        <v>833</v>
      </c>
      <c r="F903">
        <v>222.315</v>
      </c>
      <c r="G903" s="5" t="s">
        <v>39</v>
      </c>
      <c r="H903" s="18">
        <v>66.291200000000003</v>
      </c>
      <c r="I903" s="19" t="s">
        <v>40</v>
      </c>
      <c r="J903" s="18">
        <v>-0.27019346892654994</v>
      </c>
      <c r="K903" s="5" t="s">
        <v>44</v>
      </c>
      <c r="L903" s="101" t="s">
        <v>188</v>
      </c>
      <c r="M903" s="5">
        <v>0.22</v>
      </c>
      <c r="N903" s="59">
        <v>9.0853212000000028</v>
      </c>
      <c r="O903" s="59">
        <v>0.53010239999999875</v>
      </c>
      <c r="BU903" s="61"/>
    </row>
    <row r="904" spans="1:73" x14ac:dyDescent="0.35">
      <c r="A904" s="7" t="s">
        <v>1379</v>
      </c>
      <c r="B904" s="7" t="s">
        <v>1382</v>
      </c>
      <c r="C904" s="17" t="s">
        <v>573</v>
      </c>
      <c r="D904" s="5" t="s">
        <v>38</v>
      </c>
      <c r="E904" t="s">
        <v>834</v>
      </c>
      <c r="F904">
        <v>222.345</v>
      </c>
      <c r="G904" s="5" t="s">
        <v>39</v>
      </c>
      <c r="H904" s="18">
        <v>66.292742857142898</v>
      </c>
      <c r="I904" s="19" t="s">
        <v>40</v>
      </c>
      <c r="J904" s="18">
        <v>-0.27176045197739995</v>
      </c>
      <c r="K904" s="5" t="s">
        <v>44</v>
      </c>
      <c r="L904" s="101" t="s">
        <v>188</v>
      </c>
      <c r="M904" s="5">
        <v>7.0000000000000007E-2</v>
      </c>
      <c r="N904" s="59">
        <v>9.7490832000000029</v>
      </c>
      <c r="O904" s="59">
        <v>1.1938643999999989</v>
      </c>
      <c r="BU904" s="61"/>
    </row>
    <row r="905" spans="1:73" x14ac:dyDescent="0.35">
      <c r="A905" s="7" t="s">
        <v>1379</v>
      </c>
      <c r="B905" s="7" t="s">
        <v>1382</v>
      </c>
      <c r="C905" s="17" t="s">
        <v>573</v>
      </c>
      <c r="D905" s="5" t="s">
        <v>38</v>
      </c>
      <c r="E905" t="s">
        <v>835</v>
      </c>
      <c r="F905">
        <v>222.405</v>
      </c>
      <c r="G905" s="5" t="s">
        <v>39</v>
      </c>
      <c r="H905" s="18">
        <v>66.295828571428601</v>
      </c>
      <c r="I905" s="19" t="s">
        <v>40</v>
      </c>
      <c r="J905" s="18">
        <v>-0.27489441807908577</v>
      </c>
      <c r="K905" s="5" t="s">
        <v>44</v>
      </c>
      <c r="L905" s="101" t="s">
        <v>188</v>
      </c>
      <c r="M905" s="5">
        <v>0.16</v>
      </c>
      <c r="N905" s="59">
        <v>9.350674800000002</v>
      </c>
      <c r="O905" s="59">
        <v>0.79545599999999794</v>
      </c>
      <c r="BU905" s="61"/>
    </row>
    <row r="906" spans="1:73" x14ac:dyDescent="0.35">
      <c r="A906" s="7" t="s">
        <v>1379</v>
      </c>
      <c r="B906" s="7" t="s">
        <v>1382</v>
      </c>
      <c r="C906" s="17" t="s">
        <v>573</v>
      </c>
      <c r="D906" s="5" t="s">
        <v>38</v>
      </c>
      <c r="E906" t="s">
        <v>836</v>
      </c>
      <c r="F906">
        <v>222.435</v>
      </c>
      <c r="G906" s="5" t="s">
        <v>39</v>
      </c>
      <c r="H906" s="18">
        <v>66.297371428571395</v>
      </c>
      <c r="I906" s="19" t="s">
        <v>40</v>
      </c>
      <c r="J906" s="18">
        <v>-0.27646140112993578</v>
      </c>
      <c r="K906" s="5" t="s">
        <v>44</v>
      </c>
      <c r="L906" s="101" t="s">
        <v>188</v>
      </c>
      <c r="M906" s="5">
        <v>0.03</v>
      </c>
      <c r="N906" s="59">
        <v>9.9262992000000008</v>
      </c>
      <c r="O906" s="59">
        <v>1.3710803999999968</v>
      </c>
      <c r="BU906" s="61"/>
    </row>
    <row r="907" spans="1:73" x14ac:dyDescent="0.35">
      <c r="A907" s="7" t="s">
        <v>1379</v>
      </c>
      <c r="B907" s="7" t="s">
        <v>1382</v>
      </c>
      <c r="C907" s="17" t="s">
        <v>573</v>
      </c>
      <c r="D907" s="5" t="s">
        <v>38</v>
      </c>
      <c r="E907" t="s">
        <v>837</v>
      </c>
      <c r="F907">
        <v>222.465</v>
      </c>
      <c r="G907" s="5" t="s">
        <v>39</v>
      </c>
      <c r="H907" s="18">
        <v>66.298914285714304</v>
      </c>
      <c r="I907" s="19" t="s">
        <v>40</v>
      </c>
      <c r="J907" s="18">
        <v>-0.27802838418078579</v>
      </c>
      <c r="K907" s="5" t="s">
        <v>44</v>
      </c>
      <c r="L907" s="101" t="s">
        <v>188</v>
      </c>
      <c r="M907" s="5">
        <v>0.23</v>
      </c>
      <c r="N907" s="59">
        <v>9.0411152000000019</v>
      </c>
      <c r="O907" s="59">
        <v>0.4858963999999979</v>
      </c>
      <c r="BU907" s="61"/>
    </row>
    <row r="908" spans="1:73" x14ac:dyDescent="0.35">
      <c r="A908" s="7" t="s">
        <v>1379</v>
      </c>
      <c r="B908" s="7" t="s">
        <v>1382</v>
      </c>
      <c r="C908" s="17" t="s">
        <v>573</v>
      </c>
      <c r="D908" s="5" t="s">
        <v>38</v>
      </c>
      <c r="E908" t="s">
        <v>838</v>
      </c>
      <c r="F908">
        <v>222.55499</v>
      </c>
      <c r="G908" s="5" t="s">
        <v>39</v>
      </c>
      <c r="H908" s="18">
        <v>66.303542342857199</v>
      </c>
      <c r="I908" s="19" t="s">
        <v>40</v>
      </c>
      <c r="J908" s="18">
        <v>-0.28272881100564007</v>
      </c>
      <c r="K908" s="5" t="s">
        <v>44</v>
      </c>
      <c r="L908" s="101" t="s">
        <v>188</v>
      </c>
      <c r="M908" s="5">
        <v>0.14000000000000001</v>
      </c>
      <c r="N908" s="59">
        <v>9.4391708000000012</v>
      </c>
      <c r="O908" s="59">
        <v>0.88395199999999718</v>
      </c>
      <c r="BU908" s="61"/>
    </row>
    <row r="909" spans="1:73" x14ac:dyDescent="0.35">
      <c r="A909" s="7" t="s">
        <v>1379</v>
      </c>
      <c r="B909" s="7" t="s">
        <v>1382</v>
      </c>
      <c r="C909" s="17" t="s">
        <v>573</v>
      </c>
      <c r="D909" s="5" t="s">
        <v>38</v>
      </c>
      <c r="E909" t="s">
        <v>839</v>
      </c>
      <c r="F909">
        <v>222.58501000000001</v>
      </c>
      <c r="G909" s="5" t="s">
        <v>39</v>
      </c>
      <c r="H909" s="18">
        <v>66.305086228571398</v>
      </c>
      <c r="I909" s="19" t="s">
        <v>40</v>
      </c>
      <c r="J909" s="18">
        <v>-0.28429683871186739</v>
      </c>
      <c r="K909" s="5" t="s">
        <v>44</v>
      </c>
      <c r="L909" s="101" t="s">
        <v>188</v>
      </c>
      <c r="M909" s="5">
        <v>0.12</v>
      </c>
      <c r="N909" s="59">
        <v>9.5276892000000029</v>
      </c>
      <c r="O909" s="59">
        <v>0.97247039999999885</v>
      </c>
      <c r="BU909" s="61"/>
    </row>
    <row r="910" spans="1:73" x14ac:dyDescent="0.35">
      <c r="A910" s="7" t="s">
        <v>1379</v>
      </c>
      <c r="B910" s="7" t="s">
        <v>1382</v>
      </c>
      <c r="C910" s="17" t="s">
        <v>573</v>
      </c>
      <c r="D910" s="5" t="s">
        <v>38</v>
      </c>
      <c r="E910" t="s">
        <v>840</v>
      </c>
      <c r="F910">
        <v>222.61501000000001</v>
      </c>
      <c r="G910" s="5" t="s">
        <v>39</v>
      </c>
      <c r="H910" s="18">
        <v>66.306629085714306</v>
      </c>
      <c r="I910" s="19" t="s">
        <v>40</v>
      </c>
      <c r="J910" s="18">
        <v>-0.2858638217627032</v>
      </c>
      <c r="K910" s="5" t="s">
        <v>44</v>
      </c>
      <c r="L910" s="101" t="s">
        <v>188</v>
      </c>
      <c r="M910" s="5">
        <v>0.19</v>
      </c>
      <c r="N910" s="59">
        <v>9.2179728000000019</v>
      </c>
      <c r="O910" s="59">
        <v>0.66275399999999784</v>
      </c>
      <c r="BU910" s="61"/>
    </row>
    <row r="911" spans="1:73" x14ac:dyDescent="0.35">
      <c r="A911" s="7" t="s">
        <v>1379</v>
      </c>
      <c r="B911" s="7" t="s">
        <v>1382</v>
      </c>
      <c r="C911" s="17" t="s">
        <v>573</v>
      </c>
      <c r="D911" s="5" t="s">
        <v>38</v>
      </c>
      <c r="E911" t="s">
        <v>841</v>
      </c>
      <c r="F911">
        <v>222.64500000000001</v>
      </c>
      <c r="G911" s="5" t="s">
        <v>39</v>
      </c>
      <c r="H911" s="18">
        <v>66.308171428571399</v>
      </c>
      <c r="I911" s="19" t="s">
        <v>40</v>
      </c>
      <c r="J911" s="18">
        <v>-0.28743028248587166</v>
      </c>
      <c r="K911" s="5" t="s">
        <v>44</v>
      </c>
      <c r="L911" s="101" t="s">
        <v>188</v>
      </c>
      <c r="M911" s="5">
        <v>0.19</v>
      </c>
      <c r="N911" s="59">
        <v>9.2179728000000019</v>
      </c>
      <c r="O911" s="59">
        <v>0.66275399999999784</v>
      </c>
      <c r="BU911" s="61"/>
    </row>
    <row r="912" spans="1:73" x14ac:dyDescent="0.35">
      <c r="A912" s="7" t="s">
        <v>1379</v>
      </c>
      <c r="B912" s="7" t="s">
        <v>1382</v>
      </c>
      <c r="C912" s="17" t="s">
        <v>573</v>
      </c>
      <c r="D912" s="5" t="s">
        <v>38</v>
      </c>
      <c r="E912" t="s">
        <v>842</v>
      </c>
      <c r="F912">
        <v>222.70500000000001</v>
      </c>
      <c r="G912" s="5" t="s">
        <v>39</v>
      </c>
      <c r="H912" s="18">
        <v>66.311304597701195</v>
      </c>
      <c r="I912" s="19" t="s">
        <v>40</v>
      </c>
      <c r="J912" s="18">
        <v>-0.29056424858757168</v>
      </c>
      <c r="K912" s="5" t="s">
        <v>44</v>
      </c>
      <c r="L912" s="101" t="s">
        <v>188</v>
      </c>
      <c r="M912" s="5">
        <v>0.39</v>
      </c>
      <c r="N912" s="59">
        <v>8.334580800000003</v>
      </c>
      <c r="O912" s="59">
        <v>-0.220638000000001</v>
      </c>
      <c r="BU912" s="61"/>
    </row>
    <row r="913" spans="1:73" x14ac:dyDescent="0.35">
      <c r="A913" s="7" t="s">
        <v>1379</v>
      </c>
      <c r="B913" s="7" t="s">
        <v>1382</v>
      </c>
      <c r="C913" s="17" t="s">
        <v>573</v>
      </c>
      <c r="D913" s="5" t="s">
        <v>38</v>
      </c>
      <c r="E913" t="s">
        <v>843</v>
      </c>
      <c r="F913">
        <v>222.79499999999999</v>
      </c>
      <c r="G913" s="5" t="s">
        <v>39</v>
      </c>
      <c r="H913" s="18">
        <v>66.316787356321797</v>
      </c>
      <c r="I913" s="19" t="s">
        <v>40</v>
      </c>
      <c r="J913" s="18">
        <v>-0.29526519774010751</v>
      </c>
      <c r="K913" s="5" t="s">
        <v>44</v>
      </c>
      <c r="L913" s="101" t="s">
        <v>188</v>
      </c>
      <c r="M913" s="5">
        <v>0.3</v>
      </c>
      <c r="N913" s="59">
        <v>8.7318300000000022</v>
      </c>
      <c r="O913" s="59">
        <v>0.17661119999999819</v>
      </c>
      <c r="BU913" s="61"/>
    </row>
    <row r="914" spans="1:73" x14ac:dyDescent="0.35">
      <c r="A914" s="7" t="s">
        <v>1379</v>
      </c>
      <c r="B914" s="7" t="s">
        <v>1382</v>
      </c>
      <c r="C914" s="17" t="s">
        <v>573</v>
      </c>
      <c r="D914" s="5" t="s">
        <v>38</v>
      </c>
      <c r="E914" t="s">
        <v>844</v>
      </c>
      <c r="F914">
        <v>222.85499999999999</v>
      </c>
      <c r="G914" s="5" t="s">
        <v>39</v>
      </c>
      <c r="H914" s="18">
        <v>66.320442528735597</v>
      </c>
      <c r="I914" s="19" t="s">
        <v>40</v>
      </c>
      <c r="J914" s="18">
        <v>-0.29843912146891682</v>
      </c>
      <c r="K914" s="5" t="s">
        <v>44</v>
      </c>
      <c r="L914" s="101" t="s">
        <v>188</v>
      </c>
      <c r="M914" s="5">
        <v>0.18</v>
      </c>
      <c r="N914" s="59">
        <v>9.2622012000000016</v>
      </c>
      <c r="O914" s="59">
        <v>0.70698239999999757</v>
      </c>
      <c r="BU914" s="61"/>
    </row>
    <row r="915" spans="1:73" x14ac:dyDescent="0.35">
      <c r="A915" s="7" t="s">
        <v>1379</v>
      </c>
      <c r="B915" s="7" t="s">
        <v>1382</v>
      </c>
      <c r="C915" s="17" t="s">
        <v>573</v>
      </c>
      <c r="D915" s="5" t="s">
        <v>38</v>
      </c>
      <c r="E915" t="s">
        <v>845</v>
      </c>
      <c r="F915">
        <v>222.91498999999999</v>
      </c>
      <c r="G915" s="5" t="s">
        <v>39</v>
      </c>
      <c r="H915" s="18">
        <v>66.324097091954002</v>
      </c>
      <c r="I915" s="19" t="s">
        <v>40</v>
      </c>
      <c r="J915" s="18">
        <v>-0.30205197685310736</v>
      </c>
      <c r="K915" s="5" t="s">
        <v>44</v>
      </c>
      <c r="L915" s="101" t="s">
        <v>188</v>
      </c>
      <c r="M915" s="5">
        <v>0.19</v>
      </c>
      <c r="N915" s="59">
        <v>9.2179728000000019</v>
      </c>
      <c r="O915" s="59">
        <v>0.66275399999999784</v>
      </c>
      <c r="BU915" s="61"/>
    </row>
    <row r="916" spans="1:73" x14ac:dyDescent="0.35">
      <c r="A916" s="7" t="s">
        <v>1379</v>
      </c>
      <c r="B916" s="7" t="s">
        <v>1382</v>
      </c>
      <c r="C916" s="17" t="s">
        <v>573</v>
      </c>
      <c r="D916" s="5" t="s">
        <v>38</v>
      </c>
      <c r="E916" t="s">
        <v>846</v>
      </c>
      <c r="F916">
        <v>222.94501</v>
      </c>
      <c r="G916" s="5" t="s">
        <v>39</v>
      </c>
      <c r="H916" s="18">
        <v>66.325925896551695</v>
      </c>
      <c r="I916" s="19" t="s">
        <v>40</v>
      </c>
      <c r="J916" s="18">
        <v>-0.30385991015253921</v>
      </c>
      <c r="K916" s="5" t="s">
        <v>44</v>
      </c>
      <c r="L916" s="101" t="s">
        <v>188</v>
      </c>
      <c r="M916" s="5">
        <v>0.1</v>
      </c>
      <c r="N916" s="59">
        <v>9.6162300000000034</v>
      </c>
      <c r="O916" s="59">
        <v>1.0610111999999994</v>
      </c>
      <c r="BU916" s="61"/>
    </row>
    <row r="917" spans="1:73" x14ac:dyDescent="0.35">
      <c r="A917" s="7" t="s">
        <v>1379</v>
      </c>
      <c r="B917" s="7" t="s">
        <v>1382</v>
      </c>
      <c r="C917" s="17" t="s">
        <v>573</v>
      </c>
      <c r="D917" s="5" t="s">
        <v>38</v>
      </c>
      <c r="E917" t="s">
        <v>847</v>
      </c>
      <c r="F917">
        <v>223.005</v>
      </c>
      <c r="G917" s="5" t="s">
        <v>39</v>
      </c>
      <c r="H917" s="18">
        <v>66.329580459770099</v>
      </c>
      <c r="I917" s="19" t="s">
        <v>40</v>
      </c>
      <c r="J917" s="18">
        <v>-0.30747276553671554</v>
      </c>
      <c r="K917" s="5" t="s">
        <v>44</v>
      </c>
      <c r="L917" s="101" t="s">
        <v>188</v>
      </c>
      <c r="M917" s="5">
        <v>0.25</v>
      </c>
      <c r="N917" s="59">
        <v>8.9527200000000011</v>
      </c>
      <c r="O917" s="59">
        <v>0.39750119999999711</v>
      </c>
      <c r="BU917" s="61"/>
    </row>
    <row r="918" spans="1:73" x14ac:dyDescent="0.35">
      <c r="A918" s="7" t="s">
        <v>1379</v>
      </c>
      <c r="B918" s="7" t="s">
        <v>1382</v>
      </c>
      <c r="C918" s="17" t="s">
        <v>573</v>
      </c>
      <c r="D918" s="5" t="s">
        <v>38</v>
      </c>
      <c r="E918" t="s">
        <v>851</v>
      </c>
      <c r="F918">
        <v>223.065</v>
      </c>
      <c r="G918" s="5" t="s">
        <v>39</v>
      </c>
      <c r="H918" s="18">
        <v>66.3332356321839</v>
      </c>
      <c r="I918" s="19" t="s">
        <v>40</v>
      </c>
      <c r="J918" s="18">
        <v>-0.31108622316384071</v>
      </c>
      <c r="K918" s="5" t="s">
        <v>44</v>
      </c>
      <c r="L918" s="101" t="s">
        <v>188</v>
      </c>
      <c r="M918" s="5">
        <v>0.41</v>
      </c>
      <c r="N918" s="59">
        <v>8.246364800000002</v>
      </c>
      <c r="O918" s="59">
        <v>-0.30885400000000196</v>
      </c>
      <c r="BU918" s="61"/>
    </row>
    <row r="919" spans="1:73" x14ac:dyDescent="0.35">
      <c r="A919" s="7" t="s">
        <v>1379</v>
      </c>
      <c r="B919" s="7" t="s">
        <v>1382</v>
      </c>
      <c r="C919" s="17" t="s">
        <v>573</v>
      </c>
      <c r="D919" s="5" t="s">
        <v>38</v>
      </c>
      <c r="E919" t="s">
        <v>852</v>
      </c>
      <c r="F919">
        <v>223.125</v>
      </c>
      <c r="G919" s="5" t="s">
        <v>39</v>
      </c>
      <c r="H919" s="18">
        <v>66.336890804597701</v>
      </c>
      <c r="I919" s="19" t="s">
        <v>40</v>
      </c>
      <c r="J919" s="18">
        <v>-0.31469968079095167</v>
      </c>
      <c r="K919" s="5" t="s">
        <v>44</v>
      </c>
      <c r="L919" s="101" t="s">
        <v>188</v>
      </c>
      <c r="M919" s="5">
        <v>0.42</v>
      </c>
      <c r="N919" s="59">
        <v>8.2022652000000029</v>
      </c>
      <c r="O919" s="59">
        <v>-0.35295360000000109</v>
      </c>
      <c r="BU919" s="61"/>
    </row>
    <row r="920" spans="1:73" x14ac:dyDescent="0.35">
      <c r="A920" s="7" t="s">
        <v>1379</v>
      </c>
      <c r="B920" s="7" t="s">
        <v>1382</v>
      </c>
      <c r="C920" s="17" t="s">
        <v>573</v>
      </c>
      <c r="D920" s="5" t="s">
        <v>38</v>
      </c>
      <c r="E920" t="s">
        <v>853</v>
      </c>
      <c r="F920">
        <v>223.155</v>
      </c>
      <c r="G920" s="5" t="s">
        <v>39</v>
      </c>
      <c r="H920" s="18">
        <v>66.338718390804601</v>
      </c>
      <c r="I920" s="19" t="s">
        <v>40</v>
      </c>
      <c r="J920" s="18">
        <v>-0.31650640960451426</v>
      </c>
      <c r="K920" s="5" t="s">
        <v>44</v>
      </c>
      <c r="L920" s="101" t="s">
        <v>188</v>
      </c>
      <c r="M920" s="5">
        <v>0.36</v>
      </c>
      <c r="N920" s="59">
        <v>8.4669468000000023</v>
      </c>
      <c r="O920" s="59">
        <v>-8.8272000000001682E-2</v>
      </c>
      <c r="BU920" s="61"/>
    </row>
    <row r="921" spans="1:73" x14ac:dyDescent="0.35">
      <c r="A921" s="7" t="s">
        <v>1379</v>
      </c>
      <c r="B921" s="7" t="s">
        <v>1382</v>
      </c>
      <c r="C921" s="17" t="s">
        <v>573</v>
      </c>
      <c r="D921" s="5" t="s">
        <v>38</v>
      </c>
      <c r="E921" t="s">
        <v>854</v>
      </c>
      <c r="F921">
        <v>223.215</v>
      </c>
      <c r="G921" s="5" t="s">
        <v>39</v>
      </c>
      <c r="H921" s="18">
        <v>66.342373563218402</v>
      </c>
      <c r="I921" s="19" t="s">
        <v>40</v>
      </c>
      <c r="J921" s="18">
        <v>-0.32011986723162522</v>
      </c>
      <c r="K921" s="5" t="s">
        <v>44</v>
      </c>
      <c r="L921" s="101" t="s">
        <v>188</v>
      </c>
      <c r="M921" s="5">
        <v>0.47</v>
      </c>
      <c r="N921" s="59">
        <v>7.9818512000000013</v>
      </c>
      <c r="O921" s="59">
        <v>-0.57336760000000275</v>
      </c>
      <c r="BU921" s="61"/>
    </row>
    <row r="922" spans="1:73" x14ac:dyDescent="0.35">
      <c r="A922" s="7" t="s">
        <v>1379</v>
      </c>
      <c r="B922" s="7" t="s">
        <v>1382</v>
      </c>
      <c r="C922" s="17" t="s">
        <v>573</v>
      </c>
      <c r="D922" s="5" t="s">
        <v>38</v>
      </c>
      <c r="E922" t="s">
        <v>855</v>
      </c>
      <c r="F922">
        <v>223.565</v>
      </c>
      <c r="G922" s="5" t="s">
        <v>39</v>
      </c>
      <c r="H922" s="18">
        <v>66.363695402298902</v>
      </c>
      <c r="I922" s="19" t="s">
        <v>40</v>
      </c>
      <c r="J922" s="18">
        <v>-0.3411983700564889</v>
      </c>
      <c r="K922" s="5" t="s">
        <v>44</v>
      </c>
      <c r="L922" s="101" t="s">
        <v>188</v>
      </c>
      <c r="M922" s="5">
        <v>0.38</v>
      </c>
      <c r="N922" s="59">
        <v>8.3786972000000013</v>
      </c>
      <c r="O922" s="59">
        <v>-0.17652160000000272</v>
      </c>
      <c r="BU922" s="61"/>
    </row>
    <row r="923" spans="1:73" x14ac:dyDescent="0.35">
      <c r="A923" s="7" t="s">
        <v>1379</v>
      </c>
      <c r="B923" s="7" t="s">
        <v>1382</v>
      </c>
      <c r="C923" s="17" t="s">
        <v>573</v>
      </c>
      <c r="D923" s="5" t="s">
        <v>38</v>
      </c>
      <c r="E923" t="s">
        <v>856</v>
      </c>
      <c r="F923">
        <v>223.625</v>
      </c>
      <c r="G923" s="5" t="s">
        <v>39</v>
      </c>
      <c r="H923" s="18">
        <v>66.367350574712603</v>
      </c>
      <c r="I923" s="19" t="s">
        <v>40</v>
      </c>
      <c r="J923" s="18">
        <v>-0.34481182768361407</v>
      </c>
      <c r="K923" s="5" t="s">
        <v>44</v>
      </c>
      <c r="L923" s="101" t="s">
        <v>188</v>
      </c>
      <c r="M923" s="5">
        <v>0.33</v>
      </c>
      <c r="N923" s="59">
        <v>8.5993632000000026</v>
      </c>
      <c r="O923" s="59">
        <v>4.414439999999864E-2</v>
      </c>
      <c r="BU923" s="61"/>
    </row>
    <row r="924" spans="1:73" x14ac:dyDescent="0.35">
      <c r="A924" s="7" t="s">
        <v>1379</v>
      </c>
      <c r="B924" s="7" t="s">
        <v>1382</v>
      </c>
      <c r="C924" s="17" t="s">
        <v>573</v>
      </c>
      <c r="D924" s="5" t="s">
        <v>38</v>
      </c>
      <c r="E924" t="s">
        <v>857</v>
      </c>
      <c r="F924">
        <v>223.685</v>
      </c>
      <c r="G924" s="5" t="s">
        <v>39</v>
      </c>
      <c r="H924" s="18">
        <v>66.371005747126404</v>
      </c>
      <c r="I924" s="19" t="s">
        <v>40</v>
      </c>
      <c r="J924" s="18">
        <v>-0.34842528531072503</v>
      </c>
      <c r="K924" s="5" t="s">
        <v>44</v>
      </c>
      <c r="L924" s="101" t="s">
        <v>188</v>
      </c>
      <c r="M924" s="5">
        <v>0.25</v>
      </c>
      <c r="N924" s="59">
        <v>8.9527200000000011</v>
      </c>
      <c r="O924" s="59">
        <v>0.39750119999999711</v>
      </c>
      <c r="BU924" s="61"/>
    </row>
    <row r="925" spans="1:73" x14ac:dyDescent="0.35">
      <c r="A925" s="7" t="s">
        <v>1379</v>
      </c>
      <c r="B925" s="7" t="s">
        <v>1382</v>
      </c>
      <c r="C925" s="17" t="s">
        <v>573</v>
      </c>
      <c r="D925" s="5" t="s">
        <v>38</v>
      </c>
      <c r="E925" t="s">
        <v>858</v>
      </c>
      <c r="F925">
        <v>223.715</v>
      </c>
      <c r="G925" s="5" t="s">
        <v>39</v>
      </c>
      <c r="H925" s="18">
        <v>66.372833333333304</v>
      </c>
      <c r="I925" s="19" t="s">
        <v>40</v>
      </c>
      <c r="J925" s="18">
        <v>-0.35023201412428762</v>
      </c>
      <c r="K925" s="5" t="s">
        <v>44</v>
      </c>
      <c r="L925" s="101" t="s">
        <v>188</v>
      </c>
      <c r="M925" s="5">
        <v>0.28000000000000003</v>
      </c>
      <c r="N925" s="59">
        <v>8.8201692000000023</v>
      </c>
      <c r="O925" s="59">
        <v>0.26495039999999825</v>
      </c>
      <c r="BU925" s="61"/>
    </row>
    <row r="926" spans="1:73" x14ac:dyDescent="0.35">
      <c r="A926" s="7" t="s">
        <v>1379</v>
      </c>
      <c r="B926" s="7" t="s">
        <v>1382</v>
      </c>
      <c r="C926" s="17" t="s">
        <v>573</v>
      </c>
      <c r="D926" s="5" t="s">
        <v>38</v>
      </c>
      <c r="E926" t="s">
        <v>859</v>
      </c>
      <c r="F926">
        <v>223.80499</v>
      </c>
      <c r="G926" s="5" t="s">
        <v>39</v>
      </c>
      <c r="H926" s="18">
        <v>66.378315482758595</v>
      </c>
      <c r="I926" s="19" t="s">
        <v>40</v>
      </c>
      <c r="J926" s="18">
        <v>-0.35565159832202653</v>
      </c>
      <c r="K926" s="5" t="s">
        <v>44</v>
      </c>
      <c r="L926" s="101" t="s">
        <v>188</v>
      </c>
      <c r="M926" s="5">
        <v>0.22</v>
      </c>
      <c r="N926" s="59">
        <v>9.0853212000000028</v>
      </c>
      <c r="O926" s="59">
        <v>0.53010239999999875</v>
      </c>
      <c r="BU926" s="61"/>
    </row>
    <row r="927" spans="1:73" x14ac:dyDescent="0.35">
      <c r="A927" s="7" t="s">
        <v>1379</v>
      </c>
      <c r="B927" s="7" t="s">
        <v>1382</v>
      </c>
      <c r="C927" s="17" t="s">
        <v>573</v>
      </c>
      <c r="D927" s="5" t="s">
        <v>38</v>
      </c>
      <c r="E927" t="s">
        <v>860</v>
      </c>
      <c r="F927">
        <v>223.83501000000001</v>
      </c>
      <c r="G927" s="5" t="s">
        <v>39</v>
      </c>
      <c r="H927" s="18">
        <v>66.380144287356302</v>
      </c>
      <c r="I927" s="19" t="s">
        <v>40</v>
      </c>
      <c r="J927" s="18">
        <v>-0.35745953162145838</v>
      </c>
      <c r="K927" s="5" t="s">
        <v>44</v>
      </c>
      <c r="L927" s="101" t="s">
        <v>188</v>
      </c>
      <c r="M927" s="5">
        <v>0.18</v>
      </c>
      <c r="N927" s="59">
        <v>9.2622012000000016</v>
      </c>
      <c r="O927" s="59">
        <v>0.70698239999999757</v>
      </c>
      <c r="BU927" s="61"/>
    </row>
    <row r="928" spans="1:73" x14ac:dyDescent="0.35">
      <c r="A928" s="7" t="s">
        <v>1379</v>
      </c>
      <c r="B928" s="7" t="s">
        <v>1382</v>
      </c>
      <c r="C928" s="17" t="s">
        <v>573</v>
      </c>
      <c r="D928" s="5" t="s">
        <v>38</v>
      </c>
      <c r="E928" t="s">
        <v>861</v>
      </c>
      <c r="F928">
        <v>223.86501000000001</v>
      </c>
      <c r="G928" s="5" t="s">
        <v>39</v>
      </c>
      <c r="H928" s="18">
        <v>66.381971873563202</v>
      </c>
      <c r="I928" s="19" t="s">
        <v>40</v>
      </c>
      <c r="J928" s="18">
        <v>-0.35926626043502097</v>
      </c>
      <c r="K928" s="5" t="s">
        <v>44</v>
      </c>
      <c r="L928" s="101" t="s">
        <v>188</v>
      </c>
      <c r="M928" s="5">
        <v>0.36</v>
      </c>
      <c r="N928" s="59">
        <v>8.4669468000000023</v>
      </c>
      <c r="O928" s="59">
        <v>-8.8272000000001682E-2</v>
      </c>
      <c r="BU928" s="61"/>
    </row>
    <row r="929" spans="1:73" x14ac:dyDescent="0.35">
      <c r="A929" s="7" t="s">
        <v>1379</v>
      </c>
      <c r="B929" s="7" t="s">
        <v>1382</v>
      </c>
      <c r="C929" s="17" t="s">
        <v>573</v>
      </c>
      <c r="D929" s="5" t="s">
        <v>38</v>
      </c>
      <c r="E929" t="s">
        <v>862</v>
      </c>
      <c r="F929">
        <v>223.95500000000001</v>
      </c>
      <c r="G929" s="5" t="s">
        <v>39</v>
      </c>
      <c r="H929" s="18">
        <v>66.387454022988507</v>
      </c>
      <c r="I929" s="19" t="s">
        <v>40</v>
      </c>
      <c r="J929" s="18">
        <v>-0.36468584463275988</v>
      </c>
      <c r="K929" s="5" t="s">
        <v>44</v>
      </c>
      <c r="L929" s="101" t="s">
        <v>188</v>
      </c>
      <c r="M929" s="5">
        <v>0.32</v>
      </c>
      <c r="N929" s="59">
        <v>8.6435132000000028</v>
      </c>
      <c r="O929" s="59">
        <v>8.8294399999998774E-2</v>
      </c>
      <c r="BU929" s="61"/>
    </row>
    <row r="930" spans="1:73" x14ac:dyDescent="0.35">
      <c r="A930" s="7" t="s">
        <v>1379</v>
      </c>
      <c r="B930" s="7" t="s">
        <v>1382</v>
      </c>
      <c r="C930" s="17" t="s">
        <v>573</v>
      </c>
      <c r="D930" s="5" t="s">
        <v>38</v>
      </c>
      <c r="E930" t="s">
        <v>863</v>
      </c>
      <c r="F930">
        <v>223.98500000000001</v>
      </c>
      <c r="G930" s="5" t="s">
        <v>39</v>
      </c>
      <c r="H930" s="18">
        <v>66.389281609195393</v>
      </c>
      <c r="I930" s="19" t="s">
        <v>40</v>
      </c>
      <c r="J930" s="18">
        <v>-0.36649257344632247</v>
      </c>
      <c r="K930" s="5" t="s">
        <v>44</v>
      </c>
      <c r="L930" s="101" t="s">
        <v>188</v>
      </c>
      <c r="M930" s="5">
        <v>0.2</v>
      </c>
      <c r="N930" s="59">
        <v>9.1737500000000018</v>
      </c>
      <c r="O930" s="59">
        <v>0.61853119999999784</v>
      </c>
      <c r="BU930" s="61"/>
    </row>
    <row r="931" spans="1:73" x14ac:dyDescent="0.35">
      <c r="A931" s="7" t="s">
        <v>1379</v>
      </c>
      <c r="B931" s="7" t="s">
        <v>1382</v>
      </c>
      <c r="C931" s="17" t="s">
        <v>573</v>
      </c>
      <c r="D931" s="5" t="s">
        <v>38</v>
      </c>
      <c r="E931" t="s">
        <v>864</v>
      </c>
      <c r="F931">
        <v>224.01499999999999</v>
      </c>
      <c r="G931" s="5" t="s">
        <v>39</v>
      </c>
      <c r="H931" s="18">
        <v>66.391109195402294</v>
      </c>
      <c r="I931" s="19" t="s">
        <v>40</v>
      </c>
      <c r="J931" s="18">
        <v>-0.36829930225987084</v>
      </c>
      <c r="K931" s="5" t="s">
        <v>44</v>
      </c>
      <c r="L931" s="101" t="s">
        <v>188</v>
      </c>
      <c r="M931" s="5">
        <v>0.31</v>
      </c>
      <c r="N931" s="59">
        <v>8.6876688000000026</v>
      </c>
      <c r="O931" s="59">
        <v>0.13244999999999862</v>
      </c>
      <c r="BU931" s="61"/>
    </row>
    <row r="932" spans="1:73" x14ac:dyDescent="0.35">
      <c r="A932" s="7" t="s">
        <v>1379</v>
      </c>
      <c r="B932" s="7" t="s">
        <v>1382</v>
      </c>
      <c r="C932" s="17" t="s">
        <v>573</v>
      </c>
      <c r="D932" s="5" t="s">
        <v>38</v>
      </c>
      <c r="E932" t="s">
        <v>865</v>
      </c>
      <c r="F932">
        <v>224.07499999999999</v>
      </c>
      <c r="G932" s="5" t="s">
        <v>39</v>
      </c>
      <c r="H932" s="18">
        <v>66.394764367816094</v>
      </c>
      <c r="I932" s="19" t="s">
        <v>40</v>
      </c>
      <c r="J932" s="18">
        <v>-0.37191275988699601</v>
      </c>
      <c r="K932" s="5" t="s">
        <v>44</v>
      </c>
      <c r="L932" s="101" t="s">
        <v>188</v>
      </c>
      <c r="M932" s="5">
        <v>0.39</v>
      </c>
      <c r="N932" s="59">
        <v>8.334580800000003</v>
      </c>
      <c r="O932" s="59">
        <v>-0.220638000000001</v>
      </c>
      <c r="BU932" s="61"/>
    </row>
    <row r="933" spans="1:73" x14ac:dyDescent="0.35">
      <c r="A933" s="7" t="s">
        <v>1379</v>
      </c>
      <c r="B933" s="7" t="s">
        <v>1382</v>
      </c>
      <c r="C933" s="17" t="s">
        <v>573</v>
      </c>
      <c r="D933" s="5" t="s">
        <v>38</v>
      </c>
      <c r="E933" t="s">
        <v>866</v>
      </c>
      <c r="F933">
        <v>224.16498999999999</v>
      </c>
      <c r="G933" s="5" t="s">
        <v>39</v>
      </c>
      <c r="H933" s="18">
        <v>66.400246517241399</v>
      </c>
      <c r="I933" s="19" t="s">
        <v>40</v>
      </c>
      <c r="J933" s="18">
        <v>-0.37733234408473493</v>
      </c>
      <c r="K933" s="5" t="s">
        <v>44</v>
      </c>
      <c r="L933" s="101" t="s">
        <v>188</v>
      </c>
      <c r="M933" s="5">
        <v>0.41</v>
      </c>
      <c r="N933" s="59">
        <v>8.246364800000002</v>
      </c>
      <c r="O933" s="59">
        <v>-0.30885400000000196</v>
      </c>
      <c r="BU933" s="61"/>
    </row>
    <row r="934" spans="1:73" x14ac:dyDescent="0.35">
      <c r="A934" s="7" t="s">
        <v>1379</v>
      </c>
      <c r="B934" s="7" t="s">
        <v>1382</v>
      </c>
      <c r="C934" s="17" t="s">
        <v>573</v>
      </c>
      <c r="D934" s="5" t="s">
        <v>38</v>
      </c>
      <c r="E934" t="s">
        <v>867</v>
      </c>
      <c r="F934">
        <v>224.22501</v>
      </c>
      <c r="G934" s="5" t="s">
        <v>39</v>
      </c>
      <c r="H934" s="18">
        <v>66.403902908046007</v>
      </c>
      <c r="I934" s="19" t="s">
        <v>40</v>
      </c>
      <c r="J934" s="18">
        <v>-0.38094700619772937</v>
      </c>
      <c r="K934" s="5" t="s">
        <v>44</v>
      </c>
      <c r="L934" s="101" t="s">
        <v>188</v>
      </c>
      <c r="M934" s="5">
        <v>0.15</v>
      </c>
      <c r="N934" s="59">
        <v>9.3949200000000026</v>
      </c>
      <c r="O934" s="59">
        <v>0.83970119999999859</v>
      </c>
      <c r="BU934" s="61"/>
    </row>
    <row r="935" spans="1:73" x14ac:dyDescent="0.35">
      <c r="A935" s="7" t="s">
        <v>1379</v>
      </c>
      <c r="B935" s="7" t="s">
        <v>1382</v>
      </c>
      <c r="C935" s="17" t="s">
        <v>573</v>
      </c>
      <c r="D935" s="5" t="s">
        <v>38</v>
      </c>
      <c r="E935" t="s">
        <v>868</v>
      </c>
      <c r="F935">
        <v>224.255</v>
      </c>
      <c r="G935" s="5" t="s">
        <v>39</v>
      </c>
      <c r="H935" s="18">
        <v>66.405729885057497</v>
      </c>
      <c r="I935" s="19" t="s">
        <v>40</v>
      </c>
      <c r="J935" s="18">
        <v>-0.38275313276835732</v>
      </c>
      <c r="K935" s="5" t="s">
        <v>44</v>
      </c>
      <c r="L935" s="101" t="s">
        <v>188</v>
      </c>
      <c r="M935" s="5">
        <v>0.42</v>
      </c>
      <c r="N935" s="59">
        <v>8.2022652000000029</v>
      </c>
      <c r="O935" s="59">
        <v>-0.35295360000000109</v>
      </c>
      <c r="BU935" s="61"/>
    </row>
    <row r="936" spans="1:73" x14ac:dyDescent="0.35">
      <c r="A936" s="7" t="s">
        <v>1379</v>
      </c>
      <c r="B936" s="7" t="s">
        <v>1382</v>
      </c>
      <c r="C936" s="17" t="s">
        <v>573</v>
      </c>
      <c r="D936" s="5" t="s">
        <v>38</v>
      </c>
      <c r="E936" t="s">
        <v>869</v>
      </c>
      <c r="F936">
        <v>224.285</v>
      </c>
      <c r="G936" s="5" t="s">
        <v>39</v>
      </c>
      <c r="H936" s="18">
        <v>66.407557471264397</v>
      </c>
      <c r="I936" s="19" t="s">
        <v>40</v>
      </c>
      <c r="J936" s="18">
        <v>-0.38455986158190569</v>
      </c>
      <c r="K936" s="5" t="s">
        <v>44</v>
      </c>
      <c r="L936" s="101" t="s">
        <v>188</v>
      </c>
      <c r="M936" s="5">
        <v>0.45</v>
      </c>
      <c r="N936" s="59">
        <v>8.0700000000000021</v>
      </c>
      <c r="O936" s="59">
        <v>-0.48521880000000195</v>
      </c>
      <c r="BU936" s="61"/>
    </row>
    <row r="937" spans="1:73" x14ac:dyDescent="0.35">
      <c r="A937" s="7" t="s">
        <v>1379</v>
      </c>
      <c r="B937" s="7" t="s">
        <v>1382</v>
      </c>
      <c r="C937" s="17" t="s">
        <v>573</v>
      </c>
      <c r="D937" s="5" t="s">
        <v>38</v>
      </c>
      <c r="E937" t="s">
        <v>870</v>
      </c>
      <c r="F937">
        <v>224.345</v>
      </c>
      <c r="G937" s="5" t="s">
        <v>39</v>
      </c>
      <c r="H937" s="18">
        <v>66.411212643678198</v>
      </c>
      <c r="I937" s="19" t="s">
        <v>40</v>
      </c>
      <c r="J937" s="18">
        <v>-0.38817331920903086</v>
      </c>
      <c r="K937" s="5" t="s">
        <v>44</v>
      </c>
      <c r="L937" s="101" t="s">
        <v>188</v>
      </c>
      <c r="M937" s="5">
        <v>0.44</v>
      </c>
      <c r="N937" s="59">
        <v>8.114082800000002</v>
      </c>
      <c r="O937" s="59">
        <v>-0.44113600000000197</v>
      </c>
      <c r="BU937" s="61"/>
    </row>
    <row r="938" spans="1:73" x14ac:dyDescent="0.35">
      <c r="A938" s="7" t="s">
        <v>1379</v>
      </c>
      <c r="B938" s="7" t="s">
        <v>1382</v>
      </c>
      <c r="C938" s="17" t="s">
        <v>573</v>
      </c>
      <c r="D938" s="5" t="s">
        <v>38</v>
      </c>
      <c r="E938" t="s">
        <v>871</v>
      </c>
      <c r="F938">
        <v>224.375</v>
      </c>
      <c r="G938" s="5" t="s">
        <v>39</v>
      </c>
      <c r="H938" s="18">
        <v>66.413040229885098</v>
      </c>
      <c r="I938" s="19" t="s">
        <v>40</v>
      </c>
      <c r="J938" s="18">
        <v>-0.38998004802259345</v>
      </c>
      <c r="K938" s="5" t="s">
        <v>44</v>
      </c>
      <c r="L938" s="101" t="s">
        <v>188</v>
      </c>
      <c r="M938" s="5">
        <v>0.38</v>
      </c>
      <c r="N938" s="59">
        <v>8.3786972000000013</v>
      </c>
      <c r="O938" s="59">
        <v>-0.17652160000000272</v>
      </c>
      <c r="BU938" s="61"/>
    </row>
    <row r="939" spans="1:73" x14ac:dyDescent="0.35">
      <c r="A939" s="7" t="s">
        <v>1379</v>
      </c>
      <c r="B939" s="7" t="s">
        <v>1382</v>
      </c>
      <c r="C939" s="17" t="s">
        <v>573</v>
      </c>
      <c r="D939" s="5" t="s">
        <v>38</v>
      </c>
      <c r="E939" t="s">
        <v>872</v>
      </c>
      <c r="F939">
        <v>224.405</v>
      </c>
      <c r="G939" s="5" t="s">
        <v>39</v>
      </c>
      <c r="H939" s="18">
        <v>66.414867816091999</v>
      </c>
      <c r="I939" s="19" t="s">
        <v>40</v>
      </c>
      <c r="J939" s="18">
        <v>-0.39178677683614183</v>
      </c>
      <c r="K939" s="5" t="s">
        <v>44</v>
      </c>
      <c r="L939" s="101" t="s">
        <v>188</v>
      </c>
      <c r="M939" s="5">
        <v>0.36</v>
      </c>
      <c r="N939" s="59">
        <v>8.4669468000000023</v>
      </c>
      <c r="O939" s="59">
        <v>-8.8272000000001682E-2</v>
      </c>
      <c r="BU939" s="61"/>
    </row>
    <row r="940" spans="1:73" x14ac:dyDescent="0.35">
      <c r="A940" s="7" t="s">
        <v>1379</v>
      </c>
      <c r="B940" s="7" t="s">
        <v>1382</v>
      </c>
      <c r="C940" s="17" t="s">
        <v>573</v>
      </c>
      <c r="D940" s="5" t="s">
        <v>38</v>
      </c>
      <c r="E940" t="s">
        <v>873</v>
      </c>
      <c r="F940">
        <v>224.435</v>
      </c>
      <c r="G940" s="5" t="s">
        <v>39</v>
      </c>
      <c r="H940" s="18">
        <v>66.416695402298899</v>
      </c>
      <c r="I940" s="19" t="s">
        <v>40</v>
      </c>
      <c r="J940" s="18">
        <v>-0.39359350564970441</v>
      </c>
      <c r="K940" s="5" t="s">
        <v>44</v>
      </c>
      <c r="L940" s="101" t="s">
        <v>188</v>
      </c>
      <c r="M940" s="5">
        <v>0.23</v>
      </c>
      <c r="N940" s="59">
        <v>9.0411152000000019</v>
      </c>
      <c r="O940" s="59">
        <v>0.4858963999999979</v>
      </c>
      <c r="BU940" s="61"/>
    </row>
    <row r="941" spans="1:73" x14ac:dyDescent="0.35">
      <c r="A941" s="7" t="s">
        <v>1379</v>
      </c>
      <c r="B941" s="7" t="s">
        <v>1382</v>
      </c>
      <c r="C941" s="17" t="s">
        <v>573</v>
      </c>
      <c r="D941" s="5" t="s">
        <v>38</v>
      </c>
      <c r="E941" t="s">
        <v>874</v>
      </c>
      <c r="F941">
        <v>224.47501</v>
      </c>
      <c r="G941" s="5" t="s">
        <v>39</v>
      </c>
      <c r="H941" s="18">
        <v>66.418893397959195</v>
      </c>
      <c r="I941" s="19" t="s">
        <v>40</v>
      </c>
      <c r="J941" s="18">
        <v>-0.39600307964406056</v>
      </c>
      <c r="K941" s="5" t="s">
        <v>44</v>
      </c>
      <c r="L941" s="101" t="s">
        <v>188</v>
      </c>
      <c r="M941" s="5">
        <v>0.36</v>
      </c>
      <c r="N941" s="59">
        <v>8.4669468000000023</v>
      </c>
      <c r="O941" s="59">
        <v>-8.8272000000001682E-2</v>
      </c>
      <c r="BU941" s="61"/>
    </row>
    <row r="942" spans="1:73" x14ac:dyDescent="0.35">
      <c r="A942" s="7" t="s">
        <v>1379</v>
      </c>
      <c r="B942" s="7" t="s">
        <v>1382</v>
      </c>
      <c r="C942" s="17" t="s">
        <v>573</v>
      </c>
      <c r="D942" s="5" t="s">
        <v>38</v>
      </c>
      <c r="E942" t="s">
        <v>875</v>
      </c>
      <c r="F942">
        <v>224.535</v>
      </c>
      <c r="G942" s="5" t="s">
        <v>39</v>
      </c>
      <c r="H942" s="18">
        <v>66.422137755102</v>
      </c>
      <c r="I942" s="19" t="s">
        <v>40</v>
      </c>
      <c r="J942" s="18">
        <v>-0.39961593502823689</v>
      </c>
      <c r="K942" s="5" t="s">
        <v>44</v>
      </c>
      <c r="L942" s="101" t="s">
        <v>188</v>
      </c>
      <c r="M942" s="5">
        <v>0.45</v>
      </c>
      <c r="N942" s="59">
        <v>8.0700000000000021</v>
      </c>
      <c r="O942" s="59">
        <v>-0.48521880000000195</v>
      </c>
      <c r="BU942" s="61"/>
    </row>
    <row r="943" spans="1:73" x14ac:dyDescent="0.35">
      <c r="A943" s="7" t="s">
        <v>1379</v>
      </c>
      <c r="B943" s="7" t="s">
        <v>1382</v>
      </c>
      <c r="C943" s="17" t="s">
        <v>573</v>
      </c>
      <c r="D943" s="5" t="s">
        <v>38</v>
      </c>
      <c r="E943" t="s">
        <v>876</v>
      </c>
      <c r="F943">
        <v>224.565</v>
      </c>
      <c r="G943" s="5" t="s">
        <v>39</v>
      </c>
      <c r="H943" s="18">
        <v>66.423760204081603</v>
      </c>
      <c r="I943" s="19" t="s">
        <v>40</v>
      </c>
      <c r="J943" s="18">
        <v>-0.40142266384179948</v>
      </c>
      <c r="K943" s="5" t="s">
        <v>44</v>
      </c>
      <c r="L943" s="101" t="s">
        <v>188</v>
      </c>
      <c r="M943" s="5">
        <v>0.49</v>
      </c>
      <c r="N943" s="59">
        <v>7.893724800000002</v>
      </c>
      <c r="O943" s="59">
        <v>-0.66149400000000202</v>
      </c>
      <c r="BU943" s="61"/>
    </row>
    <row r="944" spans="1:73" x14ac:dyDescent="0.35">
      <c r="A944" s="7" t="s">
        <v>1379</v>
      </c>
      <c r="B944" s="7" t="s">
        <v>1382</v>
      </c>
      <c r="C944" s="17" t="s">
        <v>573</v>
      </c>
      <c r="D944" s="5" t="s">
        <v>38</v>
      </c>
      <c r="E944" t="s">
        <v>877</v>
      </c>
      <c r="F944">
        <v>224.625</v>
      </c>
      <c r="G944" s="5" t="s">
        <v>39</v>
      </c>
      <c r="H944" s="18">
        <v>66.427005102040795</v>
      </c>
      <c r="I944" s="19" t="s">
        <v>40</v>
      </c>
      <c r="J944" s="18">
        <v>-0.40503612146891044</v>
      </c>
      <c r="K944" s="5" t="s">
        <v>44</v>
      </c>
      <c r="L944" s="101" t="s">
        <v>188</v>
      </c>
      <c r="M944" s="5">
        <v>0.42</v>
      </c>
      <c r="N944" s="59">
        <v>8.2022652000000029</v>
      </c>
      <c r="O944" s="59">
        <v>-0.35295360000000109</v>
      </c>
      <c r="BU944" s="61"/>
    </row>
    <row r="945" spans="1:73" x14ac:dyDescent="0.35">
      <c r="A945" s="7" t="s">
        <v>1379</v>
      </c>
      <c r="B945" s="7" t="s">
        <v>1382</v>
      </c>
      <c r="C945" s="17" t="s">
        <v>573</v>
      </c>
      <c r="D945" s="5" t="s">
        <v>38</v>
      </c>
      <c r="E945" t="s">
        <v>878</v>
      </c>
      <c r="F945">
        <v>224.685</v>
      </c>
      <c r="G945" s="5" t="s">
        <v>39</v>
      </c>
      <c r="H945" s="18">
        <v>66.430250000000001</v>
      </c>
      <c r="I945" s="19" t="s">
        <v>40</v>
      </c>
      <c r="J945" s="18">
        <v>-0.4082117476851721</v>
      </c>
      <c r="K945" s="5" t="s">
        <v>44</v>
      </c>
      <c r="L945" s="101" t="s">
        <v>188</v>
      </c>
      <c r="M945" s="5">
        <v>0.35</v>
      </c>
      <c r="N945" s="59">
        <v>8.5110800000000015</v>
      </c>
      <c r="O945" s="59">
        <v>-4.4138800000002476E-2</v>
      </c>
      <c r="BU945" s="61"/>
    </row>
    <row r="946" spans="1:73" x14ac:dyDescent="0.35">
      <c r="A946" s="7" t="s">
        <v>1379</v>
      </c>
      <c r="B946" s="7" t="s">
        <v>1382</v>
      </c>
      <c r="C946" s="17" t="s">
        <v>573</v>
      </c>
      <c r="D946" s="5" t="s">
        <v>38</v>
      </c>
      <c r="E946" t="s">
        <v>879</v>
      </c>
      <c r="F946">
        <v>224.77499</v>
      </c>
      <c r="G946" s="5" t="s">
        <v>39</v>
      </c>
      <c r="H946" s="18">
        <v>66.435116806122494</v>
      </c>
      <c r="I946" s="19" t="s">
        <v>40</v>
      </c>
      <c r="J946" s="18">
        <v>-0.41302517113425097</v>
      </c>
      <c r="K946" s="5" t="s">
        <v>44</v>
      </c>
      <c r="L946" s="101" t="s">
        <v>188</v>
      </c>
      <c r="M946" s="5">
        <v>0.47</v>
      </c>
      <c r="N946" s="59">
        <v>7.9818512000000013</v>
      </c>
      <c r="O946" s="59">
        <v>-0.57336760000000275</v>
      </c>
      <c r="BU946" s="61"/>
    </row>
    <row r="947" spans="1:73" x14ac:dyDescent="0.35">
      <c r="A947" s="7" t="s">
        <v>1379</v>
      </c>
      <c r="B947" s="7" t="s">
        <v>1382</v>
      </c>
      <c r="C947" s="17" t="s">
        <v>573</v>
      </c>
      <c r="D947" s="5" t="s">
        <v>38</v>
      </c>
      <c r="E947" t="s">
        <v>880</v>
      </c>
      <c r="F947">
        <v>224.83501000000001</v>
      </c>
      <c r="G947" s="62" t="s">
        <v>39</v>
      </c>
      <c r="H947" s="19">
        <v>66.438362785714304</v>
      </c>
      <c r="I947" s="19" t="s">
        <v>40</v>
      </c>
      <c r="J947" s="18">
        <v>-0.41623554645832428</v>
      </c>
      <c r="K947" s="5" t="s">
        <v>44</v>
      </c>
      <c r="L947" s="101" t="s">
        <v>188</v>
      </c>
      <c r="M947" s="5">
        <v>0.46</v>
      </c>
      <c r="N947" s="59">
        <v>8.0259228000000018</v>
      </c>
      <c r="O947" s="59">
        <v>-0.52929600000000221</v>
      </c>
      <c r="BU947" s="61"/>
    </row>
    <row r="948" spans="1:73" x14ac:dyDescent="0.35">
      <c r="A948" s="7" t="s">
        <v>1379</v>
      </c>
      <c r="B948" s="7" t="s">
        <v>1382</v>
      </c>
      <c r="C948" s="17" t="s">
        <v>573</v>
      </c>
      <c r="D948" s="5" t="s">
        <v>38</v>
      </c>
      <c r="E948" t="s">
        <v>881</v>
      </c>
      <c r="F948">
        <v>224.92500000000001</v>
      </c>
      <c r="G948" s="62" t="s">
        <v>39</v>
      </c>
      <c r="H948" s="19">
        <v>66.443229591836698</v>
      </c>
      <c r="I948" s="19" t="s">
        <v>40</v>
      </c>
      <c r="J948" s="18">
        <v>-0.42104896990740315</v>
      </c>
      <c r="K948" s="5" t="s">
        <v>44</v>
      </c>
      <c r="L948" s="101" t="s">
        <v>188</v>
      </c>
      <c r="M948" s="5">
        <v>0.38</v>
      </c>
      <c r="N948" s="59">
        <v>8.3786972000000013</v>
      </c>
      <c r="O948" s="59">
        <v>-0.17652160000000272</v>
      </c>
      <c r="BU948" s="61"/>
    </row>
    <row r="949" spans="1:73" x14ac:dyDescent="0.35">
      <c r="A949" s="7" t="s">
        <v>1379</v>
      </c>
      <c r="B949" s="7" t="s">
        <v>1382</v>
      </c>
      <c r="C949" s="17" t="s">
        <v>573</v>
      </c>
      <c r="D949" s="5" t="s">
        <v>38</v>
      </c>
      <c r="E949" t="s">
        <v>882</v>
      </c>
      <c r="F949">
        <v>224.98500000000001</v>
      </c>
      <c r="G949" s="62" t="s">
        <v>39</v>
      </c>
      <c r="H949" s="19">
        <v>66.446474489795904</v>
      </c>
      <c r="I949" s="19" t="s">
        <v>40</v>
      </c>
      <c r="J949" s="18">
        <v>-0.4242582754629467</v>
      </c>
      <c r="K949" s="5" t="s">
        <v>44</v>
      </c>
      <c r="L949" s="101" t="s">
        <v>188</v>
      </c>
      <c r="M949" s="5">
        <v>0.38</v>
      </c>
      <c r="N949" s="59">
        <v>8.3786972000000013</v>
      </c>
      <c r="O949" s="59">
        <v>-0.17652160000000272</v>
      </c>
      <c r="BU949" s="61"/>
    </row>
    <row r="950" spans="1:73" x14ac:dyDescent="0.35">
      <c r="A950" s="7" t="s">
        <v>1379</v>
      </c>
      <c r="B950" s="7" t="s">
        <v>1382</v>
      </c>
      <c r="C950" s="17" t="s">
        <v>573</v>
      </c>
      <c r="D950" s="5" t="s">
        <v>38</v>
      </c>
      <c r="E950" t="s">
        <v>883</v>
      </c>
      <c r="F950">
        <v>225.04499999999999</v>
      </c>
      <c r="G950" s="62" t="s">
        <v>39</v>
      </c>
      <c r="H950" s="19">
        <v>66.449719387755096</v>
      </c>
      <c r="I950" s="19" t="s">
        <v>40</v>
      </c>
      <c r="J950" s="18">
        <v>-0.42746758101850446</v>
      </c>
      <c r="K950" s="5" t="s">
        <v>44</v>
      </c>
      <c r="L950" s="101" t="s">
        <v>188</v>
      </c>
      <c r="M950" s="5">
        <v>0.35</v>
      </c>
      <c r="N950" s="59">
        <v>8.5110800000000015</v>
      </c>
      <c r="O950" s="59">
        <v>-4.4138800000002476E-2</v>
      </c>
      <c r="BU950" s="61"/>
    </row>
    <row r="951" spans="1:73" x14ac:dyDescent="0.35">
      <c r="A951" s="7" t="s">
        <v>1379</v>
      </c>
      <c r="B951" s="7" t="s">
        <v>1382</v>
      </c>
      <c r="C951" s="17" t="s">
        <v>573</v>
      </c>
      <c r="D951" s="5" t="s">
        <v>38</v>
      </c>
      <c r="E951" t="s">
        <v>884</v>
      </c>
      <c r="F951">
        <v>225.10499999999999</v>
      </c>
      <c r="G951" s="5" t="s">
        <v>39</v>
      </c>
      <c r="H951" s="18">
        <v>66.452964285714302</v>
      </c>
      <c r="I951" s="19" t="s">
        <v>40</v>
      </c>
      <c r="J951" s="18">
        <v>-0.43067688657406222</v>
      </c>
      <c r="K951" s="5" t="s">
        <v>44</v>
      </c>
      <c r="L951" s="101" t="s">
        <v>188</v>
      </c>
      <c r="M951" s="5">
        <v>0.31</v>
      </c>
      <c r="N951" s="59">
        <v>8.6876688000000026</v>
      </c>
      <c r="O951" s="59">
        <v>0.13244999999999862</v>
      </c>
      <c r="BU951" s="61"/>
    </row>
    <row r="952" spans="1:73" x14ac:dyDescent="0.35">
      <c r="A952" s="7" t="s">
        <v>1379</v>
      </c>
      <c r="B952" s="7" t="s">
        <v>1382</v>
      </c>
      <c r="C952" s="17" t="s">
        <v>573</v>
      </c>
      <c r="D952" s="5" t="s">
        <v>38</v>
      </c>
      <c r="E952" t="s">
        <v>885</v>
      </c>
      <c r="F952">
        <v>225.13498999999999</v>
      </c>
      <c r="G952" s="5" t="s">
        <v>39</v>
      </c>
      <c r="H952" s="18">
        <v>66.454586193877503</v>
      </c>
      <c r="I952" s="19" t="s">
        <v>40</v>
      </c>
      <c r="J952" s="18">
        <v>-0.43228100446758333</v>
      </c>
      <c r="K952" s="5" t="s">
        <v>44</v>
      </c>
      <c r="L952" s="101" t="s">
        <v>188</v>
      </c>
      <c r="M952" s="5">
        <v>0.28000000000000003</v>
      </c>
      <c r="N952" s="59">
        <v>8.8201692000000023</v>
      </c>
      <c r="O952" s="59">
        <v>0.26495039999999825</v>
      </c>
      <c r="BU952" s="61"/>
    </row>
    <row r="953" spans="1:73" x14ac:dyDescent="0.35">
      <c r="A953" s="7" t="s">
        <v>1379</v>
      </c>
      <c r="B953" s="7" t="s">
        <v>1382</v>
      </c>
      <c r="C953" s="17" t="s">
        <v>573</v>
      </c>
      <c r="D953" s="5" t="s">
        <v>38</v>
      </c>
      <c r="E953" t="s">
        <v>886</v>
      </c>
      <c r="F953">
        <v>225.16498999999999</v>
      </c>
      <c r="G953" s="5" t="s">
        <v>39</v>
      </c>
      <c r="H953" s="18">
        <v>66.456208642857106</v>
      </c>
      <c r="I953" s="19" t="s">
        <v>40</v>
      </c>
      <c r="J953" s="18">
        <v>-0.43388565724535511</v>
      </c>
      <c r="K953" s="5" t="s">
        <v>44</v>
      </c>
      <c r="L953" s="101" t="s">
        <v>188</v>
      </c>
      <c r="M953" s="5">
        <v>0.35</v>
      </c>
      <c r="N953" s="59">
        <v>8.5110800000000015</v>
      </c>
      <c r="O953" s="59">
        <v>-4.4138800000002476E-2</v>
      </c>
      <c r="BU953" s="61"/>
    </row>
    <row r="954" spans="1:73" x14ac:dyDescent="0.35">
      <c r="A954" s="7" t="s">
        <v>1379</v>
      </c>
      <c r="B954" s="7" t="s">
        <v>1382</v>
      </c>
      <c r="C954" s="17" t="s">
        <v>573</v>
      </c>
      <c r="D954" s="5" t="s">
        <v>38</v>
      </c>
      <c r="E954" t="s">
        <v>887</v>
      </c>
      <c r="F954">
        <v>225.22501</v>
      </c>
      <c r="G954" s="5" t="s">
        <v>39</v>
      </c>
      <c r="H954" s="18">
        <v>66.459454622449002</v>
      </c>
      <c r="I954" s="19" t="s">
        <v>40</v>
      </c>
      <c r="J954" s="18">
        <v>-0.43709603256942842</v>
      </c>
      <c r="K954" s="5" t="s">
        <v>44</v>
      </c>
      <c r="L954" s="101" t="s">
        <v>188</v>
      </c>
      <c r="M954" s="5">
        <v>0.39</v>
      </c>
      <c r="N954" s="59">
        <v>8.334580800000003</v>
      </c>
      <c r="O954" s="59">
        <v>-0.220638000000001</v>
      </c>
      <c r="BU954" s="61"/>
    </row>
    <row r="955" spans="1:73" x14ac:dyDescent="0.35">
      <c r="A955" s="7" t="s">
        <v>1379</v>
      </c>
      <c r="B955" s="7" t="s">
        <v>1382</v>
      </c>
      <c r="C955" s="17" t="s">
        <v>573</v>
      </c>
      <c r="D955" s="5" t="s">
        <v>38</v>
      </c>
      <c r="E955" t="s">
        <v>888</v>
      </c>
      <c r="F955">
        <v>225.285</v>
      </c>
      <c r="G955" s="5" t="s">
        <v>39</v>
      </c>
      <c r="H955" s="18">
        <v>66.462698979591806</v>
      </c>
      <c r="I955" s="19" t="s">
        <v>40</v>
      </c>
      <c r="J955" s="18">
        <v>-0.44030480324073551</v>
      </c>
      <c r="K955" s="5" t="s">
        <v>44</v>
      </c>
      <c r="L955" s="101" t="s">
        <v>188</v>
      </c>
      <c r="M955" s="5">
        <v>0.13</v>
      </c>
      <c r="N955" s="59">
        <v>9.4834272000000031</v>
      </c>
      <c r="O955" s="59">
        <v>0.92820839999999905</v>
      </c>
      <c r="BU955" s="61"/>
    </row>
    <row r="956" spans="1:73" x14ac:dyDescent="0.35">
      <c r="A956" s="7" t="s">
        <v>1379</v>
      </c>
      <c r="B956" s="7" t="s">
        <v>1382</v>
      </c>
      <c r="C956" s="17" t="s">
        <v>573</v>
      </c>
      <c r="D956" s="5" t="s">
        <v>38</v>
      </c>
      <c r="E956" t="s">
        <v>889</v>
      </c>
      <c r="F956">
        <v>225.375</v>
      </c>
      <c r="G956" s="5" t="s">
        <v>39</v>
      </c>
      <c r="H956" s="18">
        <v>66.467566326530601</v>
      </c>
      <c r="I956" s="19" t="s">
        <v>40</v>
      </c>
      <c r="J956" s="18">
        <v>-0.44511876157406505</v>
      </c>
      <c r="K956" s="5" t="s">
        <v>44</v>
      </c>
      <c r="L956" s="101" t="s">
        <v>188</v>
      </c>
      <c r="M956" s="5">
        <v>0.27</v>
      </c>
      <c r="N956" s="59">
        <v>8.8643472000000028</v>
      </c>
      <c r="O956" s="59">
        <v>0.30912839999999875</v>
      </c>
      <c r="BU956" s="61"/>
    </row>
    <row r="957" spans="1:73" x14ac:dyDescent="0.35">
      <c r="A957" s="7" t="s">
        <v>1379</v>
      </c>
      <c r="B957" s="7" t="s">
        <v>1382</v>
      </c>
      <c r="C957" s="17" t="s">
        <v>573</v>
      </c>
      <c r="D957" s="5" t="s">
        <v>38</v>
      </c>
      <c r="E957" t="s">
        <v>890</v>
      </c>
      <c r="F957">
        <v>225.435</v>
      </c>
      <c r="G957" s="5" t="s">
        <v>39</v>
      </c>
      <c r="H957" s="18">
        <v>66.470811224489793</v>
      </c>
      <c r="I957" s="19" t="s">
        <v>40</v>
      </c>
      <c r="J957" s="18">
        <v>-0.44832806712962281</v>
      </c>
      <c r="K957" s="5" t="s">
        <v>44</v>
      </c>
      <c r="L957" s="101" t="s">
        <v>188</v>
      </c>
      <c r="M957" s="5">
        <v>0.31</v>
      </c>
      <c r="N957" s="59">
        <v>8.6876688000000026</v>
      </c>
      <c r="O957" s="59">
        <v>0.13244999999999862</v>
      </c>
      <c r="BU957" s="61"/>
    </row>
    <row r="958" spans="1:73" x14ac:dyDescent="0.35">
      <c r="A958" s="7" t="s">
        <v>1379</v>
      </c>
      <c r="B958" s="7" t="s">
        <v>1382</v>
      </c>
      <c r="C958" s="17" t="s">
        <v>573</v>
      </c>
      <c r="D958" s="5" t="s">
        <v>38</v>
      </c>
      <c r="E958" t="s">
        <v>891</v>
      </c>
      <c r="F958">
        <v>225.465</v>
      </c>
      <c r="G958" s="5" t="s">
        <v>39</v>
      </c>
      <c r="H958" s="18">
        <v>66.472433673469396</v>
      </c>
      <c r="I958" s="19" t="s">
        <v>40</v>
      </c>
      <c r="J958" s="18">
        <v>-0.44993271990739458</v>
      </c>
      <c r="K958" s="5" t="s">
        <v>44</v>
      </c>
      <c r="L958" s="101" t="s">
        <v>188</v>
      </c>
      <c r="M958" s="5">
        <v>0.36</v>
      </c>
      <c r="N958" s="59">
        <v>8.4669468000000023</v>
      </c>
      <c r="O958" s="59">
        <v>-8.8272000000001682E-2</v>
      </c>
      <c r="BU958" s="61"/>
    </row>
    <row r="959" spans="1:73" x14ac:dyDescent="0.35">
      <c r="A959" s="7" t="s">
        <v>1379</v>
      </c>
      <c r="B959" s="7" t="s">
        <v>1382</v>
      </c>
      <c r="C959" s="17" t="s">
        <v>573</v>
      </c>
      <c r="D959" s="5" t="s">
        <v>38</v>
      </c>
      <c r="E959" t="s">
        <v>892</v>
      </c>
      <c r="F959">
        <v>225.52499</v>
      </c>
      <c r="G959" s="5" t="s">
        <v>39</v>
      </c>
      <c r="H959" s="18">
        <v>66.475678030612201</v>
      </c>
      <c r="I959" s="19" t="s">
        <v>40</v>
      </c>
      <c r="J959" s="18">
        <v>-0.45314149057870168</v>
      </c>
      <c r="K959" s="5" t="s">
        <v>44</v>
      </c>
      <c r="L959" s="101" t="s">
        <v>188</v>
      </c>
      <c r="M959" s="5">
        <v>0.37</v>
      </c>
      <c r="N959" s="59">
        <v>8.4228192000000028</v>
      </c>
      <c r="O959" s="59">
        <v>-0.13239960000000117</v>
      </c>
      <c r="BU959" s="61"/>
    </row>
    <row r="960" spans="1:73" x14ac:dyDescent="0.35">
      <c r="A960" s="7" t="s">
        <v>1379</v>
      </c>
      <c r="B960" s="7" t="s">
        <v>1382</v>
      </c>
      <c r="C960" s="17" t="s">
        <v>573</v>
      </c>
      <c r="D960" s="5" t="s">
        <v>38</v>
      </c>
      <c r="E960" t="s">
        <v>893</v>
      </c>
      <c r="F960">
        <v>225.55499</v>
      </c>
      <c r="G960" s="5" t="s">
        <v>39</v>
      </c>
      <c r="H960" s="18">
        <v>66.477300479591804</v>
      </c>
      <c r="I960" s="19" t="s">
        <v>40</v>
      </c>
      <c r="J960" s="18">
        <v>-0.45474614335647345</v>
      </c>
      <c r="K960" s="5" t="s">
        <v>44</v>
      </c>
      <c r="L960" s="101" t="s">
        <v>188</v>
      </c>
      <c r="M960" s="5">
        <v>0.41</v>
      </c>
      <c r="N960" s="59">
        <v>8.246364800000002</v>
      </c>
      <c r="O960" s="59">
        <v>-0.30885400000000196</v>
      </c>
      <c r="BU960" s="61"/>
    </row>
    <row r="961" spans="1:73" x14ac:dyDescent="0.35">
      <c r="A961" s="7" t="s">
        <v>1379</v>
      </c>
      <c r="B961" s="7" t="s">
        <v>1382</v>
      </c>
      <c r="C961" s="17" t="s">
        <v>573</v>
      </c>
      <c r="D961" s="5" t="s">
        <v>38</v>
      </c>
      <c r="E961" t="s">
        <v>894</v>
      </c>
      <c r="F961">
        <v>225.61501000000001</v>
      </c>
      <c r="G961" s="5" t="s">
        <v>39</v>
      </c>
      <c r="H961" s="18">
        <v>66.480546459183699</v>
      </c>
      <c r="I961" s="19" t="s">
        <v>40</v>
      </c>
      <c r="J961" s="18">
        <v>-0.45795651868054676</v>
      </c>
      <c r="K961" s="5" t="s">
        <v>44</v>
      </c>
      <c r="L961" s="101" t="s">
        <v>188</v>
      </c>
      <c r="M961" s="5">
        <v>0.27</v>
      </c>
      <c r="N961" s="59">
        <v>8.8643472000000028</v>
      </c>
      <c r="O961" s="59">
        <v>0.30912839999999875</v>
      </c>
      <c r="BU961" s="61"/>
    </row>
    <row r="962" spans="1:73" x14ac:dyDescent="0.35">
      <c r="A962" s="7" t="s">
        <v>1379</v>
      </c>
      <c r="B962" s="7" t="s">
        <v>1382</v>
      </c>
      <c r="C962" s="17" t="s">
        <v>573</v>
      </c>
      <c r="D962" s="5" t="s">
        <v>38</v>
      </c>
      <c r="E962" t="s">
        <v>895</v>
      </c>
      <c r="F962">
        <v>225.67500000000001</v>
      </c>
      <c r="G962" s="5" t="s">
        <v>39</v>
      </c>
      <c r="H962" s="18">
        <v>66.483790816326504</v>
      </c>
      <c r="I962" s="19" t="s">
        <v>40</v>
      </c>
      <c r="J962" s="18">
        <v>-0.46116528935183965</v>
      </c>
      <c r="K962" s="5" t="s">
        <v>44</v>
      </c>
      <c r="L962" s="101" t="s">
        <v>188</v>
      </c>
      <c r="M962" s="5">
        <v>0.28000000000000003</v>
      </c>
      <c r="N962" s="59">
        <v>8.8201692000000023</v>
      </c>
      <c r="O962" s="59">
        <v>0.26495039999999825</v>
      </c>
      <c r="BU962" s="61"/>
    </row>
    <row r="963" spans="1:73" x14ac:dyDescent="0.35">
      <c r="A963" s="7" t="s">
        <v>1379</v>
      </c>
      <c r="B963" s="7" t="s">
        <v>1382</v>
      </c>
      <c r="C963" s="17" t="s">
        <v>573</v>
      </c>
      <c r="D963" s="5" t="s">
        <v>38</v>
      </c>
      <c r="E963" t="s">
        <v>896</v>
      </c>
      <c r="F963">
        <v>225.76499999999999</v>
      </c>
      <c r="G963" s="5" t="s">
        <v>39</v>
      </c>
      <c r="H963" s="18">
        <v>66.488658163265299</v>
      </c>
      <c r="I963" s="19" t="s">
        <v>40</v>
      </c>
      <c r="J963" s="18">
        <v>-0.4659792476851834</v>
      </c>
      <c r="K963" s="5" t="s">
        <v>44</v>
      </c>
      <c r="L963" s="101" t="s">
        <v>188</v>
      </c>
      <c r="M963" s="5">
        <v>0.3</v>
      </c>
      <c r="N963" s="59">
        <v>8.7318300000000022</v>
      </c>
      <c r="O963" s="59">
        <v>0.17661119999999819</v>
      </c>
      <c r="BU963" s="61"/>
    </row>
    <row r="964" spans="1:73" x14ac:dyDescent="0.35">
      <c r="A964" s="7" t="s">
        <v>1379</v>
      </c>
      <c r="B964" s="7" t="s">
        <v>1382</v>
      </c>
      <c r="C964" s="17" t="s">
        <v>573</v>
      </c>
      <c r="D964" s="5" t="s">
        <v>38</v>
      </c>
      <c r="E964" t="s">
        <v>897</v>
      </c>
      <c r="F964">
        <v>225.82499999999999</v>
      </c>
      <c r="G964" s="5" t="s">
        <v>39</v>
      </c>
      <c r="H964" s="18">
        <v>66.491903061224505</v>
      </c>
      <c r="I964" s="19" t="s">
        <v>40</v>
      </c>
      <c r="J964" s="18">
        <v>-0.46918855324072695</v>
      </c>
      <c r="K964" s="5" t="s">
        <v>44</v>
      </c>
      <c r="L964" s="101" t="s">
        <v>188</v>
      </c>
      <c r="M964" s="5">
        <v>0.26</v>
      </c>
      <c r="N964" s="59">
        <v>8.908530800000003</v>
      </c>
      <c r="O964" s="59">
        <v>0.35331199999999896</v>
      </c>
      <c r="BU964" s="61"/>
    </row>
    <row r="965" spans="1:73" x14ac:dyDescent="0.35">
      <c r="A965" s="7" t="s">
        <v>1379</v>
      </c>
      <c r="B965" s="7" t="s">
        <v>1382</v>
      </c>
      <c r="C965" s="17" t="s">
        <v>573</v>
      </c>
      <c r="D965" s="5" t="s">
        <v>38</v>
      </c>
      <c r="E965" t="s">
        <v>898</v>
      </c>
      <c r="F965">
        <v>225.88498999999999</v>
      </c>
      <c r="G965" s="5" t="s">
        <v>39</v>
      </c>
      <c r="H965" s="18">
        <v>66.495147418367296</v>
      </c>
      <c r="I965" s="19" t="s">
        <v>40</v>
      </c>
      <c r="J965" s="18">
        <v>-0.47239732391203404</v>
      </c>
      <c r="K965" s="5" t="s">
        <v>44</v>
      </c>
      <c r="L965" s="101" t="s">
        <v>188</v>
      </c>
      <c r="M965" s="5">
        <v>0.25</v>
      </c>
      <c r="N965" s="59">
        <v>8.9527200000000011</v>
      </c>
      <c r="O965" s="59">
        <v>0.39750119999999711</v>
      </c>
      <c r="BU965" s="61"/>
    </row>
    <row r="966" spans="1:73" x14ac:dyDescent="0.35">
      <c r="A966" s="7" t="s">
        <v>1379</v>
      </c>
      <c r="B966" s="7" t="s">
        <v>1382</v>
      </c>
      <c r="C966" s="17" t="s">
        <v>573</v>
      </c>
      <c r="D966" s="5" t="s">
        <v>38</v>
      </c>
      <c r="E966" t="s">
        <v>899</v>
      </c>
      <c r="F966">
        <v>225.97501</v>
      </c>
      <c r="G966" s="5" t="s">
        <v>39</v>
      </c>
      <c r="H966" s="18">
        <v>66.500015846938794</v>
      </c>
      <c r="I966" s="19" t="s">
        <v>40</v>
      </c>
      <c r="J966" s="18">
        <v>-0.47721235201387913</v>
      </c>
      <c r="K966" s="5" t="s">
        <v>44</v>
      </c>
      <c r="L966" s="101" t="s">
        <v>188</v>
      </c>
      <c r="M966" s="5">
        <v>0.26</v>
      </c>
      <c r="N966" s="59">
        <v>8.908530800000003</v>
      </c>
      <c r="O966" s="59">
        <v>0.35331199999999896</v>
      </c>
      <c r="BU966" s="61"/>
    </row>
    <row r="967" spans="1:73" x14ac:dyDescent="0.35">
      <c r="A967" s="7" t="s">
        <v>1379</v>
      </c>
      <c r="B967" s="7" t="s">
        <v>1382</v>
      </c>
      <c r="C967" s="5"/>
      <c r="F967"/>
      <c r="I967" s="19"/>
      <c r="BU967" s="61"/>
    </row>
    <row r="968" spans="1:73" x14ac:dyDescent="0.35">
      <c r="A968" s="7" t="s">
        <v>1379</v>
      </c>
      <c r="B968" s="7" t="s">
        <v>1382</v>
      </c>
      <c r="C968" s="5" t="s">
        <v>900</v>
      </c>
      <c r="D968" s="5" t="s">
        <v>38</v>
      </c>
      <c r="F968">
        <v>216.87</v>
      </c>
      <c r="G968" s="2" t="s">
        <v>39</v>
      </c>
      <c r="H968" s="162">
        <v>66.029005917159793</v>
      </c>
      <c r="I968" s="19" t="s">
        <v>40</v>
      </c>
      <c r="J968" s="162">
        <v>-7.0945520833305409E-3</v>
      </c>
      <c r="K968" s="62" t="s">
        <v>97</v>
      </c>
      <c r="L968" s="163" t="s">
        <v>901</v>
      </c>
      <c r="M968" s="5">
        <v>-0.31</v>
      </c>
      <c r="N968" s="59">
        <v>14.286749466679689</v>
      </c>
      <c r="O968" s="59">
        <v>0</v>
      </c>
      <c r="BU968" s="61"/>
    </row>
    <row r="969" spans="1:73" x14ac:dyDescent="0.35">
      <c r="A969" s="7" t="s">
        <v>1379</v>
      </c>
      <c r="B969" s="7" t="s">
        <v>1382</v>
      </c>
      <c r="C969" s="5" t="s">
        <v>900</v>
      </c>
      <c r="D969" s="5" t="s">
        <v>38</v>
      </c>
      <c r="F969">
        <v>217.54</v>
      </c>
      <c r="G969" s="2" t="s">
        <v>39</v>
      </c>
      <c r="H969" s="162">
        <v>66.058343195266303</v>
      </c>
      <c r="I969" s="19" t="s">
        <v>40</v>
      </c>
      <c r="J969" s="162">
        <v>-3.6854765624994457E-2</v>
      </c>
      <c r="K969" s="62" t="s">
        <v>97</v>
      </c>
      <c r="L969" s="163" t="s">
        <v>901</v>
      </c>
      <c r="M969" s="5">
        <v>-0.28000000000000003</v>
      </c>
      <c r="N969" s="59">
        <v>14.152261304179689</v>
      </c>
      <c r="O969" s="59">
        <v>-0.13448816250000029</v>
      </c>
      <c r="BU969" s="61"/>
    </row>
    <row r="970" spans="1:73" x14ac:dyDescent="0.35">
      <c r="A970" s="7" t="s">
        <v>1379</v>
      </c>
      <c r="B970" s="7" t="s">
        <v>1382</v>
      </c>
      <c r="C970" s="5" t="s">
        <v>900</v>
      </c>
      <c r="D970" s="5" t="s">
        <v>38</v>
      </c>
      <c r="F970">
        <v>218.32</v>
      </c>
      <c r="G970" s="2" t="s">
        <v>39</v>
      </c>
      <c r="H970" s="162">
        <v>66.092497041420103</v>
      </c>
      <c r="I970" s="19" t="s">
        <v>40</v>
      </c>
      <c r="J970" s="162">
        <v>-7.1500984374992527E-2</v>
      </c>
      <c r="K970" s="62" t="s">
        <v>97</v>
      </c>
      <c r="L970" s="163" t="s">
        <v>901</v>
      </c>
      <c r="M970" s="5">
        <v>-0.34</v>
      </c>
      <c r="N970" s="59">
        <v>14.421291629179688</v>
      </c>
      <c r="O970" s="59">
        <v>0.13454216249999895</v>
      </c>
      <c r="BU970" s="61"/>
    </row>
    <row r="971" spans="1:73" x14ac:dyDescent="0.35">
      <c r="A971" s="7" t="s">
        <v>1379</v>
      </c>
      <c r="B971" s="7" t="s">
        <v>1382</v>
      </c>
      <c r="C971" s="5" t="s">
        <v>900</v>
      </c>
      <c r="D971" s="5" t="s">
        <v>38</v>
      </c>
      <c r="F971">
        <v>222.4</v>
      </c>
      <c r="G971" s="2" t="s">
        <v>39</v>
      </c>
      <c r="H971" s="162">
        <v>66.295571428571407</v>
      </c>
      <c r="I971" s="19" t="s">
        <v>40</v>
      </c>
      <c r="J971" s="162">
        <v>-0.27463325423728691</v>
      </c>
      <c r="K971" s="62" t="s">
        <v>97</v>
      </c>
      <c r="L971" s="163" t="s">
        <v>901</v>
      </c>
      <c r="M971" s="5">
        <v>-0.33</v>
      </c>
      <c r="N971" s="59">
        <v>14.37643824167969</v>
      </c>
      <c r="O971" s="59">
        <v>8.9688775000000831E-2</v>
      </c>
      <c r="BU971" s="61"/>
    </row>
    <row r="972" spans="1:73" x14ac:dyDescent="0.35">
      <c r="A972" s="7" t="s">
        <v>1379</v>
      </c>
      <c r="B972" s="7" t="s">
        <v>1382</v>
      </c>
      <c r="C972" s="5" t="s">
        <v>900</v>
      </c>
      <c r="D972" s="5" t="s">
        <v>38</v>
      </c>
      <c r="F972">
        <v>225.22</v>
      </c>
      <c r="G972" s="2" t="s">
        <v>39</v>
      </c>
      <c r="H972" s="162">
        <v>66.459183673469397</v>
      </c>
      <c r="I972" s="19" t="s">
        <v>40</v>
      </c>
      <c r="J972" s="162">
        <v>-0.43682805555555149</v>
      </c>
      <c r="K972" s="62" t="s">
        <v>97</v>
      </c>
      <c r="L972" s="163" t="s">
        <v>901</v>
      </c>
      <c r="M972" s="5">
        <v>-0.19</v>
      </c>
      <c r="N972" s="59">
        <v>13.749120816679687</v>
      </c>
      <c r="O972" s="59">
        <v>-0.53762865000000204</v>
      </c>
      <c r="BU972" s="61"/>
    </row>
    <row r="973" spans="1:73" x14ac:dyDescent="0.35">
      <c r="A973" s="7" t="s">
        <v>1379</v>
      </c>
      <c r="B973" s="7" t="s">
        <v>1382</v>
      </c>
      <c r="C973" s="5" t="s">
        <v>900</v>
      </c>
      <c r="D973" s="5" t="s">
        <v>38</v>
      </c>
      <c r="F973">
        <v>216.87</v>
      </c>
      <c r="G973" s="2" t="s">
        <v>39</v>
      </c>
      <c r="H973" s="162">
        <v>66.029005917159793</v>
      </c>
      <c r="I973" s="19" t="s">
        <v>40</v>
      </c>
      <c r="J973" s="162">
        <v>-7.0945520833305409E-3</v>
      </c>
      <c r="K973" s="62" t="s">
        <v>97</v>
      </c>
      <c r="L973" s="163" t="s">
        <v>902</v>
      </c>
      <c r="M973" s="5">
        <v>-0.24</v>
      </c>
      <c r="N973" s="59">
        <v>13.973027754179689</v>
      </c>
      <c r="O973" s="59">
        <v>0</v>
      </c>
      <c r="BU973" s="61"/>
    </row>
    <row r="974" spans="1:73" x14ac:dyDescent="0.35">
      <c r="A974" s="7" t="s">
        <v>1379</v>
      </c>
      <c r="B974" s="7" t="s">
        <v>1382</v>
      </c>
      <c r="C974" s="5" t="s">
        <v>900</v>
      </c>
      <c r="D974" s="5" t="s">
        <v>38</v>
      </c>
      <c r="F974">
        <v>217.54</v>
      </c>
      <c r="G974" s="2" t="s">
        <v>39</v>
      </c>
      <c r="H974" s="162">
        <v>66.058343195266303</v>
      </c>
      <c r="I974" s="19" t="s">
        <v>40</v>
      </c>
      <c r="J974" s="162">
        <v>-3.6854765624994457E-2</v>
      </c>
      <c r="K974" s="62" t="s">
        <v>97</v>
      </c>
      <c r="L974" s="163" t="s">
        <v>902</v>
      </c>
      <c r="M974" s="5">
        <v>-0.19</v>
      </c>
      <c r="N974" s="59">
        <v>13.749120816679687</v>
      </c>
      <c r="O974" s="59">
        <v>-0.22390693750000246</v>
      </c>
      <c r="BU974" s="61"/>
    </row>
    <row r="975" spans="1:73" x14ac:dyDescent="0.35">
      <c r="A975" s="7" t="s">
        <v>1379</v>
      </c>
      <c r="B975" s="7" t="s">
        <v>1382</v>
      </c>
      <c r="C975" s="5" t="s">
        <v>900</v>
      </c>
      <c r="D975" s="5" t="s">
        <v>38</v>
      </c>
      <c r="F975">
        <v>218.32</v>
      </c>
      <c r="G975" s="2" t="s">
        <v>39</v>
      </c>
      <c r="H975" s="162">
        <v>66.092497041420103</v>
      </c>
      <c r="I975" s="19" t="s">
        <v>40</v>
      </c>
      <c r="J975" s="162">
        <v>-7.1500984374992527E-2</v>
      </c>
      <c r="K975" s="62" t="s">
        <v>97</v>
      </c>
      <c r="L975" s="163" t="s">
        <v>902</v>
      </c>
      <c r="M975" s="5">
        <v>-0.4</v>
      </c>
      <c r="N975" s="59">
        <v>14.690537954179687</v>
      </c>
      <c r="O975" s="59">
        <v>0.71751019999999777</v>
      </c>
      <c r="BU975" s="61"/>
    </row>
    <row r="976" spans="1:73" x14ac:dyDescent="0.35">
      <c r="A976" s="7" t="s">
        <v>1379</v>
      </c>
      <c r="B976" s="7" t="s">
        <v>1382</v>
      </c>
      <c r="C976" s="5" t="s">
        <v>900</v>
      </c>
      <c r="D976" s="5" t="s">
        <v>38</v>
      </c>
      <c r="F976">
        <v>222.4</v>
      </c>
      <c r="G976" s="2" t="s">
        <v>39</v>
      </c>
      <c r="H976" s="162">
        <v>66.295571428571407</v>
      </c>
      <c r="I976" s="19" t="s">
        <v>40</v>
      </c>
      <c r="J976" s="162">
        <v>-0.27463325423728691</v>
      </c>
      <c r="K976" s="62" t="s">
        <v>97</v>
      </c>
      <c r="L976" s="163" t="s">
        <v>902</v>
      </c>
      <c r="M976" s="5">
        <v>-0.15</v>
      </c>
      <c r="N976" s="59">
        <v>13.570103266679688</v>
      </c>
      <c r="O976" s="59">
        <v>-0.40292448750000176</v>
      </c>
      <c r="BU976" s="61"/>
    </row>
    <row r="977" spans="1:73" x14ac:dyDescent="0.35">
      <c r="A977" s="7" t="s">
        <v>1379</v>
      </c>
      <c r="B977" s="7" t="s">
        <v>1382</v>
      </c>
      <c r="C977" s="5" t="s">
        <v>900</v>
      </c>
      <c r="D977" s="5" t="s">
        <v>38</v>
      </c>
      <c r="F977">
        <v>225.22</v>
      </c>
      <c r="G977" s="2" t="s">
        <v>39</v>
      </c>
      <c r="H977" s="162">
        <v>66.459183673469397</v>
      </c>
      <c r="I977" s="19" t="s">
        <v>40</v>
      </c>
      <c r="J977" s="162">
        <v>-0.43682805555555149</v>
      </c>
      <c r="K977" s="62" t="s">
        <v>97</v>
      </c>
      <c r="L977" s="163" t="s">
        <v>902</v>
      </c>
      <c r="M977" s="5">
        <v>-0.28999999999999998</v>
      </c>
      <c r="N977" s="59">
        <v>14.197084691679688</v>
      </c>
      <c r="O977" s="59">
        <v>0.22405693749999855</v>
      </c>
      <c r="BU977" s="61"/>
    </row>
    <row r="978" spans="1:73" x14ac:dyDescent="0.35">
      <c r="A978" s="7" t="s">
        <v>1379</v>
      </c>
      <c r="B978" s="7" t="s">
        <v>1382</v>
      </c>
      <c r="C978" s="5" t="s">
        <v>900</v>
      </c>
      <c r="D978" s="5" t="s">
        <v>38</v>
      </c>
      <c r="F978">
        <v>216.1</v>
      </c>
      <c r="G978" s="2" t="s">
        <v>39</v>
      </c>
      <c r="H978" s="162">
        <v>65.954684210526295</v>
      </c>
      <c r="I978" s="19" t="s">
        <v>40</v>
      </c>
      <c r="J978" s="162">
        <v>6.7669500000008043E-2</v>
      </c>
      <c r="K978" s="62" t="s">
        <v>97</v>
      </c>
      <c r="L978" s="163" t="s">
        <v>903</v>
      </c>
      <c r="M978" s="5">
        <v>-0.32</v>
      </c>
      <c r="N978" s="59">
        <v>14.331590854179687</v>
      </c>
      <c r="O978" s="59">
        <v>8.9676774999999154E-2</v>
      </c>
      <c r="BU978" s="61"/>
    </row>
    <row r="979" spans="1:73" x14ac:dyDescent="0.35">
      <c r="A979" s="7" t="s">
        <v>1379</v>
      </c>
      <c r="B979" s="7" t="s">
        <v>1382</v>
      </c>
      <c r="C979" s="5" t="s">
        <v>900</v>
      </c>
      <c r="D979" s="5" t="s">
        <v>38</v>
      </c>
      <c r="F979">
        <v>216.32</v>
      </c>
      <c r="G979" s="2" t="s">
        <v>39</v>
      </c>
      <c r="H979" s="162">
        <v>65.996604651162798</v>
      </c>
      <c r="I979" s="19" t="s">
        <v>40</v>
      </c>
      <c r="J979" s="162">
        <v>2.5424568181819041E-2</v>
      </c>
      <c r="K979" s="62" t="s">
        <v>97</v>
      </c>
      <c r="L979" s="163" t="s">
        <v>903</v>
      </c>
      <c r="M979" s="5">
        <v>-0.27</v>
      </c>
      <c r="N979" s="59">
        <v>14.107443916679689</v>
      </c>
      <c r="O979" s="59">
        <v>-0.13447016249999955</v>
      </c>
      <c r="BU979" s="61"/>
    </row>
    <row r="980" spans="1:73" x14ac:dyDescent="0.35">
      <c r="A980" s="7" t="s">
        <v>1379</v>
      </c>
      <c r="B980" s="7" t="s">
        <v>1382</v>
      </c>
      <c r="C980" s="5" t="s">
        <v>900</v>
      </c>
      <c r="D980" s="5" t="s">
        <v>38</v>
      </c>
      <c r="F980">
        <v>216.57</v>
      </c>
      <c r="G980" s="2" t="s">
        <v>39</v>
      </c>
      <c r="H980" s="162">
        <v>66.012883720930205</v>
      </c>
      <c r="I980" s="19" t="s">
        <v>40</v>
      </c>
      <c r="J980" s="162">
        <v>9.3876363636411497E-3</v>
      </c>
      <c r="K980" s="62" t="s">
        <v>97</v>
      </c>
      <c r="L980" s="163" t="s">
        <v>903</v>
      </c>
      <c r="M980" s="5">
        <v>-0.06</v>
      </c>
      <c r="N980" s="59">
        <v>13.167664779179688</v>
      </c>
      <c r="O980" s="59">
        <v>-1.0742493</v>
      </c>
      <c r="BU980" s="61"/>
    </row>
    <row r="981" spans="1:73" x14ac:dyDescent="0.35">
      <c r="A981" s="7" t="s">
        <v>1379</v>
      </c>
      <c r="B981" s="7" t="s">
        <v>1382</v>
      </c>
      <c r="C981" s="5" t="s">
        <v>900</v>
      </c>
      <c r="D981" s="5" t="s">
        <v>38</v>
      </c>
      <c r="F981">
        <v>216.69</v>
      </c>
      <c r="G981" s="2" t="s">
        <v>39</v>
      </c>
      <c r="H981" s="162">
        <v>66.020697674418599</v>
      </c>
      <c r="I981" s="19" t="s">
        <v>40</v>
      </c>
      <c r="J981" s="162">
        <v>1.6899090909134884E-3</v>
      </c>
      <c r="K981" s="62" t="s">
        <v>97</v>
      </c>
      <c r="L981" s="163" t="s">
        <v>903</v>
      </c>
      <c r="M981" s="5">
        <v>-0.42</v>
      </c>
      <c r="N981" s="59">
        <v>14.780334729179687</v>
      </c>
      <c r="O981" s="59">
        <v>0.53842064999999906</v>
      </c>
      <c r="BU981" s="61"/>
    </row>
    <row r="982" spans="1:73" x14ac:dyDescent="0.35">
      <c r="A982" s="7" t="s">
        <v>1379</v>
      </c>
      <c r="B982" s="7" t="s">
        <v>1382</v>
      </c>
      <c r="C982" s="5" t="s">
        <v>900</v>
      </c>
      <c r="D982" s="5" t="s">
        <v>38</v>
      </c>
      <c r="F982">
        <v>216.77</v>
      </c>
      <c r="G982" s="2" t="s">
        <v>39</v>
      </c>
      <c r="H982" s="162">
        <v>66.024627218934896</v>
      </c>
      <c r="I982" s="19" t="s">
        <v>40</v>
      </c>
      <c r="J982" s="162">
        <v>-2.6527291666553765E-3</v>
      </c>
      <c r="K982" s="62" t="s">
        <v>97</v>
      </c>
      <c r="L982" s="163" t="s">
        <v>903</v>
      </c>
      <c r="M982" s="5">
        <v>-0.3</v>
      </c>
      <c r="N982" s="59">
        <v>14.241914079179688</v>
      </c>
      <c r="O982" s="59">
        <v>0</v>
      </c>
      <c r="BU982" s="61"/>
    </row>
    <row r="983" spans="1:73" x14ac:dyDescent="0.35">
      <c r="A983" s="7" t="s">
        <v>1379</v>
      </c>
      <c r="B983" s="7" t="s">
        <v>1382</v>
      </c>
      <c r="C983" s="5" t="s">
        <v>900</v>
      </c>
      <c r="D983" s="5" t="s">
        <v>38</v>
      </c>
      <c r="F983">
        <v>216.87</v>
      </c>
      <c r="G983" s="2" t="s">
        <v>39</v>
      </c>
      <c r="H983" s="162">
        <v>66.029005917159793</v>
      </c>
      <c r="I983" s="19" t="s">
        <v>40</v>
      </c>
      <c r="J983" s="162">
        <v>-7.0945520833305409E-3</v>
      </c>
      <c r="K983" s="62" t="s">
        <v>97</v>
      </c>
      <c r="L983" s="163" t="s">
        <v>903</v>
      </c>
      <c r="M983" s="5">
        <v>-1.6</v>
      </c>
      <c r="N983" s="59">
        <v>20.120824454179687</v>
      </c>
      <c r="O983" s="59">
        <v>5.8789103749999985</v>
      </c>
      <c r="BU983" s="61"/>
    </row>
    <row r="984" spans="1:73" x14ac:dyDescent="0.35">
      <c r="A984" s="7" t="s">
        <v>1379</v>
      </c>
      <c r="B984" s="7" t="s">
        <v>1382</v>
      </c>
      <c r="C984" s="5" t="s">
        <v>900</v>
      </c>
      <c r="D984" s="5" t="s">
        <v>38</v>
      </c>
      <c r="F984">
        <v>211.08</v>
      </c>
      <c r="G984" s="2" t="s">
        <v>39</v>
      </c>
      <c r="H984" s="162">
        <v>64.858315789473707</v>
      </c>
      <c r="I984" s="19" t="s">
        <v>40</v>
      </c>
      <c r="J984" s="162">
        <v>1.163684210526327</v>
      </c>
      <c r="K984" s="62" t="s">
        <v>44</v>
      </c>
      <c r="L984" s="101" t="s">
        <v>188</v>
      </c>
      <c r="M984" s="5">
        <v>0.05</v>
      </c>
      <c r="N984" s="59">
        <v>9.8376800000000024</v>
      </c>
      <c r="O984" s="59">
        <v>1.4589828000000011</v>
      </c>
      <c r="BU984" s="61"/>
    </row>
    <row r="985" spans="1:73" x14ac:dyDescent="0.35">
      <c r="A985" s="7" t="s">
        <v>1379</v>
      </c>
      <c r="B985" s="7" t="s">
        <v>1382</v>
      </c>
      <c r="C985" s="5" t="s">
        <v>900</v>
      </c>
      <c r="D985" s="5" t="s">
        <v>38</v>
      </c>
      <c r="F985">
        <v>212.03</v>
      </c>
      <c r="G985" s="2" t="s">
        <v>39</v>
      </c>
      <c r="H985" s="162">
        <v>65.075677419354804</v>
      </c>
      <c r="I985" s="19" t="s">
        <v>40</v>
      </c>
      <c r="J985" s="162">
        <v>0.9466700746268657</v>
      </c>
      <c r="K985" s="62" t="s">
        <v>44</v>
      </c>
      <c r="L985" s="101" t="s">
        <v>188</v>
      </c>
      <c r="M985" s="5">
        <v>0.47</v>
      </c>
      <c r="N985" s="59">
        <v>7.9818512000000013</v>
      </c>
      <c r="O985" s="59">
        <v>-0.39684600000000003</v>
      </c>
      <c r="BU985" s="61"/>
    </row>
    <row r="986" spans="1:73" x14ac:dyDescent="0.35">
      <c r="A986" s="7" t="s">
        <v>1379</v>
      </c>
      <c r="B986" s="7" t="s">
        <v>1382</v>
      </c>
      <c r="C986" s="5" t="s">
        <v>900</v>
      </c>
      <c r="D986" s="5" t="s">
        <v>38</v>
      </c>
      <c r="F986">
        <v>213.03</v>
      </c>
      <c r="G986" s="2" t="s">
        <v>39</v>
      </c>
      <c r="H986" s="162">
        <v>65.222181818181795</v>
      </c>
      <c r="I986" s="19" t="s">
        <v>40</v>
      </c>
      <c r="J986" s="162">
        <v>0.7973546721311493</v>
      </c>
      <c r="K986" s="62" t="s">
        <v>44</v>
      </c>
      <c r="L986" s="101" t="s">
        <v>188</v>
      </c>
      <c r="M986" s="5">
        <v>-0.09</v>
      </c>
      <c r="N986" s="59">
        <v>10.458484800000001</v>
      </c>
      <c r="O986" s="59">
        <v>2.0797875999999995</v>
      </c>
      <c r="BU986" s="61"/>
    </row>
    <row r="987" spans="1:73" x14ac:dyDescent="0.35">
      <c r="A987" s="7" t="s">
        <v>1379</v>
      </c>
      <c r="B987" s="7" t="s">
        <v>1382</v>
      </c>
      <c r="C987" s="5" t="s">
        <v>900</v>
      </c>
      <c r="D987" s="5" t="s">
        <v>38</v>
      </c>
      <c r="F987">
        <v>214</v>
      </c>
      <c r="G987" s="2" t="s">
        <v>39</v>
      </c>
      <c r="H987" s="162">
        <v>65.452195652173899</v>
      </c>
      <c r="I987" s="19" t="s">
        <v>40</v>
      </c>
      <c r="J987" s="162">
        <v>0.56989133333334507</v>
      </c>
      <c r="K987" s="62" t="s">
        <v>44</v>
      </c>
      <c r="L987" s="101" t="s">
        <v>188</v>
      </c>
      <c r="M987" s="5">
        <v>0.32</v>
      </c>
      <c r="N987" s="59">
        <v>8.6435132000000028</v>
      </c>
      <c r="O987" s="59">
        <v>0.26481600000000149</v>
      </c>
      <c r="BU987" s="61"/>
    </row>
    <row r="988" spans="1:73" x14ac:dyDescent="0.35">
      <c r="A988" s="7" t="s">
        <v>1379</v>
      </c>
      <c r="B988" s="7" t="s">
        <v>1382</v>
      </c>
      <c r="C988" s="5" t="s">
        <v>900</v>
      </c>
      <c r="D988" s="5" t="s">
        <v>38</v>
      </c>
      <c r="F988">
        <v>214.54</v>
      </c>
      <c r="G988" s="2" t="s">
        <v>39</v>
      </c>
      <c r="H988" s="162">
        <v>65.556952380952396</v>
      </c>
      <c r="I988" s="19" t="s">
        <v>40</v>
      </c>
      <c r="J988" s="162">
        <v>0.46476766063086927</v>
      </c>
      <c r="K988" s="62" t="s">
        <v>44</v>
      </c>
      <c r="L988" s="101" t="s">
        <v>188</v>
      </c>
      <c r="M988" s="5">
        <v>0.05</v>
      </c>
      <c r="N988" s="59">
        <v>9.8376800000000024</v>
      </c>
      <c r="O988" s="59">
        <v>1.4589828000000011</v>
      </c>
      <c r="BU988" s="61"/>
    </row>
    <row r="989" spans="1:73" x14ac:dyDescent="0.35">
      <c r="A989" s="7" t="s">
        <v>1379</v>
      </c>
      <c r="B989" s="7" t="s">
        <v>1382</v>
      </c>
      <c r="C989" s="5" t="s">
        <v>900</v>
      </c>
      <c r="D989" s="5" t="s">
        <v>38</v>
      </c>
      <c r="F989">
        <v>214.9</v>
      </c>
      <c r="G989" s="2" t="s">
        <v>39</v>
      </c>
      <c r="H989" s="162">
        <v>65.628761904761902</v>
      </c>
      <c r="I989" s="19" t="s">
        <v>40</v>
      </c>
      <c r="J989" s="162">
        <v>0.39262245291938314</v>
      </c>
      <c r="K989" s="62" t="s">
        <v>44</v>
      </c>
      <c r="L989" s="101" t="s">
        <v>188</v>
      </c>
      <c r="M989" s="5">
        <v>7.0000000000000007E-2</v>
      </c>
      <c r="N989" s="59">
        <v>9.7490832000000029</v>
      </c>
      <c r="O989" s="59">
        <v>1.3703860000000017</v>
      </c>
      <c r="BU989" s="61"/>
    </row>
    <row r="990" spans="1:73" x14ac:dyDescent="0.35">
      <c r="A990" s="7" t="s">
        <v>1379</v>
      </c>
      <c r="B990" s="7" t="s">
        <v>1382</v>
      </c>
      <c r="C990" s="5" t="s">
        <v>900</v>
      </c>
      <c r="D990" s="5" t="s">
        <v>38</v>
      </c>
      <c r="F990">
        <v>215.08</v>
      </c>
      <c r="G990" s="2" t="s">
        <v>39</v>
      </c>
      <c r="H990" s="162">
        <v>65.674190476190503</v>
      </c>
      <c r="I990" s="19" t="s">
        <v>40</v>
      </c>
      <c r="J990" s="162">
        <v>0.34606780214586763</v>
      </c>
      <c r="K990" s="62" t="s">
        <v>44</v>
      </c>
      <c r="L990" s="101" t="s">
        <v>188</v>
      </c>
      <c r="M990" s="5">
        <v>0.05</v>
      </c>
      <c r="N990" s="59">
        <v>9.8376800000000024</v>
      </c>
      <c r="O990" s="59">
        <v>1.4589828000000011</v>
      </c>
      <c r="BU990" s="61"/>
    </row>
    <row r="991" spans="1:73" x14ac:dyDescent="0.35">
      <c r="A991" s="7" t="s">
        <v>1379</v>
      </c>
      <c r="B991" s="7" t="s">
        <v>1382</v>
      </c>
      <c r="C991" s="5" t="s">
        <v>900</v>
      </c>
      <c r="D991" s="5" t="s">
        <v>38</v>
      </c>
      <c r="F991">
        <v>215.23</v>
      </c>
      <c r="G991" s="2" t="s">
        <v>39</v>
      </c>
      <c r="H991" s="162">
        <v>65.715400000000002</v>
      </c>
      <c r="I991" s="19" t="s">
        <v>40</v>
      </c>
      <c r="J991" s="162">
        <v>0.30663314145647291</v>
      </c>
      <c r="K991" s="62" t="s">
        <v>44</v>
      </c>
      <c r="L991" s="101" t="s">
        <v>188</v>
      </c>
      <c r="M991" s="5">
        <v>0.12</v>
      </c>
      <c r="N991" s="59">
        <v>9.5276892000000029</v>
      </c>
      <c r="O991" s="59">
        <v>1.1489920000000016</v>
      </c>
      <c r="BU991" s="61"/>
    </row>
    <row r="992" spans="1:73" x14ac:dyDescent="0.35">
      <c r="A992" s="7" t="s">
        <v>1379</v>
      </c>
      <c r="B992" s="7" t="s">
        <v>1382</v>
      </c>
      <c r="C992" s="5" t="s">
        <v>900</v>
      </c>
      <c r="D992" s="5" t="s">
        <v>38</v>
      </c>
      <c r="F992">
        <v>215.64</v>
      </c>
      <c r="G992" s="2" t="s">
        <v>39</v>
      </c>
      <c r="H992" s="162">
        <v>65.852500000000006</v>
      </c>
      <c r="I992" s="19" t="s">
        <v>40</v>
      </c>
      <c r="J992" s="162">
        <v>0.16995050000001299</v>
      </c>
      <c r="K992" s="62" t="s">
        <v>44</v>
      </c>
      <c r="L992" s="101" t="s">
        <v>188</v>
      </c>
      <c r="M992" s="5">
        <v>0.1</v>
      </c>
      <c r="N992" s="59">
        <v>9.6162300000000034</v>
      </c>
      <c r="O992" s="59">
        <v>1.2375328000000021</v>
      </c>
      <c r="BU992" s="61"/>
    </row>
    <row r="993" spans="1:73" x14ac:dyDescent="0.35">
      <c r="A993" s="7" t="s">
        <v>1379</v>
      </c>
      <c r="B993" s="7" t="s">
        <v>1382</v>
      </c>
      <c r="C993" s="5" t="s">
        <v>900</v>
      </c>
      <c r="D993" s="5" t="s">
        <v>38</v>
      </c>
      <c r="F993">
        <v>215.9</v>
      </c>
      <c r="G993" s="2" t="s">
        <v>39</v>
      </c>
      <c r="H993" s="162">
        <v>65.911000000000001</v>
      </c>
      <c r="I993" s="19" t="s">
        <v>40</v>
      </c>
      <c r="J993" s="162">
        <v>0.11213950000001205</v>
      </c>
      <c r="K993" s="62" t="s">
        <v>44</v>
      </c>
      <c r="L993" s="101" t="s">
        <v>188</v>
      </c>
      <c r="M993" s="5">
        <v>0.14000000000000001</v>
      </c>
      <c r="N993" s="59">
        <v>9.4391708000000012</v>
      </c>
      <c r="O993" s="59">
        <v>1.0604735999999999</v>
      </c>
      <c r="BU993" s="61"/>
    </row>
    <row r="994" spans="1:73" x14ac:dyDescent="0.35">
      <c r="A994" s="7" t="s">
        <v>1379</v>
      </c>
      <c r="B994" s="7" t="s">
        <v>1382</v>
      </c>
      <c r="C994" s="5" t="s">
        <v>900</v>
      </c>
      <c r="D994" s="5" t="s">
        <v>38</v>
      </c>
      <c r="F994">
        <v>216.1</v>
      </c>
      <c r="G994" s="2" t="s">
        <v>39</v>
      </c>
      <c r="H994" s="162">
        <v>65.954684210526295</v>
      </c>
      <c r="I994" s="19" t="s">
        <v>40</v>
      </c>
      <c r="J994" s="162">
        <v>6.7669500000008043E-2</v>
      </c>
      <c r="K994" s="62" t="s">
        <v>44</v>
      </c>
      <c r="L994" s="101" t="s">
        <v>188</v>
      </c>
      <c r="M994" s="5">
        <v>0.13</v>
      </c>
      <c r="N994" s="59">
        <v>9.4834272000000031</v>
      </c>
      <c r="O994" s="59">
        <v>1.1047300000000018</v>
      </c>
      <c r="BU994" s="61"/>
    </row>
    <row r="995" spans="1:73" x14ac:dyDescent="0.35">
      <c r="A995" s="7" t="s">
        <v>1379</v>
      </c>
      <c r="B995" s="7" t="s">
        <v>1382</v>
      </c>
      <c r="C995" s="5" t="s">
        <v>900</v>
      </c>
      <c r="D995" s="5" t="s">
        <v>38</v>
      </c>
      <c r="F995">
        <v>216.32</v>
      </c>
      <c r="G995" s="2" t="s">
        <v>39</v>
      </c>
      <c r="H995" s="162">
        <v>65.996604651162798</v>
      </c>
      <c r="I995" s="19" t="s">
        <v>40</v>
      </c>
      <c r="J995" s="162">
        <v>2.5424568181819041E-2</v>
      </c>
      <c r="K995" s="62" t="s">
        <v>44</v>
      </c>
      <c r="L995" s="101" t="s">
        <v>188</v>
      </c>
      <c r="M995" s="5">
        <v>0.22</v>
      </c>
      <c r="N995" s="59">
        <v>9.0853212000000028</v>
      </c>
      <c r="O995" s="59">
        <v>0.70662400000000147</v>
      </c>
      <c r="BU995" s="61"/>
    </row>
    <row r="996" spans="1:73" x14ac:dyDescent="0.35">
      <c r="A996" s="7" t="s">
        <v>1379</v>
      </c>
      <c r="B996" s="7" t="s">
        <v>1382</v>
      </c>
      <c r="C996" s="5" t="s">
        <v>900</v>
      </c>
      <c r="D996" s="5" t="s">
        <v>38</v>
      </c>
      <c r="F996">
        <v>216.57</v>
      </c>
      <c r="G996" s="2" t="s">
        <v>39</v>
      </c>
      <c r="H996" s="162">
        <v>66.012883720930205</v>
      </c>
      <c r="I996" s="19" t="s">
        <v>40</v>
      </c>
      <c r="J996" s="162">
        <v>9.3876363636411497E-3</v>
      </c>
      <c r="K996" s="62" t="s">
        <v>44</v>
      </c>
      <c r="L996" s="101" t="s">
        <v>188</v>
      </c>
      <c r="M996" s="5">
        <v>0.26</v>
      </c>
      <c r="N996" s="59">
        <v>8.908530800000003</v>
      </c>
      <c r="O996" s="59">
        <v>0.52983360000000168</v>
      </c>
      <c r="BU996" s="61"/>
    </row>
    <row r="997" spans="1:73" x14ac:dyDescent="0.35">
      <c r="A997" s="7" t="s">
        <v>1379</v>
      </c>
      <c r="B997" s="7" t="s">
        <v>1382</v>
      </c>
      <c r="C997" s="5" t="s">
        <v>900</v>
      </c>
      <c r="D997" s="5" t="s">
        <v>38</v>
      </c>
      <c r="F997">
        <v>216.69</v>
      </c>
      <c r="G997" s="2" t="s">
        <v>39</v>
      </c>
      <c r="H997" s="162">
        <v>66.020697674418599</v>
      </c>
      <c r="I997" s="19" t="s">
        <v>40</v>
      </c>
      <c r="J997" s="162">
        <v>1.6899090909134884E-3</v>
      </c>
      <c r="K997" s="62" t="s">
        <v>44</v>
      </c>
      <c r="L997" s="101" t="s">
        <v>188</v>
      </c>
      <c r="M997" s="5">
        <v>0</v>
      </c>
      <c r="N997" s="59">
        <v>10.059270000000003</v>
      </c>
      <c r="O997" s="59">
        <v>1.680572800000002</v>
      </c>
      <c r="BU997" s="61"/>
    </row>
    <row r="998" spans="1:73" x14ac:dyDescent="0.35">
      <c r="A998" s="7" t="s">
        <v>1379</v>
      </c>
      <c r="B998" s="7" t="s">
        <v>1382</v>
      </c>
      <c r="C998" s="5" t="s">
        <v>900</v>
      </c>
      <c r="D998" s="5" t="s">
        <v>38</v>
      </c>
      <c r="F998">
        <v>216.87</v>
      </c>
      <c r="G998" s="2" t="s">
        <v>39</v>
      </c>
      <c r="H998" s="162">
        <v>66.029005917159793</v>
      </c>
      <c r="I998" s="19" t="s">
        <v>40</v>
      </c>
      <c r="J998" s="162">
        <v>-7.0945520833305409E-3</v>
      </c>
      <c r="K998" s="62" t="s">
        <v>44</v>
      </c>
      <c r="L998" s="101" t="s">
        <v>188</v>
      </c>
      <c r="M998" s="5">
        <v>0.38</v>
      </c>
      <c r="N998" s="59">
        <v>8.3786972000000013</v>
      </c>
      <c r="O998" s="59">
        <v>0</v>
      </c>
      <c r="BU998" s="61"/>
    </row>
    <row r="999" spans="1:73" x14ac:dyDescent="0.35">
      <c r="A999" s="7" t="s">
        <v>1379</v>
      </c>
      <c r="B999" s="7" t="s">
        <v>1382</v>
      </c>
      <c r="C999" s="5" t="s">
        <v>900</v>
      </c>
      <c r="D999" s="5" t="s">
        <v>38</v>
      </c>
      <c r="F999">
        <v>217.54</v>
      </c>
      <c r="G999" s="2" t="s">
        <v>39</v>
      </c>
      <c r="H999" s="162">
        <v>66.058343195266303</v>
      </c>
      <c r="I999" s="19" t="s">
        <v>40</v>
      </c>
      <c r="J999" s="162">
        <v>-3.6854765624994457E-2</v>
      </c>
      <c r="K999" s="62" t="s">
        <v>44</v>
      </c>
      <c r="L999" s="101" t="s">
        <v>188</v>
      </c>
      <c r="M999" s="5">
        <v>0.24</v>
      </c>
      <c r="N999" s="59">
        <v>8.9969148000000008</v>
      </c>
      <c r="O999" s="59">
        <v>0.61821759999999948</v>
      </c>
      <c r="BU999" s="61"/>
    </row>
    <row r="1000" spans="1:73" x14ac:dyDescent="0.35">
      <c r="A1000" s="7" t="s">
        <v>1379</v>
      </c>
      <c r="B1000" s="7" t="s">
        <v>1382</v>
      </c>
      <c r="C1000" s="5" t="s">
        <v>900</v>
      </c>
      <c r="D1000" s="5" t="s">
        <v>38</v>
      </c>
      <c r="F1000" s="164">
        <v>218.32</v>
      </c>
      <c r="G1000" s="2" t="s">
        <v>39</v>
      </c>
      <c r="H1000" s="162">
        <v>66.092497041420103</v>
      </c>
      <c r="I1000" s="19" t="s">
        <v>40</v>
      </c>
      <c r="J1000" s="162">
        <v>-7.1500984374992527E-2</v>
      </c>
      <c r="K1000" s="62" t="s">
        <v>44</v>
      </c>
      <c r="L1000" s="101" t="s">
        <v>188</v>
      </c>
      <c r="M1000" s="5">
        <v>0.42</v>
      </c>
      <c r="N1000" s="59">
        <v>8.2022652000000029</v>
      </c>
      <c r="O1000" s="59">
        <v>-0.17643199999999837</v>
      </c>
      <c r="BU1000" s="61"/>
    </row>
    <row r="1001" spans="1:73" x14ac:dyDescent="0.35">
      <c r="A1001" s="7" t="s">
        <v>1379</v>
      </c>
      <c r="B1001" s="7" t="s">
        <v>1382</v>
      </c>
      <c r="C1001" s="5" t="s">
        <v>900</v>
      </c>
      <c r="D1001" s="5" t="s">
        <v>38</v>
      </c>
      <c r="F1001" s="164">
        <v>222.4</v>
      </c>
      <c r="G1001" s="2" t="s">
        <v>39</v>
      </c>
      <c r="H1001" s="162">
        <v>66.295571428571407</v>
      </c>
      <c r="I1001" s="19" t="s">
        <v>40</v>
      </c>
      <c r="J1001" s="162">
        <v>-0.27463325423728691</v>
      </c>
      <c r="K1001" s="62" t="s">
        <v>44</v>
      </c>
      <c r="L1001" s="101" t="s">
        <v>188</v>
      </c>
      <c r="M1001" s="5">
        <v>0.22</v>
      </c>
      <c r="N1001" s="59">
        <v>9.0853212000000028</v>
      </c>
      <c r="O1001" s="59">
        <v>0.70662400000000147</v>
      </c>
      <c r="BU1001" s="61"/>
    </row>
    <row r="1002" spans="1:73" x14ac:dyDescent="0.35">
      <c r="A1002" s="7" t="s">
        <v>1379</v>
      </c>
      <c r="B1002" s="7" t="s">
        <v>1382</v>
      </c>
      <c r="C1002" s="5" t="s">
        <v>900</v>
      </c>
      <c r="D1002" s="5" t="s">
        <v>38</v>
      </c>
      <c r="F1002" s="164">
        <v>225.22</v>
      </c>
      <c r="G1002" s="2" t="s">
        <v>39</v>
      </c>
      <c r="H1002" s="162">
        <v>66.459183673469397</v>
      </c>
      <c r="I1002" s="19" t="s">
        <v>40</v>
      </c>
      <c r="J1002" s="162">
        <v>-0.43682805555555149</v>
      </c>
      <c r="K1002" s="62" t="s">
        <v>44</v>
      </c>
      <c r="L1002" s="101" t="s">
        <v>188</v>
      </c>
      <c r="M1002" s="5">
        <v>0.57999999999999996</v>
      </c>
      <c r="N1002" s="59">
        <v>7.4974332000000015</v>
      </c>
      <c r="O1002" s="59">
        <v>-0.88126399999999983</v>
      </c>
      <c r="BU1002" s="61"/>
    </row>
    <row r="1003" spans="1:73" x14ac:dyDescent="0.35">
      <c r="A1003" s="7" t="s">
        <v>1379</v>
      </c>
      <c r="B1003" s="7" t="s">
        <v>1382</v>
      </c>
      <c r="C1003" s="5"/>
      <c r="D1003" s="5"/>
      <c r="F1003" s="164"/>
      <c r="H1003" s="162"/>
      <c r="I1003" s="19"/>
      <c r="J1003" s="162"/>
      <c r="K1003" s="62"/>
      <c r="L1003" s="101"/>
      <c r="N1003" s="59"/>
      <c r="O1003" s="59"/>
      <c r="BU1003" s="61"/>
    </row>
    <row r="1004" spans="1:73" x14ac:dyDescent="0.35">
      <c r="A1004" s="7" t="s">
        <v>1379</v>
      </c>
      <c r="B1004" s="7" t="s">
        <v>1382</v>
      </c>
      <c r="C1004" s="5" t="s">
        <v>41</v>
      </c>
      <c r="D1004" s="5" t="s">
        <v>42</v>
      </c>
      <c r="F1004">
        <v>-0.03</v>
      </c>
      <c r="G1004" s="8" t="s">
        <v>904</v>
      </c>
      <c r="H1004" s="165">
        <v>66.042994999999991</v>
      </c>
      <c r="I1004" s="19" t="s">
        <v>27</v>
      </c>
      <c r="J1004" s="165">
        <v>-2.9949999999843158E-3</v>
      </c>
      <c r="K1004" s="62" t="s">
        <v>44</v>
      </c>
      <c r="L1004" s="166" t="s">
        <v>905</v>
      </c>
      <c r="M1004" s="152">
        <v>-1.513225</v>
      </c>
      <c r="N1004" s="59">
        <v>17.693281337018753</v>
      </c>
      <c r="O1004" s="59">
        <v>2.55057281686957</v>
      </c>
      <c r="BU1004" s="61"/>
    </row>
    <row r="1005" spans="1:73" x14ac:dyDescent="0.35">
      <c r="A1005" s="7" t="s">
        <v>1379</v>
      </c>
      <c r="B1005" s="7" t="s">
        <v>1382</v>
      </c>
      <c r="C1005" s="5" t="s">
        <v>41</v>
      </c>
      <c r="D1005" s="5" t="s">
        <v>42</v>
      </c>
      <c r="F1005">
        <v>-7.0000000000000007E-2</v>
      </c>
      <c r="G1005" s="8" t="s">
        <v>904</v>
      </c>
      <c r="H1005" s="165">
        <v>66.049206999999996</v>
      </c>
      <c r="I1005" s="19" t="s">
        <v>27</v>
      </c>
      <c r="J1005" s="165">
        <v>-9.2069999999893071E-3</v>
      </c>
      <c r="K1005" s="62" t="s">
        <v>44</v>
      </c>
      <c r="L1005" s="101" t="s">
        <v>905</v>
      </c>
      <c r="M1005" s="152">
        <v>-1.65015522628101</v>
      </c>
      <c r="N1005" s="59">
        <v>18.314027324450315</v>
      </c>
      <c r="O1005" s="59">
        <v>3.1713188043011318</v>
      </c>
      <c r="BU1005" s="61"/>
    </row>
    <row r="1006" spans="1:73" x14ac:dyDescent="0.35">
      <c r="A1006" s="7" t="s">
        <v>1379</v>
      </c>
      <c r="B1006" s="7" t="s">
        <v>1382</v>
      </c>
      <c r="C1006" s="5" t="s">
        <v>41</v>
      </c>
      <c r="D1006" s="5" t="s">
        <v>42</v>
      </c>
      <c r="F1006">
        <v>-0.08</v>
      </c>
      <c r="G1006" s="8" t="s">
        <v>904</v>
      </c>
      <c r="H1006" s="165">
        <v>66.050759999999997</v>
      </c>
      <c r="I1006" s="19" t="s">
        <v>27</v>
      </c>
      <c r="J1006" s="165">
        <v>-1.0759999999990555E-2</v>
      </c>
      <c r="K1006" s="62" t="s">
        <v>44</v>
      </c>
      <c r="L1006" s="101" t="s">
        <v>905</v>
      </c>
      <c r="M1006" s="152">
        <v>-1.1624821003773</v>
      </c>
      <c r="N1006" s="59">
        <v>16.108389493325539</v>
      </c>
      <c r="O1006" s="59">
        <v>0.96568097317635626</v>
      </c>
      <c r="BU1006" s="61"/>
    </row>
    <row r="1007" spans="1:73" x14ac:dyDescent="0.35">
      <c r="A1007" s="7" t="s">
        <v>1379</v>
      </c>
      <c r="B1007" s="7" t="s">
        <v>1382</v>
      </c>
      <c r="C1007" s="5" t="s">
        <v>41</v>
      </c>
      <c r="D1007" s="5" t="s">
        <v>42</v>
      </c>
      <c r="F1007">
        <v>-0.1</v>
      </c>
      <c r="G1007" s="8" t="s">
        <v>904</v>
      </c>
      <c r="H1007" s="165">
        <v>66.053865999999999</v>
      </c>
      <c r="I1007" s="19" t="s">
        <v>27</v>
      </c>
      <c r="J1007" s="165">
        <v>-1.3865999999993051E-2</v>
      </c>
      <c r="K1007" s="62" t="s">
        <v>44</v>
      </c>
      <c r="L1007" s="101" t="s">
        <v>905</v>
      </c>
      <c r="M1007" s="152">
        <v>-0.99654479403410801</v>
      </c>
      <c r="N1007" s="59">
        <v>15.361145459636482</v>
      </c>
      <c r="O1007" s="59">
        <v>0.21843693948729914</v>
      </c>
      <c r="BU1007" s="61"/>
    </row>
    <row r="1008" spans="1:73" x14ac:dyDescent="0.35">
      <c r="A1008" s="7" t="s">
        <v>1379</v>
      </c>
      <c r="B1008" s="7" t="s">
        <v>1382</v>
      </c>
      <c r="C1008" s="5" t="s">
        <v>41</v>
      </c>
      <c r="D1008" s="5" t="s">
        <v>42</v>
      </c>
      <c r="F1008">
        <v>-0.12</v>
      </c>
      <c r="G1008" s="8" t="s">
        <v>904</v>
      </c>
      <c r="H1008" s="165">
        <v>66.056972000000002</v>
      </c>
      <c r="I1008" s="19" t="s">
        <v>27</v>
      </c>
      <c r="J1008" s="165">
        <v>-1.6971999999995546E-2</v>
      </c>
      <c r="K1008" s="62" t="s">
        <v>44</v>
      </c>
      <c r="L1008" s="101" t="s">
        <v>905</v>
      </c>
      <c r="M1008" s="152">
        <v>-1.16943323805814</v>
      </c>
      <c r="N1008" s="59">
        <v>16.139727706745507</v>
      </c>
      <c r="O1008" s="59">
        <v>0.99701918659632405</v>
      </c>
      <c r="BU1008" s="61"/>
    </row>
    <row r="1009" spans="1:73" x14ac:dyDescent="0.35">
      <c r="A1009" s="7" t="s">
        <v>1379</v>
      </c>
      <c r="B1009" s="7" t="s">
        <v>1382</v>
      </c>
      <c r="C1009" s="5" t="s">
        <v>41</v>
      </c>
      <c r="D1009" s="5" t="s">
        <v>42</v>
      </c>
      <c r="F1009">
        <v>-0.14000000000000001</v>
      </c>
      <c r="G1009" s="8" t="s">
        <v>904</v>
      </c>
      <c r="H1009" s="165">
        <v>66.06007799999999</v>
      </c>
      <c r="I1009" s="19" t="s">
        <v>27</v>
      </c>
      <c r="J1009" s="165">
        <v>-2.0077999999983831E-2</v>
      </c>
      <c r="K1009" s="62" t="s">
        <v>44</v>
      </c>
      <c r="L1009" s="101" t="s">
        <v>905</v>
      </c>
      <c r="M1009" s="152">
        <v>-1.05606427119232</v>
      </c>
      <c r="N1009" s="59">
        <v>15.628981813606664</v>
      </c>
      <c r="O1009" s="59">
        <v>0.48627329345748116</v>
      </c>
      <c r="BU1009" s="61"/>
    </row>
    <row r="1010" spans="1:73" x14ac:dyDescent="0.35">
      <c r="A1010" s="7" t="s">
        <v>1379</v>
      </c>
      <c r="B1010" s="7" t="s">
        <v>1382</v>
      </c>
      <c r="C1010" s="5" t="s">
        <v>41</v>
      </c>
      <c r="D1010" s="5" t="s">
        <v>42</v>
      </c>
      <c r="F1010">
        <v>-0.16</v>
      </c>
      <c r="G1010" s="8" t="s">
        <v>904</v>
      </c>
      <c r="H1010" s="165">
        <v>66.063184000000007</v>
      </c>
      <c r="I1010" s="19" t="s">
        <v>27</v>
      </c>
      <c r="J1010" s="165">
        <v>-2.3184000000000538E-2</v>
      </c>
      <c r="K1010" s="62" t="s">
        <v>44</v>
      </c>
      <c r="L1010" s="101" t="s">
        <v>408</v>
      </c>
      <c r="M1010" s="152">
        <v>-0.94796801091778105</v>
      </c>
      <c r="N1010" s="59">
        <v>15.142708520149183</v>
      </c>
      <c r="O1010" s="59">
        <v>0</v>
      </c>
      <c r="BU1010" s="61"/>
    </row>
    <row r="1011" spans="1:73" x14ac:dyDescent="0.35">
      <c r="A1011" s="7" t="s">
        <v>1379</v>
      </c>
      <c r="B1011" s="7" t="s">
        <v>1382</v>
      </c>
      <c r="C1011" s="5" t="s">
        <v>41</v>
      </c>
      <c r="D1011" s="5" t="s">
        <v>42</v>
      </c>
      <c r="F1011">
        <v>-0.18</v>
      </c>
      <c r="G1011" s="8" t="s">
        <v>904</v>
      </c>
      <c r="H1011" s="165">
        <v>66.066289999999995</v>
      </c>
      <c r="I1011" s="19" t="s">
        <v>27</v>
      </c>
      <c r="J1011" s="165">
        <v>-2.6289999999988822E-2</v>
      </c>
      <c r="K1011" s="62" t="s">
        <v>44</v>
      </c>
      <c r="L1011" s="101" t="s">
        <v>408</v>
      </c>
      <c r="M1011" s="152">
        <v>-1.26447460849836</v>
      </c>
      <c r="N1011" s="59">
        <v>16.568498983425236</v>
      </c>
      <c r="O1011" s="59">
        <v>1.4257904632760532</v>
      </c>
      <c r="BU1011" s="61"/>
    </row>
    <row r="1012" spans="1:73" x14ac:dyDescent="0.35">
      <c r="A1012" s="7" t="s">
        <v>1379</v>
      </c>
      <c r="B1012" s="7" t="s">
        <v>1382</v>
      </c>
      <c r="C1012" s="5" t="s">
        <v>41</v>
      </c>
      <c r="D1012" s="5" t="s">
        <v>42</v>
      </c>
      <c r="F1012">
        <v>-0.25</v>
      </c>
      <c r="G1012" s="8" t="s">
        <v>904</v>
      </c>
      <c r="H1012" s="165">
        <v>66.077161000000004</v>
      </c>
      <c r="I1012" s="19" t="s">
        <v>27</v>
      </c>
      <c r="J1012" s="165">
        <v>-3.7160999999997557E-2</v>
      </c>
      <c r="K1012" s="62" t="s">
        <v>44</v>
      </c>
      <c r="L1012" s="101" t="s">
        <v>408</v>
      </c>
      <c r="M1012" s="152">
        <v>-1.3100016650483499</v>
      </c>
      <c r="N1012" s="59">
        <v>16.77408252102348</v>
      </c>
      <c r="O1012" s="59">
        <v>1.6313740008742972</v>
      </c>
      <c r="BU1012" s="61"/>
    </row>
    <row r="1013" spans="1:73" x14ac:dyDescent="0.35">
      <c r="A1013" s="7" t="s">
        <v>1379</v>
      </c>
      <c r="B1013" s="7" t="s">
        <v>1382</v>
      </c>
      <c r="C1013" s="5" t="s">
        <v>41</v>
      </c>
      <c r="D1013" s="5" t="s">
        <v>42</v>
      </c>
      <c r="F1013">
        <v>-0.32</v>
      </c>
      <c r="G1013" s="8" t="s">
        <v>904</v>
      </c>
      <c r="H1013" s="165">
        <v>66.088031999999998</v>
      </c>
      <c r="I1013" s="19" t="s">
        <v>27</v>
      </c>
      <c r="J1013" s="165">
        <v>-4.8031999999992081E-2</v>
      </c>
      <c r="K1013" s="62" t="s">
        <v>44</v>
      </c>
      <c r="L1013" s="101" t="s">
        <v>408</v>
      </c>
      <c r="M1013" s="152">
        <v>-1.2716007467974499</v>
      </c>
      <c r="N1013" s="59">
        <v>16.600669808363481</v>
      </c>
      <c r="O1013" s="59">
        <v>1.4579612882142978</v>
      </c>
      <c r="BU1013" s="61"/>
    </row>
    <row r="1014" spans="1:73" x14ac:dyDescent="0.35">
      <c r="A1014" s="7" t="s">
        <v>1379</v>
      </c>
      <c r="B1014" s="7" t="s">
        <v>1382</v>
      </c>
      <c r="C1014" s="5" t="s">
        <v>41</v>
      </c>
      <c r="D1014" s="5" t="s">
        <v>42</v>
      </c>
      <c r="F1014">
        <v>-0.36</v>
      </c>
      <c r="G1014" s="8" t="s">
        <v>904</v>
      </c>
      <c r="H1014" s="165">
        <v>66.094244000000003</v>
      </c>
      <c r="I1014" s="19" t="s">
        <v>27</v>
      </c>
      <c r="J1014" s="165">
        <v>-5.4243999999997072E-2</v>
      </c>
      <c r="K1014" s="62" t="s">
        <v>44</v>
      </c>
      <c r="L1014" s="101" t="s">
        <v>408</v>
      </c>
      <c r="M1014" s="152">
        <v>-1.27308470332212</v>
      </c>
      <c r="N1014" s="59">
        <v>16.607369487079882</v>
      </c>
      <c r="O1014" s="59">
        <v>1.4646609669306994</v>
      </c>
      <c r="BU1014" s="61"/>
    </row>
    <row r="1015" spans="1:73" x14ac:dyDescent="0.35">
      <c r="A1015" s="7" t="s">
        <v>1379</v>
      </c>
      <c r="B1015" s="7" t="s">
        <v>1382</v>
      </c>
      <c r="C1015" s="5" t="s">
        <v>41</v>
      </c>
      <c r="D1015" s="5" t="s">
        <v>42</v>
      </c>
      <c r="F1015">
        <v>-0.39</v>
      </c>
      <c r="G1015" s="8" t="s">
        <v>904</v>
      </c>
      <c r="H1015" s="165">
        <v>66.098902999999993</v>
      </c>
      <c r="I1015" s="19" t="s">
        <v>27</v>
      </c>
      <c r="J1015" s="165">
        <v>-5.8902999999986605E-2</v>
      </c>
      <c r="K1015" s="62" t="s">
        <v>44</v>
      </c>
      <c r="L1015" s="101" t="s">
        <v>408</v>
      </c>
      <c r="M1015" s="152">
        <v>-1.03267298748666</v>
      </c>
      <c r="N1015" s="59">
        <v>15.523696192633333</v>
      </c>
      <c r="O1015" s="59">
        <v>0.38098767248414944</v>
      </c>
      <c r="BU1015" s="61"/>
    </row>
    <row r="1016" spans="1:73" x14ac:dyDescent="0.35">
      <c r="A1016" s="7" t="s">
        <v>1379</v>
      </c>
      <c r="B1016" s="7" t="s">
        <v>1382</v>
      </c>
      <c r="C1016" s="5" t="s">
        <v>41</v>
      </c>
      <c r="D1016" s="5" t="s">
        <v>42</v>
      </c>
      <c r="F1016">
        <v>-0.42</v>
      </c>
      <c r="G1016" s="8" t="s">
        <v>904</v>
      </c>
      <c r="H1016" s="165">
        <v>66.103561999999997</v>
      </c>
      <c r="I1016" s="19" t="s">
        <v>27</v>
      </c>
      <c r="J1016" s="165">
        <v>-6.3561999999990348E-2</v>
      </c>
      <c r="K1016" s="62" t="s">
        <v>44</v>
      </c>
      <c r="L1016" s="101" t="s">
        <v>408</v>
      </c>
      <c r="M1016" s="152">
        <v>-1.35891816976042</v>
      </c>
      <c r="N1016" s="59">
        <v>16.9951101624278</v>
      </c>
      <c r="O1016" s="59">
        <v>1.8524016422786165</v>
      </c>
      <c r="BU1016" s="61"/>
    </row>
    <row r="1017" spans="1:73" x14ac:dyDescent="0.35">
      <c r="A1017" s="7" t="s">
        <v>1379</v>
      </c>
      <c r="B1017" s="7" t="s">
        <v>1382</v>
      </c>
      <c r="C1017" s="5" t="s">
        <v>41</v>
      </c>
      <c r="D1017" s="5" t="s">
        <v>42</v>
      </c>
      <c r="F1017">
        <v>-0.49</v>
      </c>
      <c r="G1017" s="8" t="s">
        <v>904</v>
      </c>
      <c r="H1017" s="165">
        <v>66.114433000000005</v>
      </c>
      <c r="I1017" s="19" t="s">
        <v>27</v>
      </c>
      <c r="J1017" s="165">
        <v>-7.4432999999999083E-2</v>
      </c>
      <c r="K1017" s="62" t="s">
        <v>44</v>
      </c>
      <c r="L1017" s="101" t="s">
        <v>408</v>
      </c>
      <c r="M1017" s="152">
        <v>-1.0308600000000001</v>
      </c>
      <c r="N1017" s="59">
        <v>15.515537194188003</v>
      </c>
      <c r="O1017" s="59">
        <v>0.37282867403881959</v>
      </c>
      <c r="BU1017" s="61"/>
    </row>
    <row r="1018" spans="1:73" x14ac:dyDescent="0.35">
      <c r="A1018" s="7" t="s">
        <v>1379</v>
      </c>
      <c r="B1018" s="7" t="s">
        <v>1382</v>
      </c>
      <c r="C1018" s="5" t="s">
        <v>41</v>
      </c>
      <c r="D1018" s="5" t="s">
        <v>42</v>
      </c>
      <c r="F1018">
        <v>-0.56000000000000005</v>
      </c>
      <c r="G1018" s="8" t="s">
        <v>904</v>
      </c>
      <c r="H1018" s="165">
        <v>66.125304</v>
      </c>
      <c r="I1018" s="19" t="s">
        <v>27</v>
      </c>
      <c r="J1018" s="165">
        <v>-8.5303999999993607E-2</v>
      </c>
      <c r="K1018" s="62" t="s">
        <v>44</v>
      </c>
      <c r="L1018" s="101" t="s">
        <v>408</v>
      </c>
      <c r="M1018" s="152">
        <v>-1.1518557087221</v>
      </c>
      <c r="N1018" s="59">
        <v>16.060487524803644</v>
      </c>
      <c r="O1018" s="59">
        <v>0.91777900465446116</v>
      </c>
      <c r="BU1018" s="61"/>
    </row>
    <row r="1019" spans="1:73" x14ac:dyDescent="0.35">
      <c r="A1019" s="7" t="s">
        <v>1379</v>
      </c>
      <c r="B1019" s="7" t="s">
        <v>1382</v>
      </c>
      <c r="C1019" s="5" t="s">
        <v>41</v>
      </c>
      <c r="D1019" s="5" t="s">
        <v>42</v>
      </c>
      <c r="F1019">
        <v>-0.62</v>
      </c>
      <c r="G1019" s="8" t="s">
        <v>904</v>
      </c>
      <c r="H1019" s="165">
        <v>66.134621999999993</v>
      </c>
      <c r="I1019" s="19" t="s">
        <v>27</v>
      </c>
      <c r="J1019" s="165">
        <v>-9.4621999999986883E-2</v>
      </c>
      <c r="K1019" s="62" t="s">
        <v>44</v>
      </c>
      <c r="L1019" s="101" t="s">
        <v>408</v>
      </c>
      <c r="M1019" s="152">
        <v>-1.1106918503452301</v>
      </c>
      <c r="N1019" s="59">
        <v>15.87499180016497</v>
      </c>
      <c r="O1019" s="59">
        <v>0.73228328001578724</v>
      </c>
      <c r="BU1019" s="61"/>
    </row>
    <row r="1020" spans="1:73" x14ac:dyDescent="0.35">
      <c r="A1020" s="7" t="s">
        <v>1379</v>
      </c>
      <c r="B1020" s="7" t="s">
        <v>1382</v>
      </c>
      <c r="C1020" s="5" t="s">
        <v>41</v>
      </c>
      <c r="D1020" s="5" t="s">
        <v>42</v>
      </c>
      <c r="F1020">
        <v>-0.7</v>
      </c>
      <c r="G1020" s="8" t="s">
        <v>904</v>
      </c>
      <c r="H1020" s="165">
        <v>66.147045999999989</v>
      </c>
      <c r="I1020" s="19" t="s">
        <v>27</v>
      </c>
      <c r="J1020" s="165">
        <v>-0.10704599999998266</v>
      </c>
      <c r="K1020" s="62" t="s">
        <v>44</v>
      </c>
      <c r="L1020" s="101" t="s">
        <v>408</v>
      </c>
      <c r="M1020" s="152">
        <v>-1.2044997099795101</v>
      </c>
      <c r="N1020" s="59">
        <v>16.297864099313284</v>
      </c>
      <c r="O1020" s="59">
        <v>1.1551555791641004</v>
      </c>
      <c r="BU1020" s="61"/>
    </row>
    <row r="1021" spans="1:73" x14ac:dyDescent="0.35">
      <c r="A1021" s="7" t="s">
        <v>1379</v>
      </c>
      <c r="B1021" s="7" t="s">
        <v>1382</v>
      </c>
      <c r="C1021" s="5" t="s">
        <v>41</v>
      </c>
      <c r="D1021" s="5" t="s">
        <v>42</v>
      </c>
      <c r="F1021">
        <v>-0.75</v>
      </c>
      <c r="G1021" s="8" t="s">
        <v>904</v>
      </c>
      <c r="H1021" s="165">
        <v>66.154810999999995</v>
      </c>
      <c r="I1021" s="19" t="s">
        <v>27</v>
      </c>
      <c r="J1021" s="165">
        <v>-0.11481099999998889</v>
      </c>
      <c r="K1021" s="62" t="s">
        <v>44</v>
      </c>
      <c r="L1021" s="101" t="s">
        <v>408</v>
      </c>
      <c r="M1021" s="152">
        <v>-1.21349588121123</v>
      </c>
      <c r="N1021" s="59">
        <v>16.338445286779425</v>
      </c>
      <c r="O1021" s="59">
        <v>1.1957367666302421</v>
      </c>
      <c r="BU1021" s="61"/>
    </row>
    <row r="1022" spans="1:73" x14ac:dyDescent="0.35">
      <c r="A1022" s="7" t="s">
        <v>1379</v>
      </c>
      <c r="B1022" s="7" t="s">
        <v>1382</v>
      </c>
      <c r="C1022" s="5" t="s">
        <v>41</v>
      </c>
      <c r="D1022" s="5" t="s">
        <v>42</v>
      </c>
      <c r="F1022">
        <v>-0.82</v>
      </c>
      <c r="G1022" s="8" t="s">
        <v>904</v>
      </c>
      <c r="H1022" s="165">
        <v>66.16568199999999</v>
      </c>
      <c r="I1022" s="19" t="s">
        <v>27</v>
      </c>
      <c r="J1022" s="165">
        <v>-0.12568199999998342</v>
      </c>
      <c r="K1022" s="62" t="s">
        <v>44</v>
      </c>
      <c r="L1022" s="101" t="s">
        <v>408</v>
      </c>
      <c r="M1022" s="152">
        <v>-1.02912857327797</v>
      </c>
      <c r="N1022" s="59">
        <v>15.507745428247059</v>
      </c>
      <c r="O1022" s="59">
        <v>0.36503690809787592</v>
      </c>
      <c r="BU1022" s="61"/>
    </row>
    <row r="1023" spans="1:73" x14ac:dyDescent="0.35">
      <c r="A1023" s="7" t="s">
        <v>1379</v>
      </c>
      <c r="B1023" s="7" t="s">
        <v>1382</v>
      </c>
      <c r="C1023" s="5" t="s">
        <v>41</v>
      </c>
      <c r="D1023" s="5" t="s">
        <v>42</v>
      </c>
      <c r="F1023">
        <v>-0.89</v>
      </c>
      <c r="G1023" s="8" t="s">
        <v>904</v>
      </c>
      <c r="H1023" s="165">
        <v>66.176552999999998</v>
      </c>
      <c r="I1023" s="19" t="s">
        <v>27</v>
      </c>
      <c r="J1023" s="165">
        <v>-0.13655299999999215</v>
      </c>
      <c r="K1023" s="62" t="s">
        <v>44</v>
      </c>
      <c r="L1023" s="101" t="s">
        <v>408</v>
      </c>
      <c r="M1023" s="152">
        <v>-1.01942860578547</v>
      </c>
      <c r="N1023" s="59">
        <v>15.464096964387043</v>
      </c>
      <c r="O1023" s="59">
        <v>0.32138844423785962</v>
      </c>
      <c r="BU1023" s="61"/>
    </row>
    <row r="1024" spans="1:73" x14ac:dyDescent="0.35">
      <c r="A1024" s="7" t="s">
        <v>1379</v>
      </c>
      <c r="B1024" s="7" t="s">
        <v>1382</v>
      </c>
      <c r="C1024" s="5" t="s">
        <v>41</v>
      </c>
      <c r="D1024" s="5" t="s">
        <v>42</v>
      </c>
      <c r="F1024">
        <v>-0.97</v>
      </c>
      <c r="G1024" s="8" t="s">
        <v>904</v>
      </c>
      <c r="H1024" s="165">
        <v>66.188977000000008</v>
      </c>
      <c r="I1024" s="19" t="s">
        <v>27</v>
      </c>
      <c r="J1024" s="165">
        <v>-0.14897700000000214</v>
      </c>
      <c r="K1024" s="62" t="s">
        <v>44</v>
      </c>
      <c r="L1024" s="101" t="s">
        <v>408</v>
      </c>
      <c r="M1024" s="152">
        <v>-1.2264640361546699</v>
      </c>
      <c r="N1024" s="59">
        <v>16.396952399028315</v>
      </c>
      <c r="O1024" s="59">
        <v>1.2542438788791319</v>
      </c>
      <c r="BU1024" s="61"/>
    </row>
    <row r="1025" spans="1:73" x14ac:dyDescent="0.35">
      <c r="A1025" s="7" t="s">
        <v>1379</v>
      </c>
      <c r="B1025" s="7" t="s">
        <v>1382</v>
      </c>
      <c r="C1025" s="5" t="s">
        <v>41</v>
      </c>
      <c r="D1025" s="5" t="s">
        <v>42</v>
      </c>
      <c r="F1025">
        <v>-0.99</v>
      </c>
      <c r="G1025" s="8" t="s">
        <v>904</v>
      </c>
      <c r="H1025" s="165">
        <v>66.192082999999997</v>
      </c>
      <c r="I1025" s="19" t="s">
        <v>27</v>
      </c>
      <c r="J1025" s="165">
        <v>-0.15208299999999042</v>
      </c>
      <c r="K1025" s="62" t="s">
        <v>44</v>
      </c>
      <c r="L1025" s="101" t="s">
        <v>408</v>
      </c>
      <c r="M1025" s="152">
        <v>-1.2601500000000001</v>
      </c>
      <c r="N1025" s="59">
        <v>16.548977100675003</v>
      </c>
      <c r="O1025" s="59">
        <v>1.4062685805258202</v>
      </c>
      <c r="BU1025" s="61"/>
    </row>
    <row r="1026" spans="1:73" x14ac:dyDescent="0.35">
      <c r="A1026" s="7" t="s">
        <v>1379</v>
      </c>
      <c r="B1026" s="7" t="s">
        <v>1382</v>
      </c>
      <c r="C1026" s="5" t="s">
        <v>41</v>
      </c>
      <c r="D1026" s="5" t="s">
        <v>42</v>
      </c>
      <c r="F1026">
        <v>-1.1299999999999999</v>
      </c>
      <c r="G1026" s="8" t="s">
        <v>904</v>
      </c>
      <c r="H1026" s="165">
        <v>66.213825</v>
      </c>
      <c r="I1026" s="19" t="s">
        <v>27</v>
      </c>
      <c r="J1026" s="165">
        <v>-0.17382499999999368</v>
      </c>
      <c r="K1026" s="62" t="s">
        <v>44</v>
      </c>
      <c r="L1026" s="101" t="s">
        <v>408</v>
      </c>
      <c r="M1026" s="152">
        <v>-1.3849263568810799</v>
      </c>
      <c r="N1026" s="59">
        <v>17.112685772800504</v>
      </c>
      <c r="O1026" s="59">
        <v>1.9699772526513204</v>
      </c>
      <c r="BU1026" s="61"/>
    </row>
    <row r="1027" spans="1:73" x14ac:dyDescent="0.35">
      <c r="A1027" s="7" t="s">
        <v>1379</v>
      </c>
      <c r="B1027" s="7" t="s">
        <v>1382</v>
      </c>
      <c r="C1027" s="5" t="s">
        <v>41</v>
      </c>
      <c r="D1027" s="5" t="s">
        <v>42</v>
      </c>
      <c r="F1027">
        <v>-1.26</v>
      </c>
      <c r="G1027" s="8" t="s">
        <v>904</v>
      </c>
      <c r="H1027" s="165">
        <v>66.234014000000002</v>
      </c>
      <c r="I1027" s="19" t="s">
        <v>27</v>
      </c>
      <c r="J1027" s="165">
        <v>-0.19401399999999569</v>
      </c>
      <c r="K1027" s="62" t="s">
        <v>44</v>
      </c>
      <c r="L1027" s="101" t="s">
        <v>408</v>
      </c>
      <c r="M1027" s="152">
        <v>-1.27349655371255</v>
      </c>
      <c r="N1027" s="59">
        <v>16.609228908167317</v>
      </c>
      <c r="O1027" s="59">
        <v>1.4665203880181341</v>
      </c>
      <c r="BU1027" s="61"/>
    </row>
    <row r="1028" spans="1:73" x14ac:dyDescent="0.35">
      <c r="A1028" s="7" t="s">
        <v>1379</v>
      </c>
      <c r="B1028" s="7" t="s">
        <v>1382</v>
      </c>
      <c r="C1028" s="5" t="s">
        <v>41</v>
      </c>
      <c r="D1028" s="5" t="s">
        <v>42</v>
      </c>
      <c r="F1028">
        <v>-1.42</v>
      </c>
      <c r="G1028" s="8" t="s">
        <v>904</v>
      </c>
      <c r="H1028" s="165">
        <v>66.258861999999993</v>
      </c>
      <c r="I1028" s="19" t="s">
        <v>27</v>
      </c>
      <c r="J1028" s="165">
        <v>-0.21886199999998723</v>
      </c>
      <c r="K1028" s="62" t="s">
        <v>44</v>
      </c>
      <c r="L1028" s="101" t="s">
        <v>408</v>
      </c>
      <c r="M1028" s="152">
        <v>-1.55094188030541</v>
      </c>
      <c r="N1028" s="59">
        <v>17.864151063030093</v>
      </c>
      <c r="O1028" s="59">
        <v>2.7214425428809097</v>
      </c>
      <c r="BU1028" s="61"/>
    </row>
    <row r="1029" spans="1:73" x14ac:dyDescent="0.35">
      <c r="A1029" s="7" t="s">
        <v>1379</v>
      </c>
      <c r="B1029" s="7" t="s">
        <v>1382</v>
      </c>
      <c r="C1029" s="5" t="s">
        <v>41</v>
      </c>
      <c r="D1029" s="5" t="s">
        <v>42</v>
      </c>
      <c r="F1029">
        <v>-1.89</v>
      </c>
      <c r="G1029" s="8" t="s">
        <v>904</v>
      </c>
      <c r="H1029" s="165">
        <v>66.331852999999995</v>
      </c>
      <c r="I1029" s="19" t="s">
        <v>27</v>
      </c>
      <c r="J1029" s="165">
        <v>-0.29185299999998904</v>
      </c>
      <c r="K1029" s="62" t="s">
        <v>44</v>
      </c>
      <c r="L1029" s="101" t="s">
        <v>408</v>
      </c>
      <c r="M1029" s="152">
        <v>-0.72467811295370199</v>
      </c>
      <c r="N1029" s="59">
        <v>14.140454087555538</v>
      </c>
      <c r="O1029" s="59">
        <v>-1.0022544325936451</v>
      </c>
      <c r="BU1029" s="61"/>
    </row>
    <row r="1030" spans="1:73" x14ac:dyDescent="0.35">
      <c r="A1030" s="7" t="s">
        <v>1379</v>
      </c>
      <c r="B1030" s="7" t="s">
        <v>1382</v>
      </c>
      <c r="C1030" s="5" t="s">
        <v>41</v>
      </c>
      <c r="D1030" s="5" t="s">
        <v>42</v>
      </c>
      <c r="F1030">
        <v>-2.04</v>
      </c>
      <c r="G1030" s="8" t="s">
        <v>904</v>
      </c>
      <c r="H1030" s="165">
        <v>66.355148</v>
      </c>
      <c r="I1030" s="19" t="s">
        <v>27</v>
      </c>
      <c r="J1030" s="165">
        <v>-0.31514799999999354</v>
      </c>
      <c r="K1030" s="62" t="s">
        <v>44</v>
      </c>
      <c r="L1030" s="101" t="s">
        <v>408</v>
      </c>
      <c r="M1030" s="152">
        <v>-0.80365756360319496</v>
      </c>
      <c r="N1030" s="59">
        <v>14.494617694682521</v>
      </c>
      <c r="O1030" s="59">
        <v>-0.64809082546666197</v>
      </c>
      <c r="BU1030" s="61"/>
    </row>
    <row r="1031" spans="1:73" x14ac:dyDescent="0.35">
      <c r="A1031" s="7" t="s">
        <v>1379</v>
      </c>
      <c r="B1031" s="7" t="s">
        <v>1382</v>
      </c>
      <c r="C1031" s="5" t="s">
        <v>41</v>
      </c>
      <c r="D1031" s="5" t="s">
        <v>42</v>
      </c>
      <c r="F1031">
        <v>-2.19</v>
      </c>
      <c r="G1031" s="8" t="s">
        <v>904</v>
      </c>
      <c r="H1031" s="165">
        <v>66.37844299999999</v>
      </c>
      <c r="I1031" s="19" t="s">
        <v>27</v>
      </c>
      <c r="J1031" s="165">
        <v>-0.33844299999998384</v>
      </c>
      <c r="K1031" s="62" t="s">
        <v>44</v>
      </c>
      <c r="L1031" s="101" t="s">
        <v>408</v>
      </c>
      <c r="M1031" s="152">
        <v>-0.816004843590592</v>
      </c>
      <c r="N1031" s="59">
        <v>14.550019814935386</v>
      </c>
      <c r="O1031" s="59">
        <v>-0.59268870521379746</v>
      </c>
      <c r="BU1031" s="61"/>
    </row>
    <row r="1032" spans="1:73" x14ac:dyDescent="0.35">
      <c r="A1032" s="7" t="s">
        <v>1379</v>
      </c>
      <c r="B1032" s="7" t="s">
        <v>1382</v>
      </c>
      <c r="C1032" s="5" t="s">
        <v>41</v>
      </c>
      <c r="D1032" s="5" t="s">
        <v>42</v>
      </c>
      <c r="F1032">
        <v>-2.34</v>
      </c>
      <c r="G1032" s="8" t="s">
        <v>904</v>
      </c>
      <c r="H1032" s="165">
        <v>66.401737999999995</v>
      </c>
      <c r="I1032" s="19" t="s">
        <v>27</v>
      </c>
      <c r="J1032" s="165">
        <v>-0.36173799999998835</v>
      </c>
      <c r="K1032" s="62" t="s">
        <v>44</v>
      </c>
      <c r="L1032" s="101" t="s">
        <v>408</v>
      </c>
      <c r="M1032" s="152">
        <v>-0.83684999999999998</v>
      </c>
      <c r="N1032" s="59">
        <v>14.643572577675002</v>
      </c>
      <c r="O1032" s="59">
        <v>-0.49913594247418125</v>
      </c>
      <c r="BU1032" s="61"/>
    </row>
    <row r="1033" spans="1:73" x14ac:dyDescent="0.35">
      <c r="A1033" s="7" t="s">
        <v>1379</v>
      </c>
      <c r="B1033" s="7" t="s">
        <v>1382</v>
      </c>
      <c r="C1033" s="5" t="s">
        <v>41</v>
      </c>
      <c r="D1033" s="5" t="s">
        <v>42</v>
      </c>
      <c r="F1033">
        <v>-2.5</v>
      </c>
      <c r="G1033" s="8" t="s">
        <v>904</v>
      </c>
      <c r="H1033" s="165">
        <v>66.426586</v>
      </c>
      <c r="I1033" s="19" t="s">
        <v>27</v>
      </c>
      <c r="J1033" s="165">
        <v>-0.3865859999999941</v>
      </c>
      <c r="K1033" s="62" t="s">
        <v>44</v>
      </c>
      <c r="L1033" s="101" t="s">
        <v>408</v>
      </c>
      <c r="M1033" s="152">
        <v>-1.0016630790986301</v>
      </c>
      <c r="N1033" s="59">
        <v>15.384169277992243</v>
      </c>
      <c r="O1033" s="59">
        <v>0.24146075784305943</v>
      </c>
      <c r="BU1033" s="61"/>
    </row>
    <row r="1034" spans="1:73" x14ac:dyDescent="0.35">
      <c r="A1034" s="7" t="s">
        <v>1379</v>
      </c>
      <c r="B1034" s="7" t="s">
        <v>1382</v>
      </c>
      <c r="C1034" s="5" t="s">
        <v>41</v>
      </c>
      <c r="D1034" s="5" t="s">
        <v>42</v>
      </c>
      <c r="F1034">
        <v>-2.65</v>
      </c>
      <c r="G1034" s="8" t="s">
        <v>904</v>
      </c>
      <c r="H1034" s="165">
        <v>66.449880999999991</v>
      </c>
      <c r="I1034" s="19" t="s">
        <v>27</v>
      </c>
      <c r="J1034" s="165">
        <v>-0.4098809999999844</v>
      </c>
      <c r="K1034" s="62" t="s">
        <v>44</v>
      </c>
      <c r="L1034" s="101" t="s">
        <v>408</v>
      </c>
      <c r="M1034" s="152">
        <v>-0.76403115479564998</v>
      </c>
      <c r="N1034" s="59">
        <v>14.316876185609967</v>
      </c>
      <c r="O1034" s="59">
        <v>-0.82583233453921601</v>
      </c>
      <c r="BU1034" s="61"/>
    </row>
    <row r="1035" spans="1:73" x14ac:dyDescent="0.35">
      <c r="A1035" s="7" t="s">
        <v>1379</v>
      </c>
      <c r="B1035" s="7" t="s">
        <v>1382</v>
      </c>
      <c r="C1035" s="5" t="s">
        <v>41</v>
      </c>
      <c r="D1035" s="5" t="s">
        <v>42</v>
      </c>
      <c r="F1035">
        <v>-2.8</v>
      </c>
      <c r="G1035" s="8" t="s">
        <v>904</v>
      </c>
      <c r="H1035" s="165">
        <v>66.473175999999995</v>
      </c>
      <c r="I1035" s="19" t="s">
        <v>27</v>
      </c>
      <c r="J1035" s="165">
        <v>-0.4331759999999889</v>
      </c>
      <c r="K1035" s="62" t="s">
        <v>44</v>
      </c>
      <c r="L1035" s="101" t="s">
        <v>408</v>
      </c>
      <c r="M1035" s="152">
        <v>-0.73323838111912498</v>
      </c>
      <c r="N1035" s="59">
        <v>14.178822386465512</v>
      </c>
      <c r="O1035" s="59">
        <v>-0.96388613368367082</v>
      </c>
      <c r="BU1035" s="61"/>
    </row>
    <row r="1036" spans="1:73" x14ac:dyDescent="0.35">
      <c r="A1036" s="7" t="s">
        <v>1379</v>
      </c>
      <c r="B1036" s="7" t="s">
        <v>1382</v>
      </c>
      <c r="C1036" s="5" t="s">
        <v>41</v>
      </c>
      <c r="D1036" s="5" t="s">
        <v>42</v>
      </c>
      <c r="F1036">
        <v>-2.95</v>
      </c>
      <c r="G1036" s="8" t="s">
        <v>904</v>
      </c>
      <c r="H1036" s="165">
        <v>66.496471</v>
      </c>
      <c r="I1036" s="19" t="s">
        <v>27</v>
      </c>
      <c r="J1036" s="165">
        <v>-0.45647099999999341</v>
      </c>
      <c r="K1036" s="62" t="s">
        <v>44</v>
      </c>
      <c r="L1036" s="101" t="s">
        <v>408</v>
      </c>
      <c r="M1036" s="152">
        <v>-0.80693831225258605</v>
      </c>
      <c r="N1036" s="59">
        <v>14.509337488295312</v>
      </c>
      <c r="O1036" s="59">
        <v>-0.633371031853871</v>
      </c>
      <c r="BU1036" s="61"/>
    </row>
    <row r="1037" spans="1:73" x14ac:dyDescent="0.35">
      <c r="A1037" s="7" t="s">
        <v>1379</v>
      </c>
      <c r="B1037" s="7" t="s">
        <v>1382</v>
      </c>
      <c r="C1037" s="5" t="s">
        <v>41</v>
      </c>
      <c r="D1037" s="5" t="s">
        <v>42</v>
      </c>
      <c r="F1037">
        <v>-3.11</v>
      </c>
      <c r="G1037" s="8" t="s">
        <v>904</v>
      </c>
      <c r="H1037" s="165">
        <v>66.521319000000005</v>
      </c>
      <c r="I1037" s="19" t="s">
        <v>27</v>
      </c>
      <c r="J1037" s="165">
        <v>-0.48131899999999916</v>
      </c>
      <c r="K1037" s="62" t="s">
        <v>44</v>
      </c>
      <c r="L1037" s="101" t="s">
        <v>408</v>
      </c>
      <c r="M1037" s="152">
        <v>-0.68089729163194601</v>
      </c>
      <c r="N1037" s="59">
        <v>13.944291172831782</v>
      </c>
      <c r="O1037" s="59">
        <v>-1.1984173473174007</v>
      </c>
      <c r="BU1037" s="61"/>
    </row>
    <row r="1038" spans="1:73" x14ac:dyDescent="0.35">
      <c r="A1038" s="7" t="s">
        <v>1379</v>
      </c>
      <c r="B1038" s="7" t="s">
        <v>1382</v>
      </c>
      <c r="C1038" s="5" t="s">
        <v>41</v>
      </c>
      <c r="D1038" s="5" t="s">
        <v>42</v>
      </c>
      <c r="F1038">
        <v>-0.16</v>
      </c>
      <c r="G1038" s="8" t="s">
        <v>904</v>
      </c>
      <c r="H1038" s="165">
        <v>66.063184000000007</v>
      </c>
      <c r="I1038" s="19" t="s">
        <v>27</v>
      </c>
      <c r="J1038" s="18">
        <v>-2.3184000000000538E-2</v>
      </c>
      <c r="K1038" s="62" t="s">
        <v>97</v>
      </c>
      <c r="L1038" s="163" t="s">
        <v>906</v>
      </c>
      <c r="M1038" s="152">
        <v>-2.9212250000000002</v>
      </c>
      <c r="N1038" s="59">
        <v>25.516661755018749</v>
      </c>
      <c r="O1038" s="59">
        <v>0</v>
      </c>
      <c r="BU1038" s="61"/>
    </row>
    <row r="1039" spans="1:73" x14ac:dyDescent="0.35">
      <c r="A1039" s="7" t="s">
        <v>1379</v>
      </c>
      <c r="B1039" s="7" t="s">
        <v>1382</v>
      </c>
      <c r="C1039" s="5" t="s">
        <v>41</v>
      </c>
      <c r="D1039" s="5" t="s">
        <v>42</v>
      </c>
      <c r="F1039">
        <v>-0.25</v>
      </c>
      <c r="G1039" s="8" t="s">
        <v>904</v>
      </c>
      <c r="H1039" s="165">
        <v>66.077161000000004</v>
      </c>
      <c r="I1039" s="19" t="s">
        <v>27</v>
      </c>
      <c r="J1039" s="18">
        <v>-3.7160999999997557E-2</v>
      </c>
      <c r="K1039" s="62" t="s">
        <v>97</v>
      </c>
      <c r="L1039" s="163" t="s">
        <v>906</v>
      </c>
      <c r="M1039" s="152">
        <v>-1.85025</v>
      </c>
      <c r="N1039" s="59">
        <v>20.590664851875001</v>
      </c>
      <c r="O1039" s="59">
        <v>-4.9259969031437478</v>
      </c>
      <c r="BU1039" s="61"/>
    </row>
    <row r="1040" spans="1:73" x14ac:dyDescent="0.35">
      <c r="A1040" s="7" t="s">
        <v>1379</v>
      </c>
      <c r="B1040" s="7" t="s">
        <v>1382</v>
      </c>
      <c r="C1040" s="5" t="s">
        <v>41</v>
      </c>
      <c r="D1040" s="5" t="s">
        <v>42</v>
      </c>
      <c r="F1040">
        <v>-0.26</v>
      </c>
      <c r="G1040" s="8" t="s">
        <v>904</v>
      </c>
      <c r="H1040" s="165">
        <v>66.078713999999991</v>
      </c>
      <c r="I1040" s="19" t="s">
        <v>27</v>
      </c>
      <c r="J1040" s="18">
        <v>-3.8713999999984594E-2</v>
      </c>
      <c r="K1040" s="62" t="s">
        <v>97</v>
      </c>
      <c r="L1040" s="163" t="s">
        <v>906</v>
      </c>
      <c r="M1040" s="152">
        <v>-2.8568250000000002</v>
      </c>
      <c r="N1040" s="59">
        <v>25.21850640241875</v>
      </c>
      <c r="O1040" s="59">
        <v>-0.29815535259999848</v>
      </c>
      <c r="BU1040" s="61"/>
    </row>
    <row r="1041" spans="1:73" x14ac:dyDescent="0.35">
      <c r="A1041" s="7" t="s">
        <v>1379</v>
      </c>
      <c r="B1041" s="7" t="s">
        <v>1382</v>
      </c>
      <c r="C1041" s="5" t="s">
        <v>41</v>
      </c>
      <c r="D1041" s="5" t="s">
        <v>42</v>
      </c>
      <c r="F1041">
        <v>-0.42</v>
      </c>
      <c r="G1041" s="8" t="s">
        <v>904</v>
      </c>
      <c r="H1041" s="165">
        <v>66.103561999999997</v>
      </c>
      <c r="I1041" s="19" t="s">
        <v>27</v>
      </c>
      <c r="J1041" s="18">
        <v>-6.3561999999990348E-2</v>
      </c>
      <c r="K1041" s="62" t="s">
        <v>97</v>
      </c>
      <c r="L1041" s="163" t="s">
        <v>906</v>
      </c>
      <c r="M1041" s="152">
        <v>-2.8280249999999998</v>
      </c>
      <c r="N1041" s="59">
        <v>25.085250372018749</v>
      </c>
      <c r="O1041" s="59">
        <v>-0.43141138300000037</v>
      </c>
      <c r="BU1041" s="61"/>
    </row>
    <row r="1042" spans="1:73" x14ac:dyDescent="0.35">
      <c r="A1042" s="7" t="s">
        <v>1379</v>
      </c>
      <c r="B1042" s="7" t="s">
        <v>1382</v>
      </c>
      <c r="C1042" s="5" t="s">
        <v>41</v>
      </c>
      <c r="D1042" s="5" t="s">
        <v>42</v>
      </c>
      <c r="F1042">
        <v>-0.56000000000000005</v>
      </c>
      <c r="G1042" s="8" t="s">
        <v>904</v>
      </c>
      <c r="H1042" s="165">
        <v>66.125304</v>
      </c>
      <c r="I1042" s="19" t="s">
        <v>27</v>
      </c>
      <c r="J1042" s="18">
        <v>-8.5303999999993607E-2</v>
      </c>
      <c r="K1042" s="62" t="s">
        <v>97</v>
      </c>
      <c r="L1042" s="163" t="s">
        <v>906</v>
      </c>
      <c r="M1042" s="152">
        <v>-3.0248249999999999</v>
      </c>
      <c r="N1042" s="59">
        <v>25.996825118418748</v>
      </c>
      <c r="O1042" s="59">
        <v>0.4801633633999991</v>
      </c>
      <c r="BU1042" s="61"/>
    </row>
    <row r="1043" spans="1:73" x14ac:dyDescent="0.35">
      <c r="A1043" s="7" t="s">
        <v>1379</v>
      </c>
      <c r="B1043" s="7" t="s">
        <v>1382</v>
      </c>
      <c r="C1043" s="5" t="s">
        <v>41</v>
      </c>
      <c r="D1043" s="5" t="s">
        <v>42</v>
      </c>
      <c r="F1043">
        <v>-0.62</v>
      </c>
      <c r="G1043" s="8" t="s">
        <v>904</v>
      </c>
      <c r="H1043" s="165">
        <v>66.134621999999993</v>
      </c>
      <c r="I1043" s="19" t="s">
        <v>27</v>
      </c>
      <c r="J1043" s="18">
        <v>-9.4621999999986883E-2</v>
      </c>
      <c r="K1043" s="62" t="s">
        <v>97</v>
      </c>
      <c r="L1043" s="163" t="s">
        <v>906</v>
      </c>
      <c r="M1043" s="152">
        <v>-3.1255500000000001</v>
      </c>
      <c r="N1043" s="59">
        <v>26.464280904075</v>
      </c>
      <c r="O1043" s="59">
        <v>0.94761914905625133</v>
      </c>
      <c r="BU1043" s="61"/>
    </row>
    <row r="1044" spans="1:73" x14ac:dyDescent="0.35">
      <c r="A1044" s="7" t="s">
        <v>1379</v>
      </c>
      <c r="B1044" s="7" t="s">
        <v>1382</v>
      </c>
      <c r="C1044" s="5" t="s">
        <v>41</v>
      </c>
      <c r="D1044" s="5" t="s">
        <v>42</v>
      </c>
      <c r="F1044">
        <v>-0.7</v>
      </c>
      <c r="G1044" s="8" t="s">
        <v>904</v>
      </c>
      <c r="H1044" s="165">
        <v>66.147045999999989</v>
      </c>
      <c r="I1044" s="19" t="s">
        <v>27</v>
      </c>
      <c r="J1044" s="18">
        <v>-0.10704599999998266</v>
      </c>
      <c r="K1044" s="62" t="s">
        <v>97</v>
      </c>
      <c r="L1044" s="163" t="s">
        <v>906</v>
      </c>
      <c r="M1044" s="152">
        <v>-3.1723499999999998</v>
      </c>
      <c r="N1044" s="59">
        <v>26.681682675674999</v>
      </c>
      <c r="O1044" s="59">
        <v>1.1650209206562501</v>
      </c>
      <c r="BU1044" s="61"/>
    </row>
    <row r="1045" spans="1:73" x14ac:dyDescent="0.35">
      <c r="A1045" s="7" t="s">
        <v>1379</v>
      </c>
      <c r="B1045" s="7" t="s">
        <v>1382</v>
      </c>
      <c r="C1045" s="5" t="s">
        <v>41</v>
      </c>
      <c r="D1045" s="5" t="s">
        <v>42</v>
      </c>
      <c r="F1045">
        <v>-0.75</v>
      </c>
      <c r="G1045" s="8" t="s">
        <v>904</v>
      </c>
      <c r="H1045" s="165">
        <v>66.154810999999995</v>
      </c>
      <c r="I1045" s="19" t="s">
        <v>27</v>
      </c>
      <c r="J1045" s="18">
        <v>-0.11481099999998889</v>
      </c>
      <c r="K1045" s="62" t="s">
        <v>97</v>
      </c>
      <c r="L1045" s="163" t="s">
        <v>906</v>
      </c>
      <c r="M1045" s="152">
        <v>-3.1081500000000002</v>
      </c>
      <c r="N1045" s="59">
        <v>26.383485552675001</v>
      </c>
      <c r="O1045" s="59">
        <v>0.86682379765625228</v>
      </c>
      <c r="BU1045" s="61"/>
    </row>
    <row r="1046" spans="1:73" x14ac:dyDescent="0.35">
      <c r="A1046" s="7" t="s">
        <v>1379</v>
      </c>
      <c r="B1046" s="7" t="s">
        <v>1382</v>
      </c>
      <c r="C1046" s="5" t="s">
        <v>41</v>
      </c>
      <c r="D1046" s="5" t="s">
        <v>42</v>
      </c>
      <c r="F1046">
        <v>-0.82</v>
      </c>
      <c r="G1046" s="8" t="s">
        <v>904</v>
      </c>
      <c r="H1046" s="165">
        <v>66.16568199999999</v>
      </c>
      <c r="I1046" s="19" t="s">
        <v>27</v>
      </c>
      <c r="J1046" s="18">
        <v>-0.12568199999998342</v>
      </c>
      <c r="K1046" s="62" t="s">
        <v>97</v>
      </c>
      <c r="L1046" s="163" t="s">
        <v>906</v>
      </c>
      <c r="M1046" s="152">
        <v>-2.4216500000000001</v>
      </c>
      <c r="N1046" s="59">
        <v>23.210280721675002</v>
      </c>
      <c r="O1046" s="59">
        <v>-2.3063810333437473</v>
      </c>
      <c r="BU1046" s="61"/>
    </row>
    <row r="1047" spans="1:73" x14ac:dyDescent="0.35">
      <c r="A1047" s="7" t="s">
        <v>1379</v>
      </c>
      <c r="B1047" s="7" t="s">
        <v>1382</v>
      </c>
      <c r="C1047" s="5" t="s">
        <v>41</v>
      </c>
      <c r="D1047" s="5" t="s">
        <v>42</v>
      </c>
      <c r="F1047">
        <v>-0.89</v>
      </c>
      <c r="G1047" s="8" t="s">
        <v>904</v>
      </c>
      <c r="H1047" s="165">
        <v>66.176552999999998</v>
      </c>
      <c r="I1047" s="19" t="s">
        <v>27</v>
      </c>
      <c r="J1047" s="18">
        <v>-0.13655299999999215</v>
      </c>
      <c r="K1047" s="62" t="s">
        <v>97</v>
      </c>
      <c r="L1047" s="163" t="s">
        <v>906</v>
      </c>
      <c r="M1047" s="152">
        <v>-2.6556500000000001</v>
      </c>
      <c r="N1047" s="59">
        <v>24.288720967675001</v>
      </c>
      <c r="O1047" s="59">
        <v>-1.2279407873437478</v>
      </c>
      <c r="BU1047" s="61"/>
    </row>
    <row r="1048" spans="1:73" x14ac:dyDescent="0.35">
      <c r="A1048" s="7" t="s">
        <v>1379</v>
      </c>
      <c r="B1048" s="7" t="s">
        <v>1382</v>
      </c>
      <c r="C1048" s="5" t="s">
        <v>41</v>
      </c>
      <c r="D1048" s="5" t="s">
        <v>42</v>
      </c>
      <c r="F1048">
        <v>-0.97</v>
      </c>
      <c r="G1048" s="8" t="s">
        <v>904</v>
      </c>
      <c r="H1048" s="165">
        <v>66.188977000000008</v>
      </c>
      <c r="I1048" s="19" t="s">
        <v>27</v>
      </c>
      <c r="J1048" s="18">
        <v>-0.14897700000000214</v>
      </c>
      <c r="K1048" s="62" t="s">
        <v>97</v>
      </c>
      <c r="L1048" s="163" t="s">
        <v>906</v>
      </c>
      <c r="M1048" s="152">
        <v>-3.1269499999999999</v>
      </c>
      <c r="N1048" s="59">
        <v>26.470782469075001</v>
      </c>
      <c r="O1048" s="59">
        <v>0.95412071405625198</v>
      </c>
      <c r="BU1048" s="61"/>
    </row>
    <row r="1049" spans="1:73" x14ac:dyDescent="0.35">
      <c r="A1049" s="7" t="s">
        <v>1379</v>
      </c>
      <c r="B1049" s="7" t="s">
        <v>1382</v>
      </c>
      <c r="C1049" s="5" t="s">
        <v>41</v>
      </c>
      <c r="D1049" s="5" t="s">
        <v>42</v>
      </c>
      <c r="F1049">
        <v>-0.99</v>
      </c>
      <c r="G1049" s="8" t="s">
        <v>904</v>
      </c>
      <c r="H1049" s="165">
        <v>66.192082999999997</v>
      </c>
      <c r="I1049" s="19" t="s">
        <v>27</v>
      </c>
      <c r="J1049" s="18">
        <v>-0.15208299999999042</v>
      </c>
      <c r="K1049" s="62" t="s">
        <v>97</v>
      </c>
      <c r="L1049" s="163" t="s">
        <v>906</v>
      </c>
      <c r="M1049" s="152">
        <v>-2.886225</v>
      </c>
      <c r="N1049" s="59">
        <v>25.354589932518749</v>
      </c>
      <c r="O1049" s="59">
        <v>-0.16207182249999974</v>
      </c>
      <c r="BU1049" s="61"/>
    </row>
    <row r="1050" spans="1:73" x14ac:dyDescent="0.35">
      <c r="A1050" s="7" t="s">
        <v>1379</v>
      </c>
      <c r="B1050" s="7" t="s">
        <v>1382</v>
      </c>
      <c r="C1050" s="5" t="s">
        <v>41</v>
      </c>
      <c r="D1050" s="5" t="s">
        <v>42</v>
      </c>
      <c r="F1050">
        <v>-1.26</v>
      </c>
      <c r="G1050" s="8" t="s">
        <v>904</v>
      </c>
      <c r="H1050" s="165">
        <v>66.234014000000002</v>
      </c>
      <c r="I1050" s="19" t="s">
        <v>27</v>
      </c>
      <c r="J1050" s="18">
        <v>-0.19401399999999569</v>
      </c>
      <c r="K1050" s="62" t="s">
        <v>97</v>
      </c>
      <c r="L1050" s="163" t="s">
        <v>906</v>
      </c>
      <c r="M1050" s="152">
        <v>-3.031425</v>
      </c>
      <c r="N1050" s="59">
        <v>26.027436495918753</v>
      </c>
      <c r="O1050" s="59">
        <v>0.51077474090000408</v>
      </c>
      <c r="BU1050" s="61"/>
    </row>
    <row r="1051" spans="1:73" x14ac:dyDescent="0.35">
      <c r="A1051" s="7" t="s">
        <v>1379</v>
      </c>
      <c r="B1051" s="7" t="s">
        <v>1382</v>
      </c>
      <c r="C1051" s="5" t="s">
        <v>41</v>
      </c>
      <c r="D1051" s="5" t="s">
        <v>42</v>
      </c>
      <c r="F1051">
        <v>-1.89</v>
      </c>
      <c r="G1051" s="8" t="s">
        <v>904</v>
      </c>
      <c r="H1051" s="165">
        <v>66.331852999999995</v>
      </c>
      <c r="I1051" s="19" t="s">
        <v>27</v>
      </c>
      <c r="J1051" s="18">
        <v>-0.29185299999998904</v>
      </c>
      <c r="K1051" s="62" t="s">
        <v>97</v>
      </c>
      <c r="L1051" s="163" t="s">
        <v>906</v>
      </c>
      <c r="M1051" s="152">
        <v>-2.8600500000000002</v>
      </c>
      <c r="N1051" s="59">
        <v>25.233431400075002</v>
      </c>
      <c r="O1051" s="59">
        <v>-0.28323035494374693</v>
      </c>
      <c r="BU1051" s="61"/>
    </row>
    <row r="1052" spans="1:73" x14ac:dyDescent="0.35">
      <c r="A1052" s="7" t="s">
        <v>1379</v>
      </c>
      <c r="B1052" s="7" t="s">
        <v>1382</v>
      </c>
      <c r="I1052" s="19"/>
      <c r="BU1052" s="61"/>
    </row>
    <row r="1053" spans="1:73" x14ac:dyDescent="0.35">
      <c r="A1053" s="7" t="s">
        <v>1379</v>
      </c>
      <c r="B1053" s="7" t="s">
        <v>1382</v>
      </c>
      <c r="C1053" s="62" t="s">
        <v>848</v>
      </c>
      <c r="D1053" s="62" t="s">
        <v>907</v>
      </c>
      <c r="E1053" s="146" t="s">
        <v>908</v>
      </c>
      <c r="F1053" s="97">
        <v>241.542</v>
      </c>
      <c r="G1053" s="146" t="s">
        <v>228</v>
      </c>
      <c r="H1053" s="19">
        <v>64.96777894736843</v>
      </c>
      <c r="I1053" s="19" t="s">
        <v>40</v>
      </c>
      <c r="J1053" s="167">
        <v>1.0542210526315756</v>
      </c>
      <c r="K1053" s="168" t="s">
        <v>44</v>
      </c>
      <c r="L1053" s="169" t="s">
        <v>188</v>
      </c>
      <c r="M1053" s="97">
        <v>0.52542850545424802</v>
      </c>
      <c r="N1053" s="97">
        <v>7.7462852597843632</v>
      </c>
      <c r="O1053" s="97">
        <v>0.36997937570770656</v>
      </c>
      <c r="BU1053" s="61"/>
    </row>
    <row r="1054" spans="1:73" x14ac:dyDescent="0.35">
      <c r="A1054" s="7" t="s">
        <v>1379</v>
      </c>
      <c r="B1054" s="7" t="s">
        <v>1382</v>
      </c>
      <c r="C1054" s="62" t="s">
        <v>848</v>
      </c>
      <c r="D1054" s="62" t="s">
        <v>907</v>
      </c>
      <c r="E1054" s="146" t="s">
        <v>909</v>
      </c>
      <c r="F1054" s="97">
        <v>242.02199999999999</v>
      </c>
      <c r="G1054" s="146" t="s">
        <v>228</v>
      </c>
      <c r="H1054" s="19">
        <v>65.107042105263162</v>
      </c>
      <c r="I1054" s="19" t="s">
        <v>40</v>
      </c>
      <c r="J1054" s="167">
        <v>0.91495789473684397</v>
      </c>
      <c r="K1054" s="168" t="s">
        <v>44</v>
      </c>
      <c r="L1054" s="169" t="s">
        <v>188</v>
      </c>
      <c r="M1054" s="97">
        <v>0.33835345656196197</v>
      </c>
      <c r="N1054" s="97">
        <v>8.5696187396472201</v>
      </c>
      <c r="O1054" s="97">
        <v>1.1933128555705634</v>
      </c>
      <c r="BU1054" s="61"/>
    </row>
    <row r="1055" spans="1:73" x14ac:dyDescent="0.35">
      <c r="A1055" s="7" t="s">
        <v>1379</v>
      </c>
      <c r="B1055" s="7" t="s">
        <v>1382</v>
      </c>
      <c r="C1055" s="62" t="s">
        <v>848</v>
      </c>
      <c r="D1055" s="62" t="s">
        <v>907</v>
      </c>
      <c r="E1055" s="146" t="s">
        <v>910</v>
      </c>
      <c r="F1055" s="97">
        <v>242.50200000000001</v>
      </c>
      <c r="G1055" s="146" t="s">
        <v>228</v>
      </c>
      <c r="H1055" s="19">
        <v>65.213866666666675</v>
      </c>
      <c r="I1055" s="19" t="s">
        <v>40</v>
      </c>
      <c r="J1055" s="167">
        <v>0.80813333333333048</v>
      </c>
      <c r="K1055" s="168" t="s">
        <v>44</v>
      </c>
      <c r="L1055" s="169" t="s">
        <v>188</v>
      </c>
      <c r="M1055" s="97">
        <v>0.28648463863846901</v>
      </c>
      <c r="N1055" s="97">
        <v>8.798269708192775</v>
      </c>
      <c r="O1055" s="97">
        <v>1.4219638241161183</v>
      </c>
      <c r="BU1055" s="61"/>
    </row>
    <row r="1056" spans="1:73" x14ac:dyDescent="0.35">
      <c r="A1056" s="7" t="s">
        <v>1379</v>
      </c>
      <c r="B1056" s="7" t="s">
        <v>1382</v>
      </c>
      <c r="C1056" s="62" t="s">
        <v>848</v>
      </c>
      <c r="D1056" s="62" t="s">
        <v>907</v>
      </c>
      <c r="E1056" s="146" t="s">
        <v>911</v>
      </c>
      <c r="F1056" s="97">
        <v>242.982</v>
      </c>
      <c r="G1056" s="146" t="s">
        <v>228</v>
      </c>
      <c r="H1056" s="19">
        <v>65.301866666666669</v>
      </c>
      <c r="I1056" s="19" t="s">
        <v>40</v>
      </c>
      <c r="J1056" s="167">
        <v>0.72013333333333662</v>
      </c>
      <c r="K1056" s="168" t="s">
        <v>44</v>
      </c>
      <c r="L1056" s="169" t="s">
        <v>188</v>
      </c>
      <c r="M1056" s="97">
        <v>0.48464047115228698</v>
      </c>
      <c r="N1056" s="97">
        <v>7.9256179257971882</v>
      </c>
      <c r="O1056" s="97">
        <v>0.5493120417205315</v>
      </c>
      <c r="BU1056" s="61"/>
    </row>
    <row r="1057" spans="1:73" x14ac:dyDescent="0.35">
      <c r="A1057" s="7" t="s">
        <v>1379</v>
      </c>
      <c r="B1057" s="7" t="s">
        <v>1382</v>
      </c>
      <c r="C1057" s="62" t="s">
        <v>848</v>
      </c>
      <c r="D1057" s="62" t="s">
        <v>907</v>
      </c>
      <c r="E1057" s="146" t="s">
        <v>912</v>
      </c>
      <c r="F1057" s="97">
        <v>243.97</v>
      </c>
      <c r="G1057" s="146" t="s">
        <v>228</v>
      </c>
      <c r="H1057" s="19">
        <v>65.510279411764699</v>
      </c>
      <c r="I1057" s="19" t="s">
        <v>40</v>
      </c>
      <c r="J1057" s="167">
        <v>0.5117205882353062</v>
      </c>
      <c r="K1057" s="168" t="s">
        <v>44</v>
      </c>
      <c r="L1057" s="169" t="s">
        <v>188</v>
      </c>
      <c r="M1057" s="97">
        <v>0.57554558289977797</v>
      </c>
      <c r="N1057" s="97">
        <v>7.5260722860425489</v>
      </c>
      <c r="O1057" s="97">
        <v>0.14976640196589219</v>
      </c>
      <c r="BU1057" s="61"/>
    </row>
    <row r="1058" spans="1:73" x14ac:dyDescent="0.35">
      <c r="A1058" s="7" t="s">
        <v>1379</v>
      </c>
      <c r="B1058" s="7" t="s">
        <v>1382</v>
      </c>
      <c r="C1058" s="62" t="s">
        <v>848</v>
      </c>
      <c r="D1058" s="62" t="s">
        <v>907</v>
      </c>
      <c r="E1058" s="146" t="s">
        <v>913</v>
      </c>
      <c r="F1058" s="97">
        <v>244.47</v>
      </c>
      <c r="G1058" s="146" t="s">
        <v>228</v>
      </c>
      <c r="H1058" s="19">
        <v>65.610647058823531</v>
      </c>
      <c r="I1058" s="19" t="s">
        <v>40</v>
      </c>
      <c r="J1058" s="167">
        <v>0.41135294117647447</v>
      </c>
      <c r="K1058" s="168" t="s">
        <v>44</v>
      </c>
      <c r="L1058" s="169" t="s">
        <v>188</v>
      </c>
      <c r="M1058" s="97">
        <v>0.467945494476039</v>
      </c>
      <c r="N1058" s="97">
        <v>7.999049485528591</v>
      </c>
      <c r="O1058" s="97">
        <v>0.6227436014519343</v>
      </c>
      <c r="BU1058" s="61"/>
    </row>
    <row r="1059" spans="1:73" x14ac:dyDescent="0.35">
      <c r="A1059" s="7" t="s">
        <v>1379</v>
      </c>
      <c r="B1059" s="7" t="s">
        <v>1382</v>
      </c>
      <c r="C1059" s="62" t="s">
        <v>848</v>
      </c>
      <c r="D1059" s="62" t="s">
        <v>907</v>
      </c>
      <c r="E1059" s="146" t="s">
        <v>914</v>
      </c>
      <c r="F1059" s="97">
        <v>244.97</v>
      </c>
      <c r="G1059" s="146" t="s">
        <v>228</v>
      </c>
      <c r="H1059" s="19">
        <v>65.71074999999999</v>
      </c>
      <c r="I1059" s="19" t="s">
        <v>40</v>
      </c>
      <c r="J1059" s="167">
        <v>0.31125000000001535</v>
      </c>
      <c r="K1059" s="168" t="s">
        <v>44</v>
      </c>
      <c r="L1059" s="169" t="s">
        <v>188</v>
      </c>
      <c r="M1059" s="97">
        <v>0.56746452235079303</v>
      </c>
      <c r="N1059" s="97">
        <v>7.5615700390768472</v>
      </c>
      <c r="O1059" s="97">
        <v>0.18526415500019056</v>
      </c>
      <c r="BU1059" s="61"/>
    </row>
    <row r="1060" spans="1:73" x14ac:dyDescent="0.35">
      <c r="A1060" s="7" t="s">
        <v>1379</v>
      </c>
      <c r="B1060" s="7" t="s">
        <v>1382</v>
      </c>
      <c r="C1060" s="62" t="s">
        <v>848</v>
      </c>
      <c r="D1060" s="62" t="s">
        <v>907</v>
      </c>
      <c r="E1060" s="146" t="s">
        <v>915</v>
      </c>
      <c r="F1060" s="97">
        <v>245.47</v>
      </c>
      <c r="G1060" s="146" t="s">
        <v>228</v>
      </c>
      <c r="H1060" s="19">
        <v>65.804500000000004</v>
      </c>
      <c r="I1060" s="19" t="s">
        <v>40</v>
      </c>
      <c r="J1060" s="167">
        <v>0.21750000000000114</v>
      </c>
      <c r="K1060" s="168" t="s">
        <v>44</v>
      </c>
      <c r="L1060" s="169" t="s">
        <v>188</v>
      </c>
      <c r="M1060" s="97">
        <v>0.379227681007892</v>
      </c>
      <c r="N1060" s="97">
        <v>8.3895484651993435</v>
      </c>
      <c r="O1060" s="97">
        <v>1.0132425811226868</v>
      </c>
      <c r="BU1060" s="61"/>
    </row>
    <row r="1061" spans="1:73" x14ac:dyDescent="0.35">
      <c r="A1061" s="7" t="s">
        <v>1379</v>
      </c>
      <c r="B1061" s="7" t="s">
        <v>1382</v>
      </c>
      <c r="C1061" s="62" t="s">
        <v>848</v>
      </c>
      <c r="D1061" s="62" t="s">
        <v>907</v>
      </c>
      <c r="E1061" s="146" t="s">
        <v>916</v>
      </c>
      <c r="F1061" s="97">
        <v>245.97</v>
      </c>
      <c r="G1061" s="146" t="s">
        <v>228</v>
      </c>
      <c r="H1061" s="19">
        <v>65.923034482758624</v>
      </c>
      <c r="I1061" s="19" t="s">
        <v>40</v>
      </c>
      <c r="J1061" s="167">
        <v>9.8965517241381917E-2</v>
      </c>
      <c r="K1061" s="168" t="s">
        <v>44</v>
      </c>
      <c r="L1061" s="169" t="s">
        <v>188</v>
      </c>
      <c r="M1061" s="97">
        <v>0.64754331141215704</v>
      </c>
      <c r="N1061" s="97">
        <v>7.2099801305830216</v>
      </c>
      <c r="O1061" s="97">
        <v>-0.1663257534936351</v>
      </c>
      <c r="BU1061" s="61"/>
    </row>
    <row r="1062" spans="1:73" x14ac:dyDescent="0.35">
      <c r="A1062" s="7" t="s">
        <v>1379</v>
      </c>
      <c r="B1062" s="7" t="s">
        <v>1382</v>
      </c>
      <c r="C1062" s="62" t="s">
        <v>848</v>
      </c>
      <c r="D1062" s="62" t="s">
        <v>907</v>
      </c>
      <c r="E1062" s="146" t="s">
        <v>917</v>
      </c>
      <c r="F1062" s="97">
        <v>246.07</v>
      </c>
      <c r="G1062" s="146" t="s">
        <v>228</v>
      </c>
      <c r="H1062" s="19">
        <v>65.947172413793112</v>
      </c>
      <c r="I1062" s="19" t="s">
        <v>40</v>
      </c>
      <c r="J1062" s="167">
        <v>7.482758620689367E-2</v>
      </c>
      <c r="K1062" s="168" t="s">
        <v>44</v>
      </c>
      <c r="L1062" s="169" t="s">
        <v>188</v>
      </c>
      <c r="M1062" s="97">
        <v>0.62558719823056896</v>
      </c>
      <c r="N1062" s="97">
        <v>7.3063412537109729</v>
      </c>
      <c r="O1062" s="97">
        <v>-6.9964630365683789E-2</v>
      </c>
      <c r="BU1062" s="61"/>
    </row>
    <row r="1063" spans="1:73" x14ac:dyDescent="0.35">
      <c r="A1063" s="7" t="s">
        <v>1379</v>
      </c>
      <c r="B1063" s="7" t="s">
        <v>1382</v>
      </c>
      <c r="C1063" s="62" t="s">
        <v>848</v>
      </c>
      <c r="D1063" s="62" t="s">
        <v>907</v>
      </c>
      <c r="E1063" s="146" t="s">
        <v>918</v>
      </c>
      <c r="F1063" s="97">
        <v>246.17</v>
      </c>
      <c r="G1063" s="146" t="s">
        <v>228</v>
      </c>
      <c r="H1063" s="19">
        <v>65.971310344827586</v>
      </c>
      <c r="I1063" s="19" t="s">
        <v>40</v>
      </c>
      <c r="J1063" s="167">
        <v>5.0689655172419634E-2</v>
      </c>
      <c r="K1063" s="168" t="s">
        <v>44</v>
      </c>
      <c r="L1063" s="169" t="s">
        <v>188</v>
      </c>
      <c r="M1063" s="97">
        <v>0.60026133266162995</v>
      </c>
      <c r="N1063" s="97">
        <v>7.4175274903316284</v>
      </c>
      <c r="O1063" s="97">
        <v>4.1221606254971732E-2</v>
      </c>
      <c r="BU1063" s="61"/>
    </row>
    <row r="1064" spans="1:73" x14ac:dyDescent="0.35">
      <c r="A1064" s="7" t="s">
        <v>1379</v>
      </c>
      <c r="B1064" s="7" t="s">
        <v>1382</v>
      </c>
      <c r="C1064" s="62" t="s">
        <v>848</v>
      </c>
      <c r="D1064" s="62" t="s">
        <v>907</v>
      </c>
      <c r="E1064" s="146" t="s">
        <v>919</v>
      </c>
      <c r="F1064" s="97">
        <v>246.27</v>
      </c>
      <c r="G1064" s="146" t="s">
        <v>228</v>
      </c>
      <c r="H1064" s="19">
        <v>65.995448275862074</v>
      </c>
      <c r="I1064" s="19" t="s">
        <v>40</v>
      </c>
      <c r="J1064" s="167">
        <v>2.6551724137931387E-2</v>
      </c>
      <c r="K1064" s="168" t="s">
        <v>44</v>
      </c>
      <c r="L1064" s="169" t="s">
        <v>188</v>
      </c>
      <c r="M1064" s="97">
        <v>0.410777641915889</v>
      </c>
      <c r="N1064" s="97">
        <v>8.2506245273713006</v>
      </c>
      <c r="O1064" s="97">
        <v>0.87431864329464393</v>
      </c>
      <c r="BU1064" s="61"/>
    </row>
    <row r="1065" spans="1:73" x14ac:dyDescent="0.35">
      <c r="A1065" s="7" t="s">
        <v>1379</v>
      </c>
      <c r="B1065" s="7" t="s">
        <v>1382</v>
      </c>
      <c r="C1065" s="62" t="s">
        <v>848</v>
      </c>
      <c r="D1065" s="62" t="s">
        <v>907</v>
      </c>
      <c r="E1065" s="146" t="s">
        <v>920</v>
      </c>
      <c r="F1065" s="97">
        <v>246.37</v>
      </c>
      <c r="G1065" s="146" t="s">
        <v>228</v>
      </c>
      <c r="H1065" s="19">
        <v>66.019586206896562</v>
      </c>
      <c r="I1065" s="19" t="s">
        <v>40</v>
      </c>
      <c r="J1065" s="167">
        <v>2.4137931034431404E-3</v>
      </c>
      <c r="K1065" s="168" t="s">
        <v>44</v>
      </c>
      <c r="L1065" s="169" t="s">
        <v>188</v>
      </c>
      <c r="M1065" s="97">
        <v>0.737405822577888</v>
      </c>
      <c r="N1065" s="97">
        <v>6.8158924438628441</v>
      </c>
      <c r="O1065" s="97">
        <v>-0.56041344021381256</v>
      </c>
      <c r="BU1065" s="61"/>
    </row>
    <row r="1066" spans="1:73" x14ac:dyDescent="0.35">
      <c r="A1066" s="7" t="s">
        <v>1379</v>
      </c>
      <c r="B1066" s="7" t="s">
        <v>1382</v>
      </c>
      <c r="C1066" s="62" t="s">
        <v>848</v>
      </c>
      <c r="D1066" s="62" t="s">
        <v>907</v>
      </c>
      <c r="E1066" s="146" t="s">
        <v>921</v>
      </c>
      <c r="F1066" s="97">
        <v>246.47</v>
      </c>
      <c r="G1066" s="146" t="s">
        <v>228</v>
      </c>
      <c r="H1066" s="19">
        <v>66.036332326283969</v>
      </c>
      <c r="I1066" s="19" t="s">
        <v>40</v>
      </c>
      <c r="J1066" s="167">
        <v>-1.4332326283962971E-2</v>
      </c>
      <c r="K1066" s="168" t="s">
        <v>44</v>
      </c>
      <c r="L1066" s="169" t="s">
        <v>188</v>
      </c>
      <c r="M1066" s="97">
        <v>0.60964971747546504</v>
      </c>
      <c r="N1066" s="97">
        <v>7.3763058840766567</v>
      </c>
      <c r="O1066" s="97">
        <v>0</v>
      </c>
      <c r="BU1066" s="61"/>
    </row>
    <row r="1067" spans="1:73" x14ac:dyDescent="0.35">
      <c r="A1067" s="7" t="s">
        <v>1379</v>
      </c>
      <c r="B1067" s="7" t="s">
        <v>1382</v>
      </c>
      <c r="C1067" s="62" t="s">
        <v>848</v>
      </c>
      <c r="D1067" s="62" t="s">
        <v>907</v>
      </c>
      <c r="E1067" s="146" t="s">
        <v>922</v>
      </c>
      <c r="F1067" s="97">
        <v>246.57</v>
      </c>
      <c r="G1067" s="146" t="s">
        <v>228</v>
      </c>
      <c r="H1067" s="19">
        <v>66.05317801275595</v>
      </c>
      <c r="I1067" s="19" t="s">
        <v>40</v>
      </c>
      <c r="J1067" s="167">
        <v>-3.1178012755944451E-2</v>
      </c>
      <c r="K1067" s="168" t="s">
        <v>44</v>
      </c>
      <c r="L1067" s="169" t="s">
        <v>188</v>
      </c>
      <c r="M1067" s="97">
        <v>0.58209527493573399</v>
      </c>
      <c r="N1067" s="97">
        <v>7.4973042651325841</v>
      </c>
      <c r="O1067" s="97">
        <v>0.12099838105592742</v>
      </c>
      <c r="BU1067" s="61"/>
    </row>
    <row r="1068" spans="1:73" x14ac:dyDescent="0.35">
      <c r="A1068" s="7" t="s">
        <v>1379</v>
      </c>
      <c r="B1068" s="7" t="s">
        <v>1382</v>
      </c>
      <c r="C1068" s="62" t="s">
        <v>848</v>
      </c>
      <c r="D1068" s="62" t="s">
        <v>907</v>
      </c>
      <c r="E1068" s="146" t="s">
        <v>923</v>
      </c>
      <c r="F1068" s="97">
        <v>246.67</v>
      </c>
      <c r="G1068" s="146" t="s">
        <v>228</v>
      </c>
      <c r="H1068" s="19">
        <v>66.069949546827786</v>
      </c>
      <c r="I1068" s="19" t="s">
        <v>40</v>
      </c>
      <c r="J1068" s="167">
        <v>-4.7949546827780409E-2</v>
      </c>
      <c r="K1068" s="168" t="s">
        <v>44</v>
      </c>
      <c r="L1068" s="169" t="s">
        <v>188</v>
      </c>
      <c r="M1068" s="97">
        <v>0.68569426100643205</v>
      </c>
      <c r="N1068" s="97">
        <v>7.0426118051118412</v>
      </c>
      <c r="O1068" s="97">
        <v>-0.33369407896481551</v>
      </c>
      <c r="BU1068" s="61"/>
    </row>
    <row r="1069" spans="1:73" x14ac:dyDescent="0.35">
      <c r="A1069" s="7" t="s">
        <v>1379</v>
      </c>
      <c r="B1069" s="7" t="s">
        <v>1382</v>
      </c>
      <c r="C1069" s="62" t="s">
        <v>848</v>
      </c>
      <c r="D1069" s="62" t="s">
        <v>907</v>
      </c>
      <c r="E1069" s="146" t="s">
        <v>924</v>
      </c>
      <c r="F1069" s="97">
        <v>246.97</v>
      </c>
      <c r="G1069" s="146" t="s">
        <v>228</v>
      </c>
      <c r="H1069" s="19">
        <v>66.130779758308151</v>
      </c>
      <c r="I1069" s="19" t="s">
        <v>40</v>
      </c>
      <c r="J1069" s="167">
        <v>-0.10877975830814535</v>
      </c>
      <c r="K1069" s="168" t="s">
        <v>44</v>
      </c>
      <c r="L1069" s="169" t="s">
        <v>188</v>
      </c>
      <c r="M1069" s="97">
        <v>0.26882579650562999</v>
      </c>
      <c r="N1069" s="97">
        <v>8.8761512181355844</v>
      </c>
      <c r="O1069" s="97">
        <v>1.4998453340589277</v>
      </c>
      <c r="BU1069" s="61"/>
    </row>
    <row r="1070" spans="1:73" x14ac:dyDescent="0.35">
      <c r="A1070" s="7" t="s">
        <v>1379</v>
      </c>
      <c r="B1070" s="7" t="s">
        <v>1382</v>
      </c>
      <c r="C1070" s="62" t="s">
        <v>848</v>
      </c>
      <c r="D1070" s="62" t="s">
        <v>907</v>
      </c>
      <c r="E1070" s="146" t="s">
        <v>925</v>
      </c>
      <c r="F1070" s="97">
        <v>247.47</v>
      </c>
      <c r="G1070" s="146" t="s">
        <v>228</v>
      </c>
      <c r="H1070" s="19">
        <v>66.225248841893247</v>
      </c>
      <c r="I1070" s="19" t="s">
        <v>40</v>
      </c>
      <c r="J1070" s="167">
        <v>-0.20324884189324166</v>
      </c>
      <c r="K1070" s="168" t="s">
        <v>44</v>
      </c>
      <c r="L1070" s="169" t="s">
        <v>188</v>
      </c>
      <c r="M1070" s="97">
        <v>0.395850070232247</v>
      </c>
      <c r="N1070" s="97">
        <v>8.3163476574249309</v>
      </c>
      <c r="O1070" s="97">
        <v>0.94004177334827421</v>
      </c>
      <c r="BU1070" s="61"/>
    </row>
    <row r="1071" spans="1:73" x14ac:dyDescent="0.35">
      <c r="A1071" s="7" t="s">
        <v>1379</v>
      </c>
      <c r="B1071" s="7" t="s">
        <v>1382</v>
      </c>
      <c r="C1071" s="62" t="s">
        <v>848</v>
      </c>
      <c r="D1071" s="62" t="s">
        <v>907</v>
      </c>
      <c r="E1071" s="146" t="s">
        <v>926</v>
      </c>
      <c r="F1071" s="97">
        <v>247.97</v>
      </c>
      <c r="G1071" s="146" t="s">
        <v>228</v>
      </c>
      <c r="H1071" s="19">
        <v>66.301313897280963</v>
      </c>
      <c r="I1071" s="19" t="s">
        <v>40</v>
      </c>
      <c r="J1071" s="167">
        <v>-0.27931389728095724</v>
      </c>
      <c r="K1071" s="168" t="s">
        <v>44</v>
      </c>
      <c r="L1071" s="169" t="s">
        <v>188</v>
      </c>
      <c r="M1071" s="97">
        <v>0.339240678815032</v>
      </c>
      <c r="N1071" s="97">
        <v>8.5657090420307416</v>
      </c>
      <c r="O1071" s="97">
        <v>1.1894031579540849</v>
      </c>
      <c r="BU1071" s="61"/>
    </row>
    <row r="1072" spans="1:73" x14ac:dyDescent="0.35">
      <c r="A1072" s="7" t="s">
        <v>1379</v>
      </c>
      <c r="B1072" s="7" t="s">
        <v>1382</v>
      </c>
      <c r="C1072" s="62" t="s">
        <v>848</v>
      </c>
      <c r="D1072" s="62" t="s">
        <v>907</v>
      </c>
      <c r="E1072" s="146" t="s">
        <v>927</v>
      </c>
      <c r="F1072" s="97">
        <v>248.44900000000001</v>
      </c>
      <c r="G1072" s="146" t="s">
        <v>228</v>
      </c>
      <c r="H1072" s="19">
        <v>66.385006243705917</v>
      </c>
      <c r="I1072" s="19" t="s">
        <v>40</v>
      </c>
      <c r="J1072" s="167">
        <v>-0.36300624370591095</v>
      </c>
      <c r="K1072" s="168" t="s">
        <v>44</v>
      </c>
      <c r="L1072" s="169" t="s">
        <v>188</v>
      </c>
      <c r="M1072" s="97">
        <v>0.68379319977987396</v>
      </c>
      <c r="N1072" s="97">
        <v>7.0509496987764555</v>
      </c>
      <c r="O1072" s="97">
        <v>-0.32535618530020116</v>
      </c>
      <c r="BU1072" s="61"/>
    </row>
    <row r="1073" spans="1:73" x14ac:dyDescent="0.35">
      <c r="A1073" s="7" t="s">
        <v>1379</v>
      </c>
      <c r="B1073" s="7" t="s">
        <v>1382</v>
      </c>
      <c r="C1073" s="62" t="s">
        <v>848</v>
      </c>
      <c r="D1073" s="62" t="s">
        <v>907</v>
      </c>
      <c r="E1073" s="146" t="s">
        <v>928</v>
      </c>
      <c r="F1073" s="97">
        <v>248.64</v>
      </c>
      <c r="G1073" s="146" t="s">
        <v>228</v>
      </c>
      <c r="H1073" s="19">
        <v>66.418378348439035</v>
      </c>
      <c r="I1073" s="19" t="s">
        <v>40</v>
      </c>
      <c r="J1073" s="167">
        <v>-0.39637834843902908</v>
      </c>
      <c r="K1073" s="168" t="s">
        <v>44</v>
      </c>
      <c r="L1073" s="169" t="s">
        <v>188</v>
      </c>
      <c r="M1073" s="97">
        <v>0.82258735602566002</v>
      </c>
      <c r="N1073" s="97">
        <v>6.442780273623204</v>
      </c>
      <c r="O1073" s="97">
        <v>-0.93352561045345261</v>
      </c>
      <c r="BU1073" s="61"/>
    </row>
    <row r="1074" spans="1:73" x14ac:dyDescent="0.35">
      <c r="A1074" s="7" t="s">
        <v>1379</v>
      </c>
      <c r="B1074" s="7" t="s">
        <v>1382</v>
      </c>
      <c r="C1074" s="62" t="s">
        <v>848</v>
      </c>
      <c r="D1074" s="62" t="s">
        <v>907</v>
      </c>
      <c r="E1074" s="146" t="s">
        <v>929</v>
      </c>
      <c r="F1074" s="97">
        <v>249.11699999999999</v>
      </c>
      <c r="G1074" s="146" t="s">
        <v>228</v>
      </c>
      <c r="H1074" s="19">
        <v>66.501721248741134</v>
      </c>
      <c r="I1074" s="19" t="s">
        <v>40</v>
      </c>
      <c r="J1074" s="167">
        <v>-0.47972124874112865</v>
      </c>
      <c r="K1074" s="168" t="s">
        <v>44</v>
      </c>
      <c r="L1074" s="169" t="s">
        <v>188</v>
      </c>
      <c r="M1074" s="97">
        <v>0.491455241733807</v>
      </c>
      <c r="N1074" s="97">
        <v>7.8956484924832671</v>
      </c>
      <c r="O1074" s="97">
        <v>0.5193426084066104</v>
      </c>
      <c r="BU1074" s="61"/>
    </row>
    <row r="1075" spans="1:73" x14ac:dyDescent="0.35">
      <c r="A1075" s="7" t="s">
        <v>1379</v>
      </c>
      <c r="B1075" s="7" t="s">
        <v>1382</v>
      </c>
      <c r="C1075" s="62" t="s">
        <v>848</v>
      </c>
      <c r="D1075" s="62" t="s">
        <v>907</v>
      </c>
      <c r="E1075" s="146" t="s">
        <v>930</v>
      </c>
      <c r="F1075" s="97">
        <v>249.57499999999999</v>
      </c>
      <c r="G1075" s="146" t="s">
        <v>228</v>
      </c>
      <c r="H1075" s="19">
        <v>66.58174441087607</v>
      </c>
      <c r="I1075" s="19" t="s">
        <v>40</v>
      </c>
      <c r="J1075" s="167">
        <v>-0.55974441087606408</v>
      </c>
      <c r="K1075" s="168" t="s">
        <v>44</v>
      </c>
      <c r="L1075" s="169" t="s">
        <v>188</v>
      </c>
      <c r="M1075" s="97">
        <v>0.88005601216542895</v>
      </c>
      <c r="N1075" s="97">
        <v>6.1913019916801035</v>
      </c>
      <c r="O1075" s="97">
        <v>-1.1850038923965531</v>
      </c>
      <c r="BU1075" s="61"/>
    </row>
    <row r="1076" spans="1:73" x14ac:dyDescent="0.35">
      <c r="A1076" s="7" t="s">
        <v>1379</v>
      </c>
      <c r="B1076" s="7" t="s">
        <v>1382</v>
      </c>
      <c r="C1076" s="62" t="s">
        <v>848</v>
      </c>
      <c r="D1076" s="62" t="s">
        <v>907</v>
      </c>
      <c r="E1076" s="146" t="s">
        <v>931</v>
      </c>
      <c r="F1076" s="97">
        <v>249.642</v>
      </c>
      <c r="G1076" s="146" t="s">
        <v>228</v>
      </c>
      <c r="H1076" s="19">
        <v>66.593450855991875</v>
      </c>
      <c r="I1076" s="19" t="s">
        <v>40</v>
      </c>
      <c r="J1076" s="167">
        <v>-0.57145085599186984</v>
      </c>
      <c r="K1076" s="168" t="s">
        <v>44</v>
      </c>
      <c r="L1076" s="169" t="s">
        <v>188</v>
      </c>
      <c r="M1076" s="97">
        <v>0.92627978442585202</v>
      </c>
      <c r="N1076" s="97">
        <v>5.9891742215178345</v>
      </c>
      <c r="O1076" s="97">
        <v>-1.3871316625588221</v>
      </c>
      <c r="BU1076" s="61"/>
    </row>
    <row r="1077" spans="1:73" x14ac:dyDescent="0.35">
      <c r="A1077" s="7" t="s">
        <v>1379</v>
      </c>
      <c r="B1077" s="7" t="s">
        <v>1382</v>
      </c>
      <c r="C1077" s="62" t="s">
        <v>848</v>
      </c>
      <c r="D1077" s="62" t="s">
        <v>907</v>
      </c>
      <c r="E1077" s="146" t="s">
        <v>932</v>
      </c>
      <c r="F1077" s="97">
        <v>249.69</v>
      </c>
      <c r="G1077" s="146" t="s">
        <v>228</v>
      </c>
      <c r="H1077" s="19">
        <v>66.601837562940517</v>
      </c>
      <c r="I1077" s="19" t="s">
        <v>40</v>
      </c>
      <c r="J1077" s="18">
        <v>-0.57983756294051148</v>
      </c>
      <c r="K1077" s="168" t="s">
        <v>44</v>
      </c>
      <c r="L1077" s="169" t="s">
        <v>188</v>
      </c>
      <c r="M1077" s="97">
        <v>0.83852804491292598</v>
      </c>
      <c r="N1077" s="97">
        <v>6.3730052236336432</v>
      </c>
      <c r="O1077" s="97">
        <v>-1.0033006604430135</v>
      </c>
      <c r="BU1077" s="61"/>
    </row>
    <row r="1078" spans="1:73" x14ac:dyDescent="0.35">
      <c r="A1078" s="7" t="s">
        <v>1379</v>
      </c>
      <c r="B1078" s="7" t="s">
        <v>1382</v>
      </c>
      <c r="C1078" s="5"/>
      <c r="D1078" s="5"/>
      <c r="E1078" s="5"/>
      <c r="F1078" s="5"/>
      <c r="G1078" s="5"/>
      <c r="H1078" s="5"/>
      <c r="I1078" s="18"/>
      <c r="J1078" s="5"/>
      <c r="K1078" s="5"/>
      <c r="L1078" s="5"/>
      <c r="BU1078" s="61"/>
    </row>
    <row r="1079" spans="1:73" x14ac:dyDescent="0.35">
      <c r="A1079" s="7" t="s">
        <v>1379</v>
      </c>
      <c r="B1079" s="7" t="s">
        <v>1382</v>
      </c>
      <c r="C1079" s="146" t="s">
        <v>848</v>
      </c>
      <c r="D1079" s="146" t="s">
        <v>38</v>
      </c>
      <c r="E1079" s="146" t="s">
        <v>933</v>
      </c>
      <c r="F1079" s="143">
        <v>210.06</v>
      </c>
      <c r="G1079" s="170" t="s">
        <v>39</v>
      </c>
      <c r="H1079" s="76">
        <v>64.671111111111102</v>
      </c>
      <c r="I1079" s="19" t="s">
        <v>40</v>
      </c>
      <c r="J1079" s="171">
        <v>1.350888888888889</v>
      </c>
      <c r="K1079" s="168" t="s">
        <v>44</v>
      </c>
      <c r="L1079" s="169" t="s">
        <v>188</v>
      </c>
      <c r="M1079" s="172">
        <v>0.20884804913039634</v>
      </c>
      <c r="N1079" s="78">
        <v>9.1408132117285046</v>
      </c>
      <c r="O1079" s="78">
        <v>0.87782080397898987</v>
      </c>
      <c r="BU1079" s="61"/>
    </row>
    <row r="1080" spans="1:73" x14ac:dyDescent="0.35">
      <c r="A1080" s="7" t="s">
        <v>1379</v>
      </c>
      <c r="B1080" s="7" t="s">
        <v>1382</v>
      </c>
      <c r="C1080" s="146" t="s">
        <v>848</v>
      </c>
      <c r="D1080" s="146" t="s">
        <v>38</v>
      </c>
      <c r="E1080" s="146" t="s">
        <v>934</v>
      </c>
      <c r="F1080" s="143">
        <v>210.3</v>
      </c>
      <c r="G1080" s="170" t="s">
        <v>39</v>
      </c>
      <c r="H1080" s="76">
        <v>64.704444444444405</v>
      </c>
      <c r="I1080" s="19" t="s">
        <v>40</v>
      </c>
      <c r="J1080" s="171">
        <v>1.3175555555555576</v>
      </c>
      <c r="K1080" s="168" t="s">
        <v>44</v>
      </c>
      <c r="L1080" s="169" t="s">
        <v>188</v>
      </c>
      <c r="M1080" s="172">
        <v>0.14119748041780866</v>
      </c>
      <c r="N1080" s="78">
        <v>9.4395918560446521</v>
      </c>
      <c r="O1080" s="78">
        <v>1.1765994482951374</v>
      </c>
      <c r="BU1080" s="61"/>
    </row>
    <row r="1081" spans="1:73" x14ac:dyDescent="0.35">
      <c r="A1081" s="7" t="s">
        <v>1379</v>
      </c>
      <c r="B1081" s="7" t="s">
        <v>1382</v>
      </c>
      <c r="C1081" s="146" t="s">
        <v>848</v>
      </c>
      <c r="D1081" s="146" t="s">
        <v>38</v>
      </c>
      <c r="E1081" s="146" t="s">
        <v>934</v>
      </c>
      <c r="F1081" s="143">
        <v>210.3</v>
      </c>
      <c r="G1081" s="170" t="s">
        <v>39</v>
      </c>
      <c r="H1081" s="76">
        <v>64.704444444444405</v>
      </c>
      <c r="I1081" s="19" t="s">
        <v>40</v>
      </c>
      <c r="J1081" s="171">
        <v>1.3175555555555576</v>
      </c>
      <c r="K1081" s="168" t="s">
        <v>44</v>
      </c>
      <c r="L1081" s="169" t="s">
        <v>188</v>
      </c>
      <c r="M1081" s="172">
        <v>0.16</v>
      </c>
      <c r="N1081" s="78">
        <v>9.3565230000000028</v>
      </c>
      <c r="O1081" s="78">
        <v>1.0935305922504881</v>
      </c>
      <c r="BU1081" s="61"/>
    </row>
    <row r="1082" spans="1:73" x14ac:dyDescent="0.35">
      <c r="A1082" s="7" t="s">
        <v>1379</v>
      </c>
      <c r="B1082" s="7" t="s">
        <v>1382</v>
      </c>
      <c r="C1082" s="146" t="s">
        <v>848</v>
      </c>
      <c r="D1082" s="146" t="s">
        <v>38</v>
      </c>
      <c r="E1082" s="146" t="s">
        <v>935</v>
      </c>
      <c r="F1082" s="143">
        <v>210.51</v>
      </c>
      <c r="G1082" s="170" t="s">
        <v>39</v>
      </c>
      <c r="H1082" s="76">
        <v>64.733611111111102</v>
      </c>
      <c r="I1082" s="19" t="s">
        <v>40</v>
      </c>
      <c r="J1082" s="171">
        <v>1.2883888888889032</v>
      </c>
      <c r="K1082" s="168" t="s">
        <v>44</v>
      </c>
      <c r="L1082" s="169" t="s">
        <v>188</v>
      </c>
      <c r="M1082" s="172">
        <v>0.351113215687751</v>
      </c>
      <c r="N1082" s="78">
        <v>8.5133952088572471</v>
      </c>
      <c r="O1082" s="78">
        <v>0.25040280110773239</v>
      </c>
      <c r="BU1082" s="61"/>
    </row>
    <row r="1083" spans="1:73" x14ac:dyDescent="0.35">
      <c r="A1083" s="7" t="s">
        <v>1379</v>
      </c>
      <c r="B1083" s="7" t="s">
        <v>1382</v>
      </c>
      <c r="C1083" s="146" t="s">
        <v>848</v>
      </c>
      <c r="D1083" s="146" t="s">
        <v>38</v>
      </c>
      <c r="E1083" s="146" t="s">
        <v>935</v>
      </c>
      <c r="F1083" s="143">
        <v>210.51</v>
      </c>
      <c r="G1083" s="170" t="s">
        <v>39</v>
      </c>
      <c r="H1083" s="76">
        <v>64.733611111111102</v>
      </c>
      <c r="I1083" s="19" t="s">
        <v>40</v>
      </c>
      <c r="J1083" s="171">
        <v>1.2883888888889032</v>
      </c>
      <c r="K1083" s="168" t="s">
        <v>44</v>
      </c>
      <c r="L1083" s="169" t="s">
        <v>188</v>
      </c>
      <c r="M1083" s="172">
        <v>0.18497137782007123</v>
      </c>
      <c r="N1083" s="78">
        <v>9.2462331427089275</v>
      </c>
      <c r="O1083" s="78">
        <v>0.98324073495941278</v>
      </c>
      <c r="BU1083" s="61"/>
    </row>
    <row r="1084" spans="1:73" x14ac:dyDescent="0.35">
      <c r="A1084" s="7" t="s">
        <v>1379</v>
      </c>
      <c r="B1084" s="7" t="s">
        <v>1382</v>
      </c>
      <c r="C1084" s="146" t="s">
        <v>848</v>
      </c>
      <c r="D1084" s="146" t="s">
        <v>38</v>
      </c>
      <c r="E1084" s="146" t="s">
        <v>936</v>
      </c>
      <c r="F1084" s="143">
        <v>210.75</v>
      </c>
      <c r="G1084" s="170" t="s">
        <v>39</v>
      </c>
      <c r="H1084" s="76">
        <v>64.783500000000004</v>
      </c>
      <c r="I1084" s="19" t="s">
        <v>40</v>
      </c>
      <c r="J1084" s="171">
        <v>1.2385000000000019</v>
      </c>
      <c r="K1084" s="168" t="s">
        <v>44</v>
      </c>
      <c r="L1084" s="169" t="s">
        <v>188</v>
      </c>
      <c r="M1084" s="172">
        <v>0.13224372867643641</v>
      </c>
      <c r="N1084" s="78">
        <v>9.4791566652626464</v>
      </c>
      <c r="O1084" s="78">
        <v>1.2161642575131317</v>
      </c>
      <c r="BU1084" s="61"/>
    </row>
    <row r="1085" spans="1:73" x14ac:dyDescent="0.35">
      <c r="A1085" s="7" t="s">
        <v>1379</v>
      </c>
      <c r="B1085" s="7" t="s">
        <v>1382</v>
      </c>
      <c r="C1085" s="146" t="s">
        <v>848</v>
      </c>
      <c r="D1085" s="146" t="s">
        <v>38</v>
      </c>
      <c r="E1085" s="146" t="s">
        <v>937</v>
      </c>
      <c r="F1085" s="143">
        <v>210.96</v>
      </c>
      <c r="G1085" s="170" t="s">
        <v>39</v>
      </c>
      <c r="H1085" s="76">
        <v>64.827782608695699</v>
      </c>
      <c r="I1085" s="19" t="s">
        <v>40</v>
      </c>
      <c r="J1085" s="171">
        <v>1.194217391304349</v>
      </c>
      <c r="K1085" s="168" t="s">
        <v>44</v>
      </c>
      <c r="L1085" s="169" t="s">
        <v>188</v>
      </c>
      <c r="M1085" s="172">
        <v>-8.2646313116491399E-2</v>
      </c>
      <c r="N1085" s="78">
        <v>10.430155140558862</v>
      </c>
      <c r="O1085" s="78">
        <v>2.1671627328093468</v>
      </c>
      <c r="BU1085" s="61"/>
    </row>
    <row r="1086" spans="1:73" x14ac:dyDescent="0.35">
      <c r="A1086" s="7" t="s">
        <v>1379</v>
      </c>
      <c r="B1086" s="7" t="s">
        <v>1382</v>
      </c>
      <c r="C1086" s="146" t="s">
        <v>848</v>
      </c>
      <c r="D1086" s="146" t="s">
        <v>38</v>
      </c>
      <c r="E1086" s="146" t="s">
        <v>938</v>
      </c>
      <c r="F1086" s="143">
        <v>211.02</v>
      </c>
      <c r="G1086" s="170" t="s">
        <v>39</v>
      </c>
      <c r="H1086" s="76">
        <v>64.842526315789499</v>
      </c>
      <c r="I1086" s="19" t="s">
        <v>40</v>
      </c>
      <c r="J1086" s="171">
        <v>1.1794736842105351</v>
      </c>
      <c r="K1086" s="168" t="s">
        <v>44</v>
      </c>
      <c r="L1086" s="169" t="s">
        <v>188</v>
      </c>
      <c r="M1086" s="172">
        <v>-3.2903247886647335E-2</v>
      </c>
      <c r="N1086" s="78">
        <v>10.209770157105835</v>
      </c>
      <c r="O1086" s="78">
        <v>1.9467777493563201</v>
      </c>
      <c r="BU1086" s="61"/>
    </row>
    <row r="1087" spans="1:73" x14ac:dyDescent="0.35">
      <c r="A1087" s="7" t="s">
        <v>1379</v>
      </c>
      <c r="B1087" s="7" t="s">
        <v>1382</v>
      </c>
      <c r="C1087" s="146" t="s">
        <v>848</v>
      </c>
      <c r="D1087" s="146" t="s">
        <v>38</v>
      </c>
      <c r="E1087" s="146" t="s">
        <v>938</v>
      </c>
      <c r="F1087" s="143">
        <v>211.02</v>
      </c>
      <c r="G1087" s="170" t="s">
        <v>39</v>
      </c>
      <c r="H1087" s="76">
        <v>64.842526315789499</v>
      </c>
      <c r="I1087" s="19" t="s">
        <v>40</v>
      </c>
      <c r="J1087" s="171">
        <v>1.1794736842105351</v>
      </c>
      <c r="K1087" s="168" t="s">
        <v>44</v>
      </c>
      <c r="L1087" s="169" t="s">
        <v>188</v>
      </c>
      <c r="M1087" s="172">
        <v>2.4798707779972951E-2</v>
      </c>
      <c r="N1087" s="78">
        <v>9.9543095699352886</v>
      </c>
      <c r="O1087" s="78">
        <v>1.6913171621857739</v>
      </c>
      <c r="BU1087" s="61"/>
    </row>
    <row r="1088" spans="1:73" x14ac:dyDescent="0.35">
      <c r="A1088" s="7" t="s">
        <v>1379</v>
      </c>
      <c r="B1088" s="7" t="s">
        <v>1382</v>
      </c>
      <c r="C1088" s="146" t="s">
        <v>848</v>
      </c>
      <c r="D1088" s="146" t="s">
        <v>38</v>
      </c>
      <c r="E1088" s="146" t="s">
        <v>939</v>
      </c>
      <c r="F1088" s="143">
        <v>211.23</v>
      </c>
      <c r="G1088" s="170" t="s">
        <v>39</v>
      </c>
      <c r="H1088" s="76">
        <v>64.897789473684199</v>
      </c>
      <c r="I1088" s="19" t="s">
        <v>40</v>
      </c>
      <c r="J1088" s="171">
        <v>1.1242105263158066</v>
      </c>
      <c r="K1088" s="168" t="s">
        <v>44</v>
      </c>
      <c r="L1088" s="169" t="s">
        <v>188</v>
      </c>
      <c r="M1088" s="172">
        <v>5.2654824308684844E-2</v>
      </c>
      <c r="N1088" s="78">
        <v>9.8310552687011423</v>
      </c>
      <c r="O1088" s="78">
        <v>1.5680628609516276</v>
      </c>
      <c r="BU1088" s="61"/>
    </row>
    <row r="1089" spans="1:73" x14ac:dyDescent="0.35">
      <c r="A1089" s="7" t="s">
        <v>1379</v>
      </c>
      <c r="B1089" s="7" t="s">
        <v>1382</v>
      </c>
      <c r="C1089" s="146" t="s">
        <v>848</v>
      </c>
      <c r="D1089" s="146" t="s">
        <v>38</v>
      </c>
      <c r="E1089" s="146" t="s">
        <v>940</v>
      </c>
      <c r="F1089" s="143">
        <v>211.48</v>
      </c>
      <c r="G1089" s="170" t="s">
        <v>39</v>
      </c>
      <c r="H1089" s="76">
        <v>64.962146341463395</v>
      </c>
      <c r="I1089" s="19" t="s">
        <v>40</v>
      </c>
      <c r="J1089" s="171">
        <v>1.0598536000000109</v>
      </c>
      <c r="K1089" s="168" t="s">
        <v>44</v>
      </c>
      <c r="L1089" s="169" t="s">
        <v>188</v>
      </c>
      <c r="M1089" s="172">
        <v>7.9516079532801598E-2</v>
      </c>
      <c r="N1089" s="78">
        <v>9.7122470001154166</v>
      </c>
      <c r="O1089" s="78">
        <v>1.4492545923659019</v>
      </c>
      <c r="BU1089" s="61"/>
    </row>
    <row r="1090" spans="1:73" x14ac:dyDescent="0.35">
      <c r="A1090" s="7" t="s">
        <v>1379</v>
      </c>
      <c r="B1090" s="7" t="s">
        <v>1382</v>
      </c>
      <c r="C1090" s="146" t="s">
        <v>848</v>
      </c>
      <c r="D1090" s="146" t="s">
        <v>38</v>
      </c>
      <c r="E1090" s="146" t="s">
        <v>941</v>
      </c>
      <c r="F1090" s="143">
        <v>211.72</v>
      </c>
      <c r="G1090" s="170" t="s">
        <v>39</v>
      </c>
      <c r="H1090" s="76">
        <v>65.022439024390195</v>
      </c>
      <c r="I1090" s="19" t="s">
        <v>40</v>
      </c>
      <c r="J1090" s="171">
        <v>0.99956079999999758</v>
      </c>
      <c r="K1090" s="168" t="s">
        <v>44</v>
      </c>
      <c r="L1090" s="169" t="s">
        <v>188</v>
      </c>
      <c r="M1090" s="172">
        <v>0.16208956781434303</v>
      </c>
      <c r="N1090" s="78">
        <v>9.3472926741257325</v>
      </c>
      <c r="O1090" s="78">
        <v>1.0843002663762178</v>
      </c>
      <c r="BU1090" s="61"/>
    </row>
    <row r="1091" spans="1:73" x14ac:dyDescent="0.35">
      <c r="A1091" s="7" t="s">
        <v>1379</v>
      </c>
      <c r="B1091" s="7" t="s">
        <v>1382</v>
      </c>
      <c r="C1091" s="146" t="s">
        <v>848</v>
      </c>
      <c r="D1091" s="146" t="s">
        <v>38</v>
      </c>
      <c r="E1091" s="146" t="s">
        <v>941</v>
      </c>
      <c r="F1091" s="143">
        <v>211.72</v>
      </c>
      <c r="G1091" s="170" t="s">
        <v>39</v>
      </c>
      <c r="H1091" s="76">
        <v>65.022439024390195</v>
      </c>
      <c r="I1091" s="19" t="s">
        <v>40</v>
      </c>
      <c r="J1091" s="171">
        <v>0.99956079999999758</v>
      </c>
      <c r="K1091" s="168" t="s">
        <v>44</v>
      </c>
      <c r="L1091" s="169" t="s">
        <v>188</v>
      </c>
      <c r="M1091" s="172">
        <v>-3.3898109191243364E-2</v>
      </c>
      <c r="N1091" s="78">
        <v>10.214176401843838</v>
      </c>
      <c r="O1091" s="78">
        <v>1.9511839940943236</v>
      </c>
      <c r="BU1091" s="61"/>
    </row>
    <row r="1092" spans="1:73" x14ac:dyDescent="0.35">
      <c r="A1092" s="7" t="s">
        <v>1379</v>
      </c>
      <c r="B1092" s="7" t="s">
        <v>1382</v>
      </c>
      <c r="C1092" s="146" t="s">
        <v>848</v>
      </c>
      <c r="D1092" s="146" t="s">
        <v>38</v>
      </c>
      <c r="E1092" s="146" t="s">
        <v>942</v>
      </c>
      <c r="F1092" s="143">
        <v>211.94</v>
      </c>
      <c r="G1092" s="170" t="s">
        <v>39</v>
      </c>
      <c r="H1092" s="76">
        <v>65.061596774193504</v>
      </c>
      <c r="I1092" s="19" t="s">
        <v>40</v>
      </c>
      <c r="J1092" s="171">
        <v>0.96062544776120262</v>
      </c>
      <c r="K1092" s="168" t="s">
        <v>44</v>
      </c>
      <c r="L1092" s="169" t="s">
        <v>188</v>
      </c>
      <c r="M1092" s="172">
        <v>4.9014816880346146E-3</v>
      </c>
      <c r="N1092" s="78">
        <v>10.042376861302754</v>
      </c>
      <c r="O1092" s="78">
        <v>1.7793844535532397</v>
      </c>
      <c r="BU1092" s="61"/>
    </row>
    <row r="1093" spans="1:73" x14ac:dyDescent="0.35">
      <c r="A1093" s="7" t="s">
        <v>1379</v>
      </c>
      <c r="B1093" s="7" t="s">
        <v>1382</v>
      </c>
      <c r="C1093" s="146" t="s">
        <v>848</v>
      </c>
      <c r="D1093" s="146" t="s">
        <v>38</v>
      </c>
      <c r="E1093" s="146" t="s">
        <v>943</v>
      </c>
      <c r="F1093" s="143">
        <v>212.21</v>
      </c>
      <c r="G1093" s="170" t="s">
        <v>39</v>
      </c>
      <c r="H1093" s="76">
        <v>65.103838709677404</v>
      </c>
      <c r="I1093" s="19" t="s">
        <v>40</v>
      </c>
      <c r="J1093" s="171">
        <v>0.91875932835820606</v>
      </c>
      <c r="K1093" s="168" t="s">
        <v>44</v>
      </c>
      <c r="L1093" s="169" t="s">
        <v>188</v>
      </c>
      <c r="M1093" s="172">
        <v>0.17800734868789281</v>
      </c>
      <c r="N1093" s="78">
        <v>9.2769870658443061</v>
      </c>
      <c r="O1093" s="78">
        <v>1.0139946580947914</v>
      </c>
      <c r="BU1093" s="61"/>
    </row>
    <row r="1094" spans="1:73" x14ac:dyDescent="0.35">
      <c r="A1094" s="7" t="s">
        <v>1379</v>
      </c>
      <c r="B1094" s="7" t="s">
        <v>1382</v>
      </c>
      <c r="C1094" s="146" t="s">
        <v>848</v>
      </c>
      <c r="D1094" s="146" t="s">
        <v>38</v>
      </c>
      <c r="E1094" s="146" t="s">
        <v>944</v>
      </c>
      <c r="F1094" s="143">
        <v>212.45</v>
      </c>
      <c r="G1094" s="170" t="s">
        <v>39</v>
      </c>
      <c r="H1094" s="76">
        <v>65.140454545454503</v>
      </c>
      <c r="I1094" s="19" t="s">
        <v>40</v>
      </c>
      <c r="J1094" s="171">
        <v>0.88154500000000269</v>
      </c>
      <c r="K1094" s="168" t="s">
        <v>44</v>
      </c>
      <c r="L1094" s="169" t="s">
        <v>188</v>
      </c>
      <c r="M1094" s="172">
        <v>-3.9867277018824865E-2</v>
      </c>
      <c r="N1094" s="78">
        <v>10.240615117355647</v>
      </c>
      <c r="O1094" s="78">
        <v>1.9776227096061323</v>
      </c>
      <c r="BU1094" s="61"/>
    </row>
    <row r="1095" spans="1:73" x14ac:dyDescent="0.35">
      <c r="A1095" s="7" t="s">
        <v>1379</v>
      </c>
      <c r="B1095" s="7" t="s">
        <v>1382</v>
      </c>
      <c r="C1095" s="146" t="s">
        <v>848</v>
      </c>
      <c r="D1095" s="146" t="s">
        <v>38</v>
      </c>
      <c r="E1095" s="146" t="s">
        <v>944</v>
      </c>
      <c r="F1095" s="143">
        <v>212.45</v>
      </c>
      <c r="G1095" s="170" t="s">
        <v>39</v>
      </c>
      <c r="H1095" s="76">
        <v>65.140454545454503</v>
      </c>
      <c r="I1095" s="19" t="s">
        <v>40</v>
      </c>
      <c r="J1095" s="171">
        <v>0.88154500000000269</v>
      </c>
      <c r="K1095" s="168" t="s">
        <v>44</v>
      </c>
      <c r="L1095" s="169" t="s">
        <v>188</v>
      </c>
      <c r="M1095" s="172">
        <v>-7.8666867898103732E-2</v>
      </c>
      <c r="N1095" s="78">
        <v>10.412518878468054</v>
      </c>
      <c r="O1095" s="78">
        <v>2.1495264707185395</v>
      </c>
      <c r="BU1095" s="61"/>
    </row>
    <row r="1096" spans="1:73" x14ac:dyDescent="0.35">
      <c r="A1096" s="7" t="s">
        <v>1379</v>
      </c>
      <c r="B1096" s="7" t="s">
        <v>1382</v>
      </c>
      <c r="C1096" s="146" t="s">
        <v>848</v>
      </c>
      <c r="D1096" s="146" t="s">
        <v>38</v>
      </c>
      <c r="E1096" s="146" t="s">
        <v>945</v>
      </c>
      <c r="F1096" s="143">
        <v>212.69</v>
      </c>
      <c r="G1096" s="170" t="s">
        <v>39</v>
      </c>
      <c r="H1096" s="76">
        <v>65.174272727272694</v>
      </c>
      <c r="I1096" s="19" t="s">
        <v>40</v>
      </c>
      <c r="J1096" s="171">
        <v>0.84670762295081659</v>
      </c>
      <c r="K1096" s="168" t="s">
        <v>44</v>
      </c>
      <c r="L1096" s="169" t="s">
        <v>188</v>
      </c>
      <c r="M1096" s="172">
        <v>0.12030539302127341</v>
      </c>
      <c r="N1096" s="78">
        <v>9.5319172267225252</v>
      </c>
      <c r="O1096" s="78">
        <v>1.2689248189730105</v>
      </c>
      <c r="BU1096" s="61"/>
    </row>
    <row r="1097" spans="1:73" x14ac:dyDescent="0.35">
      <c r="A1097" s="7" t="s">
        <v>1379</v>
      </c>
      <c r="B1097" s="7" t="s">
        <v>1382</v>
      </c>
      <c r="C1097" s="146" t="s">
        <v>848</v>
      </c>
      <c r="D1097" s="146" t="s">
        <v>38</v>
      </c>
      <c r="E1097" s="146" t="s">
        <v>946</v>
      </c>
      <c r="F1097" s="143">
        <v>212.94</v>
      </c>
      <c r="G1097" s="170" t="s">
        <v>39</v>
      </c>
      <c r="H1097" s="76">
        <v>65.209500000000006</v>
      </c>
      <c r="I1097" s="19" t="s">
        <v>40</v>
      </c>
      <c r="J1097" s="171">
        <v>0.81041868852459231</v>
      </c>
      <c r="K1097" s="168" t="s">
        <v>44</v>
      </c>
      <c r="L1097" s="169" t="s">
        <v>188</v>
      </c>
      <c r="M1097" s="172">
        <v>0.13622317389482319</v>
      </c>
      <c r="N1097" s="78">
        <v>9.4615717117607989</v>
      </c>
      <c r="O1097" s="78">
        <v>1.1985793040112842</v>
      </c>
      <c r="BU1097" s="61"/>
    </row>
    <row r="1098" spans="1:73" x14ac:dyDescent="0.35">
      <c r="A1098" s="7" t="s">
        <v>1379</v>
      </c>
      <c r="B1098" s="7" t="s">
        <v>1382</v>
      </c>
      <c r="C1098" s="146" t="s">
        <v>848</v>
      </c>
      <c r="D1098" s="146" t="s">
        <v>38</v>
      </c>
      <c r="E1098" s="146" t="s">
        <v>947</v>
      </c>
      <c r="F1098" s="143">
        <v>213.18</v>
      </c>
      <c r="G1098" s="170" t="s">
        <v>39</v>
      </c>
      <c r="H1098" s="76">
        <v>65.277000000000001</v>
      </c>
      <c r="I1098" s="19" t="s">
        <v>40</v>
      </c>
      <c r="J1098" s="171">
        <v>0.77558131147542042</v>
      </c>
      <c r="K1098" s="168" t="s">
        <v>44</v>
      </c>
      <c r="L1098" s="169" t="s">
        <v>188</v>
      </c>
      <c r="M1098" s="172">
        <v>0.13224372867643641</v>
      </c>
      <c r="N1098" s="78">
        <v>9.4791566652626464</v>
      </c>
      <c r="O1098" s="78">
        <v>1.2161642575131317</v>
      </c>
      <c r="BU1098" s="61"/>
    </row>
    <row r="1099" spans="1:73" x14ac:dyDescent="0.35">
      <c r="A1099" s="7" t="s">
        <v>1379</v>
      </c>
      <c r="B1099" s="7" t="s">
        <v>1382</v>
      </c>
      <c r="C1099" s="146" t="s">
        <v>848</v>
      </c>
      <c r="D1099" s="146" t="s">
        <v>38</v>
      </c>
      <c r="E1099" s="146" t="s">
        <v>948</v>
      </c>
      <c r="F1099" s="143">
        <v>213.42</v>
      </c>
      <c r="G1099" s="170" t="s">
        <v>39</v>
      </c>
      <c r="H1099" s="76">
        <v>65.348249999999993</v>
      </c>
      <c r="I1099" s="19" t="s">
        <v>40</v>
      </c>
      <c r="J1099" s="171">
        <v>0.67352078125001924</v>
      </c>
      <c r="K1099" s="168" t="s">
        <v>44</v>
      </c>
      <c r="L1099" s="169" t="s">
        <v>188</v>
      </c>
      <c r="M1099" s="172">
        <v>0.17701248738329589</v>
      </c>
      <c r="N1099" s="78">
        <v>9.2813807209748393</v>
      </c>
      <c r="O1099" s="78">
        <v>1.0183883132253246</v>
      </c>
      <c r="BU1099" s="61"/>
    </row>
    <row r="1100" spans="1:73" x14ac:dyDescent="0.35">
      <c r="A1100" s="7" t="s">
        <v>1379</v>
      </c>
      <c r="B1100" s="7" t="s">
        <v>1382</v>
      </c>
      <c r="C1100" s="146" t="s">
        <v>848</v>
      </c>
      <c r="D1100" s="146" t="s">
        <v>38</v>
      </c>
      <c r="E1100" s="146" t="s">
        <v>948</v>
      </c>
      <c r="F1100" s="143">
        <v>213.42</v>
      </c>
      <c r="G1100" s="170" t="s">
        <v>39</v>
      </c>
      <c r="H1100" s="76">
        <v>65.348249999999993</v>
      </c>
      <c r="I1100" s="19" t="s">
        <v>40</v>
      </c>
      <c r="J1100" s="171">
        <v>0.67352078125001924</v>
      </c>
      <c r="K1100" s="168" t="s">
        <v>44</v>
      </c>
      <c r="L1100" s="169" t="s">
        <v>188</v>
      </c>
      <c r="M1100" s="172">
        <v>0.16507415172813378</v>
      </c>
      <c r="N1100" s="78">
        <v>9.3341092145666167</v>
      </c>
      <c r="O1100" s="78">
        <v>1.071116806817102</v>
      </c>
      <c r="BU1100" s="61"/>
    </row>
    <row r="1101" spans="1:73" x14ac:dyDescent="0.35">
      <c r="A1101" s="7" t="s">
        <v>1379</v>
      </c>
      <c r="B1101" s="7" t="s">
        <v>1382</v>
      </c>
      <c r="C1101" s="146" t="s">
        <v>848</v>
      </c>
      <c r="D1101" s="146" t="s">
        <v>38</v>
      </c>
      <c r="E1101" s="146" t="s">
        <v>949</v>
      </c>
      <c r="F1101" s="143">
        <v>213.67</v>
      </c>
      <c r="G1101" s="170" t="s">
        <v>39</v>
      </c>
      <c r="H1101" s="76">
        <v>65.391999999999996</v>
      </c>
      <c r="I1101" s="19" t="s">
        <v>40</v>
      </c>
      <c r="J1101" s="171">
        <v>0.62913406250001458</v>
      </c>
      <c r="K1101" s="168" t="s">
        <v>44</v>
      </c>
      <c r="L1101" s="169" t="s">
        <v>188</v>
      </c>
      <c r="M1101" s="172">
        <v>9.4438999101754462E-2</v>
      </c>
      <c r="N1101" s="78">
        <v>9.6462611127130753</v>
      </c>
      <c r="O1101" s="78">
        <v>1.3832687049635606</v>
      </c>
      <c r="BU1101" s="61"/>
    </row>
    <row r="1102" spans="1:73" x14ac:dyDescent="0.35">
      <c r="A1102" s="7" t="s">
        <v>1379</v>
      </c>
      <c r="B1102" s="7" t="s">
        <v>1382</v>
      </c>
      <c r="C1102" s="146" t="s">
        <v>848</v>
      </c>
      <c r="D1102" s="146" t="s">
        <v>38</v>
      </c>
      <c r="E1102" s="146" t="s">
        <v>950</v>
      </c>
      <c r="F1102" s="143">
        <v>213.91</v>
      </c>
      <c r="G1102" s="170" t="s">
        <v>39</v>
      </c>
      <c r="H1102" s="76">
        <v>65.433999999999997</v>
      </c>
      <c r="I1102" s="19" t="s">
        <v>40</v>
      </c>
      <c r="J1102" s="171">
        <v>0.58652281250000726</v>
      </c>
      <c r="K1102" s="168" t="s">
        <v>44</v>
      </c>
      <c r="L1102" s="169" t="s">
        <v>188</v>
      </c>
      <c r="M1102" s="172">
        <v>0.15711526129135844</v>
      </c>
      <c r="N1102" s="78">
        <v>9.3692662944230776</v>
      </c>
      <c r="O1102" s="78">
        <v>1.1062738866735629</v>
      </c>
      <c r="BU1102" s="61"/>
    </row>
    <row r="1103" spans="1:73" x14ac:dyDescent="0.35">
      <c r="A1103" s="7" t="s">
        <v>1379</v>
      </c>
      <c r="B1103" s="7" t="s">
        <v>1382</v>
      </c>
      <c r="C1103" s="146" t="s">
        <v>848</v>
      </c>
      <c r="D1103" s="146" t="s">
        <v>38</v>
      </c>
      <c r="E1103" s="146" t="s">
        <v>951</v>
      </c>
      <c r="F1103" s="143">
        <v>214.15</v>
      </c>
      <c r="G1103" s="170" t="s">
        <v>39</v>
      </c>
      <c r="H1103" s="76">
        <v>65.482521739130405</v>
      </c>
      <c r="I1103" s="19" t="s">
        <v>40</v>
      </c>
      <c r="J1103" s="171">
        <v>0.5399980000000113</v>
      </c>
      <c r="K1103" s="168" t="s">
        <v>44</v>
      </c>
      <c r="L1103" s="169" t="s">
        <v>188</v>
      </c>
      <c r="M1103" s="172">
        <v>0.17701248738329589</v>
      </c>
      <c r="N1103" s="78">
        <v>9.2813807209748393</v>
      </c>
      <c r="O1103" s="78">
        <v>1.0183883132253246</v>
      </c>
      <c r="BU1103" s="61"/>
    </row>
    <row r="1104" spans="1:73" x14ac:dyDescent="0.35">
      <c r="A1104" s="7" t="s">
        <v>1379</v>
      </c>
      <c r="B1104" s="7" t="s">
        <v>1382</v>
      </c>
      <c r="C1104" s="146" t="s">
        <v>848</v>
      </c>
      <c r="D1104" s="146" t="s">
        <v>38</v>
      </c>
      <c r="E1104" s="146" t="s">
        <v>952</v>
      </c>
      <c r="F1104" s="143">
        <v>214.39499000000001</v>
      </c>
      <c r="G1104" s="170" t="s">
        <v>39</v>
      </c>
      <c r="H1104" s="76">
        <v>65.5305238095238</v>
      </c>
      <c r="I1104" s="19" t="s">
        <v>40</v>
      </c>
      <c r="J1104" s="171">
        <v>0.49117421511111559</v>
      </c>
      <c r="K1104" s="168" t="s">
        <v>44</v>
      </c>
      <c r="L1104" s="169" t="s">
        <v>188</v>
      </c>
      <c r="M1104" s="172">
        <v>3.2757598216747397E-2</v>
      </c>
      <c r="N1104" s="78">
        <v>9.9190893045016892</v>
      </c>
      <c r="O1104" s="78">
        <v>1.6560968967521745</v>
      </c>
      <c r="BU1104" s="61"/>
    </row>
    <row r="1105" spans="1:73" x14ac:dyDescent="0.35">
      <c r="A1105" s="7" t="s">
        <v>1379</v>
      </c>
      <c r="B1105" s="7" t="s">
        <v>1382</v>
      </c>
      <c r="C1105" s="146" t="s">
        <v>848</v>
      </c>
      <c r="D1105" s="146" t="s">
        <v>38</v>
      </c>
      <c r="E1105" s="146" t="s">
        <v>953</v>
      </c>
      <c r="F1105" s="143">
        <v>214.47355999999999</v>
      </c>
      <c r="G1105" s="170" t="s">
        <v>39</v>
      </c>
      <c r="H1105" s="76">
        <v>65.544619047619094</v>
      </c>
      <c r="I1105" s="19" t="s">
        <v>40</v>
      </c>
      <c r="J1105" s="171">
        <v>0.47662849586158984</v>
      </c>
      <c r="K1105" s="168" t="s">
        <v>44</v>
      </c>
      <c r="L1105" s="169" t="s">
        <v>188</v>
      </c>
      <c r="M1105" s="172">
        <v>3.9721627348925814E-2</v>
      </c>
      <c r="N1105" s="78">
        <v>9.8882746899566865</v>
      </c>
      <c r="O1105" s="78">
        <v>1.6252822822071717</v>
      </c>
      <c r="BU1105" s="61"/>
    </row>
    <row r="1106" spans="1:73" x14ac:dyDescent="0.35">
      <c r="A1106" s="7" t="s">
        <v>1379</v>
      </c>
      <c r="B1106" s="7" t="s">
        <v>1382</v>
      </c>
      <c r="C1106" s="146" t="s">
        <v>848</v>
      </c>
      <c r="D1106" s="146" t="s">
        <v>38</v>
      </c>
      <c r="E1106" s="146" t="s">
        <v>954</v>
      </c>
      <c r="F1106" s="143">
        <v>214.88861</v>
      </c>
      <c r="G1106" s="170" t="s">
        <v>39</v>
      </c>
      <c r="H1106" s="76">
        <v>65.626238095238094</v>
      </c>
      <c r="I1106" s="19" t="s">
        <v>40</v>
      </c>
      <c r="J1106" s="171">
        <v>0.3955683277655595</v>
      </c>
      <c r="K1106" s="168" t="s">
        <v>44</v>
      </c>
      <c r="L1106" s="169" t="s">
        <v>188</v>
      </c>
      <c r="M1106" s="172">
        <v>7.5536634314413043E-2</v>
      </c>
      <c r="N1106" s="78">
        <v>9.7298454933838023</v>
      </c>
      <c r="O1106" s="78">
        <v>1.4668530856342876</v>
      </c>
      <c r="BU1106" s="61"/>
    </row>
    <row r="1107" spans="1:73" x14ac:dyDescent="0.35">
      <c r="A1107" s="7" t="s">
        <v>1379</v>
      </c>
      <c r="B1107" s="7" t="s">
        <v>1382</v>
      </c>
      <c r="C1107" s="146" t="s">
        <v>848</v>
      </c>
      <c r="D1107" s="146" t="s">
        <v>38</v>
      </c>
      <c r="E1107" s="146" t="s">
        <v>954</v>
      </c>
      <c r="F1107" s="143">
        <v>214.88861</v>
      </c>
      <c r="G1107" s="170" t="s">
        <v>39</v>
      </c>
      <c r="H1107" s="76">
        <v>65.626238095238094</v>
      </c>
      <c r="I1107" s="19" t="s">
        <v>40</v>
      </c>
      <c r="J1107" s="171">
        <v>0.39280123377777443</v>
      </c>
      <c r="K1107" s="168" t="s">
        <v>44</v>
      </c>
      <c r="L1107" s="169" t="s">
        <v>188</v>
      </c>
      <c r="M1107" s="172">
        <v>0.10040816692933596</v>
      </c>
      <c r="N1107" s="78">
        <v>9.6198704990034152</v>
      </c>
      <c r="O1107" s="78">
        <v>1.3568780912539005</v>
      </c>
      <c r="BU1107" s="61"/>
    </row>
    <row r="1108" spans="1:73" x14ac:dyDescent="0.35">
      <c r="A1108" s="7" t="s">
        <v>1379</v>
      </c>
      <c r="B1108" s="7" t="s">
        <v>1382</v>
      </c>
      <c r="C1108" s="146" t="s">
        <v>848</v>
      </c>
      <c r="D1108" s="146" t="s">
        <v>38</v>
      </c>
      <c r="E1108" s="146" t="s">
        <v>955</v>
      </c>
      <c r="F1108" s="143">
        <v>215.06361000000001</v>
      </c>
      <c r="G1108" s="170" t="s">
        <v>39</v>
      </c>
      <c r="H1108" s="76">
        <v>65.669142857142901</v>
      </c>
      <c r="I1108" s="19" t="s">
        <v>40</v>
      </c>
      <c r="J1108" s="171">
        <v>0.35792567822221599</v>
      </c>
      <c r="K1108" s="168" t="s">
        <v>44</v>
      </c>
      <c r="L1108" s="169" t="s">
        <v>188</v>
      </c>
      <c r="M1108" s="143">
        <v>0.1925782848365154</v>
      </c>
      <c r="N1108" s="78">
        <v>9.2126435249024681</v>
      </c>
      <c r="O1108" s="78">
        <v>0.94965111715295336</v>
      </c>
      <c r="BU1108" s="61"/>
    </row>
    <row r="1109" spans="1:73" x14ac:dyDescent="0.35">
      <c r="A1109" s="7" t="s">
        <v>1379</v>
      </c>
      <c r="B1109" s="7" t="s">
        <v>1382</v>
      </c>
      <c r="C1109" s="146" t="s">
        <v>848</v>
      </c>
      <c r="D1109" s="146" t="s">
        <v>38</v>
      </c>
      <c r="E1109" s="146" t="s">
        <v>955</v>
      </c>
      <c r="F1109" s="143">
        <v>215.06361000000001</v>
      </c>
      <c r="G1109" s="170" t="s">
        <v>39</v>
      </c>
      <c r="H1109" s="76">
        <v>65.669142857142901</v>
      </c>
      <c r="I1109" s="19" t="s">
        <v>40</v>
      </c>
      <c r="J1109" s="171">
        <v>0.35792567822221599</v>
      </c>
      <c r="K1109" s="168" t="s">
        <v>44</v>
      </c>
      <c r="L1109" s="169" t="s">
        <v>188</v>
      </c>
      <c r="M1109" s="143">
        <v>0.21302084377110031</v>
      </c>
      <c r="N1109" s="78">
        <v>9.1223930610217696</v>
      </c>
      <c r="O1109" s="78">
        <v>0.8594006532722549</v>
      </c>
      <c r="BU1109" s="61"/>
    </row>
    <row r="1110" spans="1:73" x14ac:dyDescent="0.35">
      <c r="A1110" s="7" t="s">
        <v>1379</v>
      </c>
      <c r="B1110" s="7" t="s">
        <v>1382</v>
      </c>
      <c r="C1110" s="146" t="s">
        <v>848</v>
      </c>
      <c r="D1110" s="146" t="s">
        <v>38</v>
      </c>
      <c r="E1110" s="146" t="s">
        <v>955</v>
      </c>
      <c r="F1110" s="143">
        <v>215.06361000000001</v>
      </c>
      <c r="G1110" s="170" t="s">
        <v>39</v>
      </c>
      <c r="H1110" s="76">
        <v>65.669142857142901</v>
      </c>
      <c r="I1110" s="19" t="s">
        <v>40</v>
      </c>
      <c r="J1110" s="171">
        <v>0.35792567822221599</v>
      </c>
      <c r="K1110" s="168" t="s">
        <v>44</v>
      </c>
      <c r="L1110" s="169" t="s">
        <v>188</v>
      </c>
      <c r="M1110" s="143">
        <v>0.2948843395421763</v>
      </c>
      <c r="N1110" s="78">
        <v>8.7612307320580047</v>
      </c>
      <c r="O1110" s="78">
        <v>0.49823832430849002</v>
      </c>
      <c r="BU1110" s="61"/>
    </row>
    <row r="1111" spans="1:73" x14ac:dyDescent="0.35">
      <c r="A1111" s="7" t="s">
        <v>1379</v>
      </c>
      <c r="B1111" s="7" t="s">
        <v>1382</v>
      </c>
      <c r="C1111" s="146" t="s">
        <v>848</v>
      </c>
      <c r="D1111" s="146" t="s">
        <v>38</v>
      </c>
      <c r="E1111" s="146" t="s">
        <v>956</v>
      </c>
      <c r="F1111" s="143">
        <v>215.22917000000001</v>
      </c>
      <c r="G1111" s="170" t="s">
        <v>39</v>
      </c>
      <c r="H1111" s="76">
        <v>65.715400000000002</v>
      </c>
      <c r="I1111" s="19" t="s">
        <v>40</v>
      </c>
      <c r="J1111" s="171">
        <v>0.32493140977777557</v>
      </c>
      <c r="K1111" s="168" t="s">
        <v>44</v>
      </c>
      <c r="L1111" s="169" t="s">
        <v>188</v>
      </c>
      <c r="M1111" s="143">
        <v>0.1755656226615292</v>
      </c>
      <c r="N1111" s="78">
        <v>9.2877706871132304</v>
      </c>
      <c r="O1111" s="78">
        <v>1.0247782793637157</v>
      </c>
      <c r="BU1111" s="61"/>
    </row>
    <row r="1112" spans="1:73" x14ac:dyDescent="0.35">
      <c r="A1112" s="7" t="s">
        <v>1379</v>
      </c>
      <c r="B1112" s="7" t="s">
        <v>1382</v>
      </c>
      <c r="C1112" s="146" t="s">
        <v>848</v>
      </c>
      <c r="D1112" s="146" t="s">
        <v>38</v>
      </c>
      <c r="E1112" s="146" t="s">
        <v>956</v>
      </c>
      <c r="F1112" s="143">
        <v>215.22917000000001</v>
      </c>
      <c r="G1112" s="170" t="s">
        <v>39</v>
      </c>
      <c r="H1112" s="76">
        <v>65.715400000000002</v>
      </c>
      <c r="I1112" s="19" t="s">
        <v>40</v>
      </c>
      <c r="J1112" s="171">
        <v>0.32493140977777557</v>
      </c>
      <c r="K1112" s="168" t="s">
        <v>44</v>
      </c>
      <c r="L1112" s="169" t="s">
        <v>188</v>
      </c>
      <c r="M1112" s="143">
        <v>0.47431181353223373</v>
      </c>
      <c r="N1112" s="78">
        <v>7.9710457523864919</v>
      </c>
      <c r="O1112" s="78">
        <v>-0.29194665536302278</v>
      </c>
      <c r="BU1112" s="61"/>
    </row>
    <row r="1113" spans="1:73" x14ac:dyDescent="0.35">
      <c r="A1113" s="7" t="s">
        <v>1379</v>
      </c>
      <c r="B1113" s="7" t="s">
        <v>1382</v>
      </c>
      <c r="C1113" s="146" t="s">
        <v>848</v>
      </c>
      <c r="D1113" s="146" t="s">
        <v>38</v>
      </c>
      <c r="E1113" s="146" t="s">
        <v>956</v>
      </c>
      <c r="F1113" s="143">
        <v>215.22917000000001</v>
      </c>
      <c r="G1113" s="170" t="s">
        <v>39</v>
      </c>
      <c r="H1113" s="76">
        <v>65.715400000000002</v>
      </c>
      <c r="I1113" s="19" t="s">
        <v>40</v>
      </c>
      <c r="J1113" s="171">
        <v>0.32493140977777557</v>
      </c>
      <c r="K1113" s="168" t="s">
        <v>44</v>
      </c>
      <c r="L1113" s="169" t="s">
        <v>188</v>
      </c>
      <c r="M1113" s="143">
        <v>0.28551396984500332</v>
      </c>
      <c r="N1113" s="78">
        <v>8.802550202305472</v>
      </c>
      <c r="O1113" s="78">
        <v>0.53955779455595732</v>
      </c>
      <c r="BU1113" s="61"/>
    </row>
    <row r="1114" spans="1:73" x14ac:dyDescent="0.35">
      <c r="A1114" s="7" t="s">
        <v>1379</v>
      </c>
      <c r="B1114" s="7" t="s">
        <v>1382</v>
      </c>
      <c r="C1114" s="146" t="s">
        <v>848</v>
      </c>
      <c r="D1114" s="146" t="s">
        <v>38</v>
      </c>
      <c r="E1114" s="146" t="s">
        <v>957</v>
      </c>
      <c r="F1114" s="143">
        <v>215.495</v>
      </c>
      <c r="G1114" s="170" t="s">
        <v>39</v>
      </c>
      <c r="H1114" s="76">
        <v>65.820999999999998</v>
      </c>
      <c r="I1114" s="19" t="s">
        <v>40</v>
      </c>
      <c r="J1114" s="171">
        <v>0.20219124999999849</v>
      </c>
      <c r="K1114" s="168" t="s">
        <v>44</v>
      </c>
      <c r="L1114" s="169" t="s">
        <v>188</v>
      </c>
      <c r="M1114" s="143">
        <v>0.29936585132034299</v>
      </c>
      <c r="N1114" s="78">
        <v>8.7414709735929463</v>
      </c>
      <c r="O1114" s="78">
        <v>0.47847856584343162</v>
      </c>
      <c r="BU1114" s="61"/>
    </row>
    <row r="1115" spans="1:73" x14ac:dyDescent="0.35">
      <c r="A1115" s="7" t="s">
        <v>1379</v>
      </c>
      <c r="B1115" s="7" t="s">
        <v>1382</v>
      </c>
      <c r="C1115" s="146" t="s">
        <v>848</v>
      </c>
      <c r="D1115" s="146" t="s">
        <v>38</v>
      </c>
      <c r="E1115" s="146" t="s">
        <v>957</v>
      </c>
      <c r="F1115" s="143">
        <v>215.495</v>
      </c>
      <c r="G1115" s="170" t="s">
        <v>39</v>
      </c>
      <c r="H1115" s="76">
        <v>65.820999999999998</v>
      </c>
      <c r="I1115" s="19" t="s">
        <v>40</v>
      </c>
      <c r="J1115" s="171">
        <v>0.20219124999999849</v>
      </c>
      <c r="K1115" s="168" t="s">
        <v>44</v>
      </c>
      <c r="L1115" s="169" t="s">
        <v>188</v>
      </c>
      <c r="M1115" s="143">
        <v>0.26295107817040542</v>
      </c>
      <c r="N1115" s="78">
        <v>8.9020648750249478</v>
      </c>
      <c r="O1115" s="78">
        <v>0.6390724672754331</v>
      </c>
      <c r="BU1115" s="61"/>
    </row>
    <row r="1116" spans="1:73" x14ac:dyDescent="0.35">
      <c r="A1116" s="7" t="s">
        <v>1379</v>
      </c>
      <c r="B1116" s="7" t="s">
        <v>1382</v>
      </c>
      <c r="C1116" s="146" t="s">
        <v>848</v>
      </c>
      <c r="D1116" s="146" t="s">
        <v>38</v>
      </c>
      <c r="E1116" s="146" t="s">
        <v>957</v>
      </c>
      <c r="F1116" s="143">
        <v>215.495</v>
      </c>
      <c r="G1116" s="170" t="s">
        <v>39</v>
      </c>
      <c r="H1116" s="76">
        <v>65.820999999999998</v>
      </c>
      <c r="I1116" s="19" t="s">
        <v>40</v>
      </c>
      <c r="J1116" s="171">
        <v>0.20219124999999849</v>
      </c>
      <c r="K1116" s="168" t="s">
        <v>44</v>
      </c>
      <c r="L1116" s="169" t="s">
        <v>188</v>
      </c>
      <c r="M1116" s="143">
        <v>0.23384449116740313</v>
      </c>
      <c r="N1116" s="78">
        <v>9.030485934983389</v>
      </c>
      <c r="O1116" s="78">
        <v>0.76749352723387432</v>
      </c>
      <c r="BU1116" s="61"/>
    </row>
    <row r="1117" spans="1:73" x14ac:dyDescent="0.35">
      <c r="A1117" s="7" t="s">
        <v>1379</v>
      </c>
      <c r="B1117" s="7" t="s">
        <v>1382</v>
      </c>
      <c r="C1117" s="146" t="s">
        <v>848</v>
      </c>
      <c r="D1117" s="146" t="s">
        <v>38</v>
      </c>
      <c r="E1117" s="146" t="s">
        <v>958</v>
      </c>
      <c r="F1117" s="143">
        <v>215.70500000000001</v>
      </c>
      <c r="G1117" s="170" t="s">
        <v>39</v>
      </c>
      <c r="H1117" s="76">
        <v>65.868250000000003</v>
      </c>
      <c r="I1117" s="19" t="s">
        <v>40</v>
      </c>
      <c r="J1117" s="171">
        <v>0.1554977500000092</v>
      </c>
      <c r="K1117" s="168" t="s">
        <v>44</v>
      </c>
      <c r="L1117" s="169" t="s">
        <v>188</v>
      </c>
      <c r="M1117" s="143">
        <v>0.2863333905210057</v>
      </c>
      <c r="N1117" s="78">
        <v>8.7989366844793278</v>
      </c>
      <c r="O1117" s="78">
        <v>0.53594427672981304</v>
      </c>
      <c r="BU1117" s="61"/>
    </row>
    <row r="1118" spans="1:73" x14ac:dyDescent="0.35">
      <c r="A1118" s="7" t="s">
        <v>1379</v>
      </c>
      <c r="B1118" s="7" t="s">
        <v>1382</v>
      </c>
      <c r="C1118" s="146" t="s">
        <v>848</v>
      </c>
      <c r="D1118" s="146" t="s">
        <v>38</v>
      </c>
      <c r="E1118" s="146" t="s">
        <v>958</v>
      </c>
      <c r="F1118" s="143">
        <v>215.70500000000001</v>
      </c>
      <c r="G1118" s="170" t="s">
        <v>39</v>
      </c>
      <c r="H1118" s="76">
        <v>65.868250000000003</v>
      </c>
      <c r="I1118" s="19" t="s">
        <v>40</v>
      </c>
      <c r="J1118" s="171">
        <v>0.1554977500000092</v>
      </c>
      <c r="K1118" s="168" t="s">
        <v>44</v>
      </c>
      <c r="L1118" s="169" t="s">
        <v>188</v>
      </c>
      <c r="M1118" s="143">
        <v>0.31439389573283982</v>
      </c>
      <c r="N1118" s="78">
        <v>8.6752185292409436</v>
      </c>
      <c r="O1118" s="78">
        <v>0.4122261214914289</v>
      </c>
      <c r="BU1118" s="61"/>
    </row>
    <row r="1119" spans="1:73" x14ac:dyDescent="0.35">
      <c r="A1119" s="7" t="s">
        <v>1379</v>
      </c>
      <c r="B1119" s="7" t="s">
        <v>1382</v>
      </c>
      <c r="C1119" s="146" t="s">
        <v>848</v>
      </c>
      <c r="D1119" s="146" t="s">
        <v>38</v>
      </c>
      <c r="E1119" s="146" t="s">
        <v>958</v>
      </c>
      <c r="F1119" s="143">
        <v>215.70500000000001</v>
      </c>
      <c r="G1119" s="170" t="s">
        <v>39</v>
      </c>
      <c r="H1119" s="76">
        <v>65.868250000000003</v>
      </c>
      <c r="I1119" s="19" t="s">
        <v>40</v>
      </c>
      <c r="J1119" s="171">
        <v>0.1554977500000092</v>
      </c>
      <c r="K1119" s="168" t="s">
        <v>44</v>
      </c>
      <c r="L1119" s="169" t="s">
        <v>188</v>
      </c>
      <c r="M1119" s="143">
        <v>0.12543870717915606</v>
      </c>
      <c r="N1119" s="78">
        <v>9.5092298893956411</v>
      </c>
      <c r="O1119" s="78">
        <v>1.2462374816461264</v>
      </c>
      <c r="BU1119" s="61"/>
    </row>
    <row r="1120" spans="1:73" x14ac:dyDescent="0.35">
      <c r="A1120" s="7" t="s">
        <v>1379</v>
      </c>
      <c r="B1120" s="7" t="s">
        <v>1382</v>
      </c>
      <c r="C1120" s="146" t="s">
        <v>848</v>
      </c>
      <c r="D1120" s="146" t="s">
        <v>38</v>
      </c>
      <c r="E1120" s="146" t="s">
        <v>959</v>
      </c>
      <c r="F1120" s="143">
        <v>215.785</v>
      </c>
      <c r="G1120" s="170" t="s">
        <v>39</v>
      </c>
      <c r="H1120" s="76">
        <v>65.886250000000004</v>
      </c>
      <c r="I1120" s="19" t="s">
        <v>40</v>
      </c>
      <c r="J1120" s="171">
        <v>0.13770975000001329</v>
      </c>
      <c r="K1120" s="168" t="s">
        <v>44</v>
      </c>
      <c r="L1120" s="169" t="s">
        <v>188</v>
      </c>
      <c r="M1120" s="143">
        <v>0.28794949533859793</v>
      </c>
      <c r="N1120" s="78">
        <v>8.7918100314920018</v>
      </c>
      <c r="O1120" s="78">
        <v>0.52881762374248709</v>
      </c>
      <c r="BU1120" s="61"/>
    </row>
    <row r="1121" spans="1:73" x14ac:dyDescent="0.35">
      <c r="A1121" s="7" t="s">
        <v>1379</v>
      </c>
      <c r="B1121" s="7" t="s">
        <v>1382</v>
      </c>
      <c r="C1121" s="146" t="s">
        <v>848</v>
      </c>
      <c r="D1121" s="146" t="s">
        <v>38</v>
      </c>
      <c r="E1121" s="146" t="s">
        <v>959</v>
      </c>
      <c r="F1121" s="143">
        <v>215.785</v>
      </c>
      <c r="G1121" s="170" t="s">
        <v>39</v>
      </c>
      <c r="H1121" s="76">
        <v>65.886250000000004</v>
      </c>
      <c r="I1121" s="19" t="s">
        <v>40</v>
      </c>
      <c r="J1121" s="171">
        <v>0.13770975000001329</v>
      </c>
      <c r="K1121" s="168" t="s">
        <v>44</v>
      </c>
      <c r="L1121" s="169" t="s">
        <v>188</v>
      </c>
      <c r="M1121" s="143">
        <v>0.23374137192947675</v>
      </c>
      <c r="N1121" s="78">
        <v>9.0309409973367529</v>
      </c>
      <c r="O1121" s="78">
        <v>0.76794858958723822</v>
      </c>
      <c r="BU1121" s="61"/>
    </row>
    <row r="1122" spans="1:73" x14ac:dyDescent="0.35">
      <c r="A1122" s="7" t="s">
        <v>1379</v>
      </c>
      <c r="B1122" s="7" t="s">
        <v>1382</v>
      </c>
      <c r="C1122" s="146" t="s">
        <v>848</v>
      </c>
      <c r="D1122" s="146" t="s">
        <v>38</v>
      </c>
      <c r="E1122" s="146" t="s">
        <v>960</v>
      </c>
      <c r="F1122" s="143">
        <v>215.91498999999999</v>
      </c>
      <c r="G1122" s="170" t="s">
        <v>39</v>
      </c>
      <c r="H1122" s="76">
        <v>65.913184210526296</v>
      </c>
      <c r="I1122" s="19" t="s">
        <v>40</v>
      </c>
      <c r="J1122" s="171">
        <v>0.10880647350001027</v>
      </c>
      <c r="K1122" s="168" t="s">
        <v>44</v>
      </c>
      <c r="L1122" s="169" t="s">
        <v>188</v>
      </c>
      <c r="M1122" s="143">
        <v>0.3208293410124563</v>
      </c>
      <c r="N1122" s="78">
        <v>8.6468514513194936</v>
      </c>
      <c r="O1122" s="78">
        <v>0.38385904356997891</v>
      </c>
      <c r="BU1122" s="61"/>
    </row>
    <row r="1123" spans="1:73" x14ac:dyDescent="0.35">
      <c r="A1123" s="7" t="s">
        <v>1379</v>
      </c>
      <c r="B1123" s="7" t="s">
        <v>1382</v>
      </c>
      <c r="C1123" s="146" t="s">
        <v>848</v>
      </c>
      <c r="D1123" s="146" t="s">
        <v>38</v>
      </c>
      <c r="E1123" s="146" t="s">
        <v>960</v>
      </c>
      <c r="F1123" s="143">
        <v>215.91498999999999</v>
      </c>
      <c r="G1123" s="170" t="s">
        <v>39</v>
      </c>
      <c r="H1123" s="76">
        <v>65.913184210526296</v>
      </c>
      <c r="I1123" s="19" t="s">
        <v>40</v>
      </c>
      <c r="J1123" s="171">
        <v>0.10880647350001027</v>
      </c>
      <c r="K1123" s="168" t="s">
        <v>44</v>
      </c>
      <c r="L1123" s="169" t="s">
        <v>188</v>
      </c>
      <c r="M1123" s="143">
        <v>0.46416186239634527</v>
      </c>
      <c r="N1123" s="78">
        <v>8.0156938222064795</v>
      </c>
      <c r="O1123" s="78">
        <v>-0.24729858554303519</v>
      </c>
      <c r="BU1123" s="61"/>
    </row>
    <row r="1124" spans="1:73" x14ac:dyDescent="0.35">
      <c r="A1124" s="7" t="s">
        <v>1379</v>
      </c>
      <c r="B1124" s="7" t="s">
        <v>1382</v>
      </c>
      <c r="C1124" s="146" t="s">
        <v>848</v>
      </c>
      <c r="D1124" s="146" t="s">
        <v>38</v>
      </c>
      <c r="E1124" s="146" t="s">
        <v>960</v>
      </c>
      <c r="F1124" s="143">
        <v>215.91498999999999</v>
      </c>
      <c r="G1124" s="170" t="s">
        <v>39</v>
      </c>
      <c r="H1124" s="76">
        <v>65.913184210526296</v>
      </c>
      <c r="I1124" s="19" t="s">
        <v>40</v>
      </c>
      <c r="J1124" s="171">
        <v>0.10880647350001027</v>
      </c>
      <c r="K1124" s="168" t="s">
        <v>44</v>
      </c>
      <c r="L1124" s="169" t="s">
        <v>188</v>
      </c>
      <c r="M1124" s="143">
        <v>0.21574620977636449</v>
      </c>
      <c r="N1124" s="78">
        <v>9.1103629221310225</v>
      </c>
      <c r="O1124" s="78">
        <v>0.84737051438150779</v>
      </c>
      <c r="BU1124" s="61"/>
    </row>
    <row r="1125" spans="1:73" x14ac:dyDescent="0.35">
      <c r="A1125" s="7" t="s">
        <v>1379</v>
      </c>
      <c r="B1125" s="7" t="s">
        <v>1382</v>
      </c>
      <c r="C1125" s="146" t="s">
        <v>848</v>
      </c>
      <c r="D1125" s="146" t="s">
        <v>38</v>
      </c>
      <c r="E1125" s="146" t="s">
        <v>961</v>
      </c>
      <c r="F1125" s="143">
        <v>216.05499</v>
      </c>
      <c r="G1125" s="170" t="s">
        <v>39</v>
      </c>
      <c r="H1125" s="76">
        <v>65.943763157894693</v>
      </c>
      <c r="I1125" s="19" t="s">
        <v>40</v>
      </c>
      <c r="J1125" s="171">
        <v>7.7677473500003202E-2</v>
      </c>
      <c r="K1125" s="168" t="s">
        <v>44</v>
      </c>
      <c r="L1125" s="169" t="s">
        <v>188</v>
      </c>
      <c r="M1125" s="143">
        <v>0.2521382463918922</v>
      </c>
      <c r="N1125" s="78">
        <v>8.9497661940819047</v>
      </c>
      <c r="O1125" s="78">
        <v>0.68677378633238995</v>
      </c>
      <c r="BU1125" s="61"/>
    </row>
    <row r="1126" spans="1:73" x14ac:dyDescent="0.35">
      <c r="A1126" s="7" t="s">
        <v>1379</v>
      </c>
      <c r="B1126" s="7" t="s">
        <v>1382</v>
      </c>
      <c r="C1126" s="146" t="s">
        <v>848</v>
      </c>
      <c r="D1126" s="146" t="s">
        <v>38</v>
      </c>
      <c r="E1126" s="146" t="s">
        <v>962</v>
      </c>
      <c r="F1126" s="143">
        <v>216.16498999999999</v>
      </c>
      <c r="G1126" s="170" t="s">
        <v>39</v>
      </c>
      <c r="H1126" s="76">
        <v>65.967789473684206</v>
      </c>
      <c r="I1126" s="19" t="s">
        <v>40</v>
      </c>
      <c r="J1126" s="171">
        <v>5.3218973500008815E-2</v>
      </c>
      <c r="K1126" s="168" t="s">
        <v>44</v>
      </c>
      <c r="L1126" s="169" t="s">
        <v>188</v>
      </c>
      <c r="M1126" s="143">
        <v>0.25967822446485744</v>
      </c>
      <c r="N1126" s="78">
        <v>8.9165024837019153</v>
      </c>
      <c r="O1126" s="78">
        <v>0.65351007595240063</v>
      </c>
      <c r="BU1126" s="61"/>
    </row>
    <row r="1127" spans="1:73" x14ac:dyDescent="0.35">
      <c r="A1127" s="7" t="s">
        <v>1379</v>
      </c>
      <c r="B1127" s="7" t="s">
        <v>1382</v>
      </c>
      <c r="C1127" s="146" t="s">
        <v>848</v>
      </c>
      <c r="D1127" s="146" t="s">
        <v>38</v>
      </c>
      <c r="E1127" s="146" t="s">
        <v>962</v>
      </c>
      <c r="F1127" s="143">
        <v>216.16498999999999</v>
      </c>
      <c r="G1127" s="170" t="s">
        <v>39</v>
      </c>
      <c r="H1127" s="76">
        <v>65.967789473684206</v>
      </c>
      <c r="I1127" s="19" t="s">
        <v>40</v>
      </c>
      <c r="J1127" s="171">
        <v>5.3218973500008815E-2</v>
      </c>
      <c r="K1127" s="168" t="s">
        <v>44</v>
      </c>
      <c r="L1127" s="169" t="s">
        <v>188</v>
      </c>
      <c r="M1127" s="143">
        <v>0.37833999634682058</v>
      </c>
      <c r="N1127" s="78">
        <v>8.3934580707576991</v>
      </c>
      <c r="O1127" s="78">
        <v>0.13046566300818441</v>
      </c>
      <c r="BU1127" s="61"/>
    </row>
    <row r="1128" spans="1:73" x14ac:dyDescent="0.35">
      <c r="A1128" s="7" t="s">
        <v>1379</v>
      </c>
      <c r="B1128" s="7" t="s">
        <v>1382</v>
      </c>
      <c r="C1128" s="146" t="s">
        <v>848</v>
      </c>
      <c r="D1128" s="146" t="s">
        <v>38</v>
      </c>
      <c r="E1128" s="146" t="s">
        <v>963</v>
      </c>
      <c r="F1128" s="143">
        <v>216.285</v>
      </c>
      <c r="G1128" s="170" t="s">
        <v>39</v>
      </c>
      <c r="H1128" s="76">
        <v>65.994651162790703</v>
      </c>
      <c r="I1128" s="19" t="s">
        <v>40</v>
      </c>
      <c r="J1128" s="171">
        <v>2.8364449999997987E-2</v>
      </c>
      <c r="K1128" s="168" t="s">
        <v>44</v>
      </c>
      <c r="L1128" s="169" t="s">
        <v>188</v>
      </c>
      <c r="M1128" s="143">
        <v>0.32261928977457011</v>
      </c>
      <c r="N1128" s="78">
        <v>8.6389619003520188</v>
      </c>
      <c r="O1128" s="78">
        <v>0.37596949260250412</v>
      </c>
      <c r="BU1128" s="61"/>
    </row>
    <row r="1129" spans="1:73" x14ac:dyDescent="0.35">
      <c r="A1129" s="7" t="s">
        <v>1379</v>
      </c>
      <c r="B1129" s="7" t="s">
        <v>1382</v>
      </c>
      <c r="C1129" s="146" t="s">
        <v>848</v>
      </c>
      <c r="D1129" s="146" t="s">
        <v>38</v>
      </c>
      <c r="E1129" s="146" t="s">
        <v>963</v>
      </c>
      <c r="F1129" s="143">
        <v>216.285</v>
      </c>
      <c r="G1129" s="170" t="s">
        <v>39</v>
      </c>
      <c r="H1129" s="76">
        <v>65.994651162790703</v>
      </c>
      <c r="I1129" s="19" t="s">
        <v>40</v>
      </c>
      <c r="J1129" s="171">
        <v>2.8364449999997987E-2</v>
      </c>
      <c r="K1129" s="168" t="s">
        <v>44</v>
      </c>
      <c r="L1129" s="169" t="s">
        <v>188</v>
      </c>
      <c r="M1129" s="143">
        <v>0.47277246966931052</v>
      </c>
      <c r="N1129" s="78">
        <v>7.9778166910162813</v>
      </c>
      <c r="O1129" s="78">
        <v>-0.28517571673323339</v>
      </c>
      <c r="BU1129" s="61"/>
    </row>
    <row r="1130" spans="1:73" x14ac:dyDescent="0.35">
      <c r="A1130" s="7" t="s">
        <v>1379</v>
      </c>
      <c r="B1130" s="7" t="s">
        <v>1382</v>
      </c>
      <c r="C1130" s="146" t="s">
        <v>848</v>
      </c>
      <c r="D1130" s="146" t="s">
        <v>38</v>
      </c>
      <c r="E1130" s="146" t="s">
        <v>963</v>
      </c>
      <c r="F1130" s="143">
        <v>216.285</v>
      </c>
      <c r="G1130" s="170" t="s">
        <v>39</v>
      </c>
      <c r="H1130" s="76">
        <v>65.994651162790703</v>
      </c>
      <c r="I1130" s="19" t="s">
        <v>40</v>
      </c>
      <c r="J1130" s="171">
        <v>2.8364449999997987E-2</v>
      </c>
      <c r="K1130" s="168" t="s">
        <v>44</v>
      </c>
      <c r="L1130" s="169" t="s">
        <v>188</v>
      </c>
      <c r="M1130" s="143">
        <v>0.50430764048062393</v>
      </c>
      <c r="N1130" s="78">
        <v>7.8391348614796943</v>
      </c>
      <c r="O1130" s="78">
        <v>-0.42385754626982042</v>
      </c>
      <c r="BU1130" s="61"/>
    </row>
    <row r="1131" spans="1:73" x14ac:dyDescent="0.35">
      <c r="A1131" s="7" t="s">
        <v>1379</v>
      </c>
      <c r="B1131" s="7" t="s">
        <v>1382</v>
      </c>
      <c r="C1131" s="146" t="s">
        <v>848</v>
      </c>
      <c r="D1131" s="146" t="s">
        <v>38</v>
      </c>
      <c r="E1131" s="146" t="s">
        <v>964</v>
      </c>
      <c r="F1131" s="143">
        <v>216.36501000000001</v>
      </c>
      <c r="G1131" s="170" t="s">
        <v>39</v>
      </c>
      <c r="H1131" s="76">
        <v>65.999860465116299</v>
      </c>
      <c r="I1131" s="19" t="s">
        <v>40</v>
      </c>
      <c r="J1131" s="171">
        <v>2.2537278977267761E-2</v>
      </c>
      <c r="K1131" s="168" t="s">
        <v>44</v>
      </c>
      <c r="L1131" s="169" t="s">
        <v>188</v>
      </c>
      <c r="M1131" s="143">
        <v>0.76064516446836272</v>
      </c>
      <c r="N1131" s="78">
        <v>6.7140562888854332</v>
      </c>
      <c r="O1131" s="78">
        <v>-1.5489361188640816</v>
      </c>
      <c r="BU1131" s="61"/>
    </row>
    <row r="1132" spans="1:73" x14ac:dyDescent="0.35">
      <c r="A1132" s="7" t="s">
        <v>1379</v>
      </c>
      <c r="B1132" s="7" t="s">
        <v>1382</v>
      </c>
      <c r="C1132" s="146" t="s">
        <v>848</v>
      </c>
      <c r="D1132" s="146" t="s">
        <v>38</v>
      </c>
      <c r="E1132" s="146" t="s">
        <v>965</v>
      </c>
      <c r="F1132" s="143">
        <v>216.465</v>
      </c>
      <c r="G1132" s="170" t="s">
        <v>39</v>
      </c>
      <c r="H1132" s="76">
        <v>66.006372093023302</v>
      </c>
      <c r="I1132" s="19" t="s">
        <v>40</v>
      </c>
      <c r="J1132" s="171">
        <v>1.6123147727270748E-2</v>
      </c>
      <c r="K1132" s="168" t="s">
        <v>44</v>
      </c>
      <c r="L1132" s="169" t="s">
        <v>188</v>
      </c>
      <c r="M1132" s="143">
        <v>0.44326296310739011</v>
      </c>
      <c r="N1132" s="78">
        <v>8.1076443239574694</v>
      </c>
      <c r="O1132" s="78">
        <v>-0.15534808379204534</v>
      </c>
      <c r="BU1132" s="61"/>
    </row>
    <row r="1133" spans="1:73" x14ac:dyDescent="0.35">
      <c r="A1133" s="7" t="s">
        <v>1379</v>
      </c>
      <c r="B1133" s="7" t="s">
        <v>1382</v>
      </c>
      <c r="C1133" s="146" t="s">
        <v>848</v>
      </c>
      <c r="D1133" s="146" t="s">
        <v>38</v>
      </c>
      <c r="E1133" s="146" t="s">
        <v>966</v>
      </c>
      <c r="F1133" s="143">
        <v>216.48500000000001</v>
      </c>
      <c r="G1133" s="170" t="s">
        <v>39</v>
      </c>
      <c r="H1133" s="76">
        <v>66.007674418604694</v>
      </c>
      <c r="I1133" s="19" t="s">
        <v>40</v>
      </c>
      <c r="J1133" s="171">
        <v>1.4840193181825612E-2</v>
      </c>
      <c r="K1133" s="168" t="s">
        <v>44</v>
      </c>
      <c r="L1133" s="169" t="s">
        <v>188</v>
      </c>
      <c r="M1133" s="143">
        <v>0.41872148991837577</v>
      </c>
      <c r="N1133" s="78">
        <v>8.2156547947149363</v>
      </c>
      <c r="O1133" s="78">
        <v>-4.7337613034578396E-2</v>
      </c>
      <c r="BU1133" s="61"/>
    </row>
    <row r="1134" spans="1:73" x14ac:dyDescent="0.35">
      <c r="A1134" s="7" t="s">
        <v>1379</v>
      </c>
      <c r="B1134" s="7" t="s">
        <v>1382</v>
      </c>
      <c r="C1134" s="146" t="s">
        <v>848</v>
      </c>
      <c r="D1134" s="146" t="s">
        <v>38</v>
      </c>
      <c r="E1134" s="146" t="s">
        <v>967</v>
      </c>
      <c r="F1134" s="143">
        <v>216.55499</v>
      </c>
      <c r="G1134" s="170" t="s">
        <v>39</v>
      </c>
      <c r="H1134" s="76">
        <v>66.011581395348799</v>
      </c>
      <c r="I1134" s="19" t="s">
        <v>40</v>
      </c>
      <c r="J1134" s="171">
        <v>1.0350493750010514E-2</v>
      </c>
      <c r="K1134" s="168" t="s">
        <v>44</v>
      </c>
      <c r="L1134" s="169" t="s">
        <v>188</v>
      </c>
      <c r="M1134" s="143">
        <v>0.38173246836836139</v>
      </c>
      <c r="N1134" s="78">
        <v>8.378516952855465</v>
      </c>
      <c r="O1134" s="78">
        <v>0.11552454510595034</v>
      </c>
      <c r="BU1134" s="61"/>
    </row>
    <row r="1135" spans="1:73" x14ac:dyDescent="0.35">
      <c r="A1135" s="7" t="s">
        <v>1379</v>
      </c>
      <c r="B1135" s="7" t="s">
        <v>1382</v>
      </c>
      <c r="C1135" s="146" t="s">
        <v>848</v>
      </c>
      <c r="D1135" s="146" t="s">
        <v>38</v>
      </c>
      <c r="E1135" s="146" t="s">
        <v>967</v>
      </c>
      <c r="F1135" s="143">
        <v>216.55499</v>
      </c>
      <c r="G1135" s="170" t="s">
        <v>39</v>
      </c>
      <c r="H1135" s="76">
        <v>66.011581395348799</v>
      </c>
      <c r="I1135" s="19" t="s">
        <v>40</v>
      </c>
      <c r="J1135" s="171">
        <v>1.0350493750010514E-2</v>
      </c>
      <c r="K1135" s="168" t="s">
        <v>44</v>
      </c>
      <c r="L1135" s="169" t="s">
        <v>188</v>
      </c>
      <c r="M1135" s="143">
        <v>0.41208936355569126</v>
      </c>
      <c r="N1135" s="78">
        <v>8.2448499168456291</v>
      </c>
      <c r="O1135" s="78">
        <v>-1.8142490903885644E-2</v>
      </c>
      <c r="BU1135" s="61"/>
    </row>
    <row r="1136" spans="1:73" x14ac:dyDescent="0.35">
      <c r="A1136" s="7" t="s">
        <v>1379</v>
      </c>
      <c r="B1136" s="7" t="s">
        <v>1382</v>
      </c>
      <c r="C1136" s="146" t="s">
        <v>848</v>
      </c>
      <c r="D1136" s="146" t="s">
        <v>38</v>
      </c>
      <c r="E1136" s="146" t="s">
        <v>968</v>
      </c>
      <c r="F1136" s="143">
        <v>216.60499999999999</v>
      </c>
      <c r="G1136" s="170" t="s">
        <v>39</v>
      </c>
      <c r="H1136" s="76">
        <v>66.015488372093003</v>
      </c>
      <c r="I1136" s="19" t="s">
        <v>40</v>
      </c>
      <c r="J1136" s="171">
        <v>7.1424659090979503E-3</v>
      </c>
      <c r="K1136" s="168" t="s">
        <v>44</v>
      </c>
      <c r="L1136" s="169" t="s">
        <v>188</v>
      </c>
      <c r="M1136" s="143">
        <v>0.29385294595465439</v>
      </c>
      <c r="N1136" s="78">
        <v>8.7657784948741337</v>
      </c>
      <c r="O1136" s="78">
        <v>0.50278608712461903</v>
      </c>
      <c r="BU1136" s="61"/>
    </row>
    <row r="1137" spans="1:73" x14ac:dyDescent="0.35">
      <c r="A1137" s="7" t="s">
        <v>1379</v>
      </c>
      <c r="B1137" s="7" t="s">
        <v>1382</v>
      </c>
      <c r="C1137" s="146" t="s">
        <v>848</v>
      </c>
      <c r="D1137" s="146" t="s">
        <v>38</v>
      </c>
      <c r="E1137" s="146" t="s">
        <v>969</v>
      </c>
      <c r="F1137" s="143">
        <v>216.625</v>
      </c>
      <c r="G1137" s="170" t="s">
        <v>39</v>
      </c>
      <c r="H1137" s="76">
        <v>66.016790697674395</v>
      </c>
      <c r="I1137" s="19" t="s">
        <v>40</v>
      </c>
      <c r="J1137" s="171">
        <v>5.8595113636386031E-3</v>
      </c>
      <c r="K1137" s="168" t="s">
        <v>44</v>
      </c>
      <c r="L1137" s="169" t="s">
        <v>188</v>
      </c>
      <c r="M1137" s="143">
        <v>0.38573570809082458</v>
      </c>
      <c r="N1137" s="78">
        <v>8.3608867813768111</v>
      </c>
      <c r="O1137" s="78">
        <v>9.789437362729636E-2</v>
      </c>
      <c r="BU1137" s="61"/>
    </row>
    <row r="1138" spans="1:73" x14ac:dyDescent="0.35">
      <c r="A1138" s="7" t="s">
        <v>1379</v>
      </c>
      <c r="B1138" s="7" t="s">
        <v>1382</v>
      </c>
      <c r="C1138" s="146" t="s">
        <v>848</v>
      </c>
      <c r="D1138" s="146" t="s">
        <v>38</v>
      </c>
      <c r="E1138" s="146" t="s">
        <v>970</v>
      </c>
      <c r="F1138" s="143">
        <v>216.63499999999999</v>
      </c>
      <c r="G1138" s="170" t="s">
        <v>39</v>
      </c>
      <c r="H1138" s="76">
        <v>66.017441860465098</v>
      </c>
      <c r="I1138" s="19" t="s">
        <v>40</v>
      </c>
      <c r="J1138" s="171">
        <v>5.218034090916035E-3</v>
      </c>
      <c r="K1138" s="168" t="s">
        <v>44</v>
      </c>
      <c r="L1138" s="169" t="s">
        <v>188</v>
      </c>
      <c r="M1138" s="143">
        <v>0.34709054127766148</v>
      </c>
      <c r="N1138" s="78">
        <v>8.5311193290791287</v>
      </c>
      <c r="O1138" s="78">
        <v>0.26812692132961402</v>
      </c>
      <c r="BU1138" s="61"/>
    </row>
    <row r="1139" spans="1:73" x14ac:dyDescent="0.35">
      <c r="A1139" s="7" t="s">
        <v>1379</v>
      </c>
      <c r="B1139" s="7" t="s">
        <v>1382</v>
      </c>
      <c r="C1139" s="146" t="s">
        <v>848</v>
      </c>
      <c r="D1139" s="146" t="s">
        <v>38</v>
      </c>
      <c r="E1139" s="146" t="s">
        <v>971</v>
      </c>
      <c r="F1139" s="143">
        <v>216.64500000000001</v>
      </c>
      <c r="G1139" s="170" t="s">
        <v>39</v>
      </c>
      <c r="H1139" s="76">
        <v>66.018093023255801</v>
      </c>
      <c r="I1139" s="19" t="s">
        <v>40</v>
      </c>
      <c r="J1139" s="171">
        <v>4.5765568181934668E-3</v>
      </c>
      <c r="K1139" s="168" t="s">
        <v>44</v>
      </c>
      <c r="L1139" s="169" t="s">
        <v>188</v>
      </c>
      <c r="M1139" s="143">
        <v>0.21223623212565634</v>
      </c>
      <c r="N1139" s="78">
        <v>9.1258565269265297</v>
      </c>
      <c r="O1139" s="78">
        <v>0.862864119177015</v>
      </c>
      <c r="BU1139" s="61"/>
    </row>
    <row r="1140" spans="1:73" x14ac:dyDescent="0.35">
      <c r="A1140" s="7" t="s">
        <v>1379</v>
      </c>
      <c r="B1140" s="7" t="s">
        <v>1382</v>
      </c>
      <c r="C1140" s="146" t="s">
        <v>848</v>
      </c>
      <c r="D1140" s="146" t="s">
        <v>38</v>
      </c>
      <c r="E1140" s="146" t="s">
        <v>972</v>
      </c>
      <c r="F1140" s="143">
        <v>216.655</v>
      </c>
      <c r="G1140" s="170" t="s">
        <v>39</v>
      </c>
      <c r="H1140" s="76">
        <v>66.018744186046504</v>
      </c>
      <c r="I1140" s="19" t="s">
        <v>40</v>
      </c>
      <c r="J1140" s="171">
        <v>3.9350795454566878E-3</v>
      </c>
      <c r="K1140" s="168" t="s">
        <v>44</v>
      </c>
      <c r="L1140" s="169" t="s">
        <v>188</v>
      </c>
      <c r="M1140" s="143">
        <v>0.41997350837299052</v>
      </c>
      <c r="N1140" s="78">
        <v>8.2101436108648276</v>
      </c>
      <c r="O1140" s="78">
        <v>-5.2848796884687133E-2</v>
      </c>
      <c r="BU1140" s="61"/>
    </row>
    <row r="1141" spans="1:73" x14ac:dyDescent="0.35">
      <c r="A1141" s="7" t="s">
        <v>1379</v>
      </c>
      <c r="B1141" s="7" t="s">
        <v>1382</v>
      </c>
      <c r="C1141" s="146" t="s">
        <v>848</v>
      </c>
      <c r="D1141" s="146" t="s">
        <v>38</v>
      </c>
      <c r="E1141" s="146" t="s">
        <v>973</v>
      </c>
      <c r="F1141" s="143">
        <v>216.67500000000001</v>
      </c>
      <c r="G1141" s="170" t="s">
        <v>39</v>
      </c>
      <c r="H1141" s="76">
        <v>66.020046511627896</v>
      </c>
      <c r="I1141" s="19" t="s">
        <v>40</v>
      </c>
      <c r="J1141" s="171">
        <v>2.6521250000115515E-3</v>
      </c>
      <c r="K1141" s="168" t="s">
        <v>44</v>
      </c>
      <c r="L1141" s="169" t="s">
        <v>188</v>
      </c>
      <c r="M1141" s="143">
        <v>0.15721341643485864</v>
      </c>
      <c r="N1141" s="78">
        <v>9.3688326871920964</v>
      </c>
      <c r="O1141" s="78">
        <v>1.1058402794425817</v>
      </c>
      <c r="BU1141" s="61"/>
    </row>
    <row r="1142" spans="1:73" x14ac:dyDescent="0.35">
      <c r="A1142" s="7" t="s">
        <v>1379</v>
      </c>
      <c r="B1142" s="7" t="s">
        <v>1382</v>
      </c>
      <c r="C1142" s="146" t="s">
        <v>848</v>
      </c>
      <c r="D1142" s="146" t="s">
        <v>38</v>
      </c>
      <c r="E1142" s="146" t="s">
        <v>974</v>
      </c>
      <c r="F1142" s="143">
        <v>216.715</v>
      </c>
      <c r="G1142" s="170" t="s">
        <v>39</v>
      </c>
      <c r="H1142" s="76">
        <v>66.022437869822497</v>
      </c>
      <c r="I1142" s="19" t="s">
        <v>40</v>
      </c>
      <c r="J1142" s="171">
        <v>8.6215909092857146E-5</v>
      </c>
      <c r="K1142" s="168" t="s">
        <v>44</v>
      </c>
      <c r="L1142" s="169" t="s">
        <v>188</v>
      </c>
      <c r="M1142" s="143">
        <v>0.40796831639165809</v>
      </c>
      <c r="N1142" s="78">
        <v>8.2629924077495147</v>
      </c>
      <c r="O1142" s="78">
        <v>0</v>
      </c>
      <c r="BU1142" s="61"/>
    </row>
    <row r="1143" spans="1:73" x14ac:dyDescent="0.35">
      <c r="A1143" s="7" t="s">
        <v>1379</v>
      </c>
      <c r="B1143" s="7" t="s">
        <v>1382</v>
      </c>
      <c r="C1143" s="146" t="s">
        <v>848</v>
      </c>
      <c r="D1143" s="146" t="s">
        <v>38</v>
      </c>
      <c r="E1143" s="146" t="s">
        <v>975</v>
      </c>
      <c r="F1143" s="143">
        <v>216.83501000000001</v>
      </c>
      <c r="G1143" s="170" t="s">
        <v>39</v>
      </c>
      <c r="H1143" s="76">
        <v>66.027692307692305</v>
      </c>
      <c r="I1143" s="19" t="s">
        <v>40</v>
      </c>
      <c r="J1143" s="171">
        <v>-5.5403582447866029E-3</v>
      </c>
      <c r="K1143" s="168" t="s">
        <v>44</v>
      </c>
      <c r="L1143" s="169" t="s">
        <v>188</v>
      </c>
      <c r="M1143" s="143">
        <v>0.71520569742760376</v>
      </c>
      <c r="N1143" s="78">
        <v>6.9132049531769875</v>
      </c>
      <c r="O1143" s="78">
        <v>-1.3497874545725272</v>
      </c>
      <c r="BU1143" s="61"/>
    </row>
    <row r="1144" spans="1:73" x14ac:dyDescent="0.35">
      <c r="A1144" s="7" t="s">
        <v>1379</v>
      </c>
      <c r="B1144" s="7" t="s">
        <v>1382</v>
      </c>
      <c r="C1144" s="146" t="s">
        <v>848</v>
      </c>
      <c r="D1144" s="146" t="s">
        <v>38</v>
      </c>
      <c r="E1144" s="146" t="s">
        <v>975</v>
      </c>
      <c r="F1144" s="143">
        <v>216.83501000000001</v>
      </c>
      <c r="G1144" s="170" t="s">
        <v>39</v>
      </c>
      <c r="H1144" s="76">
        <v>66.027692307692305</v>
      </c>
      <c r="I1144" s="19" t="s">
        <v>40</v>
      </c>
      <c r="J1144" s="171">
        <v>-5.5403582447866029E-3</v>
      </c>
      <c r="K1144" s="168" t="s">
        <v>44</v>
      </c>
      <c r="L1144" s="169" t="s">
        <v>188</v>
      </c>
      <c r="M1144" s="143">
        <v>0.52738532351177092</v>
      </c>
      <c r="N1144" s="78">
        <v>7.7376842311970613</v>
      </c>
      <c r="O1144" s="78">
        <v>-0.52530817655245343</v>
      </c>
      <c r="BU1144" s="61"/>
    </row>
    <row r="1145" spans="1:73" x14ac:dyDescent="0.35">
      <c r="A1145" s="7" t="s">
        <v>1379</v>
      </c>
      <c r="B1145" s="7" t="s">
        <v>1382</v>
      </c>
      <c r="C1145" s="146" t="s">
        <v>848</v>
      </c>
      <c r="D1145" s="146" t="s">
        <v>38</v>
      </c>
      <c r="E1145" s="146" t="s">
        <v>976</v>
      </c>
      <c r="F1145" s="143">
        <v>217.04</v>
      </c>
      <c r="G1145" s="170" t="s">
        <v>39</v>
      </c>
      <c r="H1145" s="76">
        <v>66.036449704142001</v>
      </c>
      <c r="I1145" s="19" t="s">
        <v>40</v>
      </c>
      <c r="J1145" s="171">
        <v>-1.4645651041661267E-2</v>
      </c>
      <c r="K1145" s="168" t="s">
        <v>44</v>
      </c>
      <c r="L1145" s="169" t="s">
        <v>188</v>
      </c>
      <c r="M1145" s="143">
        <v>0.41233936483007572</v>
      </c>
      <c r="N1145" s="78">
        <v>8.2437493444509133</v>
      </c>
      <c r="O1145" s="78">
        <v>-1.9243063298601371E-2</v>
      </c>
      <c r="BU1145" s="61"/>
    </row>
    <row r="1146" spans="1:73" x14ac:dyDescent="0.35">
      <c r="A1146" s="7" t="s">
        <v>1379</v>
      </c>
      <c r="B1146" s="7" t="s">
        <v>1382</v>
      </c>
      <c r="C1146" s="146" t="s">
        <v>848</v>
      </c>
      <c r="D1146" s="146" t="s">
        <v>38</v>
      </c>
      <c r="E1146" s="146" t="s">
        <v>977</v>
      </c>
      <c r="F1146" s="143">
        <v>217.23500000000001</v>
      </c>
      <c r="G1146" s="170" t="s">
        <v>39</v>
      </c>
      <c r="H1146" s="76">
        <v>66.045207100591696</v>
      </c>
      <c r="I1146" s="19" t="s">
        <v>40</v>
      </c>
      <c r="J1146" s="171">
        <v>-2.3307205729153679E-2</v>
      </c>
      <c r="K1146" s="168" t="s">
        <v>44</v>
      </c>
      <c r="L1146" s="169" t="s">
        <v>188</v>
      </c>
      <c r="M1146" s="143">
        <v>0.40594959382755036</v>
      </c>
      <c r="N1146" s="78">
        <v>8.2718800003073003</v>
      </c>
      <c r="O1146" s="78">
        <v>8.8875925577855952E-3</v>
      </c>
      <c r="BU1146" s="61"/>
    </row>
    <row r="1147" spans="1:73" x14ac:dyDescent="0.35">
      <c r="A1147" s="7" t="s">
        <v>1379</v>
      </c>
      <c r="B1147" s="7" t="s">
        <v>1382</v>
      </c>
      <c r="C1147" s="146" t="s">
        <v>848</v>
      </c>
      <c r="D1147" s="146" t="s">
        <v>38</v>
      </c>
      <c r="E1147" s="146" t="s">
        <v>978</v>
      </c>
      <c r="F1147" s="143">
        <v>217.66501</v>
      </c>
      <c r="G1147" s="170" t="s">
        <v>39</v>
      </c>
      <c r="H1147" s="76">
        <v>66.064035502958603</v>
      </c>
      <c r="I1147" s="19" t="s">
        <v>40</v>
      </c>
      <c r="J1147" s="171">
        <v>-4.2407488453122255E-2</v>
      </c>
      <c r="K1147" s="168" t="s">
        <v>44</v>
      </c>
      <c r="L1147" s="169" t="s">
        <v>188</v>
      </c>
      <c r="M1147" s="143">
        <v>0.23507588577443261</v>
      </c>
      <c r="N1147" s="78">
        <v>9.0250518738387679</v>
      </c>
      <c r="O1147" s="78">
        <v>0.76205946608925323</v>
      </c>
      <c r="BU1147" s="61"/>
    </row>
    <row r="1148" spans="1:73" x14ac:dyDescent="0.35">
      <c r="A1148" s="7" t="s">
        <v>1379</v>
      </c>
      <c r="B1148" s="7" t="s">
        <v>1382</v>
      </c>
      <c r="C1148" s="146" t="s">
        <v>848</v>
      </c>
      <c r="D1148" s="146" t="s">
        <v>38</v>
      </c>
      <c r="E1148" s="146" t="s">
        <v>979</v>
      </c>
      <c r="F1148" s="143">
        <v>218.41499999999999</v>
      </c>
      <c r="G1148" s="170" t="s">
        <v>39</v>
      </c>
      <c r="H1148" s="76">
        <v>66.0969727272727</v>
      </c>
      <c r="I1148" s="19" t="s">
        <v>40</v>
      </c>
      <c r="J1148" s="171">
        <v>-7.5720716145823985E-2</v>
      </c>
      <c r="K1148" s="168" t="s">
        <v>44</v>
      </c>
      <c r="L1148" s="169" t="s">
        <v>188</v>
      </c>
      <c r="M1148" s="143">
        <v>9.0214583961750527E-2</v>
      </c>
      <c r="N1148" s="78">
        <v>9.664939196936114</v>
      </c>
      <c r="O1148" s="78">
        <v>1.4019467891865993</v>
      </c>
      <c r="BU1148" s="61"/>
    </row>
    <row r="1149" spans="1:73" x14ac:dyDescent="0.35">
      <c r="A1149" s="7" t="s">
        <v>1379</v>
      </c>
      <c r="B1149" s="7" t="s">
        <v>1382</v>
      </c>
      <c r="C1149" s="146" t="s">
        <v>848</v>
      </c>
      <c r="D1149" s="146" t="s">
        <v>38</v>
      </c>
      <c r="E1149" s="146" t="s">
        <v>980</v>
      </c>
      <c r="F1149" s="143">
        <v>219.13499999999999</v>
      </c>
      <c r="G1149" s="170" t="s">
        <v>39</v>
      </c>
      <c r="H1149" s="76">
        <v>66.131990909090902</v>
      </c>
      <c r="I1149" s="19" t="s">
        <v>40</v>
      </c>
      <c r="J1149" s="171">
        <v>-0.11001521193415442</v>
      </c>
      <c r="K1149" s="168" t="s">
        <v>44</v>
      </c>
      <c r="L1149" s="169" t="s">
        <v>188</v>
      </c>
      <c r="M1149" s="143">
        <v>0.11302808053554081</v>
      </c>
      <c r="N1149" s="78">
        <v>9.56408294787885</v>
      </c>
      <c r="O1149" s="78">
        <v>1.3010905401293353</v>
      </c>
      <c r="BU1149" s="61"/>
    </row>
    <row r="1150" spans="1:73" x14ac:dyDescent="0.35">
      <c r="A1150" s="7" t="s">
        <v>1379</v>
      </c>
      <c r="B1150" s="7" t="s">
        <v>1382</v>
      </c>
      <c r="C1150" s="146" t="s">
        <v>848</v>
      </c>
      <c r="D1150" s="146" t="s">
        <v>38</v>
      </c>
      <c r="E1150" s="146" t="s">
        <v>981</v>
      </c>
      <c r="F1150" s="143">
        <v>219.88499999999999</v>
      </c>
      <c r="G1150" s="170" t="s">
        <v>39</v>
      </c>
      <c r="H1150" s="76">
        <v>66.168468181818199</v>
      </c>
      <c r="I1150" s="19" t="s">
        <v>40</v>
      </c>
      <c r="J1150" s="171">
        <v>-0.14690626131687168</v>
      </c>
      <c r="K1150" s="168" t="s">
        <v>44</v>
      </c>
      <c r="L1150" s="169" t="s">
        <v>188</v>
      </c>
      <c r="M1150" s="143">
        <v>-0.14172935491477912</v>
      </c>
      <c r="N1150" s="78">
        <v>10.692113470509067</v>
      </c>
      <c r="O1150" s="78">
        <v>2.4291210627595525</v>
      </c>
      <c r="BU1150" s="61"/>
    </row>
    <row r="1151" spans="1:73" x14ac:dyDescent="0.35">
      <c r="A1151" s="7" t="s">
        <v>1379</v>
      </c>
      <c r="B1151" s="7" t="s">
        <v>1382</v>
      </c>
      <c r="C1151" s="146" t="s">
        <v>848</v>
      </c>
      <c r="D1151" s="146" t="s">
        <v>38</v>
      </c>
      <c r="E1151" s="146" t="s">
        <v>982</v>
      </c>
      <c r="F1151" s="143">
        <v>220.60499999999999</v>
      </c>
      <c r="G1151" s="170" t="s">
        <v>39</v>
      </c>
      <c r="H1151" s="76">
        <v>66.203514285714306</v>
      </c>
      <c r="I1151" s="19" t="s">
        <v>40</v>
      </c>
      <c r="J1151" s="171">
        <v>-0.18232166872428479</v>
      </c>
      <c r="K1151" s="168" t="s">
        <v>44</v>
      </c>
      <c r="L1151" s="169" t="s">
        <v>188</v>
      </c>
      <c r="M1151" s="143">
        <v>-0.30498602212785819</v>
      </c>
      <c r="N1151" s="78">
        <v>11.417038614170831</v>
      </c>
      <c r="O1151" s="78">
        <v>3.1540462064213166</v>
      </c>
      <c r="BU1151" s="61"/>
    </row>
    <row r="1152" spans="1:73" x14ac:dyDescent="0.35">
      <c r="A1152" s="7" t="s">
        <v>1379</v>
      </c>
      <c r="B1152" s="7" t="s">
        <v>1382</v>
      </c>
      <c r="C1152" s="146" t="s">
        <v>848</v>
      </c>
      <c r="D1152" s="146" t="s">
        <v>38</v>
      </c>
      <c r="E1152" s="146" t="s">
        <v>983</v>
      </c>
      <c r="F1152" s="143">
        <v>221.50501</v>
      </c>
      <c r="G1152" s="170" t="s">
        <v>39</v>
      </c>
      <c r="H1152" s="76">
        <v>66.249799999999993</v>
      </c>
      <c r="I1152" s="19" t="s">
        <v>40</v>
      </c>
      <c r="J1152" s="171">
        <v>-0.22659141986419229</v>
      </c>
      <c r="K1152" s="168" t="s">
        <v>44</v>
      </c>
      <c r="L1152" s="169" t="s">
        <v>188</v>
      </c>
      <c r="M1152" s="143">
        <v>-5.7018963343886675E-2</v>
      </c>
      <c r="N1152" s="78">
        <v>10.316595485588811</v>
      </c>
      <c r="O1152" s="78">
        <v>2.0536030778392966</v>
      </c>
      <c r="BU1152" s="61"/>
    </row>
    <row r="1153" spans="1:73" x14ac:dyDescent="0.35">
      <c r="A1153" s="7" t="s">
        <v>1379</v>
      </c>
      <c r="B1153" s="7" t="s">
        <v>1382</v>
      </c>
      <c r="I1153" s="18"/>
      <c r="BU1153" s="61"/>
    </row>
    <row r="1154" spans="1:73" x14ac:dyDescent="0.35">
      <c r="A1154" s="7" t="s">
        <v>1379</v>
      </c>
      <c r="B1154" s="7" t="s">
        <v>1382</v>
      </c>
      <c r="C1154" s="146" t="s">
        <v>848</v>
      </c>
      <c r="D1154" s="146" t="s">
        <v>984</v>
      </c>
      <c r="E1154" s="170" t="s">
        <v>985</v>
      </c>
      <c r="F1154" s="173">
        <v>59.06</v>
      </c>
      <c r="G1154" s="170" t="s">
        <v>26</v>
      </c>
      <c r="H1154" s="174">
        <v>65.917735849056598</v>
      </c>
      <c r="I1154" s="170" t="s">
        <v>27</v>
      </c>
      <c r="J1154" s="174">
        <v>0.12226415094340837</v>
      </c>
      <c r="K1154" s="168" t="s">
        <v>44</v>
      </c>
      <c r="L1154" s="163" t="s">
        <v>192</v>
      </c>
      <c r="M1154" s="97">
        <v>0.35</v>
      </c>
      <c r="N1154" s="97">
        <v>8.7386750000000024</v>
      </c>
      <c r="O1154" s="97">
        <v>8.816799999999958E-2</v>
      </c>
      <c r="BU1154" s="61"/>
    </row>
    <row r="1155" spans="1:73" x14ac:dyDescent="0.35">
      <c r="A1155" s="7" t="s">
        <v>1379</v>
      </c>
      <c r="B1155" s="7" t="s">
        <v>1382</v>
      </c>
      <c r="C1155" s="146" t="s">
        <v>848</v>
      </c>
      <c r="D1155" s="146" t="s">
        <v>984</v>
      </c>
      <c r="E1155" s="170" t="s">
        <v>986</v>
      </c>
      <c r="F1155" s="173">
        <v>59.45</v>
      </c>
      <c r="G1155" s="170" t="s">
        <v>26</v>
      </c>
      <c r="H1155" s="174">
        <v>65.932452830188666</v>
      </c>
      <c r="I1155" s="170" t="s">
        <v>27</v>
      </c>
      <c r="J1155" s="174">
        <v>0.10754716981134038</v>
      </c>
      <c r="K1155" s="168" t="s">
        <v>44</v>
      </c>
      <c r="L1155" s="163" t="s">
        <v>192</v>
      </c>
      <c r="M1155" s="97">
        <v>0.33</v>
      </c>
      <c r="N1155" s="97">
        <v>8.8268670000000018</v>
      </c>
      <c r="O1155" s="97">
        <v>0.17635999999999896</v>
      </c>
      <c r="BU1155" s="61"/>
    </row>
    <row r="1156" spans="1:73" x14ac:dyDescent="0.35">
      <c r="A1156" s="7" t="s">
        <v>1379</v>
      </c>
      <c r="B1156" s="7" t="s">
        <v>1382</v>
      </c>
      <c r="C1156" s="146" t="s">
        <v>848</v>
      </c>
      <c r="D1156" s="146" t="s">
        <v>984</v>
      </c>
      <c r="E1156" s="170" t="s">
        <v>987</v>
      </c>
      <c r="F1156" s="173">
        <v>59.75</v>
      </c>
      <c r="G1156" s="170" t="s">
        <v>26</v>
      </c>
      <c r="H1156" s="174">
        <v>65.943773584905657</v>
      </c>
      <c r="I1156" s="170" t="s">
        <v>27</v>
      </c>
      <c r="J1156" s="174">
        <v>9.6226415094349704E-2</v>
      </c>
      <c r="K1156" s="168" t="s">
        <v>44</v>
      </c>
      <c r="L1156" s="163" t="s">
        <v>192</v>
      </c>
      <c r="M1156" s="97">
        <v>0.51</v>
      </c>
      <c r="N1156" s="97">
        <v>8.034003000000002</v>
      </c>
      <c r="O1156" s="97">
        <v>-0.61650400000000083</v>
      </c>
      <c r="BU1156" s="61"/>
    </row>
    <row r="1157" spans="1:73" x14ac:dyDescent="0.35">
      <c r="A1157" s="7" t="s">
        <v>1379</v>
      </c>
      <c r="B1157" s="7" t="s">
        <v>1382</v>
      </c>
      <c r="C1157" s="146" t="s">
        <v>848</v>
      </c>
      <c r="D1157" s="146" t="s">
        <v>984</v>
      </c>
      <c r="E1157" s="170" t="s">
        <v>988</v>
      </c>
      <c r="F1157" s="173">
        <v>60.15</v>
      </c>
      <c r="G1157" s="170" t="s">
        <v>26</v>
      </c>
      <c r="H1157" s="174">
        <v>65.958867924528292</v>
      </c>
      <c r="I1157" s="170" t="s">
        <v>27</v>
      </c>
      <c r="J1157" s="174">
        <v>8.1132075471714415E-2</v>
      </c>
      <c r="K1157" s="168" t="s">
        <v>44</v>
      </c>
      <c r="L1157" s="163" t="s">
        <v>192</v>
      </c>
      <c r="M1157" s="97">
        <v>0.43</v>
      </c>
      <c r="N1157" s="97">
        <v>8.3861470000000011</v>
      </c>
      <c r="O1157" s="97">
        <v>-0.2643600000000017</v>
      </c>
      <c r="BU1157" s="61"/>
    </row>
    <row r="1158" spans="1:73" x14ac:dyDescent="0.35">
      <c r="A1158" s="7" t="s">
        <v>1379</v>
      </c>
      <c r="B1158" s="7" t="s">
        <v>1382</v>
      </c>
      <c r="C1158" s="146" t="s">
        <v>848</v>
      </c>
      <c r="D1158" s="146" t="s">
        <v>984</v>
      </c>
      <c r="E1158" s="170" t="s">
        <v>989</v>
      </c>
      <c r="F1158" s="173">
        <v>60.57</v>
      </c>
      <c r="G1158" s="170" t="s">
        <v>26</v>
      </c>
      <c r="H1158" s="174">
        <v>65.974716981132076</v>
      </c>
      <c r="I1158" s="170" t="s">
        <v>27</v>
      </c>
      <c r="J1158" s="174">
        <v>6.5283018867930309E-2</v>
      </c>
      <c r="K1158" s="168" t="s">
        <v>44</v>
      </c>
      <c r="L1158" s="163" t="s">
        <v>192</v>
      </c>
      <c r="M1158" s="97">
        <v>0.35</v>
      </c>
      <c r="N1158" s="97">
        <v>8.7386750000000024</v>
      </c>
      <c r="O1158" s="97">
        <v>8.816799999999958E-2</v>
      </c>
      <c r="BU1158" s="61"/>
    </row>
    <row r="1159" spans="1:73" x14ac:dyDescent="0.35">
      <c r="A1159" s="7" t="s">
        <v>1379</v>
      </c>
      <c r="B1159" s="7" t="s">
        <v>1382</v>
      </c>
      <c r="C1159" s="146" t="s">
        <v>848</v>
      </c>
      <c r="D1159" s="146" t="s">
        <v>984</v>
      </c>
      <c r="E1159" s="170" t="s">
        <v>990</v>
      </c>
      <c r="F1159" s="173">
        <v>60.96</v>
      </c>
      <c r="G1159" s="170" t="s">
        <v>26</v>
      </c>
      <c r="H1159" s="174">
        <v>65.989433962264144</v>
      </c>
      <c r="I1159" s="170" t="s">
        <v>27</v>
      </c>
      <c r="J1159" s="174">
        <v>5.0566037735862324E-2</v>
      </c>
      <c r="K1159" s="168" t="s">
        <v>44</v>
      </c>
      <c r="L1159" s="163" t="s">
        <v>192</v>
      </c>
      <c r="M1159" s="97">
        <v>0.36</v>
      </c>
      <c r="N1159" s="97">
        <v>8.6945880000000031</v>
      </c>
      <c r="O1159" s="97">
        <v>4.4081000000000259E-2</v>
      </c>
      <c r="BU1159" s="61"/>
    </row>
    <row r="1160" spans="1:73" x14ac:dyDescent="0.35">
      <c r="A1160" s="7" t="s">
        <v>1379</v>
      </c>
      <c r="B1160" s="7" t="s">
        <v>1382</v>
      </c>
      <c r="C1160" s="146" t="s">
        <v>848</v>
      </c>
      <c r="D1160" s="146" t="s">
        <v>984</v>
      </c>
      <c r="E1160" s="170" t="s">
        <v>991</v>
      </c>
      <c r="F1160" s="173">
        <v>61.07</v>
      </c>
      <c r="G1160" s="170" t="s">
        <v>26</v>
      </c>
      <c r="H1160" s="174">
        <v>65.99358490566037</v>
      </c>
      <c r="I1160" s="170" t="s">
        <v>27</v>
      </c>
      <c r="J1160" s="174">
        <v>4.6415094339636198E-2</v>
      </c>
      <c r="K1160" s="168" t="s">
        <v>44</v>
      </c>
      <c r="L1160" s="163" t="s">
        <v>192</v>
      </c>
      <c r="M1160" s="97">
        <v>0.31</v>
      </c>
      <c r="N1160" s="97">
        <v>8.9150830000000028</v>
      </c>
      <c r="O1160" s="97">
        <v>0.26457599999999992</v>
      </c>
      <c r="BU1160" s="61"/>
    </row>
    <row r="1161" spans="1:73" x14ac:dyDescent="0.35">
      <c r="A1161" s="7" t="s">
        <v>1379</v>
      </c>
      <c r="B1161" s="7" t="s">
        <v>1382</v>
      </c>
      <c r="C1161" s="146" t="s">
        <v>848</v>
      </c>
      <c r="D1161" s="146" t="s">
        <v>984</v>
      </c>
      <c r="E1161" s="170" t="s">
        <v>992</v>
      </c>
      <c r="F1161" s="173">
        <v>61.24</v>
      </c>
      <c r="G1161" s="170" t="s">
        <v>26</v>
      </c>
      <c r="H1161" s="174">
        <v>66</v>
      </c>
      <c r="I1161" s="170" t="s">
        <v>27</v>
      </c>
      <c r="J1161" s="174">
        <v>4.0000000000006253E-2</v>
      </c>
      <c r="K1161" s="175" t="s">
        <v>28</v>
      </c>
      <c r="L1161" s="62" t="s">
        <v>993</v>
      </c>
      <c r="M1161" s="97"/>
      <c r="N1161" s="97"/>
      <c r="O1161" s="97"/>
      <c r="BU1161" s="61"/>
    </row>
    <row r="1162" spans="1:73" x14ac:dyDescent="0.35">
      <c r="A1162" s="7" t="s">
        <v>1379</v>
      </c>
      <c r="B1162" s="7" t="s">
        <v>1382</v>
      </c>
      <c r="C1162" s="146" t="s">
        <v>848</v>
      </c>
      <c r="D1162" s="146" t="s">
        <v>984</v>
      </c>
      <c r="E1162" s="170" t="s">
        <v>994</v>
      </c>
      <c r="F1162" s="173">
        <v>61.27</v>
      </c>
      <c r="G1162" s="170" t="s">
        <v>26</v>
      </c>
      <c r="H1162" s="174">
        <v>66.001132075471702</v>
      </c>
      <c r="I1162" s="170" t="s">
        <v>27</v>
      </c>
      <c r="J1162" s="174">
        <v>3.8867924528304343E-2</v>
      </c>
      <c r="K1162" s="168" t="s">
        <v>44</v>
      </c>
      <c r="L1162" s="176" t="s">
        <v>192</v>
      </c>
      <c r="M1162" s="97">
        <v>0.28999999999999998</v>
      </c>
      <c r="N1162" s="97">
        <v>9.0033230000000017</v>
      </c>
      <c r="O1162" s="97">
        <v>0.35281599999999891</v>
      </c>
      <c r="BU1162" s="61"/>
    </row>
    <row r="1163" spans="1:73" x14ac:dyDescent="0.35">
      <c r="A1163" s="7" t="s">
        <v>1379</v>
      </c>
      <c r="B1163" s="7" t="s">
        <v>1382</v>
      </c>
      <c r="C1163" s="146" t="s">
        <v>848</v>
      </c>
      <c r="D1163" s="146" t="s">
        <v>984</v>
      </c>
      <c r="E1163" s="170" t="s">
        <v>995</v>
      </c>
      <c r="F1163" s="173">
        <v>61.65</v>
      </c>
      <c r="G1163" s="170" t="s">
        <v>26</v>
      </c>
      <c r="H1163" s="174">
        <v>66.015471698113217</v>
      </c>
      <c r="I1163" s="170" t="s">
        <v>27</v>
      </c>
      <c r="J1163" s="174">
        <v>2.452830188678945E-2</v>
      </c>
      <c r="K1163" s="168" t="s">
        <v>44</v>
      </c>
      <c r="L1163" s="176" t="s">
        <v>192</v>
      </c>
      <c r="M1163" s="97">
        <v>0.5</v>
      </c>
      <c r="N1163" s="97">
        <v>8.0780000000000012</v>
      </c>
      <c r="O1163" s="97">
        <v>-0.57250700000000165</v>
      </c>
      <c r="BU1163" s="61"/>
    </row>
    <row r="1164" spans="1:73" x14ac:dyDescent="0.35">
      <c r="A1164" s="7" t="s">
        <v>1379</v>
      </c>
      <c r="B1164" s="7" t="s">
        <v>1382</v>
      </c>
      <c r="C1164" s="146" t="s">
        <v>848</v>
      </c>
      <c r="D1164" s="146" t="s">
        <v>984</v>
      </c>
      <c r="E1164" s="170" t="s">
        <v>996</v>
      </c>
      <c r="F1164" s="173">
        <v>62.06</v>
      </c>
      <c r="G1164" s="170" t="s">
        <v>26</v>
      </c>
      <c r="H1164" s="174">
        <v>66.030943396226419</v>
      </c>
      <c r="I1164" s="170" t="s">
        <v>27</v>
      </c>
      <c r="J1164" s="174">
        <v>9.0566037735868576E-3</v>
      </c>
      <c r="K1164" s="168" t="s">
        <v>44</v>
      </c>
      <c r="L1164" s="176" t="s">
        <v>192</v>
      </c>
      <c r="M1164" s="97">
        <v>0.21</v>
      </c>
      <c r="N1164" s="97">
        <v>9.3565230000000028</v>
      </c>
      <c r="O1164" s="97">
        <v>0.70601599999999998</v>
      </c>
      <c r="BU1164" s="61"/>
    </row>
    <row r="1165" spans="1:73" x14ac:dyDescent="0.35">
      <c r="A1165" s="7" t="s">
        <v>1379</v>
      </c>
      <c r="B1165" s="7" t="s">
        <v>1382</v>
      </c>
      <c r="C1165" s="146" t="s">
        <v>848</v>
      </c>
      <c r="D1165" s="146" t="s">
        <v>984</v>
      </c>
      <c r="E1165" s="170" t="s">
        <v>997</v>
      </c>
      <c r="F1165" s="173">
        <v>62.16</v>
      </c>
      <c r="G1165" s="170" t="s">
        <v>26</v>
      </c>
      <c r="H1165" s="174">
        <v>66.034716981132078</v>
      </c>
      <c r="I1165" s="170" t="s">
        <v>27</v>
      </c>
      <c r="J1165" s="174">
        <v>5.2830188679280354E-3</v>
      </c>
      <c r="K1165" s="168" t="s">
        <v>44</v>
      </c>
      <c r="L1165" s="176" t="s">
        <v>192</v>
      </c>
      <c r="M1165" s="97">
        <v>0.26</v>
      </c>
      <c r="N1165" s="97">
        <v>9.1357280000000021</v>
      </c>
      <c r="O1165" s="97">
        <v>0.48522099999999924</v>
      </c>
      <c r="BU1165" s="61"/>
    </row>
    <row r="1166" spans="1:73" x14ac:dyDescent="0.35">
      <c r="A1166" s="7" t="s">
        <v>1379</v>
      </c>
      <c r="B1166" s="7" t="s">
        <v>1382</v>
      </c>
      <c r="C1166" s="146" t="s">
        <v>848</v>
      </c>
      <c r="D1166" s="146" t="s">
        <v>984</v>
      </c>
      <c r="E1166" s="170" t="s">
        <v>998</v>
      </c>
      <c r="F1166" s="173">
        <v>62.27</v>
      </c>
      <c r="G1166" s="170" t="s">
        <v>26</v>
      </c>
      <c r="H1166" s="174">
        <v>66.038867924528304</v>
      </c>
      <c r="I1166" s="170" t="s">
        <v>27</v>
      </c>
      <c r="J1166" s="174">
        <v>1.1320754717019099E-3</v>
      </c>
      <c r="K1166" s="168" t="s">
        <v>44</v>
      </c>
      <c r="L1166" s="176" t="s">
        <v>192</v>
      </c>
      <c r="M1166" s="97">
        <v>0.2</v>
      </c>
      <c r="N1166" s="97">
        <v>9.4007000000000023</v>
      </c>
      <c r="O1166" s="97">
        <v>0.75019299999999944</v>
      </c>
      <c r="BU1166" s="61"/>
    </row>
    <row r="1167" spans="1:73" x14ac:dyDescent="0.35">
      <c r="A1167" s="7" t="s">
        <v>1379</v>
      </c>
      <c r="B1167" s="7" t="s">
        <v>1382</v>
      </c>
      <c r="C1167" s="146" t="s">
        <v>848</v>
      </c>
      <c r="D1167" s="146" t="s">
        <v>984</v>
      </c>
      <c r="E1167" s="170" t="s">
        <v>999</v>
      </c>
      <c r="F1167" s="173">
        <v>62.3</v>
      </c>
      <c r="G1167" s="170" t="s">
        <v>26</v>
      </c>
      <c r="H1167" s="174">
        <v>66.040000000000006</v>
      </c>
      <c r="I1167" s="170" t="s">
        <v>27</v>
      </c>
      <c r="J1167" s="174">
        <v>0</v>
      </c>
      <c r="K1167" s="175" t="s">
        <v>28</v>
      </c>
      <c r="L1167" s="62" t="s">
        <v>1000</v>
      </c>
      <c r="M1167" s="97"/>
      <c r="N1167" s="97"/>
      <c r="O1167" s="97"/>
      <c r="BU1167" s="61"/>
    </row>
    <row r="1168" spans="1:73" x14ac:dyDescent="0.35">
      <c r="A1168" s="7" t="s">
        <v>1379</v>
      </c>
      <c r="B1168" s="7" t="s">
        <v>1382</v>
      </c>
      <c r="C1168" s="146" t="s">
        <v>848</v>
      </c>
      <c r="D1168" s="146" t="s">
        <v>984</v>
      </c>
      <c r="E1168" s="170" t="s">
        <v>1001</v>
      </c>
      <c r="F1168" s="173">
        <v>62.33</v>
      </c>
      <c r="G1168" s="170" t="s">
        <v>26</v>
      </c>
      <c r="H1168" s="174">
        <v>66.0431836734694</v>
      </c>
      <c r="I1168" s="170" t="s">
        <v>27</v>
      </c>
      <c r="J1168" s="174">
        <v>-3.1836734693939661E-3</v>
      </c>
      <c r="K1168" s="168" t="s">
        <v>44</v>
      </c>
      <c r="L1168" s="176" t="s">
        <v>192</v>
      </c>
      <c r="M1168" s="97">
        <v>0.37</v>
      </c>
      <c r="N1168" s="97">
        <v>8.6505070000000028</v>
      </c>
      <c r="O1168" s="97">
        <v>0</v>
      </c>
      <c r="BU1168" s="61"/>
    </row>
    <row r="1169" spans="1:73" x14ac:dyDescent="0.35">
      <c r="A1169" s="7" t="s">
        <v>1379</v>
      </c>
      <c r="B1169" s="7" t="s">
        <v>1382</v>
      </c>
      <c r="C1169" s="146" t="s">
        <v>848</v>
      </c>
      <c r="D1169" s="146" t="s">
        <v>984</v>
      </c>
      <c r="E1169" s="170" t="s">
        <v>1002</v>
      </c>
      <c r="F1169" s="173">
        <v>62.46</v>
      </c>
      <c r="G1169" s="170" t="s">
        <v>26</v>
      </c>
      <c r="H1169" s="174">
        <v>66.056979591836736</v>
      </c>
      <c r="I1169" s="170" t="s">
        <v>27</v>
      </c>
      <c r="J1169" s="174">
        <v>-1.6979591836729924E-2</v>
      </c>
      <c r="K1169" s="168" t="s">
        <v>44</v>
      </c>
      <c r="L1169" s="176" t="s">
        <v>192</v>
      </c>
      <c r="M1169" s="97">
        <v>0.34</v>
      </c>
      <c r="N1169" s="97">
        <v>8.7827680000000026</v>
      </c>
      <c r="O1169" s="97">
        <v>0.13226099999999974</v>
      </c>
      <c r="BU1169" s="61"/>
    </row>
    <row r="1170" spans="1:73" x14ac:dyDescent="0.35">
      <c r="A1170" s="7" t="s">
        <v>1379</v>
      </c>
      <c r="B1170" s="7" t="s">
        <v>1382</v>
      </c>
      <c r="C1170" s="146" t="s">
        <v>848</v>
      </c>
      <c r="D1170" s="146" t="s">
        <v>984</v>
      </c>
      <c r="E1170" s="170" t="s">
        <v>1003</v>
      </c>
      <c r="F1170" s="173">
        <v>62.8</v>
      </c>
      <c r="G1170" s="170" t="s">
        <v>26</v>
      </c>
      <c r="H1170" s="174">
        <v>66.093061224489801</v>
      </c>
      <c r="I1170" s="170" t="s">
        <v>27</v>
      </c>
      <c r="J1170" s="174">
        <v>-5.3061224489795222E-2</v>
      </c>
      <c r="K1170" s="168" t="s">
        <v>44</v>
      </c>
      <c r="L1170" s="176" t="s">
        <v>192</v>
      </c>
      <c r="M1170" s="97">
        <v>0.2</v>
      </c>
      <c r="N1170" s="97">
        <v>9.4007000000000023</v>
      </c>
      <c r="O1170" s="97">
        <v>0.75019299999999944</v>
      </c>
      <c r="BU1170" s="61"/>
    </row>
    <row r="1171" spans="1:73" x14ac:dyDescent="0.35">
      <c r="A1171" s="7" t="s">
        <v>1379</v>
      </c>
      <c r="B1171" s="7" t="s">
        <v>1382</v>
      </c>
      <c r="C1171" s="146" t="s">
        <v>848</v>
      </c>
      <c r="D1171" s="146" t="s">
        <v>984</v>
      </c>
      <c r="E1171" s="170" t="s">
        <v>1004</v>
      </c>
      <c r="F1171" s="173">
        <v>63.17</v>
      </c>
      <c r="G1171" s="170" t="s">
        <v>26</v>
      </c>
      <c r="H1171" s="174">
        <v>66.132326530612247</v>
      </c>
      <c r="I1171" s="170" t="s">
        <v>27</v>
      </c>
      <c r="J1171" s="174">
        <v>-9.2326530612240276E-2</v>
      </c>
      <c r="K1171" s="168" t="s">
        <v>44</v>
      </c>
      <c r="L1171" s="176" t="s">
        <v>192</v>
      </c>
      <c r="M1171" s="97">
        <v>0.16</v>
      </c>
      <c r="N1171" s="97">
        <v>9.5774680000000014</v>
      </c>
      <c r="O1171" s="97">
        <v>0.92696099999999859</v>
      </c>
      <c r="BU1171" s="61"/>
    </row>
    <row r="1172" spans="1:73" x14ac:dyDescent="0.35">
      <c r="A1172" s="7" t="s">
        <v>1379</v>
      </c>
      <c r="B1172" s="7" t="s">
        <v>1382</v>
      </c>
      <c r="C1172" s="146" t="s">
        <v>848</v>
      </c>
      <c r="D1172" s="146" t="s">
        <v>984</v>
      </c>
      <c r="E1172" s="170" t="s">
        <v>1005</v>
      </c>
      <c r="F1172" s="173">
        <v>63.55</v>
      </c>
      <c r="G1172" s="170" t="s">
        <v>26</v>
      </c>
      <c r="H1172" s="174">
        <v>66.172653061224494</v>
      </c>
      <c r="I1172" s="170" t="s">
        <v>27</v>
      </c>
      <c r="J1172" s="174">
        <v>-0.13265306122448806</v>
      </c>
      <c r="K1172" s="168" t="s">
        <v>44</v>
      </c>
      <c r="L1172" s="176" t="s">
        <v>192</v>
      </c>
      <c r="M1172" s="97">
        <v>0.11</v>
      </c>
      <c r="N1172" s="97">
        <v>9.7985630000000015</v>
      </c>
      <c r="O1172" s="97">
        <v>1.1480559999999986</v>
      </c>
      <c r="BU1172" s="61"/>
    </row>
    <row r="1173" spans="1:73" x14ac:dyDescent="0.35">
      <c r="A1173" s="7" t="s">
        <v>1379</v>
      </c>
      <c r="B1173" s="7" t="s">
        <v>1382</v>
      </c>
      <c r="C1173" s="146" t="s">
        <v>848</v>
      </c>
      <c r="D1173" s="146" t="s">
        <v>984</v>
      </c>
      <c r="E1173" s="170" t="s">
        <v>1006</v>
      </c>
      <c r="F1173" s="173">
        <v>63.94</v>
      </c>
      <c r="G1173" s="170" t="s">
        <v>26</v>
      </c>
      <c r="H1173" s="174">
        <v>66.214040816326531</v>
      </c>
      <c r="I1173" s="170" t="s">
        <v>27</v>
      </c>
      <c r="J1173" s="174">
        <v>-0.17404081632652435</v>
      </c>
      <c r="K1173" s="168" t="s">
        <v>44</v>
      </c>
      <c r="L1173" s="176" t="s">
        <v>192</v>
      </c>
      <c r="M1173" s="97">
        <v>0.03</v>
      </c>
      <c r="N1173" s="97">
        <v>10.152627000000003</v>
      </c>
      <c r="O1173" s="97">
        <v>1.5021199999999997</v>
      </c>
      <c r="BU1173" s="61"/>
    </row>
    <row r="1174" spans="1:73" x14ac:dyDescent="0.35">
      <c r="A1174" s="7" t="s">
        <v>1379</v>
      </c>
      <c r="B1174" s="7" t="s">
        <v>1382</v>
      </c>
      <c r="C1174" s="146" t="s">
        <v>848</v>
      </c>
      <c r="D1174" s="146" t="s">
        <v>984</v>
      </c>
      <c r="E1174" s="170" t="s">
        <v>1007</v>
      </c>
      <c r="F1174" s="173">
        <v>64.25</v>
      </c>
      <c r="G1174" s="170" t="s">
        <v>26</v>
      </c>
      <c r="H1174" s="174">
        <v>66.246938775510202</v>
      </c>
      <c r="I1174" s="170" t="s">
        <v>27</v>
      </c>
      <c r="J1174" s="174">
        <v>-0.20693877551019568</v>
      </c>
      <c r="K1174" s="168" t="s">
        <v>44</v>
      </c>
      <c r="L1174" s="176" t="s">
        <v>192</v>
      </c>
      <c r="M1174" s="97">
        <v>-0.03</v>
      </c>
      <c r="N1174" s="97">
        <v>10.418427000000001</v>
      </c>
      <c r="O1174" s="97">
        <v>1.7679199999999984</v>
      </c>
      <c r="BU1174" s="61"/>
    </row>
    <row r="1175" spans="1:73" x14ac:dyDescent="0.35">
      <c r="A1175" s="7" t="s">
        <v>1379</v>
      </c>
      <c r="B1175" s="7" t="s">
        <v>1382</v>
      </c>
      <c r="C1175" s="146" t="s">
        <v>848</v>
      </c>
      <c r="D1175" s="146" t="s">
        <v>984</v>
      </c>
      <c r="E1175" s="170" t="s">
        <v>1008</v>
      </c>
      <c r="F1175" s="173">
        <v>64.66</v>
      </c>
      <c r="G1175" s="170" t="s">
        <v>26</v>
      </c>
      <c r="H1175" s="174">
        <v>66.290448979591829</v>
      </c>
      <c r="I1175" s="170" t="s">
        <v>27</v>
      </c>
      <c r="J1175" s="174">
        <v>-0.25044897959182322</v>
      </c>
      <c r="K1175" s="168" t="s">
        <v>44</v>
      </c>
      <c r="L1175" s="176" t="s">
        <v>192</v>
      </c>
      <c r="M1175" s="97">
        <v>-0.09</v>
      </c>
      <c r="N1175" s="97">
        <v>10.684443000000002</v>
      </c>
      <c r="O1175" s="97">
        <v>2.0339359999999989</v>
      </c>
      <c r="BU1175" s="61"/>
    </row>
    <row r="1176" spans="1:73" x14ac:dyDescent="0.35">
      <c r="A1176" s="7" t="s">
        <v>1379</v>
      </c>
      <c r="B1176" s="7" t="s">
        <v>1382</v>
      </c>
      <c r="C1176" s="146" t="s">
        <v>848</v>
      </c>
      <c r="D1176" s="146" t="s">
        <v>984</v>
      </c>
      <c r="E1176" s="170" t="s">
        <v>1009</v>
      </c>
      <c r="F1176" s="173">
        <v>64.75</v>
      </c>
      <c r="G1176" s="170" t="s">
        <v>26</v>
      </c>
      <c r="H1176" s="174">
        <v>66.3</v>
      </c>
      <c r="I1176" s="170" t="s">
        <v>27</v>
      </c>
      <c r="J1176" s="174">
        <v>-0.25999999999999091</v>
      </c>
      <c r="K1176" s="175" t="s">
        <v>28</v>
      </c>
      <c r="L1176" s="169" t="s">
        <v>1010</v>
      </c>
      <c r="M1176" s="97"/>
      <c r="N1176" s="97"/>
      <c r="O1176" s="97"/>
      <c r="BU1176" s="61"/>
    </row>
    <row r="1177" spans="1:73" x14ac:dyDescent="0.35">
      <c r="A1177" s="7" t="s">
        <v>1379</v>
      </c>
      <c r="B1177" s="7" t="s">
        <v>1382</v>
      </c>
      <c r="C1177" s="146" t="s">
        <v>848</v>
      </c>
      <c r="D1177" s="146" t="s">
        <v>984</v>
      </c>
      <c r="E1177" s="170" t="s">
        <v>1011</v>
      </c>
      <c r="F1177" s="173">
        <v>64.94</v>
      </c>
      <c r="G1177" s="170" t="s">
        <v>26</v>
      </c>
      <c r="H1177" s="174">
        <v>66.320163265306121</v>
      </c>
      <c r="I1177" s="170" t="s">
        <v>27</v>
      </c>
      <c r="J1177" s="174">
        <v>-0.28016326530611479</v>
      </c>
      <c r="K1177" s="168" t="s">
        <v>44</v>
      </c>
      <c r="L1177" s="176" t="s">
        <v>192</v>
      </c>
      <c r="M1177" s="97">
        <v>-0.25</v>
      </c>
      <c r="N1177" s="97">
        <v>11.394875000000003</v>
      </c>
      <c r="O1177" s="97">
        <v>2.7443679999999997</v>
      </c>
      <c r="BU1177" s="61"/>
    </row>
    <row r="1178" spans="1:73" x14ac:dyDescent="0.35">
      <c r="A1178" s="7" t="s">
        <v>1379</v>
      </c>
      <c r="B1178" s="7" t="s">
        <v>1382</v>
      </c>
      <c r="I1178" s="19"/>
      <c r="BU1178" s="61"/>
    </row>
    <row r="1179" spans="1:73" x14ac:dyDescent="0.35">
      <c r="A1179" s="7" t="s">
        <v>1379</v>
      </c>
      <c r="B1179" s="7" t="s">
        <v>1382</v>
      </c>
      <c r="C1179" s="170" t="s">
        <v>848</v>
      </c>
      <c r="D1179" s="170" t="s">
        <v>1012</v>
      </c>
      <c r="E1179" s="170" t="s">
        <v>1013</v>
      </c>
      <c r="F1179" s="177">
        <v>313.47000000000003</v>
      </c>
      <c r="G1179" s="170" t="s">
        <v>228</v>
      </c>
      <c r="H1179" s="171">
        <v>64.785296296296295</v>
      </c>
      <c r="I1179" s="19" t="s">
        <v>40</v>
      </c>
      <c r="J1179" s="171">
        <v>1.1850534387730676</v>
      </c>
      <c r="K1179" s="168" t="s">
        <v>44</v>
      </c>
      <c r="L1179" s="169" t="s">
        <v>188</v>
      </c>
      <c r="M1179" s="178">
        <v>-0.13015460254233729</v>
      </c>
      <c r="N1179" s="178">
        <v>10.636745710166455</v>
      </c>
      <c r="O1179" s="178">
        <v>2.0920255804932086</v>
      </c>
      <c r="BU1179" s="61"/>
    </row>
    <row r="1180" spans="1:73" x14ac:dyDescent="0.35">
      <c r="A1180" s="7" t="s">
        <v>1379</v>
      </c>
      <c r="B1180" s="7" t="s">
        <v>1382</v>
      </c>
      <c r="C1180" s="170" t="s">
        <v>848</v>
      </c>
      <c r="D1180" s="170" t="s">
        <v>1012</v>
      </c>
      <c r="E1180" s="170" t="s">
        <v>1014</v>
      </c>
      <c r="F1180" s="177">
        <v>313.68</v>
      </c>
      <c r="G1180" s="170" t="s">
        <v>228</v>
      </c>
      <c r="H1180" s="171">
        <v>64.823018518518495</v>
      </c>
      <c r="I1180" s="19" t="s">
        <v>40</v>
      </c>
      <c r="J1180" s="171">
        <v>1.1490523364486052</v>
      </c>
      <c r="K1180" s="168" t="s">
        <v>44</v>
      </c>
      <c r="L1180" s="169" t="s">
        <v>188</v>
      </c>
      <c r="M1180" s="178">
        <v>-4.1377804592444223E-2</v>
      </c>
      <c r="N1180" s="178">
        <v>10.242754022755186</v>
      </c>
      <c r="O1180" s="178">
        <v>1.6980338930819396</v>
      </c>
      <c r="BU1180" s="61"/>
    </row>
    <row r="1181" spans="1:73" x14ac:dyDescent="0.35">
      <c r="A1181" s="7" t="s">
        <v>1379</v>
      </c>
      <c r="B1181" s="7" t="s">
        <v>1382</v>
      </c>
      <c r="C1181" s="170" t="s">
        <v>848</v>
      </c>
      <c r="D1181" s="170" t="s">
        <v>1012</v>
      </c>
      <c r="E1181" s="170" t="s">
        <v>1015</v>
      </c>
      <c r="F1181" s="177">
        <v>313.74</v>
      </c>
      <c r="G1181" s="170" t="s">
        <v>228</v>
      </c>
      <c r="H1181" s="171">
        <v>64.834941176470593</v>
      </c>
      <c r="I1181" s="19" t="s">
        <v>40</v>
      </c>
      <c r="J1181" s="171">
        <v>1.1390822429906535</v>
      </c>
      <c r="K1181" s="168" t="s">
        <v>44</v>
      </c>
      <c r="L1181" s="169" t="s">
        <v>188</v>
      </c>
      <c r="M1181" s="178">
        <v>1.5208970852859105E-2</v>
      </c>
      <c r="N1181" s="178">
        <v>9.9918520671733493</v>
      </c>
      <c r="O1181" s="178">
        <v>1.447131937500103</v>
      </c>
      <c r="BU1181" s="61"/>
    </row>
    <row r="1182" spans="1:73" x14ac:dyDescent="0.35">
      <c r="A1182" s="7" t="s">
        <v>1379</v>
      </c>
      <c r="B1182" s="7" t="s">
        <v>1382</v>
      </c>
      <c r="C1182" s="170" t="s">
        <v>848</v>
      </c>
      <c r="D1182" s="170" t="s">
        <v>1012</v>
      </c>
      <c r="E1182" s="170" t="s">
        <v>1016</v>
      </c>
      <c r="F1182" s="177">
        <v>314.01000000000005</v>
      </c>
      <c r="G1182" s="170" t="s">
        <v>228</v>
      </c>
      <c r="H1182" s="171">
        <v>64.914352941176503</v>
      </c>
      <c r="I1182" s="19" t="s">
        <v>40</v>
      </c>
      <c r="J1182" s="171">
        <v>1.0942168224298996</v>
      </c>
      <c r="K1182" s="168" t="s">
        <v>44</v>
      </c>
      <c r="L1182" s="169" t="s">
        <v>188</v>
      </c>
      <c r="M1182" s="178">
        <v>-0.18834157540082358</v>
      </c>
      <c r="N1182" s="178">
        <v>10.895219103439619</v>
      </c>
      <c r="O1182" s="178">
        <v>2.3504989737663724</v>
      </c>
      <c r="BU1182" s="61"/>
    </row>
    <row r="1183" spans="1:73" x14ac:dyDescent="0.35">
      <c r="A1183" s="7" t="s">
        <v>1379</v>
      </c>
      <c r="B1183" s="7" t="s">
        <v>1382</v>
      </c>
      <c r="C1183" s="170" t="s">
        <v>848</v>
      </c>
      <c r="D1183" s="170" t="s">
        <v>1012</v>
      </c>
      <c r="E1183" s="170" t="s">
        <v>1017</v>
      </c>
      <c r="F1183" s="177">
        <v>314.27000000000004</v>
      </c>
      <c r="G1183" s="170" t="s">
        <v>228</v>
      </c>
      <c r="H1183" s="171">
        <v>64.973200000000006</v>
      </c>
      <c r="I1183" s="19" t="s">
        <v>40</v>
      </c>
      <c r="J1183" s="171">
        <v>1.0499843137254885</v>
      </c>
      <c r="K1183" s="168" t="s">
        <v>44</v>
      </c>
      <c r="L1183" s="169" t="s">
        <v>188</v>
      </c>
      <c r="M1183" s="178">
        <v>2.0144470013897436E-2</v>
      </c>
      <c r="N1183" s="178">
        <v>9.9699768979252124</v>
      </c>
      <c r="O1183" s="178">
        <v>1.4252567682519661</v>
      </c>
      <c r="BU1183" s="61"/>
    </row>
    <row r="1184" spans="1:73" x14ac:dyDescent="0.35">
      <c r="A1184" s="7" t="s">
        <v>1379</v>
      </c>
      <c r="B1184" s="7" t="s">
        <v>1382</v>
      </c>
      <c r="C1184" s="170" t="s">
        <v>848</v>
      </c>
      <c r="D1184" s="170" t="s">
        <v>1012</v>
      </c>
      <c r="E1184" s="170" t="s">
        <v>1018</v>
      </c>
      <c r="F1184" s="177">
        <v>314.57000000000005</v>
      </c>
      <c r="G1184" s="170" t="s">
        <v>228</v>
      </c>
      <c r="H1184" s="171">
        <v>65.034999999999997</v>
      </c>
      <c r="I1184" s="19" t="s">
        <v>40</v>
      </c>
      <c r="J1184" s="171">
        <v>0.99769019607842324</v>
      </c>
      <c r="K1184" s="168" t="s">
        <v>44</v>
      </c>
      <c r="L1184" s="169" t="s">
        <v>188</v>
      </c>
      <c r="M1184" s="178">
        <v>2.5788650235018584E-2</v>
      </c>
      <c r="N1184" s="178">
        <v>9.9449623773035842</v>
      </c>
      <c r="O1184" s="178">
        <v>1.400242247630338</v>
      </c>
      <c r="BU1184" s="61"/>
    </row>
    <row r="1185" spans="1:73" x14ac:dyDescent="0.35">
      <c r="A1185" s="7" t="s">
        <v>1379</v>
      </c>
      <c r="B1185" s="7" t="s">
        <v>1382</v>
      </c>
      <c r="C1185" s="170" t="s">
        <v>848</v>
      </c>
      <c r="D1185" s="170" t="s">
        <v>1012</v>
      </c>
      <c r="E1185" s="170" t="s">
        <v>1019</v>
      </c>
      <c r="F1185" s="177">
        <v>314.81</v>
      </c>
      <c r="G1185" s="170" t="s">
        <v>228</v>
      </c>
      <c r="H1185" s="171">
        <v>65.064099999999996</v>
      </c>
      <c r="I1185" s="19" t="s">
        <v>40</v>
      </c>
      <c r="J1185" s="171">
        <v>0.95585490196079093</v>
      </c>
      <c r="K1185" s="168" t="s">
        <v>44</v>
      </c>
      <c r="L1185" s="169" t="s">
        <v>188</v>
      </c>
      <c r="M1185" s="178">
        <v>-0.13958432831379147</v>
      </c>
      <c r="N1185" s="178">
        <v>10.678620790252605</v>
      </c>
      <c r="O1185" s="178">
        <v>2.1339006605793589</v>
      </c>
      <c r="BU1185" s="61"/>
    </row>
    <row r="1186" spans="1:73" x14ac:dyDescent="0.35">
      <c r="A1186" s="7" t="s">
        <v>1379</v>
      </c>
      <c r="B1186" s="7" t="s">
        <v>1382</v>
      </c>
      <c r="C1186" s="170" t="s">
        <v>848</v>
      </c>
      <c r="D1186" s="170" t="s">
        <v>1012</v>
      </c>
      <c r="E1186" s="170" t="s">
        <v>1020</v>
      </c>
      <c r="F1186" s="177">
        <v>315.10000000000002</v>
      </c>
      <c r="G1186" s="170" t="s">
        <v>228</v>
      </c>
      <c r="H1186" s="171">
        <v>65.099262499999995</v>
      </c>
      <c r="I1186" s="19" t="s">
        <v>40</v>
      </c>
      <c r="J1186" s="171">
        <v>0.90433852364475342</v>
      </c>
      <c r="K1186" s="168" t="s">
        <v>44</v>
      </c>
      <c r="L1186" s="169" t="s">
        <v>188</v>
      </c>
      <c r="M1186" s="178">
        <v>-3.1715075572154541E-2</v>
      </c>
      <c r="N1186" s="178">
        <v>10.199897436714997</v>
      </c>
      <c r="O1186" s="178">
        <v>1.6551773070417504</v>
      </c>
      <c r="BU1186" s="61"/>
    </row>
    <row r="1187" spans="1:73" x14ac:dyDescent="0.35">
      <c r="A1187" s="7" t="s">
        <v>1379</v>
      </c>
      <c r="B1187" s="7" t="s">
        <v>1382</v>
      </c>
      <c r="C1187" s="170" t="s">
        <v>848</v>
      </c>
      <c r="D1187" s="170" t="s">
        <v>1012</v>
      </c>
      <c r="E1187" s="170" t="s">
        <v>1021</v>
      </c>
      <c r="F1187" s="177">
        <v>315.36</v>
      </c>
      <c r="G1187" s="170" t="s">
        <v>228</v>
      </c>
      <c r="H1187" s="171">
        <v>65.130787499999997</v>
      </c>
      <c r="I1187" s="19" t="s">
        <v>40</v>
      </c>
      <c r="J1187" s="171">
        <v>0.85650692041522802</v>
      </c>
      <c r="K1187" s="168" t="s">
        <v>44</v>
      </c>
      <c r="L1187" s="169" t="s">
        <v>188</v>
      </c>
      <c r="M1187" s="178">
        <v>-0.18213825370728123</v>
      </c>
      <c r="N1187" s="178">
        <v>10.8676541879521</v>
      </c>
      <c r="O1187" s="178">
        <v>2.3229340582788538</v>
      </c>
      <c r="BU1187" s="61"/>
    </row>
    <row r="1188" spans="1:73" x14ac:dyDescent="0.35">
      <c r="A1188" s="7" t="s">
        <v>1379</v>
      </c>
      <c r="B1188" s="7" t="s">
        <v>1382</v>
      </c>
      <c r="C1188" s="170" t="s">
        <v>848</v>
      </c>
      <c r="D1188" s="170" t="s">
        <v>1012</v>
      </c>
      <c r="E1188" s="170" t="s">
        <v>1022</v>
      </c>
      <c r="F1188" s="177">
        <v>315.64000000000004</v>
      </c>
      <c r="G1188" s="170" t="s">
        <v>228</v>
      </c>
      <c r="H1188" s="171">
        <v>65.166875000000005</v>
      </c>
      <c r="I1188" s="19" t="s">
        <v>40</v>
      </c>
      <c r="J1188" s="171">
        <v>0.8049959630911161</v>
      </c>
      <c r="K1188" s="168" t="s">
        <v>44</v>
      </c>
      <c r="L1188" s="169" t="s">
        <v>188</v>
      </c>
      <c r="M1188" s="178">
        <v>-0.15318460382367341</v>
      </c>
      <c r="N1188" s="178">
        <v>10.739025020310871</v>
      </c>
      <c r="O1188" s="178">
        <v>2.1943048906376248</v>
      </c>
      <c r="BU1188" s="61"/>
    </row>
    <row r="1189" spans="1:73" x14ac:dyDescent="0.35">
      <c r="A1189" s="7" t="s">
        <v>1379</v>
      </c>
      <c r="B1189" s="7" t="s">
        <v>1382</v>
      </c>
      <c r="C1189" s="170" t="s">
        <v>848</v>
      </c>
      <c r="D1189" s="170" t="s">
        <v>1012</v>
      </c>
      <c r="E1189" s="170" t="s">
        <v>1023</v>
      </c>
      <c r="F1189" s="177">
        <v>315.90000000000003</v>
      </c>
      <c r="G1189" s="170" t="s">
        <v>228</v>
      </c>
      <c r="H1189" s="171">
        <v>65.200458333333302</v>
      </c>
      <c r="I1189" s="19" t="s">
        <v>40</v>
      </c>
      <c r="J1189" s="171">
        <v>0.7571643598615907</v>
      </c>
      <c r="K1189" s="168" t="s">
        <v>44</v>
      </c>
      <c r="L1189" s="169" t="s">
        <v>188</v>
      </c>
      <c r="M1189" s="178">
        <v>-0.21281666503747157</v>
      </c>
      <c r="N1189" s="178">
        <v>11.003996985565815</v>
      </c>
      <c r="O1189" s="178">
        <v>2.4592768558925684</v>
      </c>
      <c r="BU1189" s="61"/>
    </row>
    <row r="1190" spans="1:73" x14ac:dyDescent="0.35">
      <c r="A1190" s="7" t="s">
        <v>1379</v>
      </c>
      <c r="B1190" s="7" t="s">
        <v>1382</v>
      </c>
      <c r="C1190" s="170" t="s">
        <v>848</v>
      </c>
      <c r="D1190" s="170" t="s">
        <v>1012</v>
      </c>
      <c r="E1190" s="170" t="s">
        <v>1024</v>
      </c>
      <c r="F1190" s="177">
        <v>315.96000000000004</v>
      </c>
      <c r="G1190" s="170" t="s">
        <v>228</v>
      </c>
      <c r="H1190" s="171">
        <v>65.208208333333303</v>
      </c>
      <c r="I1190" s="19" t="s">
        <v>40</v>
      </c>
      <c r="J1190" s="171">
        <v>0.74612629757785953</v>
      </c>
      <c r="K1190" s="168" t="s">
        <v>44</v>
      </c>
      <c r="L1190" s="169" t="s">
        <v>188</v>
      </c>
      <c r="M1190" s="178">
        <v>-8.5154888857002176E-2</v>
      </c>
      <c r="N1190" s="178">
        <v>10.436981691223558</v>
      </c>
      <c r="O1190" s="178">
        <v>1.8922615615503116</v>
      </c>
      <c r="BU1190" s="61"/>
    </row>
    <row r="1191" spans="1:73" x14ac:dyDescent="0.35">
      <c r="A1191" s="7" t="s">
        <v>1379</v>
      </c>
      <c r="B1191" s="7" t="s">
        <v>1382</v>
      </c>
      <c r="C1191" s="170" t="s">
        <v>848</v>
      </c>
      <c r="D1191" s="170" t="s">
        <v>1012</v>
      </c>
      <c r="E1191" s="170" t="s">
        <v>1025</v>
      </c>
      <c r="F1191" s="177">
        <v>316.15000000000003</v>
      </c>
      <c r="G1191" s="170" t="s">
        <v>228</v>
      </c>
      <c r="H1191" s="171">
        <v>65.253363636363602</v>
      </c>
      <c r="I1191" s="19" t="s">
        <v>40</v>
      </c>
      <c r="J1191" s="171">
        <v>0.71117243367936567</v>
      </c>
      <c r="K1191" s="168" t="s">
        <v>44</v>
      </c>
      <c r="L1191" s="169" t="s">
        <v>188</v>
      </c>
      <c r="M1191" s="178">
        <v>-7.426900096564433E-2</v>
      </c>
      <c r="N1191" s="178">
        <v>10.388673779847021</v>
      </c>
      <c r="O1191" s="178">
        <v>1.8439536501737752</v>
      </c>
      <c r="BU1191" s="61"/>
    </row>
    <row r="1192" spans="1:73" x14ac:dyDescent="0.35">
      <c r="A1192" s="7" t="s">
        <v>1379</v>
      </c>
      <c r="B1192" s="7" t="s">
        <v>1382</v>
      </c>
      <c r="C1192" s="170" t="s">
        <v>848</v>
      </c>
      <c r="D1192" s="170" t="s">
        <v>1012</v>
      </c>
      <c r="E1192" s="170" t="s">
        <v>1026</v>
      </c>
      <c r="F1192" s="177">
        <v>316.40000000000003</v>
      </c>
      <c r="G1192" s="170" t="s">
        <v>228</v>
      </c>
      <c r="H1192" s="171">
        <v>65.345875000000007</v>
      </c>
      <c r="I1192" s="19" t="s">
        <v>40</v>
      </c>
      <c r="J1192" s="171">
        <v>0.66049344711979074</v>
      </c>
      <c r="K1192" s="168" t="s">
        <v>44</v>
      </c>
      <c r="L1192" s="169" t="s">
        <v>188</v>
      </c>
      <c r="M1192" s="178">
        <v>3.063137326016771E-2</v>
      </c>
      <c r="N1192" s="178">
        <v>9.9235012679318046</v>
      </c>
      <c r="O1192" s="178">
        <v>1.3787811382585584</v>
      </c>
      <c r="BU1192" s="61"/>
    </row>
    <row r="1193" spans="1:73" x14ac:dyDescent="0.35">
      <c r="A1193" s="7" t="s">
        <v>1379</v>
      </c>
      <c r="B1193" s="7" t="s">
        <v>1382</v>
      </c>
      <c r="C1193" s="170" t="s">
        <v>848</v>
      </c>
      <c r="D1193" s="170" t="s">
        <v>1012</v>
      </c>
      <c r="E1193" s="170" t="s">
        <v>1027</v>
      </c>
      <c r="F1193" s="177">
        <v>316.63</v>
      </c>
      <c r="G1193" s="170" t="s">
        <v>228</v>
      </c>
      <c r="H1193" s="171">
        <v>65.388999999999996</v>
      </c>
      <c r="I1193" s="19" t="s">
        <v>40</v>
      </c>
      <c r="J1193" s="171">
        <v>0.61068698567511603</v>
      </c>
      <c r="K1193" s="168" t="s">
        <v>44</v>
      </c>
      <c r="L1193" s="169" t="s">
        <v>188</v>
      </c>
      <c r="M1193" s="178">
        <v>3.4729317313743291E-2</v>
      </c>
      <c r="N1193" s="178">
        <v>9.9053417619981854</v>
      </c>
      <c r="O1193" s="178">
        <v>1.3606216323249392</v>
      </c>
      <c r="BU1193" s="61"/>
    </row>
    <row r="1194" spans="1:73" x14ac:dyDescent="0.35">
      <c r="A1194" s="7" t="s">
        <v>1379</v>
      </c>
      <c r="B1194" s="7" t="s">
        <v>1382</v>
      </c>
      <c r="C1194" s="170" t="s">
        <v>848</v>
      </c>
      <c r="D1194" s="170" t="s">
        <v>1012</v>
      </c>
      <c r="E1194" s="170" t="s">
        <v>1028</v>
      </c>
      <c r="F1194" s="177">
        <v>316.88</v>
      </c>
      <c r="G1194" s="170" t="s">
        <v>228</v>
      </c>
      <c r="H1194" s="171">
        <v>65.435860000000005</v>
      </c>
      <c r="I1194" s="19" t="s">
        <v>40</v>
      </c>
      <c r="J1194" s="171">
        <v>0.55614392630974407</v>
      </c>
      <c r="K1194" s="168" t="s">
        <v>44</v>
      </c>
      <c r="L1194" s="169" t="s">
        <v>188</v>
      </c>
      <c r="M1194" s="178">
        <v>-3.2704701744096162E-2</v>
      </c>
      <c r="N1194" s="178">
        <v>10.204286432502382</v>
      </c>
      <c r="O1194" s="178">
        <v>1.6595663028291359</v>
      </c>
      <c r="BU1194" s="61"/>
    </row>
    <row r="1195" spans="1:73" x14ac:dyDescent="0.35">
      <c r="A1195" s="7" t="s">
        <v>1379</v>
      </c>
      <c r="B1195" s="7" t="s">
        <v>1382</v>
      </c>
      <c r="C1195" s="170" t="s">
        <v>848</v>
      </c>
      <c r="D1195" s="170" t="s">
        <v>1012</v>
      </c>
      <c r="E1195" s="170" t="s">
        <v>1029</v>
      </c>
      <c r="F1195" s="177">
        <v>317.06</v>
      </c>
      <c r="G1195" s="170" t="s">
        <v>228</v>
      </c>
      <c r="H1195" s="171">
        <v>65.469340000000003</v>
      </c>
      <c r="I1195" s="19" t="s">
        <v>40</v>
      </c>
      <c r="J1195" s="171">
        <v>0.51033160621763329</v>
      </c>
      <c r="K1195" s="168" t="s">
        <v>44</v>
      </c>
      <c r="L1195" s="169" t="s">
        <v>188</v>
      </c>
      <c r="M1195" s="178">
        <v>-3.4300311016827484E-2</v>
      </c>
      <c r="N1195" s="178">
        <v>10.211363081117206</v>
      </c>
      <c r="O1195" s="178">
        <v>1.6666429514439596</v>
      </c>
      <c r="BU1195" s="61"/>
    </row>
    <row r="1196" spans="1:73" x14ac:dyDescent="0.35">
      <c r="A1196" s="7" t="s">
        <v>1379</v>
      </c>
      <c r="B1196" s="7" t="s">
        <v>1382</v>
      </c>
      <c r="C1196" s="170" t="s">
        <v>848</v>
      </c>
      <c r="D1196" s="170" t="s">
        <v>1012</v>
      </c>
      <c r="E1196" s="170" t="s">
        <v>1030</v>
      </c>
      <c r="F1196" s="177">
        <v>317.3</v>
      </c>
      <c r="G1196" s="170" t="s">
        <v>228</v>
      </c>
      <c r="H1196" s="171">
        <v>65.513980000000004</v>
      </c>
      <c r="I1196" s="19" t="s">
        <v>40</v>
      </c>
      <c r="J1196" s="171">
        <v>0.4598445595854912</v>
      </c>
      <c r="K1196" s="168" t="s">
        <v>44</v>
      </c>
      <c r="L1196" s="169" t="s">
        <v>188</v>
      </c>
      <c r="M1196" s="178">
        <v>7.58529717206676E-2</v>
      </c>
      <c r="N1196" s="178">
        <v>9.7231597086208676</v>
      </c>
      <c r="O1196" s="178">
        <v>1.1784395789476214</v>
      </c>
      <c r="BU1196" s="61"/>
    </row>
    <row r="1197" spans="1:73" x14ac:dyDescent="0.35">
      <c r="A1197" s="7" t="s">
        <v>1379</v>
      </c>
      <c r="B1197" s="7" t="s">
        <v>1382</v>
      </c>
      <c r="C1197" s="170" t="s">
        <v>848</v>
      </c>
      <c r="D1197" s="170" t="s">
        <v>1012</v>
      </c>
      <c r="E1197" s="170" t="s">
        <v>1031</v>
      </c>
      <c r="F1197" s="177">
        <v>317.51000000000005</v>
      </c>
      <c r="G1197" s="170" t="s">
        <v>228</v>
      </c>
      <c r="H1197" s="171">
        <v>65.554263157894695</v>
      </c>
      <c r="I1197" s="19" t="s">
        <v>40</v>
      </c>
      <c r="J1197" s="171">
        <v>0.41808055267702571</v>
      </c>
      <c r="K1197" s="168" t="s">
        <v>44</v>
      </c>
      <c r="L1197" s="169" t="s">
        <v>188</v>
      </c>
      <c r="M1197" s="178">
        <v>4.5475765839292054E-2</v>
      </c>
      <c r="N1197" s="178">
        <v>9.8577247401490542</v>
      </c>
      <c r="O1197" s="178">
        <v>1.313004610475808</v>
      </c>
      <c r="BU1197" s="61"/>
    </row>
    <row r="1198" spans="1:73" x14ac:dyDescent="0.35">
      <c r="A1198" s="7" t="s">
        <v>1379</v>
      </c>
      <c r="B1198" s="7" t="s">
        <v>1382</v>
      </c>
      <c r="C1198" s="170" t="s">
        <v>848</v>
      </c>
      <c r="D1198" s="170" t="s">
        <v>1012</v>
      </c>
      <c r="E1198" s="170" t="s">
        <v>1032</v>
      </c>
      <c r="F1198" s="177">
        <v>317.67</v>
      </c>
      <c r="G1198" s="170" t="s">
        <v>228</v>
      </c>
      <c r="H1198" s="171">
        <v>65.585421052631602</v>
      </c>
      <c r="I1198" s="19" t="s">
        <v>40</v>
      </c>
      <c r="J1198" s="171">
        <v>0.39085494530800702</v>
      </c>
      <c r="K1198" s="168" t="s">
        <v>44</v>
      </c>
      <c r="L1198" s="169" t="s">
        <v>188</v>
      </c>
      <c r="M1198" s="178">
        <v>0.14436508744264848</v>
      </c>
      <c r="N1198" s="178">
        <v>9.4198542501464786</v>
      </c>
      <c r="O1198" s="178">
        <v>0.87513412047323236</v>
      </c>
      <c r="BU1198" s="61"/>
    </row>
    <row r="1199" spans="1:73" x14ac:dyDescent="0.35">
      <c r="A1199" s="7" t="s">
        <v>1379</v>
      </c>
      <c r="B1199" s="7" t="s">
        <v>1382</v>
      </c>
      <c r="C1199" s="170" t="s">
        <v>848</v>
      </c>
      <c r="D1199" s="170" t="s">
        <v>1012</v>
      </c>
      <c r="E1199" s="170" t="s">
        <v>1033</v>
      </c>
      <c r="F1199" s="177">
        <v>317.89000000000004</v>
      </c>
      <c r="G1199" s="170" t="s">
        <v>228</v>
      </c>
      <c r="H1199" s="171">
        <v>65.626586206896505</v>
      </c>
      <c r="I1199" s="19" t="s">
        <v>40</v>
      </c>
      <c r="J1199" s="171">
        <v>0.35341973517559211</v>
      </c>
      <c r="K1199" s="168" t="s">
        <v>44</v>
      </c>
      <c r="L1199" s="169" t="s">
        <v>188</v>
      </c>
      <c r="M1199" s="178">
        <v>3.6429036163391049E-2</v>
      </c>
      <c r="N1199" s="178">
        <v>9.8978099549713789</v>
      </c>
      <c r="O1199" s="178">
        <v>1.3530898252981327</v>
      </c>
      <c r="BU1199" s="61"/>
    </row>
    <row r="1200" spans="1:73" x14ac:dyDescent="0.35">
      <c r="A1200" s="7" t="s">
        <v>1379</v>
      </c>
      <c r="B1200" s="7" t="s">
        <v>1382</v>
      </c>
      <c r="C1200" s="170" t="s">
        <v>848</v>
      </c>
      <c r="D1200" s="170" t="s">
        <v>1012</v>
      </c>
      <c r="E1200" s="170" t="s">
        <v>1034</v>
      </c>
      <c r="F1200" s="177">
        <v>318.11</v>
      </c>
      <c r="G1200" s="170" t="s">
        <v>228</v>
      </c>
      <c r="H1200" s="171">
        <v>65.666793103448299</v>
      </c>
      <c r="I1200" s="19" t="s">
        <v>40</v>
      </c>
      <c r="J1200" s="171">
        <v>0.3159845250431772</v>
      </c>
      <c r="K1200" s="168" t="s">
        <v>44</v>
      </c>
      <c r="L1200" s="169" t="s">
        <v>188</v>
      </c>
      <c r="M1200" s="178">
        <v>3.9538008807642328E-2</v>
      </c>
      <c r="N1200" s="178">
        <v>9.884033870469894</v>
      </c>
      <c r="O1200" s="178">
        <v>1.3393137407966478</v>
      </c>
      <c r="BU1200" s="61"/>
    </row>
    <row r="1201" spans="1:73" x14ac:dyDescent="0.35">
      <c r="A1201" s="7" t="s">
        <v>1379</v>
      </c>
      <c r="B1201" s="7" t="s">
        <v>1382</v>
      </c>
      <c r="C1201" s="170" t="s">
        <v>848</v>
      </c>
      <c r="D1201" s="170" t="s">
        <v>1012</v>
      </c>
      <c r="E1201" s="170" t="s">
        <v>1035</v>
      </c>
      <c r="F1201" s="177">
        <v>318.3</v>
      </c>
      <c r="G1201" s="170" t="s">
        <v>228</v>
      </c>
      <c r="H1201" s="171">
        <v>65.701517241379307</v>
      </c>
      <c r="I1201" s="19" t="s">
        <v>40</v>
      </c>
      <c r="J1201" s="171">
        <v>0.28365411629246751</v>
      </c>
      <c r="K1201" s="168" t="s">
        <v>44</v>
      </c>
      <c r="L1201" s="169" t="s">
        <v>188</v>
      </c>
      <c r="M1201" s="178">
        <v>3.063137326016771E-2</v>
      </c>
      <c r="N1201" s="178">
        <v>9.9235012679318046</v>
      </c>
      <c r="O1201" s="178">
        <v>1.3787811382585584</v>
      </c>
      <c r="BU1201" s="61"/>
    </row>
    <row r="1202" spans="1:73" x14ac:dyDescent="0.35">
      <c r="A1202" s="7" t="s">
        <v>1379</v>
      </c>
      <c r="B1202" s="7" t="s">
        <v>1382</v>
      </c>
      <c r="C1202" s="170" t="s">
        <v>848</v>
      </c>
      <c r="D1202" s="170" t="s">
        <v>1012</v>
      </c>
      <c r="E1202" s="170" t="s">
        <v>1036</v>
      </c>
      <c r="F1202" s="177">
        <v>318.41000000000003</v>
      </c>
      <c r="G1202" s="170" t="s">
        <v>228</v>
      </c>
      <c r="H1202" s="171">
        <v>65.739307692307705</v>
      </c>
      <c r="I1202" s="19" t="s">
        <v>40</v>
      </c>
      <c r="J1202" s="171">
        <v>0.26493651122625295</v>
      </c>
      <c r="K1202" s="168" t="s">
        <v>44</v>
      </c>
      <c r="L1202" s="169" t="s">
        <v>188</v>
      </c>
      <c r="M1202" s="178">
        <v>4.4486139667350433E-2</v>
      </c>
      <c r="N1202" s="178">
        <v>9.8621094580921334</v>
      </c>
      <c r="O1202" s="178">
        <v>1.3173893284188871</v>
      </c>
      <c r="BU1202" s="61"/>
    </row>
    <row r="1203" spans="1:73" x14ac:dyDescent="0.35">
      <c r="A1203" s="7" t="s">
        <v>1379</v>
      </c>
      <c r="B1203" s="7" t="s">
        <v>1382</v>
      </c>
      <c r="C1203" s="170" t="s">
        <v>848</v>
      </c>
      <c r="D1203" s="170" t="s">
        <v>1012</v>
      </c>
      <c r="E1203" s="170" t="s">
        <v>1037</v>
      </c>
      <c r="F1203" s="177">
        <v>318.54000000000002</v>
      </c>
      <c r="G1203" s="170" t="s">
        <v>228</v>
      </c>
      <c r="H1203" s="171">
        <v>65.7918076923077</v>
      </c>
      <c r="I1203" s="19" t="s">
        <v>40</v>
      </c>
      <c r="J1203" s="171">
        <v>0.24460933977455568</v>
      </c>
      <c r="K1203" s="168" t="s">
        <v>44</v>
      </c>
      <c r="L1203" s="169" t="s">
        <v>188</v>
      </c>
      <c r="M1203" s="178">
        <v>2.4693616228517977E-2</v>
      </c>
      <c r="N1203" s="178">
        <v>9.9498153342268445</v>
      </c>
      <c r="O1203" s="178">
        <v>1.4050952045535983</v>
      </c>
      <c r="BU1203" s="61"/>
    </row>
    <row r="1204" spans="1:73" x14ac:dyDescent="0.35">
      <c r="A1204" s="7" t="s">
        <v>1379</v>
      </c>
      <c r="B1204" s="7" t="s">
        <v>1382</v>
      </c>
      <c r="C1204" s="170" t="s">
        <v>848</v>
      </c>
      <c r="D1204" s="170" t="s">
        <v>1012</v>
      </c>
      <c r="E1204" s="170" t="s">
        <v>1038</v>
      </c>
      <c r="F1204" s="177">
        <v>318.57000000000005</v>
      </c>
      <c r="G1204" s="170" t="s">
        <v>228</v>
      </c>
      <c r="H1204" s="171">
        <v>65.803923076923098</v>
      </c>
      <c r="I1204" s="19" t="s">
        <v>40</v>
      </c>
      <c r="J1204" s="171">
        <v>0.2400373590982241</v>
      </c>
      <c r="K1204" s="168" t="s">
        <v>44</v>
      </c>
      <c r="L1204" s="169" t="s">
        <v>188</v>
      </c>
      <c r="M1204" s="178">
        <v>0.12365623342268028</v>
      </c>
      <c r="N1204" s="178">
        <v>9.5115053301843755</v>
      </c>
      <c r="O1204" s="178">
        <v>0.96678520051112926</v>
      </c>
      <c r="BU1204" s="61"/>
    </row>
    <row r="1205" spans="1:73" x14ac:dyDescent="0.35">
      <c r="A1205" s="7" t="s">
        <v>1379</v>
      </c>
      <c r="B1205" s="7" t="s">
        <v>1382</v>
      </c>
      <c r="C1205" s="170" t="s">
        <v>848</v>
      </c>
      <c r="D1205" s="170" t="s">
        <v>1012</v>
      </c>
      <c r="E1205" s="170" t="s">
        <v>1039</v>
      </c>
      <c r="F1205" s="177">
        <v>318.60000000000002</v>
      </c>
      <c r="G1205" s="170" t="s">
        <v>228</v>
      </c>
      <c r="H1205" s="171">
        <v>65.813941176470607</v>
      </c>
      <c r="I1205" s="19" t="s">
        <v>40</v>
      </c>
      <c r="J1205" s="171">
        <v>0.23425120772947139</v>
      </c>
      <c r="K1205" s="168" t="s">
        <v>44</v>
      </c>
      <c r="L1205" s="169" t="s">
        <v>188</v>
      </c>
      <c r="M1205" s="178">
        <v>7.4174924825599134E-2</v>
      </c>
      <c r="N1205" s="178">
        <v>9.7305917770083976</v>
      </c>
      <c r="O1205" s="178">
        <v>1.1858716473351514</v>
      </c>
      <c r="BU1205" s="61"/>
    </row>
    <row r="1206" spans="1:73" x14ac:dyDescent="0.35">
      <c r="A1206" s="7" t="s">
        <v>1379</v>
      </c>
      <c r="B1206" s="7" t="s">
        <v>1382</v>
      </c>
      <c r="C1206" s="170" t="s">
        <v>848</v>
      </c>
      <c r="D1206" s="170" t="s">
        <v>1012</v>
      </c>
      <c r="E1206" s="170" t="s">
        <v>1040</v>
      </c>
      <c r="F1206" s="177">
        <v>318.63</v>
      </c>
      <c r="G1206" s="170" t="s">
        <v>228</v>
      </c>
      <c r="H1206" s="171">
        <v>65.819764705882307</v>
      </c>
      <c r="I1206" s="19" t="s">
        <v>40</v>
      </c>
      <c r="J1206" s="171">
        <v>0.22822222222222877</v>
      </c>
      <c r="K1206" s="168" t="s">
        <v>44</v>
      </c>
      <c r="L1206" s="169" t="s">
        <v>188</v>
      </c>
      <c r="M1206" s="178">
        <v>-1.4891430649146945E-2</v>
      </c>
      <c r="N1206" s="178">
        <v>10.12529289948559</v>
      </c>
      <c r="O1206" s="178">
        <v>1.5805727698123437</v>
      </c>
      <c r="BU1206" s="61"/>
    </row>
    <row r="1207" spans="1:73" x14ac:dyDescent="0.35">
      <c r="A1207" s="7" t="s">
        <v>1379</v>
      </c>
      <c r="B1207" s="7" t="s">
        <v>1382</v>
      </c>
      <c r="C1207" s="170" t="s">
        <v>848</v>
      </c>
      <c r="D1207" s="170" t="s">
        <v>1012</v>
      </c>
      <c r="E1207" s="170" t="s">
        <v>1041</v>
      </c>
      <c r="F1207" s="177">
        <v>318.73</v>
      </c>
      <c r="G1207" s="170" t="s">
        <v>228</v>
      </c>
      <c r="H1207" s="171">
        <v>65.8391764705882</v>
      </c>
      <c r="I1207" s="19" t="s">
        <v>40</v>
      </c>
      <c r="J1207" s="171">
        <v>0.20812560386472967</v>
      </c>
      <c r="K1207" s="168" t="s">
        <v>44</v>
      </c>
      <c r="L1207" s="169" t="s">
        <v>188</v>
      </c>
      <c r="M1207" s="178">
        <v>5.6361653730649913E-2</v>
      </c>
      <c r="N1207" s="178">
        <v>9.8094964624896015</v>
      </c>
      <c r="O1207" s="178">
        <v>1.2647763328163553</v>
      </c>
      <c r="BU1207" s="61"/>
    </row>
    <row r="1208" spans="1:73" x14ac:dyDescent="0.35">
      <c r="A1208" s="7" t="s">
        <v>1379</v>
      </c>
      <c r="B1208" s="7" t="s">
        <v>1382</v>
      </c>
      <c r="C1208" s="170" t="s">
        <v>848</v>
      </c>
      <c r="D1208" s="170" t="s">
        <v>1012</v>
      </c>
      <c r="E1208" s="170" t="s">
        <v>1042</v>
      </c>
      <c r="F1208" s="177">
        <v>318.82000000000005</v>
      </c>
      <c r="G1208" s="170" t="s">
        <v>228</v>
      </c>
      <c r="H1208" s="171">
        <v>65.856647058823498</v>
      </c>
      <c r="I1208" s="19" t="s">
        <v>40</v>
      </c>
      <c r="J1208" s="171">
        <v>0.19003864734298759</v>
      </c>
      <c r="K1208" s="168" t="s">
        <v>44</v>
      </c>
      <c r="L1208" s="169" t="s">
        <v>188</v>
      </c>
      <c r="M1208" s="178">
        <v>-2.7756570884388043E-2</v>
      </c>
      <c r="N1208" s="178">
        <v>10.182342002007035</v>
      </c>
      <c r="O1208" s="178">
        <v>1.6376218723337885</v>
      </c>
      <c r="BU1208" s="61"/>
    </row>
    <row r="1209" spans="1:73" x14ac:dyDescent="0.35">
      <c r="A1209" s="7" t="s">
        <v>1379</v>
      </c>
      <c r="B1209" s="7" t="s">
        <v>1382</v>
      </c>
      <c r="C1209" s="170" t="s">
        <v>848</v>
      </c>
      <c r="D1209" s="170" t="s">
        <v>1012</v>
      </c>
      <c r="E1209" s="170" t="s">
        <v>1043</v>
      </c>
      <c r="F1209" s="177">
        <v>318.90000000000003</v>
      </c>
      <c r="G1209" s="170" t="s">
        <v>228</v>
      </c>
      <c r="H1209" s="171">
        <v>65.872176470588201</v>
      </c>
      <c r="I1209" s="19" t="s">
        <v>40</v>
      </c>
      <c r="J1209" s="171">
        <v>0.17396135265700252</v>
      </c>
      <c r="K1209" s="168" t="s">
        <v>44</v>
      </c>
      <c r="L1209" s="169" t="s">
        <v>188</v>
      </c>
      <c r="M1209" s="178">
        <v>3.7356691303844947E-2</v>
      </c>
      <c r="N1209" s="178">
        <v>9.8936993907385808</v>
      </c>
      <c r="O1209" s="178">
        <v>1.3489792610653346</v>
      </c>
      <c r="BU1209" s="61"/>
    </row>
    <row r="1210" spans="1:73" x14ac:dyDescent="0.35">
      <c r="A1210" s="7" t="s">
        <v>1379</v>
      </c>
      <c r="B1210" s="7" t="s">
        <v>1382</v>
      </c>
      <c r="C1210" s="170" t="s">
        <v>848</v>
      </c>
      <c r="D1210" s="170" t="s">
        <v>1012</v>
      </c>
      <c r="E1210" s="170" t="s">
        <v>1044</v>
      </c>
      <c r="F1210" s="177">
        <v>319.03000000000003</v>
      </c>
      <c r="G1210" s="170" t="s">
        <v>228</v>
      </c>
      <c r="H1210" s="171">
        <v>65.897411764705893</v>
      </c>
      <c r="I1210" s="19" t="s">
        <v>40</v>
      </c>
      <c r="J1210" s="171">
        <v>0.14783574879227501</v>
      </c>
      <c r="K1210" s="168" t="s">
        <v>44</v>
      </c>
      <c r="L1210" s="169" t="s">
        <v>188</v>
      </c>
      <c r="M1210" s="178">
        <v>0.14245913068957114</v>
      </c>
      <c r="N1210" s="178">
        <v>9.4282884307366661</v>
      </c>
      <c r="O1210" s="178">
        <v>0.88356830106341988</v>
      </c>
      <c r="BU1210" s="61"/>
    </row>
    <row r="1211" spans="1:73" x14ac:dyDescent="0.35">
      <c r="A1211" s="7" t="s">
        <v>1379</v>
      </c>
      <c r="B1211" s="7" t="s">
        <v>1382</v>
      </c>
      <c r="C1211" s="170" t="s">
        <v>848</v>
      </c>
      <c r="D1211" s="170" t="s">
        <v>1012</v>
      </c>
      <c r="E1211" s="170" t="s">
        <v>1045</v>
      </c>
      <c r="F1211" s="177">
        <v>319.14000000000004</v>
      </c>
      <c r="G1211" s="170" t="s">
        <v>228</v>
      </c>
      <c r="H1211" s="171">
        <v>65.916824561403502</v>
      </c>
      <c r="I1211" s="19" t="s">
        <v>40</v>
      </c>
      <c r="J1211" s="171">
        <v>0.12572946859903311</v>
      </c>
      <c r="K1211" s="168" t="s">
        <v>44</v>
      </c>
      <c r="L1211" s="169" t="s">
        <v>188</v>
      </c>
      <c r="M1211" s="178">
        <v>0.13157324279821328</v>
      </c>
      <c r="N1211" s="178">
        <v>9.4764642225371336</v>
      </c>
      <c r="O1211" s="178">
        <v>0.93174409286388737</v>
      </c>
      <c r="BU1211" s="61"/>
    </row>
    <row r="1212" spans="1:73" x14ac:dyDescent="0.35">
      <c r="A1212" s="7" t="s">
        <v>1379</v>
      </c>
      <c r="B1212" s="7" t="s">
        <v>1382</v>
      </c>
      <c r="C1212" s="170" t="s">
        <v>848</v>
      </c>
      <c r="D1212" s="170" t="s">
        <v>1012</v>
      </c>
      <c r="E1212" s="170" t="s">
        <v>1046</v>
      </c>
      <c r="F1212" s="177">
        <v>319.28000000000003</v>
      </c>
      <c r="G1212" s="170" t="s">
        <v>228</v>
      </c>
      <c r="H1212" s="171">
        <v>65.937210526315795</v>
      </c>
      <c r="I1212" s="19" t="s">
        <v>40</v>
      </c>
      <c r="J1212" s="171">
        <v>0.10045797101449239</v>
      </c>
      <c r="K1212" s="168" t="s">
        <v>44</v>
      </c>
      <c r="L1212" s="169" t="s">
        <v>188</v>
      </c>
      <c r="M1212" s="178">
        <v>0.15114910042195945</v>
      </c>
      <c r="N1212" s="178">
        <v>9.3898354974250058</v>
      </c>
      <c r="O1212" s="178">
        <v>0.84511536775175955</v>
      </c>
      <c r="BU1212" s="61"/>
    </row>
    <row r="1213" spans="1:73" x14ac:dyDescent="0.35">
      <c r="A1213" s="7" t="s">
        <v>1379</v>
      </c>
      <c r="B1213" s="7" t="s">
        <v>1382</v>
      </c>
      <c r="C1213" s="170" t="s">
        <v>848</v>
      </c>
      <c r="D1213" s="170" t="s">
        <v>1012</v>
      </c>
      <c r="E1213" s="170" t="s">
        <v>1047</v>
      </c>
      <c r="F1213" s="177">
        <v>319.46000000000004</v>
      </c>
      <c r="G1213" s="170" t="s">
        <v>228</v>
      </c>
      <c r="H1213" s="171">
        <v>65.963421052631602</v>
      </c>
      <c r="I1213" s="19" t="s">
        <v>40</v>
      </c>
      <c r="J1213" s="171">
        <v>8.1466666666671017E-2</v>
      </c>
      <c r="K1213" s="168" t="s">
        <v>44</v>
      </c>
      <c r="L1213" s="169" t="s">
        <v>188</v>
      </c>
      <c r="M1213" s="178">
        <v>0.29249999999999998</v>
      </c>
      <c r="N1213" s="178">
        <v>8.7649545750000026</v>
      </c>
      <c r="O1213" s="178">
        <v>0.2202344453267564</v>
      </c>
      <c r="BU1213" s="61"/>
    </row>
    <row r="1214" spans="1:73" x14ac:dyDescent="0.35">
      <c r="A1214" s="7" t="s">
        <v>1379</v>
      </c>
      <c r="B1214" s="7" t="s">
        <v>1382</v>
      </c>
      <c r="C1214" s="170" t="s">
        <v>848</v>
      </c>
      <c r="D1214" s="170" t="s">
        <v>1012</v>
      </c>
      <c r="E1214" s="170" t="s">
        <v>1048</v>
      </c>
      <c r="F1214" s="177">
        <v>319.60000000000002</v>
      </c>
      <c r="G1214" s="170" t="s">
        <v>228</v>
      </c>
      <c r="H1214" s="171">
        <v>65.983807017543896</v>
      </c>
      <c r="I1214" s="19" t="s">
        <v>40</v>
      </c>
      <c r="J1214" s="171">
        <v>6.6695652173905273E-2</v>
      </c>
      <c r="K1214" s="168" t="s">
        <v>44</v>
      </c>
      <c r="L1214" s="169" t="s">
        <v>188</v>
      </c>
      <c r="M1214" s="178">
        <v>0.28001716858945674</v>
      </c>
      <c r="N1214" s="178">
        <v>8.8200933574209586</v>
      </c>
      <c r="O1214" s="178">
        <v>0.27537322774771233</v>
      </c>
      <c r="BU1214" s="61"/>
    </row>
    <row r="1215" spans="1:73" x14ac:dyDescent="0.35">
      <c r="A1215" s="7" t="s">
        <v>1379</v>
      </c>
      <c r="B1215" s="7" t="s">
        <v>1382</v>
      </c>
      <c r="C1215" s="170" t="s">
        <v>848</v>
      </c>
      <c r="D1215" s="170" t="s">
        <v>1012</v>
      </c>
      <c r="E1215" s="170" t="s">
        <v>1049</v>
      </c>
      <c r="F1215" s="177">
        <v>319.72000000000003</v>
      </c>
      <c r="G1215" s="170" t="s">
        <v>228</v>
      </c>
      <c r="H1215" s="171">
        <v>65.996799999999993</v>
      </c>
      <c r="I1215" s="19" t="s">
        <v>40</v>
      </c>
      <c r="J1215" s="171">
        <v>5.4034782608695764E-2</v>
      </c>
      <c r="K1215" s="168" t="s">
        <v>44</v>
      </c>
      <c r="L1215" s="169" t="s">
        <v>188</v>
      </c>
      <c r="M1215" s="178">
        <v>0.32003565342945028</v>
      </c>
      <c r="N1215" s="178">
        <v>8.6433557801616132</v>
      </c>
      <c r="O1215" s="178">
        <v>9.8635650488366977E-2</v>
      </c>
      <c r="BU1215" s="61"/>
    </row>
    <row r="1216" spans="1:73" x14ac:dyDescent="0.35">
      <c r="A1216" s="7" t="s">
        <v>1379</v>
      </c>
      <c r="B1216" s="7" t="s">
        <v>1382</v>
      </c>
      <c r="C1216" s="170" t="s">
        <v>848</v>
      </c>
      <c r="D1216" s="170" t="s">
        <v>1012</v>
      </c>
      <c r="E1216" s="170" t="s">
        <v>1050</v>
      </c>
      <c r="F1216" s="177">
        <v>319.82000000000005</v>
      </c>
      <c r="G1216" s="170" t="s">
        <v>228</v>
      </c>
      <c r="H1216" s="171">
        <v>66.002399999999994</v>
      </c>
      <c r="I1216" s="19" t="s">
        <v>40</v>
      </c>
      <c r="J1216" s="171">
        <v>4.3484057971014067E-2</v>
      </c>
      <c r="K1216" s="168" t="s">
        <v>44</v>
      </c>
      <c r="L1216" s="169" t="s">
        <v>188</v>
      </c>
      <c r="M1216" s="178">
        <v>0.31949999999999995</v>
      </c>
      <c r="N1216" s="178">
        <v>8.6457208470000015</v>
      </c>
      <c r="O1216" s="178">
        <v>0.10100071732675531</v>
      </c>
      <c r="BU1216" s="61"/>
    </row>
    <row r="1217" spans="1:73" x14ac:dyDescent="0.35">
      <c r="A1217" s="7" t="s">
        <v>1379</v>
      </c>
      <c r="B1217" s="7" t="s">
        <v>1382</v>
      </c>
      <c r="C1217" s="170" t="s">
        <v>848</v>
      </c>
      <c r="D1217" s="170" t="s">
        <v>1012</v>
      </c>
      <c r="E1217" s="170" t="s">
        <v>1051</v>
      </c>
      <c r="F1217" s="177">
        <v>319.94</v>
      </c>
      <c r="G1217" s="170" t="s">
        <v>228</v>
      </c>
      <c r="H1217" s="171">
        <v>66.009119999999996</v>
      </c>
      <c r="I1217" s="19" t="s">
        <v>40</v>
      </c>
      <c r="J1217" s="171">
        <v>3.0823188405804558E-2</v>
      </c>
      <c r="K1217" s="168" t="s">
        <v>44</v>
      </c>
      <c r="L1217" s="169" t="s">
        <v>188</v>
      </c>
      <c r="M1217" s="178">
        <v>0.15849999999999995</v>
      </c>
      <c r="N1217" s="178">
        <v>9.3573112230000017</v>
      </c>
      <c r="O1217" s="178">
        <v>0.8125910933267555</v>
      </c>
      <c r="BU1217" s="61"/>
    </row>
    <row r="1218" spans="1:73" x14ac:dyDescent="0.35">
      <c r="A1218" s="7" t="s">
        <v>1379</v>
      </c>
      <c r="B1218" s="7" t="s">
        <v>1382</v>
      </c>
      <c r="C1218" s="170" t="s">
        <v>848</v>
      </c>
      <c r="D1218" s="170" t="s">
        <v>1012</v>
      </c>
      <c r="E1218" s="170" t="s">
        <v>1052</v>
      </c>
      <c r="F1218" s="177">
        <v>320.03000000000003</v>
      </c>
      <c r="G1218" s="170" t="s">
        <v>228</v>
      </c>
      <c r="H1218" s="171">
        <v>66.014160000000004</v>
      </c>
      <c r="I1218" s="19" t="s">
        <v>40</v>
      </c>
      <c r="J1218" s="171">
        <v>2.1327536231879662E-2</v>
      </c>
      <c r="K1218" s="168" t="s">
        <v>44</v>
      </c>
      <c r="L1218" s="169" t="s">
        <v>188</v>
      </c>
      <c r="M1218" s="178">
        <v>0.17575480205049832</v>
      </c>
      <c r="N1218" s="178">
        <v>9.2809787245621589</v>
      </c>
      <c r="O1218" s="178">
        <v>0.73625859488891265</v>
      </c>
      <c r="BU1218" s="61"/>
    </row>
    <row r="1219" spans="1:73" x14ac:dyDescent="0.35">
      <c r="A1219" s="7" t="s">
        <v>1379</v>
      </c>
      <c r="B1219" s="7" t="s">
        <v>1382</v>
      </c>
      <c r="C1219" s="170" t="s">
        <v>848</v>
      </c>
      <c r="D1219" s="170" t="s">
        <v>1012</v>
      </c>
      <c r="E1219" s="170" t="s">
        <v>1053</v>
      </c>
      <c r="F1219" s="177">
        <v>320.09000000000003</v>
      </c>
      <c r="G1219" s="170" t="s">
        <v>228</v>
      </c>
      <c r="H1219" s="171">
        <v>66.017520000000005</v>
      </c>
      <c r="I1219" s="19" t="s">
        <v>40</v>
      </c>
      <c r="J1219" s="171">
        <v>1.4997101449282013E-2</v>
      </c>
      <c r="K1219" s="168" t="s">
        <v>44</v>
      </c>
      <c r="L1219" s="169" t="s">
        <v>188</v>
      </c>
      <c r="M1219" s="178">
        <v>7.2499999999999995E-2</v>
      </c>
      <c r="N1219" s="178">
        <v>9.7380101750000012</v>
      </c>
      <c r="O1219" s="178">
        <v>1.193290045326755</v>
      </c>
      <c r="BU1219" s="61"/>
    </row>
    <row r="1220" spans="1:73" x14ac:dyDescent="0.35">
      <c r="A1220" s="7" t="s">
        <v>1379</v>
      </c>
      <c r="B1220" s="7" t="s">
        <v>1382</v>
      </c>
      <c r="C1220" s="170" t="s">
        <v>848</v>
      </c>
      <c r="D1220" s="170" t="s">
        <v>1012</v>
      </c>
      <c r="E1220" s="170" t="s">
        <v>1054</v>
      </c>
      <c r="F1220" s="177">
        <v>320.13</v>
      </c>
      <c r="G1220" s="170" t="s">
        <v>228</v>
      </c>
      <c r="H1220" s="171">
        <v>66.019760000000005</v>
      </c>
      <c r="I1220" s="19" t="s">
        <v>40</v>
      </c>
      <c r="J1220" s="171">
        <v>1.0776811594212177E-2</v>
      </c>
      <c r="K1220" s="168" t="s">
        <v>44</v>
      </c>
      <c r="L1220" s="169" t="s">
        <v>188</v>
      </c>
      <c r="M1220" s="178">
        <v>-0.33174700594576256</v>
      </c>
      <c r="N1220" s="178">
        <v>11.533052396885468</v>
      </c>
      <c r="O1220" s="178">
        <v>2.9883322672122219</v>
      </c>
      <c r="BU1220" s="61"/>
    </row>
    <row r="1221" spans="1:73" x14ac:dyDescent="0.35">
      <c r="A1221" s="7" t="s">
        <v>1379</v>
      </c>
      <c r="B1221" s="7" t="s">
        <v>1382</v>
      </c>
      <c r="C1221" s="170" t="s">
        <v>848</v>
      </c>
      <c r="D1221" s="170" t="s">
        <v>1012</v>
      </c>
      <c r="E1221" s="170" t="s">
        <v>1055</v>
      </c>
      <c r="F1221" s="177">
        <v>320.17</v>
      </c>
      <c r="G1221" s="170" t="s">
        <v>228</v>
      </c>
      <c r="H1221" s="171">
        <v>66.022000000000006</v>
      </c>
      <c r="I1221" s="19" t="s">
        <v>40</v>
      </c>
      <c r="J1221" s="171">
        <v>6.5565217391281294E-3</v>
      </c>
      <c r="K1221" s="168" t="s">
        <v>44</v>
      </c>
      <c r="L1221" s="169" t="s">
        <v>188</v>
      </c>
      <c r="M1221" s="178">
        <v>3.849345903999854E-2</v>
      </c>
      <c r="N1221" s="178">
        <v>9.8886622862827682</v>
      </c>
      <c r="O1221" s="178">
        <v>1.343942156609522</v>
      </c>
      <c r="BU1221" s="61"/>
    </row>
    <row r="1222" spans="1:73" x14ac:dyDescent="0.35">
      <c r="A1222" s="7" t="s">
        <v>1379</v>
      </c>
      <c r="B1222" s="7" t="s">
        <v>1382</v>
      </c>
      <c r="C1222" s="170" t="s">
        <v>848</v>
      </c>
      <c r="D1222" s="170" t="s">
        <v>1012</v>
      </c>
      <c r="E1222" s="170" t="s">
        <v>1056</v>
      </c>
      <c r="F1222" s="177">
        <v>320.19</v>
      </c>
      <c r="G1222" s="170" t="s">
        <v>228</v>
      </c>
      <c r="H1222" s="171">
        <v>66.022789853548403</v>
      </c>
      <c r="I1222" s="19" t="s">
        <v>40</v>
      </c>
      <c r="J1222" s="171">
        <v>4.4463768116003166E-3</v>
      </c>
      <c r="K1222" s="168" t="s">
        <v>44</v>
      </c>
      <c r="L1222" s="169" t="s">
        <v>188</v>
      </c>
      <c r="M1222" s="178">
        <v>-0.2316195623043624</v>
      </c>
      <c r="N1222" s="178">
        <v>11.087587977013678</v>
      </c>
      <c r="O1222" s="178">
        <v>2.5428678473404318</v>
      </c>
      <c r="BU1222" s="61"/>
    </row>
    <row r="1223" spans="1:73" x14ac:dyDescent="0.35">
      <c r="A1223" s="7" t="s">
        <v>1379</v>
      </c>
      <c r="B1223" s="7" t="s">
        <v>1382</v>
      </c>
      <c r="C1223" s="170" t="s">
        <v>848</v>
      </c>
      <c r="D1223" s="170" t="s">
        <v>1012</v>
      </c>
      <c r="E1223" s="170" t="s">
        <v>1057</v>
      </c>
      <c r="F1223" s="177">
        <v>320.22000000000003</v>
      </c>
      <c r="G1223" s="170" t="s">
        <v>228</v>
      </c>
      <c r="H1223" s="171">
        <v>66.023974633871006</v>
      </c>
      <c r="I1223" s="19" t="s">
        <v>40</v>
      </c>
      <c r="J1223" s="171">
        <v>1.2811594202872811E-3</v>
      </c>
      <c r="K1223" s="168" t="s">
        <v>44</v>
      </c>
      <c r="L1223" s="169" t="s">
        <v>188</v>
      </c>
      <c r="M1223" s="178">
        <v>0.11375997170326405</v>
      </c>
      <c r="N1223" s="178">
        <v>9.555311650717627</v>
      </c>
      <c r="O1223" s="178">
        <v>1.0105915210443808</v>
      </c>
      <c r="BU1223" s="61"/>
    </row>
    <row r="1224" spans="1:73" x14ac:dyDescent="0.35">
      <c r="A1224" s="7" t="s">
        <v>1379</v>
      </c>
      <c r="B1224" s="7" t="s">
        <v>1382</v>
      </c>
      <c r="C1224" s="170" t="s">
        <v>848</v>
      </c>
      <c r="D1224" s="170" t="s">
        <v>1012</v>
      </c>
      <c r="E1224" s="170" t="s">
        <v>1058</v>
      </c>
      <c r="F1224" s="177">
        <v>320.23</v>
      </c>
      <c r="G1224" s="170" t="s">
        <v>228</v>
      </c>
      <c r="H1224" s="171">
        <v>66.024369560645198</v>
      </c>
      <c r="I1224" s="19" t="s">
        <v>40</v>
      </c>
      <c r="J1224" s="171">
        <v>2.2608695653048017E-4</v>
      </c>
      <c r="K1224" s="168" t="s">
        <v>44</v>
      </c>
      <c r="L1224" s="169" t="s">
        <v>188</v>
      </c>
      <c r="M1224" s="178">
        <v>0.22559803231585995</v>
      </c>
      <c r="N1224" s="178">
        <v>9.060573848358505</v>
      </c>
      <c r="O1224" s="178">
        <v>0.51585371868525876</v>
      </c>
      <c r="BU1224" s="61"/>
    </row>
    <row r="1225" spans="1:73" x14ac:dyDescent="0.35">
      <c r="A1225" s="7" t="s">
        <v>1379</v>
      </c>
      <c r="B1225" s="7" t="s">
        <v>1382</v>
      </c>
      <c r="C1225" s="170" t="s">
        <v>848</v>
      </c>
      <c r="D1225" s="170" t="s">
        <v>1012</v>
      </c>
      <c r="E1225" s="170" t="s">
        <v>1059</v>
      </c>
      <c r="F1225" s="177">
        <v>320.24</v>
      </c>
      <c r="G1225" s="170" t="s">
        <v>228</v>
      </c>
      <c r="H1225" s="171">
        <v>66.024764487419404</v>
      </c>
      <c r="I1225" s="19" t="s">
        <v>40</v>
      </c>
      <c r="J1225" s="171">
        <v>-2.1926910298475377E-4</v>
      </c>
      <c r="K1225" s="168" t="s">
        <v>44</v>
      </c>
      <c r="L1225" s="169" t="s">
        <v>188</v>
      </c>
      <c r="M1225" s="178">
        <v>0.24775772718939876</v>
      </c>
      <c r="N1225" s="178">
        <v>8.9626291927826571</v>
      </c>
      <c r="O1225" s="178">
        <v>0.41790906310941089</v>
      </c>
      <c r="BU1225" s="61"/>
    </row>
    <row r="1226" spans="1:73" x14ac:dyDescent="0.35">
      <c r="A1226" s="7" t="s">
        <v>1379</v>
      </c>
      <c r="B1226" s="7" t="s">
        <v>1382</v>
      </c>
      <c r="C1226" s="170" t="s">
        <v>848</v>
      </c>
      <c r="D1226" s="170" t="s">
        <v>1012</v>
      </c>
      <c r="E1226" s="170" t="s">
        <v>1060</v>
      </c>
      <c r="F1226" s="177">
        <v>320.25</v>
      </c>
      <c r="G1226" s="170" t="s">
        <v>228</v>
      </c>
      <c r="H1226" s="171">
        <v>66.025159414193595</v>
      </c>
      <c r="I1226" s="19" t="s">
        <v>40</v>
      </c>
      <c r="J1226" s="171">
        <v>-4.9833887042893821E-4</v>
      </c>
      <c r="K1226" s="168" t="s">
        <v>44</v>
      </c>
      <c r="L1226" s="169" t="s">
        <v>188</v>
      </c>
      <c r="M1226" s="178">
        <v>0.34237844317435939</v>
      </c>
      <c r="N1226" s="178">
        <v>8.5447201296732462</v>
      </c>
      <c r="O1226" s="178">
        <v>0</v>
      </c>
      <c r="BU1226" s="61"/>
    </row>
    <row r="1227" spans="1:73" x14ac:dyDescent="0.35">
      <c r="A1227" s="7" t="s">
        <v>1379</v>
      </c>
      <c r="B1227" s="7" t="s">
        <v>1382</v>
      </c>
      <c r="C1227" s="170" t="s">
        <v>848</v>
      </c>
      <c r="D1227" s="170" t="s">
        <v>1012</v>
      </c>
      <c r="E1227" s="170" t="s">
        <v>1061</v>
      </c>
      <c r="F1227" s="177">
        <v>320.26000000000005</v>
      </c>
      <c r="G1227" s="170" t="s">
        <v>228</v>
      </c>
      <c r="H1227" s="171">
        <v>66.025554340967702</v>
      </c>
      <c r="I1227" s="19" t="s">
        <v>40</v>
      </c>
      <c r="J1227" s="171">
        <v>-9.6836303231384591E-4</v>
      </c>
      <c r="K1227" s="168" t="s">
        <v>44</v>
      </c>
      <c r="L1227" s="169" t="s">
        <v>188</v>
      </c>
      <c r="M1227" s="178">
        <v>8.0980348677128805E-2</v>
      </c>
      <c r="N1227" s="178">
        <v>9.7004515371169688</v>
      </c>
      <c r="O1227" s="178">
        <v>1.1557314074437226</v>
      </c>
      <c r="BU1227" s="61"/>
    </row>
    <row r="1228" spans="1:73" x14ac:dyDescent="0.35">
      <c r="A1228" s="7" t="s">
        <v>1379</v>
      </c>
      <c r="B1228" s="7" t="s">
        <v>1382</v>
      </c>
      <c r="C1228" s="170" t="s">
        <v>848</v>
      </c>
      <c r="D1228" s="170" t="s">
        <v>1012</v>
      </c>
      <c r="E1228" s="170" t="s">
        <v>1062</v>
      </c>
      <c r="F1228" s="177">
        <v>320.3</v>
      </c>
      <c r="G1228" s="170" t="s">
        <v>228</v>
      </c>
      <c r="H1228" s="171">
        <v>66.027134048064497</v>
      </c>
      <c r="I1228" s="19" t="s">
        <v>40</v>
      </c>
      <c r="J1228" s="171">
        <v>-2.8484596798534767E-3</v>
      </c>
      <c r="K1228" s="168" t="s">
        <v>44</v>
      </c>
      <c r="L1228" s="169" t="s">
        <v>188</v>
      </c>
      <c r="M1228" s="178">
        <v>0.49179716938496409</v>
      </c>
      <c r="N1228" s="178">
        <v>7.8858069934454011</v>
      </c>
      <c r="O1228" s="178">
        <v>-0.65891313622784509</v>
      </c>
      <c r="BU1228" s="61"/>
    </row>
    <row r="1229" spans="1:73" x14ac:dyDescent="0.35">
      <c r="A1229" s="7" t="s">
        <v>1379</v>
      </c>
      <c r="B1229" s="7" t="s">
        <v>1382</v>
      </c>
      <c r="C1229" s="170" t="s">
        <v>848</v>
      </c>
      <c r="D1229" s="170" t="s">
        <v>1012</v>
      </c>
      <c r="E1229" s="170" t="s">
        <v>1063</v>
      </c>
      <c r="F1229" s="177">
        <v>320.32000000000005</v>
      </c>
      <c r="G1229" s="170" t="s">
        <v>228</v>
      </c>
      <c r="H1229" s="171">
        <v>66.027923901612894</v>
      </c>
      <c r="I1229" s="19" t="s">
        <v>40</v>
      </c>
      <c r="J1229" s="171">
        <v>-3.7885080036232921E-3</v>
      </c>
      <c r="K1229" s="168" t="s">
        <v>44</v>
      </c>
      <c r="L1229" s="169" t="s">
        <v>188</v>
      </c>
      <c r="M1229" s="178">
        <v>0.29486156116858103</v>
      </c>
      <c r="N1229" s="178">
        <v>8.7545241405545831</v>
      </c>
      <c r="O1229" s="178">
        <v>0.20980401088133682</v>
      </c>
      <c r="BU1229" s="61"/>
    </row>
    <row r="1230" spans="1:73" x14ac:dyDescent="0.35">
      <c r="A1230" s="7" t="s">
        <v>1379</v>
      </c>
      <c r="B1230" s="7" t="s">
        <v>1382</v>
      </c>
      <c r="C1230" s="170" t="s">
        <v>848</v>
      </c>
      <c r="D1230" s="170" t="s">
        <v>1012</v>
      </c>
      <c r="E1230" s="170" t="s">
        <v>1064</v>
      </c>
      <c r="F1230" s="177">
        <v>320.34000000000003</v>
      </c>
      <c r="G1230" s="170" t="s">
        <v>228</v>
      </c>
      <c r="H1230" s="171">
        <v>66.028713755161306</v>
      </c>
      <c r="I1230" s="19" t="s">
        <v>40</v>
      </c>
      <c r="J1230" s="171">
        <v>-4.7285563273931075E-3</v>
      </c>
      <c r="K1230" s="168" t="s">
        <v>44</v>
      </c>
      <c r="L1230" s="169" t="s">
        <v>188</v>
      </c>
      <c r="M1230" s="178">
        <v>0.31599961613461308</v>
      </c>
      <c r="N1230" s="178">
        <v>8.6611764629591583</v>
      </c>
      <c r="O1230" s="178">
        <v>0.11645633328591209</v>
      </c>
      <c r="BU1230" s="61"/>
    </row>
    <row r="1231" spans="1:73" x14ac:dyDescent="0.35">
      <c r="A1231" s="7" t="s">
        <v>1379</v>
      </c>
      <c r="B1231" s="7" t="s">
        <v>1382</v>
      </c>
      <c r="C1231" s="170" t="s">
        <v>848</v>
      </c>
      <c r="D1231" s="170" t="s">
        <v>1012</v>
      </c>
      <c r="E1231" s="170" t="s">
        <v>1065</v>
      </c>
      <c r="F1231" s="177">
        <v>320.48</v>
      </c>
      <c r="G1231" s="170" t="s">
        <v>228</v>
      </c>
      <c r="H1231" s="171">
        <v>66.034242730000003</v>
      </c>
      <c r="I1231" s="19" t="s">
        <v>40</v>
      </c>
      <c r="J1231" s="171">
        <v>-1.1308894593781815E-2</v>
      </c>
      <c r="K1231" s="168" t="s">
        <v>44</v>
      </c>
      <c r="L1231" s="169" t="s">
        <v>188</v>
      </c>
      <c r="M1231" s="178">
        <v>0.26640524542061117</v>
      </c>
      <c r="N1231" s="178">
        <v>8.8802294751354012</v>
      </c>
      <c r="O1231" s="178">
        <v>0.33550934546215494</v>
      </c>
      <c r="BU1231" s="61"/>
    </row>
    <row r="1232" spans="1:73" x14ac:dyDescent="0.35">
      <c r="A1232" s="7" t="s">
        <v>1379</v>
      </c>
      <c r="B1232" s="7" t="s">
        <v>1382</v>
      </c>
      <c r="C1232" s="170" t="s">
        <v>848</v>
      </c>
      <c r="D1232" s="170" t="s">
        <v>1012</v>
      </c>
      <c r="E1232" s="170" t="s">
        <v>1066</v>
      </c>
      <c r="F1232" s="177">
        <v>320.62</v>
      </c>
      <c r="G1232" s="170" t="s">
        <v>228</v>
      </c>
      <c r="H1232" s="171">
        <v>66.039771704838699</v>
      </c>
      <c r="I1232" s="19" t="s">
        <v>40</v>
      </c>
      <c r="J1232" s="171">
        <v>-1.7889232860156312E-2</v>
      </c>
      <c r="K1232" s="168" t="s">
        <v>44</v>
      </c>
      <c r="L1232" s="169" t="s">
        <v>188</v>
      </c>
      <c r="M1232" s="178">
        <v>0.36549999999999994</v>
      </c>
      <c r="N1232" s="178">
        <v>8.4426759270000016</v>
      </c>
      <c r="O1232" s="178">
        <v>-0.10204420267324465</v>
      </c>
      <c r="BU1232" s="61"/>
    </row>
    <row r="1233" spans="1:73" x14ac:dyDescent="0.35">
      <c r="A1233" s="7" t="s">
        <v>1379</v>
      </c>
      <c r="B1233" s="7" t="s">
        <v>1382</v>
      </c>
      <c r="C1233" s="170" t="s">
        <v>848</v>
      </c>
      <c r="D1233" s="170" t="s">
        <v>1012</v>
      </c>
      <c r="E1233" s="170" t="s">
        <v>1067</v>
      </c>
      <c r="F1233" s="177">
        <v>320.79000000000002</v>
      </c>
      <c r="G1233" s="170" t="s">
        <v>228</v>
      </c>
      <c r="H1233" s="171">
        <v>66.04648546</v>
      </c>
      <c r="I1233" s="19" t="s">
        <v>40</v>
      </c>
      <c r="J1233" s="171">
        <v>-2.5879643612199743E-2</v>
      </c>
      <c r="K1233" s="168" t="s">
        <v>44</v>
      </c>
      <c r="L1233" s="169" t="s">
        <v>188</v>
      </c>
      <c r="M1233" s="178">
        <v>0.16352044595143261</v>
      </c>
      <c r="N1233" s="178">
        <v>9.3350998492229458</v>
      </c>
      <c r="O1233" s="178">
        <v>0.79037971954969954</v>
      </c>
      <c r="BU1233" s="61"/>
    </row>
    <row r="1234" spans="1:73" x14ac:dyDescent="0.35">
      <c r="A1234" s="7" t="s">
        <v>1379</v>
      </c>
      <c r="B1234" s="7" t="s">
        <v>1382</v>
      </c>
      <c r="C1234" s="170" t="s">
        <v>848</v>
      </c>
      <c r="D1234" s="170" t="s">
        <v>1012</v>
      </c>
      <c r="E1234" s="170" t="s">
        <v>1068</v>
      </c>
      <c r="F1234" s="177">
        <v>320.93</v>
      </c>
      <c r="G1234" s="170" t="s">
        <v>228</v>
      </c>
      <c r="H1234" s="171">
        <v>66.052014434838696</v>
      </c>
      <c r="I1234" s="19" t="s">
        <v>40</v>
      </c>
      <c r="J1234" s="171">
        <v>-3.2459981878588451E-2</v>
      </c>
      <c r="K1234" s="168" t="s">
        <v>44</v>
      </c>
      <c r="L1234" s="169" t="s">
        <v>188</v>
      </c>
      <c r="M1234" s="178">
        <v>0.28849999999999992</v>
      </c>
      <c r="N1234" s="178">
        <v>8.7826223030000037</v>
      </c>
      <c r="O1234" s="178">
        <v>0.23790217332675745</v>
      </c>
      <c r="BU1234" s="61"/>
    </row>
    <row r="1235" spans="1:73" x14ac:dyDescent="0.35">
      <c r="A1235" s="7" t="s">
        <v>1379</v>
      </c>
      <c r="B1235" s="7" t="s">
        <v>1382</v>
      </c>
      <c r="C1235" s="170" t="s">
        <v>848</v>
      </c>
      <c r="D1235" s="170" t="s">
        <v>1012</v>
      </c>
      <c r="E1235" s="170" t="s">
        <v>1069</v>
      </c>
      <c r="F1235" s="177">
        <v>321.24</v>
      </c>
      <c r="G1235" s="170" t="s">
        <v>228</v>
      </c>
      <c r="H1235" s="171">
        <v>66.064257164838693</v>
      </c>
      <c r="I1235" s="19" t="s">
        <v>40</v>
      </c>
      <c r="J1235" s="171">
        <v>-4.7030730897006379E-2</v>
      </c>
      <c r="K1235" s="168" t="s">
        <v>44</v>
      </c>
      <c r="L1235" s="169" t="s">
        <v>188</v>
      </c>
      <c r="M1235" s="178">
        <v>0.1806080272421397</v>
      </c>
      <c r="N1235" s="178">
        <v>9.2595118328962691</v>
      </c>
      <c r="O1235" s="178">
        <v>0.71479170322302288</v>
      </c>
      <c r="BU1235" s="61"/>
    </row>
    <row r="1236" spans="1:73" x14ac:dyDescent="0.35">
      <c r="A1236" s="7" t="s">
        <v>1379</v>
      </c>
      <c r="B1236" s="7" t="s">
        <v>1382</v>
      </c>
      <c r="C1236" s="170" t="s">
        <v>848</v>
      </c>
      <c r="D1236" s="170" t="s">
        <v>1012</v>
      </c>
      <c r="E1236" s="170" t="s">
        <v>1070</v>
      </c>
      <c r="F1236" s="177">
        <v>321.61</v>
      </c>
      <c r="G1236" s="170" t="s">
        <v>228</v>
      </c>
      <c r="H1236" s="171">
        <v>66.078869455483897</v>
      </c>
      <c r="I1236" s="19" t="s">
        <v>40</v>
      </c>
      <c r="J1236" s="171">
        <v>-6.4421624886733753E-2</v>
      </c>
      <c r="K1236" s="168" t="s">
        <v>44</v>
      </c>
      <c r="L1236" s="169" t="s">
        <v>188</v>
      </c>
      <c r="M1236" s="178">
        <v>0.1841975813714542</v>
      </c>
      <c r="N1236" s="178">
        <v>9.2436352872355982</v>
      </c>
      <c r="O1236" s="178">
        <v>0.69891515756235201</v>
      </c>
      <c r="BU1236" s="61"/>
    </row>
    <row r="1237" spans="1:73" x14ac:dyDescent="0.35">
      <c r="A1237" s="7" t="s">
        <v>1379</v>
      </c>
      <c r="B1237" s="7" t="s">
        <v>1382</v>
      </c>
      <c r="C1237" s="170" t="s">
        <v>848</v>
      </c>
      <c r="D1237" s="170" t="s">
        <v>1012</v>
      </c>
      <c r="E1237" s="170" t="s">
        <v>1071</v>
      </c>
      <c r="F1237" s="177">
        <v>322.04000000000002</v>
      </c>
      <c r="G1237" s="170" t="s">
        <v>228</v>
      </c>
      <c r="H1237" s="171">
        <v>66.095998391658298</v>
      </c>
      <c r="I1237" s="19" t="s">
        <v>40</v>
      </c>
      <c r="J1237" s="171">
        <v>-8.5016611295671396E-2</v>
      </c>
      <c r="K1237" s="168" t="s">
        <v>44</v>
      </c>
      <c r="L1237" s="169" t="s">
        <v>188</v>
      </c>
      <c r="M1237" s="178">
        <v>-3.2516042555803773E-2</v>
      </c>
      <c r="N1237" s="178">
        <v>10.203449724063049</v>
      </c>
      <c r="O1237" s="178">
        <v>1.6587295943898024</v>
      </c>
      <c r="BU1237" s="61"/>
    </row>
    <row r="1238" spans="1:73" x14ac:dyDescent="0.35">
      <c r="A1238" s="7" t="s">
        <v>1379</v>
      </c>
      <c r="B1238" s="7" t="s">
        <v>1382</v>
      </c>
      <c r="C1238" s="170" t="s">
        <v>848</v>
      </c>
      <c r="D1238" s="170" t="s">
        <v>1012</v>
      </c>
      <c r="E1238" s="170" t="s">
        <v>1072</v>
      </c>
      <c r="F1238" s="177">
        <v>322.39999999999998</v>
      </c>
      <c r="G1238" s="170" t="s">
        <v>228</v>
      </c>
      <c r="H1238" s="171">
        <v>66.115510811356799</v>
      </c>
      <c r="I1238" s="19" t="s">
        <v>40</v>
      </c>
      <c r="J1238" s="171">
        <v>-0.10654485049832374</v>
      </c>
      <c r="K1238" s="168" t="s">
        <v>44</v>
      </c>
      <c r="L1238" s="169" t="s">
        <v>188</v>
      </c>
      <c r="M1238" s="178">
        <v>-0.14916312578806698</v>
      </c>
      <c r="N1238" s="178">
        <v>10.721162959110316</v>
      </c>
      <c r="O1238" s="178">
        <v>2.1764428294370699</v>
      </c>
      <c r="BU1238" s="61"/>
    </row>
    <row r="1239" spans="1:73" x14ac:dyDescent="0.35">
      <c r="A1239" s="7" t="s">
        <v>1379</v>
      </c>
      <c r="B1239" s="7" t="s">
        <v>1382</v>
      </c>
      <c r="I1239" s="18"/>
      <c r="J1239" s="179"/>
      <c r="BU1239" s="61"/>
    </row>
    <row r="1240" spans="1:73" x14ac:dyDescent="0.35">
      <c r="A1240" s="7" t="s">
        <v>1379</v>
      </c>
      <c r="B1240" s="7" t="s">
        <v>1382</v>
      </c>
      <c r="C1240" s="170" t="s">
        <v>848</v>
      </c>
      <c r="D1240" s="170" t="s">
        <v>226</v>
      </c>
      <c r="E1240" s="170" t="s">
        <v>1073</v>
      </c>
      <c r="F1240" s="62">
        <v>261.60000000000002</v>
      </c>
      <c r="G1240" s="62" t="s">
        <v>1074</v>
      </c>
      <c r="H1240" s="114">
        <v>66.025350000000003</v>
      </c>
      <c r="I1240" s="19" t="s">
        <v>40</v>
      </c>
      <c r="J1240" s="180">
        <v>-3.3499999999975216E-3</v>
      </c>
      <c r="K1240" s="62" t="s">
        <v>1075</v>
      </c>
      <c r="L1240" s="62" t="s">
        <v>1076</v>
      </c>
      <c r="M1240" s="114">
        <v>-0.63740550279617303</v>
      </c>
      <c r="N1240" s="59">
        <v>17.212078876424478</v>
      </c>
      <c r="O1240" s="59">
        <v>0</v>
      </c>
      <c r="BU1240" s="61"/>
    </row>
    <row r="1241" spans="1:73" x14ac:dyDescent="0.35">
      <c r="A1241" s="7" t="s">
        <v>1379</v>
      </c>
      <c r="B1241" s="7" t="s">
        <v>1382</v>
      </c>
      <c r="C1241" s="170" t="s">
        <v>848</v>
      </c>
      <c r="D1241" s="170" t="s">
        <v>226</v>
      </c>
      <c r="E1241" s="170" t="s">
        <v>1077</v>
      </c>
      <c r="F1241" s="62">
        <v>261.56</v>
      </c>
      <c r="G1241" s="62" t="s">
        <v>1074</v>
      </c>
      <c r="H1241" s="114">
        <v>66.017173913043493</v>
      </c>
      <c r="I1241" s="19" t="s">
        <v>40</v>
      </c>
      <c r="J1241" s="180">
        <v>4.8260869565126541E-3</v>
      </c>
      <c r="K1241" s="62" t="s">
        <v>1075</v>
      </c>
      <c r="L1241" s="62" t="s">
        <v>1076</v>
      </c>
      <c r="M1241" s="114">
        <v>-0.58069293498992902</v>
      </c>
      <c r="N1241" s="59">
        <v>16.955674951510204</v>
      </c>
      <c r="O1241" s="59">
        <v>-0.25640392491427377</v>
      </c>
      <c r="BU1241" s="61"/>
    </row>
    <row r="1242" spans="1:73" x14ac:dyDescent="0.35">
      <c r="A1242" s="7" t="s">
        <v>1379</v>
      </c>
      <c r="B1242" s="7" t="s">
        <v>1382</v>
      </c>
      <c r="C1242" s="170" t="s">
        <v>848</v>
      </c>
      <c r="D1242" s="170" t="s">
        <v>226</v>
      </c>
      <c r="E1242" s="170" t="s">
        <v>1077</v>
      </c>
      <c r="F1242" s="62">
        <v>261.56</v>
      </c>
      <c r="G1242" s="62" t="s">
        <v>1074</v>
      </c>
      <c r="H1242" s="114">
        <v>66.017173913043493</v>
      </c>
      <c r="I1242" s="19" t="s">
        <v>40</v>
      </c>
      <c r="J1242" s="180">
        <v>4.8260869565126541E-3</v>
      </c>
      <c r="K1242" s="62" t="s">
        <v>1075</v>
      </c>
      <c r="L1242" s="62" t="s">
        <v>1076</v>
      </c>
      <c r="M1242" s="114">
        <v>-0.57577430963516241</v>
      </c>
      <c r="N1242" s="59">
        <v>16.933446384929638</v>
      </c>
      <c r="O1242" s="59">
        <v>-0.27863249149483948</v>
      </c>
      <c r="BU1242" s="61"/>
    </row>
    <row r="1243" spans="1:73" x14ac:dyDescent="0.35">
      <c r="A1243" s="7" t="s">
        <v>1379</v>
      </c>
      <c r="B1243" s="7" t="s">
        <v>1382</v>
      </c>
      <c r="C1243" s="170" t="s">
        <v>848</v>
      </c>
      <c r="D1243" s="170" t="s">
        <v>226</v>
      </c>
      <c r="E1243" s="170" t="s">
        <v>1077</v>
      </c>
      <c r="F1243" s="62">
        <v>261.56</v>
      </c>
      <c r="G1243" s="62" t="s">
        <v>1074</v>
      </c>
      <c r="H1243" s="114">
        <v>66.017173913043493</v>
      </c>
      <c r="I1243" s="19" t="s">
        <v>40</v>
      </c>
      <c r="J1243" s="180">
        <v>4.8260869565126541E-3</v>
      </c>
      <c r="K1243" s="62" t="s">
        <v>1075</v>
      </c>
      <c r="L1243" s="62" t="s">
        <v>1076</v>
      </c>
      <c r="M1243" s="114">
        <v>-0.53633633017539983</v>
      </c>
      <c r="N1243" s="59">
        <v>16.755268223486674</v>
      </c>
      <c r="O1243" s="59">
        <v>-0.45681065293780421</v>
      </c>
      <c r="BU1243" s="61"/>
    </row>
    <row r="1244" spans="1:73" x14ac:dyDescent="0.35">
      <c r="A1244" s="7" t="s">
        <v>1379</v>
      </c>
      <c r="B1244" s="7" t="s">
        <v>1382</v>
      </c>
      <c r="C1244" s="170" t="s">
        <v>848</v>
      </c>
      <c r="D1244" s="170" t="s">
        <v>226</v>
      </c>
      <c r="E1244" s="170" t="s">
        <v>1078</v>
      </c>
      <c r="F1244" s="62">
        <v>261.52</v>
      </c>
      <c r="G1244" s="62" t="s">
        <v>1074</v>
      </c>
      <c r="H1244" s="114">
        <v>66.007521739130439</v>
      </c>
      <c r="I1244" s="19" t="s">
        <v>40</v>
      </c>
      <c r="J1244" s="180">
        <v>1.4478260869566384E-2</v>
      </c>
      <c r="K1244" s="62" t="s">
        <v>1075</v>
      </c>
      <c r="L1244" s="62" t="s">
        <v>1076</v>
      </c>
      <c r="M1244" s="114">
        <v>-0.702539134025574</v>
      </c>
      <c r="N1244" s="59">
        <v>17.506793468822192</v>
      </c>
      <c r="O1244" s="59">
        <v>0.29471459239771391</v>
      </c>
      <c r="BU1244" s="61"/>
    </row>
    <row r="1245" spans="1:73" x14ac:dyDescent="0.35">
      <c r="A1245" s="7" t="s">
        <v>1379</v>
      </c>
      <c r="B1245" s="7" t="s">
        <v>1382</v>
      </c>
      <c r="C1245" s="170" t="s">
        <v>848</v>
      </c>
      <c r="D1245" s="170" t="s">
        <v>226</v>
      </c>
      <c r="E1245" s="170" t="s">
        <v>1079</v>
      </c>
      <c r="F1245" s="62">
        <v>261.44</v>
      </c>
      <c r="G1245" s="62" t="s">
        <v>1074</v>
      </c>
      <c r="H1245" s="114">
        <v>65.98821739130436</v>
      </c>
      <c r="I1245" s="19" t="s">
        <v>40</v>
      </c>
      <c r="J1245" s="180">
        <v>3.3782608695645422E-2</v>
      </c>
      <c r="K1245" s="62" t="s">
        <v>1075</v>
      </c>
      <c r="L1245" s="62" t="s">
        <v>1076</v>
      </c>
      <c r="M1245" s="114">
        <v>-0.72122560739517205</v>
      </c>
      <c r="N1245" s="59">
        <v>17.591392420959043</v>
      </c>
      <c r="O1245" s="59">
        <v>0.37931354453456478</v>
      </c>
      <c r="BU1245" s="61"/>
    </row>
    <row r="1246" spans="1:73" x14ac:dyDescent="0.35">
      <c r="A1246" s="7" t="s">
        <v>1379</v>
      </c>
      <c r="B1246" s="7" t="s">
        <v>1382</v>
      </c>
      <c r="C1246" s="170" t="s">
        <v>848</v>
      </c>
      <c r="D1246" s="170" t="s">
        <v>226</v>
      </c>
      <c r="E1246" s="170" t="s">
        <v>1080</v>
      </c>
      <c r="F1246" s="62">
        <v>261.27999999999997</v>
      </c>
      <c r="G1246" s="62" t="s">
        <v>1074</v>
      </c>
      <c r="H1246" s="114">
        <v>65.949608695652174</v>
      </c>
      <c r="I1246" s="19" t="s">
        <v>40</v>
      </c>
      <c r="J1246" s="180">
        <v>7.239130434783192E-2</v>
      </c>
      <c r="K1246" s="62" t="s">
        <v>1075</v>
      </c>
      <c r="L1246" s="62" t="s">
        <v>1076</v>
      </c>
      <c r="M1246" s="114">
        <v>-0.78632115125656099</v>
      </c>
      <c r="N1246" s="59">
        <v>17.886261981378041</v>
      </c>
      <c r="O1246" s="59">
        <v>0.67418310495356337</v>
      </c>
      <c r="BU1246" s="61"/>
    </row>
    <row r="1247" spans="1:73" x14ac:dyDescent="0.35">
      <c r="A1247" s="7" t="s">
        <v>1379</v>
      </c>
      <c r="B1247" s="7" t="s">
        <v>1382</v>
      </c>
      <c r="C1247" s="170" t="s">
        <v>848</v>
      </c>
      <c r="D1247" s="170" t="s">
        <v>226</v>
      </c>
      <c r="E1247" s="170" t="s">
        <v>1081</v>
      </c>
      <c r="F1247" s="62">
        <v>261.08</v>
      </c>
      <c r="G1247" s="62" t="s">
        <v>1074</v>
      </c>
      <c r="H1247" s="114">
        <v>65.902391304347816</v>
      </c>
      <c r="I1247" s="19" t="s">
        <v>40</v>
      </c>
      <c r="J1247" s="180">
        <v>0.11960869565218957</v>
      </c>
      <c r="K1247" s="62" t="s">
        <v>1075</v>
      </c>
      <c r="L1247" s="62" t="s">
        <v>1076</v>
      </c>
      <c r="M1247" s="114">
        <v>-1.08931796550751</v>
      </c>
      <c r="N1247" s="59">
        <v>19.262121784975335</v>
      </c>
      <c r="O1247" s="59">
        <v>2.0500429085508571</v>
      </c>
      <c r="BU1247" s="61"/>
    </row>
    <row r="1248" spans="1:73" x14ac:dyDescent="0.35">
      <c r="A1248" s="7" t="s">
        <v>1379</v>
      </c>
      <c r="B1248" s="7" t="s">
        <v>1382</v>
      </c>
      <c r="C1248" s="170" t="s">
        <v>848</v>
      </c>
      <c r="D1248" s="170" t="s">
        <v>226</v>
      </c>
      <c r="E1248" s="170" t="s">
        <v>1082</v>
      </c>
      <c r="F1248" s="62">
        <v>260.95999999999998</v>
      </c>
      <c r="G1248" s="62" t="s">
        <v>1074</v>
      </c>
      <c r="H1248" s="114">
        <v>65.876565217391303</v>
      </c>
      <c r="I1248" s="19" t="s">
        <v>40</v>
      </c>
      <c r="J1248" s="180">
        <v>0.14543478260870302</v>
      </c>
      <c r="K1248" s="62" t="s">
        <v>1075</v>
      </c>
      <c r="L1248" s="62" t="s">
        <v>1076</v>
      </c>
      <c r="M1248" s="114">
        <v>-1.07778363227844</v>
      </c>
      <c r="N1248" s="59">
        <v>19.209645378047142</v>
      </c>
      <c r="O1248" s="59">
        <v>1.9975665016226642</v>
      </c>
      <c r="BU1248" s="61"/>
    </row>
    <row r="1249" spans="1:73" x14ac:dyDescent="0.35">
      <c r="A1249" s="7" t="s">
        <v>1379</v>
      </c>
      <c r="B1249" s="7" t="s">
        <v>1382</v>
      </c>
      <c r="C1249" s="170" t="s">
        <v>848</v>
      </c>
      <c r="D1249" s="170" t="s">
        <v>226</v>
      </c>
      <c r="E1249" s="170" t="s">
        <v>1083</v>
      </c>
      <c r="F1249" s="62">
        <v>260.88</v>
      </c>
      <c r="G1249" s="62" t="s">
        <v>1074</v>
      </c>
      <c r="H1249" s="114">
        <v>65.859347826086946</v>
      </c>
      <c r="I1249" s="19" t="s">
        <v>40</v>
      </c>
      <c r="J1249" s="180">
        <v>0.16265217391305953</v>
      </c>
      <c r="K1249" s="62" t="s">
        <v>1075</v>
      </c>
      <c r="L1249" s="62" t="s">
        <v>1076</v>
      </c>
      <c r="M1249" s="114">
        <v>-0.95145629644393903</v>
      </c>
      <c r="N1249" s="59">
        <v>18.63543114336488</v>
      </c>
      <c r="O1249" s="59">
        <v>1.4233522669404017</v>
      </c>
      <c r="BU1249" s="61"/>
    </row>
    <row r="1250" spans="1:73" x14ac:dyDescent="0.35">
      <c r="A1250" s="7" t="s">
        <v>1379</v>
      </c>
      <c r="B1250" s="7" t="s">
        <v>1382</v>
      </c>
      <c r="C1250" s="170" t="s">
        <v>848</v>
      </c>
      <c r="D1250" s="170" t="s">
        <v>226</v>
      </c>
      <c r="E1250" s="170" t="s">
        <v>1084</v>
      </c>
      <c r="F1250" s="62">
        <v>260.79999999999995</v>
      </c>
      <c r="G1250" s="62" t="s">
        <v>1074</v>
      </c>
      <c r="H1250" s="114">
        <v>65.84213043478259</v>
      </c>
      <c r="I1250" s="19" t="s">
        <v>40</v>
      </c>
      <c r="J1250" s="180">
        <v>0.17986956521741604</v>
      </c>
      <c r="K1250" s="62" t="s">
        <v>1075</v>
      </c>
      <c r="L1250" s="62" t="s">
        <v>1076</v>
      </c>
      <c r="M1250" s="114">
        <v>-0.90774833917617803</v>
      </c>
      <c r="N1250" s="59">
        <v>18.436981888337627</v>
      </c>
      <c r="O1250" s="59">
        <v>1.224903011913149</v>
      </c>
      <c r="BU1250" s="61"/>
    </row>
    <row r="1251" spans="1:73" x14ac:dyDescent="0.35">
      <c r="A1251" s="7" t="s">
        <v>1379</v>
      </c>
      <c r="B1251" s="7" t="s">
        <v>1382</v>
      </c>
      <c r="C1251" s="170" t="s">
        <v>848</v>
      </c>
      <c r="D1251" s="170" t="s">
        <v>226</v>
      </c>
      <c r="E1251" s="170" t="s">
        <v>1085</v>
      </c>
      <c r="F1251" s="62">
        <v>260.76</v>
      </c>
      <c r="G1251" s="62" t="s">
        <v>1074</v>
      </c>
      <c r="H1251" s="114">
        <v>65.833521739130433</v>
      </c>
      <c r="I1251" s="19" t="s">
        <v>40</v>
      </c>
      <c r="J1251" s="180">
        <v>0.18847826086957298</v>
      </c>
      <c r="K1251" s="62" t="s">
        <v>1075</v>
      </c>
      <c r="L1251" s="62" t="s">
        <v>1076</v>
      </c>
      <c r="M1251" s="114">
        <v>-1.0704187726974488</v>
      </c>
      <c r="N1251" s="59">
        <v>19.176142513444091</v>
      </c>
      <c r="O1251" s="59">
        <v>1.9640636370196134</v>
      </c>
      <c r="BU1251" s="61"/>
    </row>
    <row r="1252" spans="1:73" x14ac:dyDescent="0.35">
      <c r="A1252" s="7" t="s">
        <v>1379</v>
      </c>
      <c r="B1252" s="7" t="s">
        <v>1382</v>
      </c>
      <c r="C1252" s="170" t="s">
        <v>848</v>
      </c>
      <c r="D1252" s="170" t="s">
        <v>226</v>
      </c>
      <c r="E1252" s="170" t="s">
        <v>1086</v>
      </c>
      <c r="F1252" s="62">
        <v>260.64</v>
      </c>
      <c r="G1252" s="62" t="s">
        <v>1074</v>
      </c>
      <c r="H1252" s="114">
        <v>65.808249999999987</v>
      </c>
      <c r="I1252" s="19" t="s">
        <v>40</v>
      </c>
      <c r="J1252" s="180">
        <v>0.21375000000001876</v>
      </c>
      <c r="K1252" s="62" t="s">
        <v>1075</v>
      </c>
      <c r="L1252" s="62" t="s">
        <v>1076</v>
      </c>
      <c r="M1252" s="114">
        <v>-2.2770712852477999</v>
      </c>
      <c r="N1252" s="59">
        <v>24.708637890326727</v>
      </c>
      <c r="O1252" s="59">
        <v>7.4965590139022495</v>
      </c>
      <c r="BU1252" s="61"/>
    </row>
    <row r="1253" spans="1:73" x14ac:dyDescent="0.35">
      <c r="A1253" s="7" t="s">
        <v>1379</v>
      </c>
      <c r="B1253" s="7" t="s">
        <v>1382</v>
      </c>
      <c r="C1253" s="170" t="s">
        <v>848</v>
      </c>
      <c r="D1253" s="170" t="s">
        <v>226</v>
      </c>
      <c r="E1253" s="170" t="s">
        <v>1087</v>
      </c>
      <c r="F1253" s="62">
        <v>260.56</v>
      </c>
      <c r="G1253" s="62" t="s">
        <v>1074</v>
      </c>
      <c r="H1253" s="114">
        <v>65.793249999999986</v>
      </c>
      <c r="I1253" s="19" t="s">
        <v>40</v>
      </c>
      <c r="J1253" s="180">
        <v>0.22875000000001933</v>
      </c>
      <c r="K1253" s="62" t="s">
        <v>1075</v>
      </c>
      <c r="L1253" s="62" t="s">
        <v>1076</v>
      </c>
      <c r="M1253" s="114">
        <v>-1.1649495935440064</v>
      </c>
      <c r="N1253" s="59">
        <v>19.606411932884598</v>
      </c>
      <c r="O1253" s="59">
        <v>2.3943330564601197</v>
      </c>
      <c r="BU1253" s="61"/>
    </row>
    <row r="1254" spans="1:73" x14ac:dyDescent="0.35">
      <c r="A1254" s="7" t="s">
        <v>1379</v>
      </c>
      <c r="B1254" s="7" t="s">
        <v>1382</v>
      </c>
      <c r="C1254" s="170" t="s">
        <v>848</v>
      </c>
      <c r="D1254" s="170" t="s">
        <v>226</v>
      </c>
      <c r="E1254" s="170" t="s">
        <v>1087</v>
      </c>
      <c r="F1254" s="62">
        <v>260.56</v>
      </c>
      <c r="G1254" s="62" t="s">
        <v>1074</v>
      </c>
      <c r="H1254" s="114">
        <v>65.793249999999986</v>
      </c>
      <c r="I1254" s="19" t="s">
        <v>40</v>
      </c>
      <c r="J1254" s="180">
        <v>0.22875000000001933</v>
      </c>
      <c r="K1254" s="62" t="s">
        <v>1075</v>
      </c>
      <c r="L1254" s="62" t="s">
        <v>1076</v>
      </c>
      <c r="M1254" s="114">
        <v>-1.0624584531784058</v>
      </c>
      <c r="N1254" s="59">
        <v>19.139934551812189</v>
      </c>
      <c r="O1254" s="59">
        <v>1.9278556753877112</v>
      </c>
      <c r="BU1254" s="61"/>
    </row>
    <row r="1255" spans="1:73" x14ac:dyDescent="0.35">
      <c r="A1255" s="7" t="s">
        <v>1379</v>
      </c>
      <c r="B1255" s="7" t="s">
        <v>1382</v>
      </c>
      <c r="C1255" s="170" t="s">
        <v>848</v>
      </c>
      <c r="D1255" s="170" t="s">
        <v>226</v>
      </c>
      <c r="E1255" s="170" t="s">
        <v>1087</v>
      </c>
      <c r="F1255" s="62">
        <v>260.56</v>
      </c>
      <c r="G1255" s="62" t="s">
        <v>1074</v>
      </c>
      <c r="H1255" s="114">
        <v>65.793249999999986</v>
      </c>
      <c r="I1255" s="19" t="s">
        <v>40</v>
      </c>
      <c r="J1255" s="180">
        <v>0.22875000000001933</v>
      </c>
      <c r="K1255" s="62" t="s">
        <v>1075</v>
      </c>
      <c r="L1255" s="62" t="s">
        <v>1076</v>
      </c>
      <c r="M1255" s="114">
        <v>-1.0547906136512757</v>
      </c>
      <c r="N1255" s="59">
        <v>19.105060546921507</v>
      </c>
      <c r="O1255" s="59">
        <v>1.8929816704970293</v>
      </c>
      <c r="BU1255" s="61"/>
    </row>
    <row r="1256" spans="1:73" x14ac:dyDescent="0.35">
      <c r="A1256" s="7" t="s">
        <v>1379</v>
      </c>
      <c r="B1256" s="7" t="s">
        <v>1382</v>
      </c>
      <c r="C1256" s="170" t="s">
        <v>848</v>
      </c>
      <c r="D1256" s="170" t="s">
        <v>226</v>
      </c>
      <c r="E1256" s="170" t="s">
        <v>1088</v>
      </c>
      <c r="F1256" s="62">
        <v>260.52</v>
      </c>
      <c r="G1256" s="62" t="s">
        <v>1074</v>
      </c>
      <c r="H1256" s="114">
        <v>65.785749999999993</v>
      </c>
      <c r="I1256" s="19" t="s">
        <v>40</v>
      </c>
      <c r="J1256" s="180">
        <v>0.23625000000001251</v>
      </c>
      <c r="K1256" s="62" t="s">
        <v>1075</v>
      </c>
      <c r="L1256" s="62" t="s">
        <v>1076</v>
      </c>
      <c r="M1256" s="114">
        <v>-1.11595838069916</v>
      </c>
      <c r="N1256" s="59">
        <v>19.383355076055611</v>
      </c>
      <c r="O1256" s="59">
        <v>2.1712761996311336</v>
      </c>
      <c r="BU1256" s="61"/>
    </row>
    <row r="1257" spans="1:73" x14ac:dyDescent="0.35">
      <c r="A1257" s="7" t="s">
        <v>1379</v>
      </c>
      <c r="B1257" s="7" t="s">
        <v>1382</v>
      </c>
      <c r="C1257" s="170" t="s">
        <v>848</v>
      </c>
      <c r="D1257" s="170" t="s">
        <v>226</v>
      </c>
      <c r="E1257" s="170" t="s">
        <v>1089</v>
      </c>
      <c r="F1257" s="62">
        <v>260.36500000000001</v>
      </c>
      <c r="G1257" s="62" t="s">
        <v>1074</v>
      </c>
      <c r="H1257" s="114">
        <v>65.756687499999998</v>
      </c>
      <c r="I1257" s="19" t="s">
        <v>40</v>
      </c>
      <c r="J1257" s="180">
        <v>0.26531250000000739</v>
      </c>
      <c r="K1257" s="62" t="s">
        <v>1075</v>
      </c>
      <c r="L1257" s="62" t="s">
        <v>1076</v>
      </c>
      <c r="M1257" s="114">
        <v>-1.020332205295563</v>
      </c>
      <c r="N1257" s="59">
        <v>18.948384239677221</v>
      </c>
      <c r="O1257" s="59">
        <v>1.7363053632527432</v>
      </c>
      <c r="BU1257" s="61"/>
    </row>
    <row r="1258" spans="1:73" x14ac:dyDescent="0.35">
      <c r="A1258" s="7" t="s">
        <v>1379</v>
      </c>
      <c r="B1258" s="7" t="s">
        <v>1382</v>
      </c>
      <c r="C1258" s="170" t="s">
        <v>848</v>
      </c>
      <c r="D1258" s="170" t="s">
        <v>226</v>
      </c>
      <c r="E1258" s="170" t="s">
        <v>1090</v>
      </c>
      <c r="F1258" s="62">
        <v>260.23500000000001</v>
      </c>
      <c r="G1258" s="62" t="s">
        <v>1074</v>
      </c>
      <c r="H1258" s="114">
        <v>65.732312499999992</v>
      </c>
      <c r="I1258" s="19" t="s">
        <v>40</v>
      </c>
      <c r="J1258" s="180">
        <v>0.28968750000001364</v>
      </c>
      <c r="K1258" s="62" t="s">
        <v>1075</v>
      </c>
      <c r="L1258" s="62" t="s">
        <v>1076</v>
      </c>
      <c r="M1258" s="114">
        <v>-0.93602364063262899</v>
      </c>
      <c r="N1258" s="59">
        <v>18.565348453246568</v>
      </c>
      <c r="O1258" s="59">
        <v>1.3532695768220897</v>
      </c>
      <c r="BU1258" s="61"/>
    </row>
    <row r="1259" spans="1:73" x14ac:dyDescent="0.35">
      <c r="A1259" s="7" t="s">
        <v>1379</v>
      </c>
      <c r="B1259" s="7" t="s">
        <v>1382</v>
      </c>
      <c r="C1259" s="170" t="s">
        <v>848</v>
      </c>
      <c r="D1259" s="170" t="s">
        <v>226</v>
      </c>
      <c r="E1259" s="170" t="s">
        <v>1091</v>
      </c>
      <c r="F1259" s="62">
        <v>260.14833333333337</v>
      </c>
      <c r="G1259" s="62" t="s">
        <v>1074</v>
      </c>
      <c r="H1259" s="114">
        <v>65.715999999999994</v>
      </c>
      <c r="I1259" s="19" t="s">
        <v>40</v>
      </c>
      <c r="J1259" s="180">
        <v>0.3060000000000116</v>
      </c>
      <c r="K1259" s="62" t="s">
        <v>1075</v>
      </c>
      <c r="L1259" s="62" t="s">
        <v>1076</v>
      </c>
      <c r="M1259" s="114">
        <v>-1.06697981357574</v>
      </c>
      <c r="N1259" s="59">
        <v>19.160499747744701</v>
      </c>
      <c r="O1259" s="59">
        <v>1.9484208713202236</v>
      </c>
      <c r="BU1259" s="61"/>
    </row>
    <row r="1260" spans="1:73" x14ac:dyDescent="0.35">
      <c r="A1260" s="7" t="s">
        <v>1379</v>
      </c>
      <c r="B1260" s="7" t="s">
        <v>1382</v>
      </c>
      <c r="C1260" s="170" t="s">
        <v>848</v>
      </c>
      <c r="D1260" s="170" t="s">
        <v>226</v>
      </c>
      <c r="E1260" s="170" t="s">
        <v>1092</v>
      </c>
      <c r="F1260" s="62">
        <v>260.0681205673759</v>
      </c>
      <c r="G1260" s="62" t="s">
        <v>1074</v>
      </c>
      <c r="H1260" s="114">
        <v>65.685799999999972</v>
      </c>
      <c r="I1260" s="19" t="s">
        <v>40</v>
      </c>
      <c r="J1260" s="180">
        <v>0.33620000000003358</v>
      </c>
      <c r="K1260" s="62" t="s">
        <v>1075</v>
      </c>
      <c r="L1260" s="62" t="s">
        <v>1076</v>
      </c>
      <c r="M1260" s="114">
        <v>-0.95409916639328007</v>
      </c>
      <c r="N1260" s="59">
        <v>18.647434362711682</v>
      </c>
      <c r="O1260" s="59">
        <v>1.4353554862872038</v>
      </c>
      <c r="BU1260" s="61"/>
    </row>
    <row r="1261" spans="1:73" x14ac:dyDescent="0.35">
      <c r="A1261" s="7" t="s">
        <v>1379</v>
      </c>
      <c r="B1261" s="7" t="s">
        <v>1382</v>
      </c>
      <c r="C1261" s="170" t="s">
        <v>848</v>
      </c>
      <c r="D1261" s="170" t="s">
        <v>226</v>
      </c>
      <c r="E1261" s="170" t="s">
        <v>1093</v>
      </c>
      <c r="F1261" s="62">
        <v>259.99436170212766</v>
      </c>
      <c r="G1261" s="62" t="s">
        <v>1074</v>
      </c>
      <c r="H1261" s="114">
        <v>65.636775000000014</v>
      </c>
      <c r="I1261" s="19" t="s">
        <v>40</v>
      </c>
      <c r="J1261" s="180">
        <v>0.38522499999999127</v>
      </c>
      <c r="K1261" s="62" t="s">
        <v>1075</v>
      </c>
      <c r="L1261" s="62" t="s">
        <v>1076</v>
      </c>
      <c r="M1261" s="114">
        <v>-0.83462928533554104</v>
      </c>
      <c r="N1261" s="59">
        <v>18.105252342955399</v>
      </c>
      <c r="O1261" s="59">
        <v>0.89317346653092144</v>
      </c>
      <c r="BU1261" s="61"/>
    </row>
    <row r="1262" spans="1:73" x14ac:dyDescent="0.35">
      <c r="A1262" s="7" t="s">
        <v>1379</v>
      </c>
      <c r="B1262" s="7" t="s">
        <v>1382</v>
      </c>
      <c r="C1262" s="170" t="s">
        <v>848</v>
      </c>
      <c r="D1262" s="170" t="s">
        <v>226</v>
      </c>
      <c r="E1262" s="170" t="s">
        <v>1094</v>
      </c>
      <c r="F1262" s="62">
        <v>259.92060283687948</v>
      </c>
      <c r="G1262" s="62" t="s">
        <v>1074</v>
      </c>
      <c r="H1262" s="114">
        <v>65.596313333333327</v>
      </c>
      <c r="I1262" s="19" t="s">
        <v>40</v>
      </c>
      <c r="J1262" s="180">
        <v>0.42568666666667809</v>
      </c>
      <c r="K1262" s="62" t="s">
        <v>1075</v>
      </c>
      <c r="L1262" s="62" t="s">
        <v>1076</v>
      </c>
      <c r="M1262" s="114">
        <v>-0.82271354198455804</v>
      </c>
      <c r="N1262" s="59">
        <v>18.051222903642632</v>
      </c>
      <c r="O1262" s="59">
        <v>0.83914402721815406</v>
      </c>
      <c r="BU1262" s="61"/>
    </row>
    <row r="1263" spans="1:73" x14ac:dyDescent="0.35">
      <c r="A1263" s="7" t="s">
        <v>1379</v>
      </c>
      <c r="B1263" s="7" t="s">
        <v>1382</v>
      </c>
      <c r="C1263" s="170" t="s">
        <v>848</v>
      </c>
      <c r="D1263" s="170" t="s">
        <v>226</v>
      </c>
      <c r="E1263" s="170" t="s">
        <v>1095</v>
      </c>
      <c r="F1263" s="62">
        <v>259.84684397163124</v>
      </c>
      <c r="G1263" s="62" t="s">
        <v>1074</v>
      </c>
      <c r="H1263" s="114">
        <v>65.578059999999994</v>
      </c>
      <c r="I1263" s="19" t="s">
        <v>40</v>
      </c>
      <c r="J1263" s="180">
        <v>0.44394000000001199</v>
      </c>
      <c r="K1263" s="62" t="s">
        <v>1075</v>
      </c>
      <c r="L1263" s="62" t="s">
        <v>1076</v>
      </c>
      <c r="M1263" s="114">
        <v>-0.92057000398635902</v>
      </c>
      <c r="N1263" s="59">
        <v>18.495184804244289</v>
      </c>
      <c r="O1263" s="59">
        <v>1.2831059278198111</v>
      </c>
      <c r="BU1263" s="61"/>
    </row>
    <row r="1264" spans="1:73" x14ac:dyDescent="0.35">
      <c r="A1264" s="7" t="s">
        <v>1379</v>
      </c>
      <c r="B1264" s="7" t="s">
        <v>1382</v>
      </c>
      <c r="C1264" s="170" t="s">
        <v>848</v>
      </c>
      <c r="D1264" s="170" t="s">
        <v>226</v>
      </c>
      <c r="E1264" s="170" t="s">
        <v>1096</v>
      </c>
      <c r="F1264" s="62">
        <v>259.80996453900713</v>
      </c>
      <c r="G1264" s="62" t="s">
        <v>1074</v>
      </c>
      <c r="H1264" s="114">
        <v>65.568933333333334</v>
      </c>
      <c r="I1264" s="19" t="s">
        <v>40</v>
      </c>
      <c r="J1264" s="180">
        <v>0.45306666666667184</v>
      </c>
      <c r="K1264" s="62" t="s">
        <v>1075</v>
      </c>
      <c r="L1264" s="62" t="s">
        <v>1076</v>
      </c>
      <c r="M1264" s="114">
        <v>-0.84317797183990484</v>
      </c>
      <c r="N1264" s="59">
        <v>18.144019817439965</v>
      </c>
      <c r="O1264" s="59">
        <v>0.93194094101548686</v>
      </c>
      <c r="BU1264" s="61"/>
    </row>
    <row r="1265" spans="1:73" x14ac:dyDescent="0.35">
      <c r="A1265" s="7" t="s">
        <v>1379</v>
      </c>
      <c r="B1265" s="7" t="s">
        <v>1382</v>
      </c>
      <c r="C1265" s="170" t="s">
        <v>848</v>
      </c>
      <c r="D1265" s="170" t="s">
        <v>226</v>
      </c>
      <c r="E1265" s="170" t="s">
        <v>1097</v>
      </c>
      <c r="F1265" s="62">
        <v>259.66244680851065</v>
      </c>
      <c r="G1265" s="62" t="s">
        <v>1074</v>
      </c>
      <c r="H1265" s="114">
        <v>65.532426666666666</v>
      </c>
      <c r="I1265" s="19" t="s">
        <v>40</v>
      </c>
      <c r="J1265" s="180">
        <v>0.48957333333333963</v>
      </c>
      <c r="K1265" s="62" t="s">
        <v>1075</v>
      </c>
      <c r="L1265" s="62" t="s">
        <v>1076</v>
      </c>
      <c r="M1265" s="114">
        <v>-0.86004762649536104</v>
      </c>
      <c r="N1265" s="59">
        <v>18.220534949447512</v>
      </c>
      <c r="O1265" s="59">
        <v>1.0084560730230336</v>
      </c>
      <c r="BU1265" s="61"/>
    </row>
    <row r="1266" spans="1:73" x14ac:dyDescent="0.35">
      <c r="A1266" s="7" t="s">
        <v>1379</v>
      </c>
      <c r="B1266" s="7" t="s">
        <v>1382</v>
      </c>
      <c r="C1266" s="170" t="s">
        <v>848</v>
      </c>
      <c r="D1266" s="170" t="s">
        <v>226</v>
      </c>
      <c r="E1266" s="170" t="s">
        <v>1097</v>
      </c>
      <c r="F1266" s="62">
        <v>259.66244680851065</v>
      </c>
      <c r="G1266" s="62" t="s">
        <v>1074</v>
      </c>
      <c r="H1266" s="114">
        <v>65.532426666666666</v>
      </c>
      <c r="I1266" s="19" t="s">
        <v>40</v>
      </c>
      <c r="J1266" s="180">
        <v>0.48957333333333963</v>
      </c>
      <c r="K1266" s="62" t="s">
        <v>1075</v>
      </c>
      <c r="L1266" s="62" t="s">
        <v>1076</v>
      </c>
      <c r="M1266" s="114">
        <v>-0.79259609937667852</v>
      </c>
      <c r="N1266" s="59">
        <v>17.914699654184087</v>
      </c>
      <c r="O1266" s="59">
        <v>0.70262077775960918</v>
      </c>
      <c r="BU1266" s="61"/>
    </row>
    <row r="1267" spans="1:73" x14ac:dyDescent="0.35">
      <c r="A1267" s="7" t="s">
        <v>1379</v>
      </c>
      <c r="B1267" s="7" t="s">
        <v>1382</v>
      </c>
      <c r="C1267" s="170" t="s">
        <v>848</v>
      </c>
      <c r="D1267" s="170" t="s">
        <v>226</v>
      </c>
      <c r="E1267" s="170" t="s">
        <v>1097</v>
      </c>
      <c r="F1267" s="62">
        <v>259.66244680851065</v>
      </c>
      <c r="G1267" s="62" t="s">
        <v>1074</v>
      </c>
      <c r="H1267" s="114">
        <v>65.532426666666666</v>
      </c>
      <c r="I1267" s="19" t="s">
        <v>40</v>
      </c>
      <c r="J1267" s="180">
        <v>0.48957333333333963</v>
      </c>
      <c r="K1267" s="62" t="s">
        <v>1075</v>
      </c>
      <c r="L1267" s="62" t="s">
        <v>1076</v>
      </c>
      <c r="M1267" s="114">
        <v>-0.79365885019302373</v>
      </c>
      <c r="N1267" s="59">
        <v>17.91951620842482</v>
      </c>
      <c r="O1267" s="59">
        <v>0.70743733200034242</v>
      </c>
      <c r="BU1267" s="61"/>
    </row>
    <row r="1268" spans="1:73" x14ac:dyDescent="0.35">
      <c r="A1268" s="7" t="s">
        <v>1379</v>
      </c>
      <c r="B1268" s="7" t="s">
        <v>1382</v>
      </c>
      <c r="C1268" s="170" t="s">
        <v>848</v>
      </c>
      <c r="D1268" s="170" t="s">
        <v>226</v>
      </c>
      <c r="E1268" s="170" t="s">
        <v>1098</v>
      </c>
      <c r="F1268" s="62">
        <v>259.5518085106383</v>
      </c>
      <c r="G1268" s="62" t="s">
        <v>1074</v>
      </c>
      <c r="H1268" s="114">
        <v>65.512889655172415</v>
      </c>
      <c r="I1268" s="19" t="s">
        <v>40</v>
      </c>
      <c r="J1268" s="180">
        <v>0.50911034482759021</v>
      </c>
      <c r="K1268" s="62" t="s">
        <v>1075</v>
      </c>
      <c r="L1268" s="62" t="s">
        <v>1076</v>
      </c>
      <c r="M1268" s="114">
        <v>-0.73013405799865705</v>
      </c>
      <c r="N1268" s="59">
        <v>17.631730872258526</v>
      </c>
      <c r="O1268" s="59">
        <v>0.41965199583404811</v>
      </c>
      <c r="BU1268" s="61"/>
    </row>
    <row r="1269" spans="1:73" x14ac:dyDescent="0.35">
      <c r="A1269" s="7" t="s">
        <v>1379</v>
      </c>
      <c r="B1269" s="7" t="s">
        <v>1382</v>
      </c>
      <c r="C1269" s="170" t="s">
        <v>848</v>
      </c>
      <c r="D1269" s="170" t="s">
        <v>226</v>
      </c>
      <c r="E1269" s="170" t="s">
        <v>1099</v>
      </c>
      <c r="F1269" s="62">
        <v>259.441170212766</v>
      </c>
      <c r="G1269" s="62" t="s">
        <v>1074</v>
      </c>
      <c r="H1269" s="114">
        <v>65.495091379310338</v>
      </c>
      <c r="I1269" s="19" t="s">
        <v>40</v>
      </c>
      <c r="J1269" s="180">
        <v>0.52690862068966737</v>
      </c>
      <c r="K1269" s="62" t="s">
        <v>1075</v>
      </c>
      <c r="L1269" s="62" t="s">
        <v>1076</v>
      </c>
      <c r="M1269" s="114">
        <v>-0.87150191068649308</v>
      </c>
      <c r="N1269" s="59">
        <v>18.272497498517232</v>
      </c>
      <c r="O1269" s="59">
        <v>1.0604186220927545</v>
      </c>
      <c r="BU1269" s="61"/>
    </row>
    <row r="1270" spans="1:73" x14ac:dyDescent="0.35">
      <c r="A1270" s="7" t="s">
        <v>1379</v>
      </c>
      <c r="B1270" s="7" t="s">
        <v>1382</v>
      </c>
      <c r="C1270" s="170" t="s">
        <v>848</v>
      </c>
      <c r="D1270" s="170" t="s">
        <v>226</v>
      </c>
      <c r="E1270" s="170" t="s">
        <v>1100</v>
      </c>
      <c r="F1270" s="62">
        <v>259.29365248226952</v>
      </c>
      <c r="G1270" s="62" t="s">
        <v>1074</v>
      </c>
      <c r="H1270" s="114">
        <v>65.471464966984598</v>
      </c>
      <c r="I1270" s="19" t="s">
        <v>40</v>
      </c>
      <c r="J1270" s="180">
        <v>0.55053503301540729</v>
      </c>
      <c r="K1270" s="62" t="s">
        <v>1075</v>
      </c>
      <c r="L1270" s="62" t="s">
        <v>1076</v>
      </c>
      <c r="M1270" s="114">
        <v>-0.72022407054901105</v>
      </c>
      <c r="N1270" s="59">
        <v>17.586857648915924</v>
      </c>
      <c r="O1270" s="59">
        <v>0.37477877249144598</v>
      </c>
      <c r="BU1270" s="61"/>
    </row>
    <row r="1271" spans="1:73" x14ac:dyDescent="0.35">
      <c r="A1271" s="7" t="s">
        <v>1379</v>
      </c>
      <c r="B1271" s="7" t="s">
        <v>1382</v>
      </c>
      <c r="C1271" s="170" t="s">
        <v>848</v>
      </c>
      <c r="D1271" s="170" t="s">
        <v>226</v>
      </c>
      <c r="E1271" s="170" t="s">
        <v>1101</v>
      </c>
      <c r="F1271" s="62">
        <v>259.21989361702128</v>
      </c>
      <c r="G1271" s="62" t="s">
        <v>1074</v>
      </c>
      <c r="H1271" s="114">
        <v>65.459638114453412</v>
      </c>
      <c r="I1271" s="19" t="s">
        <v>40</v>
      </c>
      <c r="J1271" s="180">
        <v>0.5623618855465935</v>
      </c>
      <c r="K1271" s="62" t="s">
        <v>1075</v>
      </c>
      <c r="L1271" s="62" t="s">
        <v>1076</v>
      </c>
      <c r="M1271" s="114">
        <v>-0.72958998680114706</v>
      </c>
      <c r="N1271" s="59">
        <v>17.629267121074033</v>
      </c>
      <c r="O1271" s="59">
        <v>0.41718824464955517</v>
      </c>
      <c r="BU1271" s="61"/>
    </row>
    <row r="1272" spans="1:73" x14ac:dyDescent="0.35">
      <c r="A1272" s="7" t="s">
        <v>1379</v>
      </c>
      <c r="B1272" s="7" t="s">
        <v>1382</v>
      </c>
      <c r="C1272" s="170" t="s">
        <v>848</v>
      </c>
      <c r="D1272" s="170" t="s">
        <v>226</v>
      </c>
      <c r="E1272" s="170" t="s">
        <v>1102</v>
      </c>
      <c r="F1272" s="62">
        <v>259.18301418439717</v>
      </c>
      <c r="G1272" s="62" t="s">
        <v>1074</v>
      </c>
      <c r="H1272" s="114">
        <v>65.453724688187819</v>
      </c>
      <c r="I1272" s="19" t="s">
        <v>40</v>
      </c>
      <c r="J1272" s="180">
        <v>0.5682753118121866</v>
      </c>
      <c r="K1272" s="62" t="s">
        <v>1075</v>
      </c>
      <c r="L1272" s="62" t="s">
        <v>1076</v>
      </c>
      <c r="M1272" s="114">
        <v>-0.79367898702621509</v>
      </c>
      <c r="N1272" s="59">
        <v>17.919607472381564</v>
      </c>
      <c r="O1272" s="59">
        <v>0.70752859595708628</v>
      </c>
      <c r="BU1272" s="61"/>
    </row>
    <row r="1273" spans="1:73" x14ac:dyDescent="0.35">
      <c r="A1273" s="7" t="s">
        <v>1379</v>
      </c>
      <c r="B1273" s="7" t="s">
        <v>1382</v>
      </c>
      <c r="C1273" s="170" t="s">
        <v>848</v>
      </c>
      <c r="D1273" s="170" t="s">
        <v>226</v>
      </c>
      <c r="E1273" s="170" t="s">
        <v>1103</v>
      </c>
      <c r="F1273" s="62">
        <v>259.10925531914893</v>
      </c>
      <c r="G1273" s="62" t="s">
        <v>1074</v>
      </c>
      <c r="H1273" s="114">
        <v>65.441856896551712</v>
      </c>
      <c r="I1273" s="19" t="s">
        <v>40</v>
      </c>
      <c r="J1273" s="180">
        <v>0.58014310344829312</v>
      </c>
      <c r="K1273" s="62" t="s">
        <v>1075</v>
      </c>
      <c r="L1273" s="62" t="s">
        <v>1076</v>
      </c>
      <c r="M1273" s="114">
        <v>-0.59865616559982304</v>
      </c>
      <c r="N1273" s="59">
        <v>17.036867864202318</v>
      </c>
      <c r="O1273" s="59">
        <v>-0.17521101222216018</v>
      </c>
      <c r="BU1273" s="61"/>
    </row>
    <row r="1274" spans="1:73" x14ac:dyDescent="0.35">
      <c r="A1274" s="7" t="s">
        <v>1379</v>
      </c>
      <c r="B1274" s="7" t="s">
        <v>1382</v>
      </c>
      <c r="C1274" s="170" t="s">
        <v>848</v>
      </c>
      <c r="D1274" s="170" t="s">
        <v>226</v>
      </c>
      <c r="E1274" s="170" t="s">
        <v>1104</v>
      </c>
      <c r="F1274" s="62">
        <v>258.99861702127657</v>
      </c>
      <c r="G1274" s="62" t="s">
        <v>1074</v>
      </c>
      <c r="H1274" s="114">
        <v>65.409210720130915</v>
      </c>
      <c r="I1274" s="19" t="s">
        <v>40</v>
      </c>
      <c r="J1274" s="180">
        <v>0.61278927986909082</v>
      </c>
      <c r="K1274" s="62" t="s">
        <v>1075</v>
      </c>
      <c r="L1274" s="62" t="s">
        <v>1076</v>
      </c>
      <c r="M1274" s="114">
        <v>-0.81339846849441499</v>
      </c>
      <c r="N1274" s="59">
        <v>18.008991589412471</v>
      </c>
      <c r="O1274" s="59">
        <v>0.79691271298799293</v>
      </c>
      <c r="BU1274" s="61"/>
    </row>
    <row r="1275" spans="1:73" x14ac:dyDescent="0.35">
      <c r="A1275" s="7" t="s">
        <v>1379</v>
      </c>
      <c r="B1275" s="7" t="s">
        <v>1382</v>
      </c>
      <c r="C1275" s="170" t="s">
        <v>848</v>
      </c>
      <c r="D1275" s="170" t="s">
        <v>226</v>
      </c>
      <c r="E1275" s="170" t="s">
        <v>1105</v>
      </c>
      <c r="F1275" s="62">
        <v>258.92485815602839</v>
      </c>
      <c r="G1275" s="62" t="s">
        <v>1074</v>
      </c>
      <c r="H1275" s="114">
        <v>65.379423486088385</v>
      </c>
      <c r="I1275" s="19" t="s">
        <v>40</v>
      </c>
      <c r="J1275" s="180">
        <v>0.64257651391162085</v>
      </c>
      <c r="K1275" s="62" t="s">
        <v>1075</v>
      </c>
      <c r="L1275" s="62" t="s">
        <v>1076</v>
      </c>
      <c r="M1275" s="114">
        <v>-0.706375885009766</v>
      </c>
      <c r="N1275" s="59">
        <v>17.524161816865949</v>
      </c>
      <c r="O1275" s="59">
        <v>0.31208294044147067</v>
      </c>
      <c r="BU1275" s="61"/>
    </row>
    <row r="1276" spans="1:73" x14ac:dyDescent="0.35">
      <c r="A1276" s="7" t="s">
        <v>1379</v>
      </c>
      <c r="B1276" s="7" t="s">
        <v>1382</v>
      </c>
      <c r="C1276" s="170" t="s">
        <v>848</v>
      </c>
      <c r="D1276" s="170" t="s">
        <v>226</v>
      </c>
      <c r="E1276" s="170" t="s">
        <v>1106</v>
      </c>
      <c r="F1276" s="62">
        <v>258.81421985815604</v>
      </c>
      <c r="G1276" s="62" t="s">
        <v>1074</v>
      </c>
      <c r="H1276" s="114">
        <v>65.334653846153842</v>
      </c>
      <c r="I1276" s="19" t="s">
        <v>40</v>
      </c>
      <c r="J1276" s="180">
        <v>0.68734615384616404</v>
      </c>
      <c r="K1276" s="62" t="s">
        <v>1075</v>
      </c>
      <c r="L1276" s="62" t="s">
        <v>1076</v>
      </c>
      <c r="M1276" s="114">
        <v>-0.71454464197158807</v>
      </c>
      <c r="N1276" s="59">
        <v>17.561143393907635</v>
      </c>
      <c r="O1276" s="59">
        <v>0.34906451748315703</v>
      </c>
      <c r="BU1276" s="61"/>
    </row>
    <row r="1277" spans="1:73" x14ac:dyDescent="0.35">
      <c r="A1277" s="7" t="s">
        <v>1379</v>
      </c>
      <c r="B1277" s="7" t="s">
        <v>1382</v>
      </c>
      <c r="C1277" s="170" t="s">
        <v>848</v>
      </c>
      <c r="D1277" s="170" t="s">
        <v>226</v>
      </c>
      <c r="E1277" s="170" t="s">
        <v>1107</v>
      </c>
      <c r="F1277" s="62">
        <v>258.73455128205126</v>
      </c>
      <c r="G1277" s="62" t="s">
        <v>1074</v>
      </c>
      <c r="H1277" s="114">
        <v>65.313636363636363</v>
      </c>
      <c r="I1277" s="19" t="s">
        <v>40</v>
      </c>
      <c r="J1277" s="180">
        <v>0.70836363636364297</v>
      </c>
      <c r="K1277" s="62" t="s">
        <v>1075</v>
      </c>
      <c r="L1277" s="62" t="s">
        <v>1076</v>
      </c>
      <c r="M1277" s="114">
        <v>-0.89050972223281866</v>
      </c>
      <c r="N1277" s="59">
        <v>18.35874411949537</v>
      </c>
      <c r="O1277" s="59">
        <v>1.1466652430708919</v>
      </c>
      <c r="BU1277" s="61"/>
    </row>
    <row r="1278" spans="1:73" x14ac:dyDescent="0.35">
      <c r="A1278" s="7" t="s">
        <v>1379</v>
      </c>
      <c r="B1278" s="7" t="s">
        <v>1382</v>
      </c>
      <c r="C1278" s="170" t="s">
        <v>848</v>
      </c>
      <c r="D1278" s="170" t="s">
        <v>226</v>
      </c>
      <c r="E1278" s="170" t="s">
        <v>1107</v>
      </c>
      <c r="F1278" s="62">
        <v>258.73455128205126</v>
      </c>
      <c r="G1278" s="62" t="s">
        <v>1074</v>
      </c>
      <c r="H1278" s="114">
        <v>65.313636363636363</v>
      </c>
      <c r="I1278" s="19" t="s">
        <v>40</v>
      </c>
      <c r="J1278" s="180">
        <v>0.70836363636364297</v>
      </c>
      <c r="K1278" s="62" t="s">
        <v>1075</v>
      </c>
      <c r="L1278" s="62" t="s">
        <v>1076</v>
      </c>
      <c r="M1278" s="114">
        <v>-0.82895499229431158</v>
      </c>
      <c r="N1278" s="59">
        <v>18.079522388670789</v>
      </c>
      <c r="O1278" s="59">
        <v>0.86744351224631089</v>
      </c>
      <c r="BU1278" s="61"/>
    </row>
    <row r="1279" spans="1:73" x14ac:dyDescent="0.35">
      <c r="A1279" s="7" t="s">
        <v>1379</v>
      </c>
      <c r="B1279" s="7" t="s">
        <v>1382</v>
      </c>
      <c r="C1279" s="170" t="s">
        <v>848</v>
      </c>
      <c r="D1279" s="170" t="s">
        <v>226</v>
      </c>
      <c r="E1279" s="170" t="s">
        <v>1107</v>
      </c>
      <c r="F1279" s="62">
        <v>258.73455128205126</v>
      </c>
      <c r="G1279" s="62" t="s">
        <v>1074</v>
      </c>
      <c r="H1279" s="114">
        <v>65.313636363636363</v>
      </c>
      <c r="I1279" s="19" t="s">
        <v>40</v>
      </c>
      <c r="J1279" s="180">
        <v>0.70836363636364297</v>
      </c>
      <c r="K1279" s="62" t="s">
        <v>1075</v>
      </c>
      <c r="L1279" s="62" t="s">
        <v>1076</v>
      </c>
      <c r="M1279" s="114">
        <v>-0.74287180900573702</v>
      </c>
      <c r="N1279" s="59">
        <v>17.689417091751324</v>
      </c>
      <c r="O1279" s="59">
        <v>0.47733821532684573</v>
      </c>
      <c r="BU1279" s="61"/>
    </row>
    <row r="1280" spans="1:73" x14ac:dyDescent="0.35">
      <c r="A1280" s="7" t="s">
        <v>1379</v>
      </c>
      <c r="B1280" s="7" t="s">
        <v>1382</v>
      </c>
      <c r="C1280" s="170" t="s">
        <v>848</v>
      </c>
      <c r="D1280" s="170" t="s">
        <v>226</v>
      </c>
      <c r="E1280" s="170" t="s">
        <v>1108</v>
      </c>
      <c r="F1280" s="62">
        <v>258.65403846153845</v>
      </c>
      <c r="G1280" s="62" t="s">
        <v>1074</v>
      </c>
      <c r="H1280" s="114">
        <v>65.294490909090896</v>
      </c>
      <c r="I1280" s="19" t="s">
        <v>40</v>
      </c>
      <c r="J1280" s="180">
        <v>0.72750909090910909</v>
      </c>
      <c r="K1280" s="62" t="s">
        <v>1075</v>
      </c>
      <c r="L1280" s="62" t="s">
        <v>1076</v>
      </c>
      <c r="M1280" s="114">
        <v>-0.99209158420562704</v>
      </c>
      <c r="N1280" s="59">
        <v>18.820032234624577</v>
      </c>
      <c r="O1280" s="59">
        <v>1.6079533582000991</v>
      </c>
      <c r="BU1280" s="61"/>
    </row>
    <row r="1281" spans="1:73" x14ac:dyDescent="0.35">
      <c r="A1281" s="7" t="s">
        <v>1379</v>
      </c>
      <c r="B1281" s="7" t="s">
        <v>1382</v>
      </c>
      <c r="C1281" s="170" t="s">
        <v>848</v>
      </c>
      <c r="D1281" s="170" t="s">
        <v>226</v>
      </c>
      <c r="E1281" s="170" t="s">
        <v>1109</v>
      </c>
      <c r="F1281" s="62">
        <v>258.61378205128199</v>
      </c>
      <c r="G1281" s="62" t="s">
        <v>1074</v>
      </c>
      <c r="H1281" s="114">
        <v>65.285036363636351</v>
      </c>
      <c r="I1281" s="19" t="s">
        <v>40</v>
      </c>
      <c r="J1281" s="180">
        <v>0.73696363636365447</v>
      </c>
      <c r="K1281" s="62" t="s">
        <v>1075</v>
      </c>
      <c r="L1281" s="62" t="s">
        <v>1076</v>
      </c>
      <c r="M1281" s="114">
        <v>-1.004626202583313</v>
      </c>
      <c r="N1281" s="59">
        <v>18.876995451026556</v>
      </c>
      <c r="O1281" s="59">
        <v>1.6649165746020778</v>
      </c>
      <c r="BU1281" s="61"/>
    </row>
    <row r="1282" spans="1:73" x14ac:dyDescent="0.35">
      <c r="A1282" s="7" t="s">
        <v>1379</v>
      </c>
      <c r="B1282" s="7" t="s">
        <v>1382</v>
      </c>
      <c r="C1282" s="170" t="s">
        <v>848</v>
      </c>
      <c r="D1282" s="170" t="s">
        <v>226</v>
      </c>
      <c r="E1282" s="170" t="s">
        <v>1110</v>
      </c>
      <c r="F1282" s="62">
        <v>258.57352564102564</v>
      </c>
      <c r="G1282" s="62" t="s">
        <v>1074</v>
      </c>
      <c r="H1282" s="114">
        <v>65.275581818181806</v>
      </c>
      <c r="I1282" s="19" t="s">
        <v>40</v>
      </c>
      <c r="J1282" s="180">
        <v>0.74641818181819986</v>
      </c>
      <c r="K1282" s="62" t="s">
        <v>1075</v>
      </c>
      <c r="L1282" s="62" t="s">
        <v>1076</v>
      </c>
      <c r="M1282" s="114">
        <v>-0.93134890794753999</v>
      </c>
      <c r="N1282" s="59">
        <v>18.54412240326435</v>
      </c>
      <c r="O1282" s="59">
        <v>1.3320435268398718</v>
      </c>
      <c r="BU1282" s="61"/>
    </row>
    <row r="1283" spans="1:73" x14ac:dyDescent="0.35">
      <c r="A1283" s="7" t="s">
        <v>1379</v>
      </c>
      <c r="B1283" s="7" t="s">
        <v>1382</v>
      </c>
      <c r="C1283" s="170" t="s">
        <v>848</v>
      </c>
      <c r="D1283" s="170" t="s">
        <v>226</v>
      </c>
      <c r="E1283" s="170" t="s">
        <v>1111</v>
      </c>
      <c r="F1283" s="62">
        <v>258.53326923076918</v>
      </c>
      <c r="G1283" s="62" t="s">
        <v>1074</v>
      </c>
      <c r="H1283" s="114">
        <v>65.265890909090899</v>
      </c>
      <c r="I1283" s="19" t="s">
        <v>40</v>
      </c>
      <c r="J1283" s="180">
        <v>0.75610909090910638</v>
      </c>
      <c r="K1283" s="62" t="s">
        <v>1075</v>
      </c>
      <c r="L1283" s="62" t="s">
        <v>1076</v>
      </c>
      <c r="M1283" s="114">
        <v>-0.94084726572036703</v>
      </c>
      <c r="N1283" s="59">
        <v>18.587251937253992</v>
      </c>
      <c r="O1283" s="59">
        <v>1.3751730608295141</v>
      </c>
      <c r="BU1283" s="61"/>
    </row>
    <row r="1284" spans="1:73" x14ac:dyDescent="0.35">
      <c r="A1284" s="7" t="s">
        <v>1379</v>
      </c>
      <c r="B1284" s="7" t="s">
        <v>1382</v>
      </c>
      <c r="C1284" s="170" t="s">
        <v>848</v>
      </c>
      <c r="D1284" s="170" t="s">
        <v>226</v>
      </c>
      <c r="E1284" s="170" t="s">
        <v>1112</v>
      </c>
      <c r="F1284" s="62">
        <v>258.49301282051283</v>
      </c>
      <c r="G1284" s="62" t="s">
        <v>1074</v>
      </c>
      <c r="H1284" s="114">
        <v>65.256436363636354</v>
      </c>
      <c r="I1284" s="19" t="s">
        <v>40</v>
      </c>
      <c r="J1284" s="180">
        <v>0.76556363636365177</v>
      </c>
      <c r="K1284" s="62" t="s">
        <v>1075</v>
      </c>
      <c r="L1284" s="62" t="s">
        <v>1076</v>
      </c>
      <c r="M1284" s="114">
        <v>-0.78517763614654501</v>
      </c>
      <c r="N1284" s="59">
        <v>17.881079896842852</v>
      </c>
      <c r="O1284" s="59">
        <v>0.66900102041837428</v>
      </c>
      <c r="BU1284" s="61"/>
    </row>
    <row r="1285" spans="1:73" x14ac:dyDescent="0.35">
      <c r="A1285" s="7" t="s">
        <v>1379</v>
      </c>
      <c r="B1285" s="7" t="s">
        <v>1382</v>
      </c>
      <c r="C1285" s="170" t="s">
        <v>848</v>
      </c>
      <c r="D1285" s="170" t="s">
        <v>226</v>
      </c>
      <c r="E1285" s="170" t="s">
        <v>1113</v>
      </c>
      <c r="F1285" s="62">
        <v>258.45275641025637</v>
      </c>
      <c r="G1285" s="62" t="s">
        <v>1074</v>
      </c>
      <c r="H1285" s="114">
        <v>65.246981818181808</v>
      </c>
      <c r="I1285" s="19" t="s">
        <v>40</v>
      </c>
      <c r="J1285" s="180">
        <v>0.77501818181819715</v>
      </c>
      <c r="K1285" s="62" t="s">
        <v>1075</v>
      </c>
      <c r="L1285" s="62" t="s">
        <v>1076</v>
      </c>
      <c r="M1285" s="114">
        <v>-0.899715888500214</v>
      </c>
      <c r="N1285" s="59">
        <v>18.400524249991999</v>
      </c>
      <c r="O1285" s="59">
        <v>1.1884453735675216</v>
      </c>
      <c r="BU1285" s="61"/>
    </row>
    <row r="1286" spans="1:73" x14ac:dyDescent="0.35">
      <c r="A1286" s="7" t="s">
        <v>1379</v>
      </c>
      <c r="B1286" s="7" t="s">
        <v>1382</v>
      </c>
      <c r="C1286" s="170" t="s">
        <v>848</v>
      </c>
      <c r="D1286" s="170" t="s">
        <v>226</v>
      </c>
      <c r="E1286" s="170" t="s">
        <v>1114</v>
      </c>
      <c r="F1286" s="62">
        <v>258.43046666666669</v>
      </c>
      <c r="G1286" s="62" t="s">
        <v>1074</v>
      </c>
      <c r="H1286" s="114">
        <v>65.241545454545445</v>
      </c>
      <c r="I1286" s="19" t="s">
        <v>40</v>
      </c>
      <c r="J1286" s="180">
        <v>0.78045454545456039</v>
      </c>
      <c r="K1286" s="62" t="s">
        <v>1075</v>
      </c>
      <c r="L1286" s="62" t="s">
        <v>1076</v>
      </c>
      <c r="M1286" s="114">
        <v>-0.69223819971084599</v>
      </c>
      <c r="N1286" s="59">
        <v>17.460167182531436</v>
      </c>
      <c r="O1286" s="59">
        <v>0.24808830610695765</v>
      </c>
      <c r="BU1286" s="61"/>
    </row>
    <row r="1287" spans="1:73" x14ac:dyDescent="0.35">
      <c r="A1287" s="7" t="s">
        <v>1379</v>
      </c>
      <c r="B1287" s="7" t="s">
        <v>1382</v>
      </c>
      <c r="C1287" s="170" t="s">
        <v>848</v>
      </c>
      <c r="D1287" s="170" t="s">
        <v>226</v>
      </c>
      <c r="E1287" s="170" t="s">
        <v>1115</v>
      </c>
      <c r="F1287" s="62">
        <v>258.39553333333333</v>
      </c>
      <c r="G1287" s="62" t="s">
        <v>1074</v>
      </c>
      <c r="H1287" s="114">
        <v>65.233509090909081</v>
      </c>
      <c r="I1287" s="19" t="s">
        <v>40</v>
      </c>
      <c r="J1287" s="180">
        <v>0.78849090909092467</v>
      </c>
      <c r="K1287" s="62" t="s">
        <v>1075</v>
      </c>
      <c r="L1287" s="62" t="s">
        <v>1076</v>
      </c>
      <c r="M1287" s="114">
        <v>-0.79837499856948901</v>
      </c>
      <c r="N1287" s="59">
        <v>17.940891353984998</v>
      </c>
      <c r="O1287" s="59">
        <v>0.72881247756052048</v>
      </c>
      <c r="BU1287" s="61"/>
    </row>
    <row r="1288" spans="1:73" x14ac:dyDescent="0.35">
      <c r="A1288" s="7" t="s">
        <v>1379</v>
      </c>
      <c r="B1288" s="7" t="s">
        <v>1382</v>
      </c>
      <c r="C1288" s="170" t="s">
        <v>848</v>
      </c>
      <c r="D1288" s="170" t="s">
        <v>226</v>
      </c>
      <c r="E1288" s="170" t="s">
        <v>1116</v>
      </c>
      <c r="F1288" s="62">
        <v>258.36060000000003</v>
      </c>
      <c r="G1288" s="62" t="s">
        <v>1074</v>
      </c>
      <c r="H1288" s="114">
        <v>65.225236363636355</v>
      </c>
      <c r="I1288" s="19" t="s">
        <v>40</v>
      </c>
      <c r="J1288" s="180">
        <v>0.79676363636365011</v>
      </c>
      <c r="K1288" s="62" t="s">
        <v>1075</v>
      </c>
      <c r="L1288" s="62" t="s">
        <v>1076</v>
      </c>
      <c r="M1288" s="114">
        <v>-0.95379071235656709</v>
      </c>
      <c r="N1288" s="59">
        <v>18.646033424102221</v>
      </c>
      <c r="O1288" s="59">
        <v>1.4339545476777431</v>
      </c>
      <c r="BU1288" s="61"/>
    </row>
    <row r="1289" spans="1:73" x14ac:dyDescent="0.35">
      <c r="A1289" s="7" t="s">
        <v>1379</v>
      </c>
      <c r="B1289" s="7" t="s">
        <v>1382</v>
      </c>
      <c r="C1289" s="170" t="s">
        <v>848</v>
      </c>
      <c r="D1289" s="170" t="s">
        <v>226</v>
      </c>
      <c r="E1289" s="170" t="s">
        <v>1117</v>
      </c>
      <c r="F1289" s="62">
        <v>258.29073333333332</v>
      </c>
      <c r="G1289" s="62" t="s">
        <v>1074</v>
      </c>
      <c r="H1289" s="114">
        <v>65.18934999999999</v>
      </c>
      <c r="I1289" s="19" t="s">
        <v>40</v>
      </c>
      <c r="J1289" s="180">
        <v>0.83265000000001521</v>
      </c>
      <c r="K1289" s="62" t="s">
        <v>1075</v>
      </c>
      <c r="L1289" s="62" t="s">
        <v>1076</v>
      </c>
      <c r="M1289" s="114">
        <v>-0.80610852241516107</v>
      </c>
      <c r="N1289" s="59">
        <v>17.975945132364668</v>
      </c>
      <c r="O1289" s="59">
        <v>0.76386625594019009</v>
      </c>
      <c r="BU1289" s="61"/>
    </row>
    <row r="1290" spans="1:73" x14ac:dyDescent="0.35">
      <c r="A1290" s="7" t="s">
        <v>1379</v>
      </c>
      <c r="B1290" s="7" t="s">
        <v>1382</v>
      </c>
      <c r="C1290" s="170" t="s">
        <v>848</v>
      </c>
      <c r="D1290" s="170" t="s">
        <v>226</v>
      </c>
      <c r="E1290" s="170" t="s">
        <v>1117</v>
      </c>
      <c r="F1290" s="62">
        <v>258.29073333333332</v>
      </c>
      <c r="G1290" s="62" t="s">
        <v>1074</v>
      </c>
      <c r="H1290" s="114">
        <v>65.18934999999999</v>
      </c>
      <c r="I1290" s="19" t="s">
        <v>40</v>
      </c>
      <c r="J1290" s="180">
        <v>0.83265000000001521</v>
      </c>
      <c r="K1290" s="62" t="s">
        <v>1075</v>
      </c>
      <c r="L1290" s="62" t="s">
        <v>1076</v>
      </c>
      <c r="M1290" s="114">
        <v>-0.73611324787139898</v>
      </c>
      <c r="N1290" s="59">
        <v>17.658807976917394</v>
      </c>
      <c r="O1290" s="59">
        <v>0.44672910049291659</v>
      </c>
      <c r="BU1290" s="61"/>
    </row>
    <row r="1291" spans="1:73" x14ac:dyDescent="0.35">
      <c r="A1291" s="7" t="s">
        <v>1379</v>
      </c>
      <c r="B1291" s="7" t="s">
        <v>1382</v>
      </c>
      <c r="C1291" s="170" t="s">
        <v>848</v>
      </c>
      <c r="D1291" s="170" t="s">
        <v>226</v>
      </c>
      <c r="E1291" s="170" t="s">
        <v>1117</v>
      </c>
      <c r="F1291" s="62">
        <v>258.29073333333332</v>
      </c>
      <c r="G1291" s="62" t="s">
        <v>1074</v>
      </c>
      <c r="H1291" s="114">
        <v>65.18934999999999</v>
      </c>
      <c r="I1291" s="19" t="s">
        <v>40</v>
      </c>
      <c r="J1291" s="180">
        <v>0.83265000000001521</v>
      </c>
      <c r="K1291" s="62" t="s">
        <v>1075</v>
      </c>
      <c r="L1291" s="62" t="s">
        <v>1076</v>
      </c>
      <c r="M1291" s="114">
        <v>-0.7675341939926148</v>
      </c>
      <c r="N1291" s="59">
        <v>17.801134790021898</v>
      </c>
      <c r="O1291" s="59">
        <v>0.58905591359742004</v>
      </c>
      <c r="BU1291" s="61"/>
    </row>
    <row r="1292" spans="1:73" x14ac:dyDescent="0.35">
      <c r="A1292" s="7" t="s">
        <v>1379</v>
      </c>
      <c r="B1292" s="7" t="s">
        <v>1382</v>
      </c>
      <c r="C1292" s="170" t="s">
        <v>848</v>
      </c>
      <c r="D1292" s="170" t="s">
        <v>226</v>
      </c>
      <c r="E1292" s="170" t="s">
        <v>1118</v>
      </c>
      <c r="F1292" s="62">
        <v>258.25580000000002</v>
      </c>
      <c r="G1292" s="62" t="s">
        <v>1074</v>
      </c>
      <c r="H1292" s="114">
        <v>65.171266666666654</v>
      </c>
      <c r="I1292" s="19" t="s">
        <v>40</v>
      </c>
      <c r="J1292" s="180">
        <v>0.85073333333335199</v>
      </c>
      <c r="K1292" s="62" t="s">
        <v>1075</v>
      </c>
      <c r="L1292" s="62" t="s">
        <v>1076</v>
      </c>
      <c r="M1292" s="114">
        <v>-0.81958680152893104</v>
      </c>
      <c r="N1292" s="59">
        <v>18.03704676578981</v>
      </c>
      <c r="O1292" s="59">
        <v>0.8249678893653325</v>
      </c>
      <c r="BU1292" s="61"/>
    </row>
    <row r="1293" spans="1:73" x14ac:dyDescent="0.35">
      <c r="A1293" s="7" t="s">
        <v>1379</v>
      </c>
      <c r="B1293" s="7" t="s">
        <v>1382</v>
      </c>
      <c r="C1293" s="170" t="s">
        <v>848</v>
      </c>
      <c r="D1293" s="170" t="s">
        <v>226</v>
      </c>
      <c r="E1293" s="170" t="s">
        <v>1119</v>
      </c>
      <c r="F1293" s="62">
        <v>258.22086666666667</v>
      </c>
      <c r="G1293" s="62" t="s">
        <v>1074</v>
      </c>
      <c r="H1293" s="114">
        <v>65.153183333333331</v>
      </c>
      <c r="I1293" s="19" t="s">
        <v>40</v>
      </c>
      <c r="J1293" s="180">
        <v>0.86881666666667456</v>
      </c>
      <c r="K1293" s="62" t="s">
        <v>1075</v>
      </c>
      <c r="L1293" s="62" t="s">
        <v>1076</v>
      </c>
      <c r="M1293" s="114">
        <v>-0.7978069067001341</v>
      </c>
      <c r="N1293" s="59">
        <v>17.938316502891574</v>
      </c>
      <c r="O1293" s="59">
        <v>0.72623762646709622</v>
      </c>
      <c r="BU1293" s="61"/>
    </row>
    <row r="1294" spans="1:73" x14ac:dyDescent="0.35">
      <c r="A1294" s="7" t="s">
        <v>1379</v>
      </c>
      <c r="B1294" s="7" t="s">
        <v>1382</v>
      </c>
      <c r="C1294" s="170" t="s">
        <v>848</v>
      </c>
      <c r="D1294" s="170" t="s">
        <v>226</v>
      </c>
      <c r="E1294" s="170" t="s">
        <v>1120</v>
      </c>
      <c r="F1294" s="62">
        <v>258.18593333333331</v>
      </c>
      <c r="G1294" s="62" t="s">
        <v>1074</v>
      </c>
      <c r="H1294" s="114">
        <v>65.135099999999994</v>
      </c>
      <c r="I1294" s="19" t="s">
        <v>40</v>
      </c>
      <c r="J1294" s="180">
        <v>0.88690000000001135</v>
      </c>
      <c r="K1294" s="62" t="s">
        <v>1075</v>
      </c>
      <c r="L1294" s="62" t="s">
        <v>1076</v>
      </c>
      <c r="M1294" s="114">
        <v>-0.79728316068649308</v>
      </c>
      <c r="N1294" s="59">
        <v>17.935942664569254</v>
      </c>
      <c r="O1294" s="59">
        <v>0.72386378814477581</v>
      </c>
      <c r="BU1294" s="61"/>
    </row>
    <row r="1295" spans="1:73" x14ac:dyDescent="0.35">
      <c r="A1295" s="7" t="s">
        <v>1379</v>
      </c>
      <c r="B1295" s="7" t="s">
        <v>1382</v>
      </c>
      <c r="C1295" s="170" t="s">
        <v>848</v>
      </c>
      <c r="D1295" s="170" t="s">
        <v>226</v>
      </c>
      <c r="E1295" s="170" t="s">
        <v>1121</v>
      </c>
      <c r="F1295" s="62">
        <v>258.15100000000001</v>
      </c>
      <c r="G1295" s="62" t="s">
        <v>1074</v>
      </c>
      <c r="H1295" s="114">
        <v>65.127604687499996</v>
      </c>
      <c r="I1295" s="19" t="s">
        <v>40</v>
      </c>
      <c r="J1295" s="180">
        <v>0.89439531250000925</v>
      </c>
      <c r="K1295" s="62" t="s">
        <v>1075</v>
      </c>
      <c r="L1295" s="62" t="s">
        <v>1076</v>
      </c>
      <c r="M1295" s="114">
        <v>-0.79451243877410904</v>
      </c>
      <c r="N1295" s="59">
        <v>17.923384855514211</v>
      </c>
      <c r="O1295" s="59">
        <v>0.71130597908973314</v>
      </c>
      <c r="BU1295" s="61"/>
    </row>
    <row r="1296" spans="1:73" x14ac:dyDescent="0.35">
      <c r="A1296" s="7" t="s">
        <v>1379</v>
      </c>
      <c r="B1296" s="7" t="s">
        <v>1382</v>
      </c>
      <c r="C1296" s="170" t="s">
        <v>848</v>
      </c>
      <c r="D1296" s="170" t="s">
        <v>226</v>
      </c>
      <c r="E1296" s="170" t="s">
        <v>1122</v>
      </c>
      <c r="F1296" s="62">
        <v>258.11606666666665</v>
      </c>
      <c r="G1296" s="62" t="s">
        <v>1074</v>
      </c>
      <c r="H1296" s="114">
        <v>65.122310104166672</v>
      </c>
      <c r="I1296" s="19" t="s">
        <v>40</v>
      </c>
      <c r="J1296" s="180">
        <v>0.89968989583333325</v>
      </c>
      <c r="K1296" s="62" t="s">
        <v>1075</v>
      </c>
      <c r="L1296" s="62" t="s">
        <v>1076</v>
      </c>
      <c r="M1296" s="114">
        <v>-0.90638386011123706</v>
      </c>
      <c r="N1296" s="59">
        <v>18.430788526095153</v>
      </c>
      <c r="O1296" s="59">
        <v>1.2187096496706751</v>
      </c>
      <c r="BU1296" s="61"/>
    </row>
    <row r="1297" spans="1:73" x14ac:dyDescent="0.35">
      <c r="A1297" s="7" t="s">
        <v>1379</v>
      </c>
      <c r="B1297" s="7" t="s">
        <v>1382</v>
      </c>
      <c r="C1297" s="170" t="s">
        <v>848</v>
      </c>
      <c r="D1297" s="170" t="s">
        <v>226</v>
      </c>
      <c r="E1297" s="170" t="s">
        <v>1123</v>
      </c>
      <c r="F1297" s="62">
        <v>258.01</v>
      </c>
      <c r="G1297" s="62" t="s">
        <v>1074</v>
      </c>
      <c r="H1297" s="114">
        <v>65.106234375</v>
      </c>
      <c r="I1297" s="19" t="s">
        <v>40</v>
      </c>
      <c r="J1297" s="180">
        <v>0.91576562500000591</v>
      </c>
      <c r="K1297" s="62" t="s">
        <v>1075</v>
      </c>
      <c r="L1297" s="62" t="s">
        <v>1076</v>
      </c>
      <c r="M1297" s="114">
        <v>-0.8241935253143311</v>
      </c>
      <c r="N1297" s="59">
        <v>18.057933114333991</v>
      </c>
      <c r="O1297" s="59">
        <v>0.84585423790951353</v>
      </c>
      <c r="BU1297" s="61"/>
    </row>
    <row r="1298" spans="1:73" x14ac:dyDescent="0.35">
      <c r="A1298" s="7" t="s">
        <v>1379</v>
      </c>
      <c r="B1298" s="7" t="s">
        <v>1382</v>
      </c>
      <c r="C1298" s="170" t="s">
        <v>848</v>
      </c>
      <c r="D1298" s="170" t="s">
        <v>226</v>
      </c>
      <c r="E1298" s="170" t="s">
        <v>1124</v>
      </c>
      <c r="F1298" s="62">
        <v>257.99</v>
      </c>
      <c r="G1298" s="62" t="s">
        <v>1074</v>
      </c>
      <c r="H1298" s="114">
        <v>65.103203124999993</v>
      </c>
      <c r="I1298" s="19" t="s">
        <v>40</v>
      </c>
      <c r="J1298" s="180">
        <v>0.91879687500001239</v>
      </c>
      <c r="K1298" s="62" t="s">
        <v>1075</v>
      </c>
      <c r="L1298" s="62" t="s">
        <v>1076</v>
      </c>
      <c r="M1298" s="114">
        <v>-2.5071205049753187E-2</v>
      </c>
      <c r="N1298" s="59">
        <v>14.453853138489652</v>
      </c>
      <c r="O1298" s="59">
        <v>-2.7582257379348256</v>
      </c>
      <c r="BU1298" s="61"/>
    </row>
    <row r="1299" spans="1:73" x14ac:dyDescent="0.35">
      <c r="A1299" s="7" t="s">
        <v>1379</v>
      </c>
      <c r="B1299" s="7" t="s">
        <v>1382</v>
      </c>
      <c r="C1299" s="170" t="s">
        <v>848</v>
      </c>
      <c r="D1299" s="170" t="s">
        <v>226</v>
      </c>
      <c r="E1299" s="170" t="s">
        <v>1124</v>
      </c>
      <c r="F1299" s="62">
        <v>257.99</v>
      </c>
      <c r="G1299" s="62" t="s">
        <v>1074</v>
      </c>
      <c r="H1299" s="114">
        <v>65.103203124999993</v>
      </c>
      <c r="I1299" s="19" t="s">
        <v>40</v>
      </c>
      <c r="J1299" s="180">
        <v>0.91879687500001239</v>
      </c>
      <c r="K1299" s="62" t="s">
        <v>1075</v>
      </c>
      <c r="L1299" s="62" t="s">
        <v>1076</v>
      </c>
      <c r="M1299" s="114">
        <v>-0.11568863078951835</v>
      </c>
      <c r="N1299" s="59">
        <v>14.860615986258569</v>
      </c>
      <c r="O1299" s="59">
        <v>-2.3514628901659087</v>
      </c>
      <c r="BU1299" s="61"/>
    </row>
    <row r="1300" spans="1:73" x14ac:dyDescent="0.35">
      <c r="A1300" s="7" t="s">
        <v>1379</v>
      </c>
      <c r="B1300" s="7" t="s">
        <v>1382</v>
      </c>
      <c r="C1300" s="170" t="s">
        <v>848</v>
      </c>
      <c r="D1300" s="170" t="s">
        <v>226</v>
      </c>
      <c r="E1300" s="170" t="s">
        <v>1125</v>
      </c>
      <c r="F1300" s="62">
        <v>257.85000000000002</v>
      </c>
      <c r="G1300" s="62" t="s">
        <v>1074</v>
      </c>
      <c r="H1300" s="114">
        <v>65.081984375000005</v>
      </c>
      <c r="I1300" s="19" t="s">
        <v>40</v>
      </c>
      <c r="J1300" s="180">
        <v>0.94001562500000091</v>
      </c>
      <c r="K1300" s="62" t="s">
        <v>1075</v>
      </c>
      <c r="L1300" s="62" t="s">
        <v>1076</v>
      </c>
      <c r="M1300" s="114">
        <v>-0.79098664522171003</v>
      </c>
      <c r="N1300" s="59">
        <v>17.907405483249494</v>
      </c>
      <c r="O1300" s="59">
        <v>0.69532660682501657</v>
      </c>
      <c r="BU1300" s="61"/>
    </row>
    <row r="1301" spans="1:73" x14ac:dyDescent="0.35">
      <c r="A1301" s="7" t="s">
        <v>1379</v>
      </c>
      <c r="B1301" s="7" t="s">
        <v>1382</v>
      </c>
      <c r="C1301" s="170" t="s">
        <v>848</v>
      </c>
      <c r="D1301" s="170" t="s">
        <v>226</v>
      </c>
      <c r="E1301" s="170" t="s">
        <v>1126</v>
      </c>
      <c r="F1301" s="62">
        <v>257.61</v>
      </c>
      <c r="G1301" s="62" t="s">
        <v>1074</v>
      </c>
      <c r="H1301" s="114">
        <v>65.045609374999998</v>
      </c>
      <c r="I1301" s="19" t="s">
        <v>40</v>
      </c>
      <c r="J1301" s="180">
        <v>0.97639062500000762</v>
      </c>
      <c r="K1301" s="62" t="s">
        <v>1075</v>
      </c>
      <c r="L1301" s="62" t="s">
        <v>1076</v>
      </c>
      <c r="M1301" s="114">
        <v>-0.53708930611610406</v>
      </c>
      <c r="N1301" s="59">
        <v>16.758669244711427</v>
      </c>
      <c r="O1301" s="59">
        <v>-0.45340963171305049</v>
      </c>
      <c r="BU1301" s="61"/>
    </row>
    <row r="1302" spans="1:73" x14ac:dyDescent="0.35">
      <c r="A1302" s="7" t="s">
        <v>1379</v>
      </c>
      <c r="B1302" s="7" t="s">
        <v>1382</v>
      </c>
      <c r="C1302" s="170" t="s">
        <v>848</v>
      </c>
      <c r="D1302" s="170" t="s">
        <v>226</v>
      </c>
      <c r="E1302" s="170" t="s">
        <v>1127</v>
      </c>
      <c r="F1302" s="62">
        <v>257.49</v>
      </c>
      <c r="G1302" s="62" t="s">
        <v>1074</v>
      </c>
      <c r="H1302" s="114">
        <v>65.023295454545448</v>
      </c>
      <c r="I1302" s="19" t="s">
        <v>40</v>
      </c>
      <c r="J1302" s="180">
        <v>0.998704545454558</v>
      </c>
      <c r="K1302" s="62" t="s">
        <v>1075</v>
      </c>
      <c r="L1302" s="62" t="s">
        <v>1076</v>
      </c>
      <c r="M1302" s="114">
        <v>-0.47612102627754199</v>
      </c>
      <c r="N1302" s="59">
        <v>16.483399515263383</v>
      </c>
      <c r="O1302" s="59">
        <v>-0.72867936116109533</v>
      </c>
      <c r="BU1302" s="61"/>
    </row>
    <row r="1303" spans="1:73" x14ac:dyDescent="0.35">
      <c r="A1303" s="7" t="s">
        <v>1379</v>
      </c>
      <c r="B1303" s="7" t="s">
        <v>1382</v>
      </c>
      <c r="C1303" s="170" t="s">
        <v>848</v>
      </c>
      <c r="D1303" s="170" t="s">
        <v>226</v>
      </c>
      <c r="E1303" s="170" t="s">
        <v>1128</v>
      </c>
      <c r="F1303" s="62">
        <v>257.41000000000003</v>
      </c>
      <c r="G1303" s="62" t="s">
        <v>1074</v>
      </c>
      <c r="H1303" s="114">
        <v>65.004568181818186</v>
      </c>
      <c r="I1303" s="19" t="s">
        <v>40</v>
      </c>
      <c r="J1303" s="180">
        <v>1.0174318181818194</v>
      </c>
      <c r="K1303" s="62" t="s">
        <v>1075</v>
      </c>
      <c r="L1303" s="62" t="s">
        <v>1076</v>
      </c>
      <c r="M1303" s="114">
        <v>-0.582607674598694</v>
      </c>
      <c r="N1303" s="59">
        <v>16.964328557850106</v>
      </c>
      <c r="O1303" s="59">
        <v>-0.24775031857437213</v>
      </c>
      <c r="BU1303" s="61"/>
    </row>
    <row r="1304" spans="1:73" x14ac:dyDescent="0.35">
      <c r="A1304" s="7" t="s">
        <v>1379</v>
      </c>
      <c r="B1304" s="7" t="s">
        <v>1382</v>
      </c>
      <c r="C1304" s="170" t="s">
        <v>848</v>
      </c>
      <c r="D1304" s="170" t="s">
        <v>226</v>
      </c>
      <c r="E1304" s="170" t="s">
        <v>1128</v>
      </c>
      <c r="F1304" s="62">
        <v>257.41000000000003</v>
      </c>
      <c r="G1304" s="62" t="s">
        <v>1074</v>
      </c>
      <c r="H1304" s="114">
        <v>65.004568181818186</v>
      </c>
      <c r="I1304" s="19" t="s">
        <v>40</v>
      </c>
      <c r="J1304" s="180">
        <v>1.0174318181818194</v>
      </c>
      <c r="K1304" s="62" t="s">
        <v>1075</v>
      </c>
      <c r="L1304" s="62" t="s">
        <v>1076</v>
      </c>
      <c r="M1304" s="114">
        <v>-0.54386207222938543</v>
      </c>
      <c r="N1304" s="59">
        <v>16.789261819366022</v>
      </c>
      <c r="O1304" s="59">
        <v>-0.42281705705845596</v>
      </c>
      <c r="BU1304" s="61"/>
    </row>
    <row r="1305" spans="1:73" x14ac:dyDescent="0.35">
      <c r="A1305" s="7" t="s">
        <v>1379</v>
      </c>
      <c r="B1305" s="7" t="s">
        <v>1382</v>
      </c>
      <c r="C1305" s="170" t="s">
        <v>848</v>
      </c>
      <c r="D1305" s="170" t="s">
        <v>226</v>
      </c>
      <c r="E1305" s="170" t="s">
        <v>1128</v>
      </c>
      <c r="F1305" s="62">
        <v>257.41000000000003</v>
      </c>
      <c r="G1305" s="62" t="s">
        <v>1074</v>
      </c>
      <c r="H1305" s="114">
        <v>65.004568181818186</v>
      </c>
      <c r="I1305" s="19" t="s">
        <v>40</v>
      </c>
      <c r="J1305" s="180">
        <v>1.0174318181818194</v>
      </c>
      <c r="K1305" s="62" t="s">
        <v>1075</v>
      </c>
      <c r="L1305" s="62" t="s">
        <v>1076</v>
      </c>
      <c r="M1305" s="114">
        <v>-0.4911913251876831</v>
      </c>
      <c r="N1305" s="59">
        <v>16.551420656235116</v>
      </c>
      <c r="O1305" s="59">
        <v>-0.6606582201893616</v>
      </c>
      <c r="BU1305" s="61"/>
    </row>
    <row r="1306" spans="1:73" x14ac:dyDescent="0.35">
      <c r="A1306" s="7" t="s">
        <v>1379</v>
      </c>
      <c r="B1306" s="7" t="s">
        <v>1382</v>
      </c>
      <c r="C1306" s="170" t="s">
        <v>848</v>
      </c>
      <c r="D1306" s="170" t="s">
        <v>226</v>
      </c>
      <c r="E1306" s="170" t="s">
        <v>1129</v>
      </c>
      <c r="F1306" s="62">
        <v>257.37</v>
      </c>
      <c r="G1306" s="62" t="s">
        <v>1074</v>
      </c>
      <c r="H1306" s="114">
        <v>64.995204545454541</v>
      </c>
      <c r="I1306" s="19" t="s">
        <v>40</v>
      </c>
      <c r="J1306" s="180">
        <v>1.0267954545454643</v>
      </c>
      <c r="K1306" s="62" t="s">
        <v>1075</v>
      </c>
      <c r="L1306" s="62" t="s">
        <v>1076</v>
      </c>
      <c r="M1306" s="114">
        <v>-0.400992143154144</v>
      </c>
      <c r="N1306" s="59">
        <v>16.144501883890921</v>
      </c>
      <c r="O1306" s="59">
        <v>-1.0675769925335565</v>
      </c>
      <c r="BU1306" s="61"/>
    </row>
    <row r="1307" spans="1:73" x14ac:dyDescent="0.35">
      <c r="A1307" s="7" t="s">
        <v>1379</v>
      </c>
      <c r="B1307" s="7" t="s">
        <v>1382</v>
      </c>
      <c r="C1307" s="170" t="s">
        <v>848</v>
      </c>
      <c r="D1307" s="170" t="s">
        <v>226</v>
      </c>
      <c r="E1307" s="170" t="s">
        <v>1130</v>
      </c>
      <c r="F1307" s="62">
        <v>257.29000000000002</v>
      </c>
      <c r="G1307" s="62" t="s">
        <v>1074</v>
      </c>
      <c r="H1307" s="114">
        <v>64.976477272727266</v>
      </c>
      <c r="I1307" s="19" t="s">
        <v>40</v>
      </c>
      <c r="J1307" s="180">
        <v>1.0455227272727399</v>
      </c>
      <c r="K1307" s="62" t="s">
        <v>1075</v>
      </c>
      <c r="L1307" s="62" t="s">
        <v>1076</v>
      </c>
      <c r="M1307" s="114">
        <v>-0.30161191821098299</v>
      </c>
      <c r="N1307" s="59">
        <v>15.696729560027634</v>
      </c>
      <c r="O1307" s="59">
        <v>-1.5153493163968434</v>
      </c>
      <c r="BU1307" s="61"/>
    </row>
    <row r="1308" spans="1:73" x14ac:dyDescent="0.35">
      <c r="A1308" s="7" t="s">
        <v>1379</v>
      </c>
      <c r="B1308" s="7" t="s">
        <v>1382</v>
      </c>
      <c r="C1308" s="170" t="s">
        <v>848</v>
      </c>
      <c r="D1308" s="170" t="s">
        <v>226</v>
      </c>
      <c r="E1308" s="170" t="s">
        <v>1131</v>
      </c>
      <c r="F1308" s="62">
        <v>257.17</v>
      </c>
      <c r="G1308" s="62" t="s">
        <v>1074</v>
      </c>
      <c r="H1308" s="114">
        <v>64.948386363636359</v>
      </c>
      <c r="I1308" s="19" t="s">
        <v>40</v>
      </c>
      <c r="J1308" s="180">
        <v>1.0736136363636462</v>
      </c>
      <c r="K1308" s="62" t="s">
        <v>1075</v>
      </c>
      <c r="L1308" s="62" t="s">
        <v>1076</v>
      </c>
      <c r="M1308" s="114">
        <v>-0.56331937313079805</v>
      </c>
      <c r="N1308" s="59">
        <v>16.877165730145517</v>
      </c>
      <c r="O1308" s="59">
        <v>-0.33491314627896074</v>
      </c>
      <c r="BU1308" s="61"/>
    </row>
    <row r="1309" spans="1:73" x14ac:dyDescent="0.35">
      <c r="A1309" s="7" t="s">
        <v>1379</v>
      </c>
      <c r="B1309" s="7" t="s">
        <v>1382</v>
      </c>
      <c r="C1309" s="170" t="s">
        <v>848</v>
      </c>
      <c r="D1309" s="170" t="s">
        <v>226</v>
      </c>
      <c r="E1309" s="170" t="s">
        <v>1132</v>
      </c>
      <c r="F1309" s="62">
        <v>256.93</v>
      </c>
      <c r="G1309" s="62" t="s">
        <v>1074</v>
      </c>
      <c r="H1309" s="114">
        <v>64.866615384615386</v>
      </c>
      <c r="I1309" s="19" t="s">
        <v>40</v>
      </c>
      <c r="J1309" s="180">
        <v>1.1553846153846195</v>
      </c>
      <c r="K1309" s="62" t="s">
        <v>1075</v>
      </c>
      <c r="L1309" s="62" t="s">
        <v>1076</v>
      </c>
      <c r="M1309" s="114">
        <v>-0.41065530776977499</v>
      </c>
      <c r="N1309" s="59">
        <v>16.188072314519086</v>
      </c>
      <c r="O1309" s="59">
        <v>-1.0240065619053915</v>
      </c>
      <c r="BU1309" s="61"/>
    </row>
    <row r="1310" spans="1:73" x14ac:dyDescent="0.35">
      <c r="A1310" s="7" t="s">
        <v>1379</v>
      </c>
      <c r="B1310" s="7" t="s">
        <v>1382</v>
      </c>
      <c r="C1310" s="170" t="s">
        <v>848</v>
      </c>
      <c r="D1310" s="170" t="s">
        <v>226</v>
      </c>
      <c r="E1310" s="170" t="s">
        <v>1133</v>
      </c>
      <c r="F1310" s="62">
        <v>256.89</v>
      </c>
      <c r="G1310" s="62" t="s">
        <v>1074</v>
      </c>
      <c r="H1310" s="114">
        <v>64.851230769230767</v>
      </c>
      <c r="I1310" s="19" t="s">
        <v>40</v>
      </c>
      <c r="J1310" s="180">
        <v>1.1707692307692383</v>
      </c>
      <c r="K1310" s="62" t="s">
        <v>1075</v>
      </c>
      <c r="L1310" s="62" t="s">
        <v>1076</v>
      </c>
      <c r="M1310" s="114">
        <v>-0.1175997361540794</v>
      </c>
      <c r="N1310" s="59">
        <v>14.869199847202806</v>
      </c>
      <c r="O1310" s="59">
        <v>-2.3428790292216721</v>
      </c>
      <c r="BU1310" s="61"/>
    </row>
    <row r="1311" spans="1:73" x14ac:dyDescent="0.35">
      <c r="A1311" s="7" t="s">
        <v>1379</v>
      </c>
      <c r="B1311" s="7" t="s">
        <v>1382</v>
      </c>
      <c r="C1311" s="170" t="s">
        <v>848</v>
      </c>
      <c r="D1311" s="170" t="s">
        <v>226</v>
      </c>
      <c r="E1311" s="170" t="s">
        <v>1134</v>
      </c>
      <c r="F1311" s="62">
        <v>256.85000000000002</v>
      </c>
      <c r="G1311" s="62" t="s">
        <v>1074</v>
      </c>
      <c r="H1311" s="114">
        <v>64.835846153846163</v>
      </c>
      <c r="I1311" s="19" t="s">
        <v>40</v>
      </c>
      <c r="J1311" s="180">
        <v>1.186153846153843</v>
      </c>
      <c r="K1311" s="62" t="s">
        <v>1075</v>
      </c>
      <c r="L1311" s="62" t="s">
        <v>1076</v>
      </c>
      <c r="M1311" s="114">
        <v>-0.21092567145824398</v>
      </c>
      <c r="N1311" s="59">
        <v>15.288646335117901</v>
      </c>
      <c r="O1311" s="59">
        <v>-1.9234325413065765</v>
      </c>
      <c r="BU1311" s="61"/>
    </row>
    <row r="1312" spans="1:73" x14ac:dyDescent="0.35">
      <c r="A1312" s="7" t="s">
        <v>1379</v>
      </c>
      <c r="B1312" s="7" t="s">
        <v>1382</v>
      </c>
      <c r="C1312" s="170" t="s">
        <v>848</v>
      </c>
      <c r="D1312" s="170" t="s">
        <v>226</v>
      </c>
      <c r="E1312" s="170" t="s">
        <v>1135</v>
      </c>
      <c r="F1312" s="62">
        <v>256.77</v>
      </c>
      <c r="G1312" s="62" t="s">
        <v>1074</v>
      </c>
      <c r="H1312" s="114">
        <v>64.816568181818184</v>
      </c>
      <c r="I1312" s="19" t="s">
        <v>40</v>
      </c>
      <c r="J1312" s="180">
        <v>1.2054318181818218</v>
      </c>
      <c r="K1312" s="62" t="s">
        <v>1075</v>
      </c>
      <c r="L1312" s="62" t="s">
        <v>1076</v>
      </c>
      <c r="M1312" s="114">
        <v>-0.29141907691955599</v>
      </c>
      <c r="N1312" s="59">
        <v>15.650837709632913</v>
      </c>
      <c r="O1312" s="59">
        <v>-1.5612411667915644</v>
      </c>
      <c r="BU1312" s="61"/>
    </row>
    <row r="1313" spans="1:73" x14ac:dyDescent="0.35">
      <c r="A1313" s="7" t="s">
        <v>1379</v>
      </c>
      <c r="B1313" s="7" t="s">
        <v>1382</v>
      </c>
      <c r="C1313" s="170" t="s">
        <v>848</v>
      </c>
      <c r="D1313" s="170" t="s">
        <v>226</v>
      </c>
      <c r="E1313" s="170" t="s">
        <v>1136</v>
      </c>
      <c r="F1313" s="62">
        <v>256.64999999999998</v>
      </c>
      <c r="G1313" s="62" t="s">
        <v>1074</v>
      </c>
      <c r="H1313" s="114">
        <v>64.790113636363628</v>
      </c>
      <c r="I1313" s="19" t="s">
        <v>40</v>
      </c>
      <c r="J1313" s="180">
        <v>1.2318863636363773</v>
      </c>
      <c r="K1313" s="62" t="s">
        <v>1075</v>
      </c>
      <c r="L1313" s="62" t="s">
        <v>1076</v>
      </c>
      <c r="M1313" s="114">
        <v>-0.59510462284088106</v>
      </c>
      <c r="N1313" s="59">
        <v>17.02081353131733</v>
      </c>
      <c r="O1313" s="59">
        <v>-0.19126534510714777</v>
      </c>
      <c r="BU1313" s="61"/>
    </row>
    <row r="1314" spans="1:73" x14ac:dyDescent="0.35">
      <c r="A1314" s="7" t="s">
        <v>1379</v>
      </c>
      <c r="B1314" s="7" t="s">
        <v>1382</v>
      </c>
      <c r="C1314" s="170" t="s">
        <v>848</v>
      </c>
      <c r="D1314" s="170" t="s">
        <v>226</v>
      </c>
      <c r="E1314" s="170" t="s">
        <v>1137</v>
      </c>
      <c r="F1314" s="62">
        <v>256.57</v>
      </c>
      <c r="G1314" s="62" t="s">
        <v>1074</v>
      </c>
      <c r="H1314" s="114">
        <v>64.772477272727272</v>
      </c>
      <c r="I1314" s="19" t="s">
        <v>40</v>
      </c>
      <c r="J1314" s="180">
        <v>1.2495227272727334</v>
      </c>
      <c r="K1314" s="62" t="s">
        <v>1075</v>
      </c>
      <c r="L1314" s="62" t="s">
        <v>1076</v>
      </c>
      <c r="M1314" s="114">
        <v>-0.38692345976829529</v>
      </c>
      <c r="N1314" s="59">
        <v>16.081077340384677</v>
      </c>
      <c r="O1314" s="59">
        <v>-1.1310015360398005</v>
      </c>
      <c r="BU1314" s="61"/>
    </row>
    <row r="1315" spans="1:73" x14ac:dyDescent="0.35">
      <c r="A1315" s="7" t="s">
        <v>1379</v>
      </c>
      <c r="B1315" s="7" t="s">
        <v>1382</v>
      </c>
      <c r="C1315" s="170" t="s">
        <v>848</v>
      </c>
      <c r="D1315" s="170" t="s">
        <v>226</v>
      </c>
      <c r="E1315" s="170" t="s">
        <v>1138</v>
      </c>
      <c r="F1315" s="62">
        <v>256.49</v>
      </c>
      <c r="G1315" s="62" t="s">
        <v>1074</v>
      </c>
      <c r="H1315" s="114">
        <v>64.754840909090916</v>
      </c>
      <c r="I1315" s="19" t="s">
        <v>40</v>
      </c>
      <c r="J1315" s="180">
        <v>1.2671590909090895</v>
      </c>
      <c r="K1315" s="62" t="s">
        <v>1075</v>
      </c>
      <c r="L1315" s="62" t="s">
        <v>1076</v>
      </c>
      <c r="M1315" s="114">
        <v>-4.1812505759298804E-2</v>
      </c>
      <c r="N1315" s="59">
        <v>14.528964265022115</v>
      </c>
      <c r="O1315" s="59">
        <v>-2.6831146114023632</v>
      </c>
      <c r="BU1315" s="61"/>
    </row>
    <row r="1316" spans="1:73" x14ac:dyDescent="0.35">
      <c r="A1316" s="7" t="s">
        <v>1379</v>
      </c>
      <c r="B1316" s="7" t="s">
        <v>1382</v>
      </c>
      <c r="C1316" s="170" t="s">
        <v>848</v>
      </c>
      <c r="D1316" s="170" t="s">
        <v>226</v>
      </c>
      <c r="E1316" s="170" t="s">
        <v>1139</v>
      </c>
      <c r="F1316" s="62">
        <v>256.41000000000003</v>
      </c>
      <c r="G1316" s="62" t="s">
        <v>1074</v>
      </c>
      <c r="H1316" s="114">
        <v>64.73720454545456</v>
      </c>
      <c r="I1316" s="19" t="s">
        <v>40</v>
      </c>
      <c r="J1316" s="180">
        <v>1.2847954545454456</v>
      </c>
      <c r="K1316" s="62" t="s">
        <v>1075</v>
      </c>
      <c r="L1316" s="62" t="s">
        <v>1076</v>
      </c>
      <c r="M1316" s="114">
        <v>-0.16772554367780701</v>
      </c>
      <c r="N1316" s="59">
        <v>15.094421604651243</v>
      </c>
      <c r="O1316" s="59">
        <v>-2.1176572717732345</v>
      </c>
      <c r="BU1316" s="61"/>
    </row>
    <row r="1317" spans="1:73" x14ac:dyDescent="0.35">
      <c r="A1317" s="7" t="s">
        <v>1379</v>
      </c>
      <c r="B1317" s="7" t="s">
        <v>1382</v>
      </c>
      <c r="C1317" s="170" t="s">
        <v>848</v>
      </c>
      <c r="D1317" s="170" t="s">
        <v>226</v>
      </c>
      <c r="E1317" s="170" t="s">
        <v>1140</v>
      </c>
      <c r="F1317" s="62">
        <v>256.37</v>
      </c>
      <c r="G1317" s="62" t="s">
        <v>1074</v>
      </c>
      <c r="H1317" s="114">
        <v>64.728750000000005</v>
      </c>
      <c r="I1317" s="19" t="s">
        <v>40</v>
      </c>
      <c r="J1317" s="180">
        <v>1.2932500000000005</v>
      </c>
      <c r="K1317" s="62" t="s">
        <v>1075</v>
      </c>
      <c r="L1317" s="62" t="s">
        <v>1076</v>
      </c>
      <c r="M1317" s="114">
        <v>-0.25252624154090902</v>
      </c>
      <c r="N1317" s="59">
        <v>15.475785399607119</v>
      </c>
      <c r="O1317" s="59">
        <v>-1.7362934768173588</v>
      </c>
      <c r="BU1317" s="61"/>
    </row>
    <row r="1318" spans="1:73" x14ac:dyDescent="0.35">
      <c r="A1318" s="7" t="s">
        <v>1379</v>
      </c>
      <c r="B1318" s="7" t="s">
        <v>1382</v>
      </c>
      <c r="C1318" s="170" t="s">
        <v>848</v>
      </c>
      <c r="D1318" s="170" t="s">
        <v>226</v>
      </c>
      <c r="E1318" s="170" t="s">
        <v>1141</v>
      </c>
      <c r="F1318" s="62">
        <v>256.29000000000002</v>
      </c>
      <c r="G1318" s="62" t="s">
        <v>1074</v>
      </c>
      <c r="H1318" s="114">
        <v>64.712083333333339</v>
      </c>
      <c r="I1318" s="19" t="s">
        <v>40</v>
      </c>
      <c r="J1318" s="180">
        <v>1.3099166666666662</v>
      </c>
      <c r="K1318" s="62" t="s">
        <v>1075</v>
      </c>
      <c r="L1318" s="62" t="s">
        <v>1076</v>
      </c>
      <c r="M1318" s="114">
        <v>-5.0470437167678031E-2</v>
      </c>
      <c r="N1318" s="59">
        <v>14.56781533385989</v>
      </c>
      <c r="O1318" s="59">
        <v>-2.6442635425645875</v>
      </c>
      <c r="BU1318" s="61"/>
    </row>
    <row r="1319" spans="1:73" x14ac:dyDescent="0.35">
      <c r="A1319" s="7" t="s">
        <v>1379</v>
      </c>
      <c r="B1319" s="7" t="s">
        <v>1382</v>
      </c>
      <c r="C1319" s="170" t="s">
        <v>848</v>
      </c>
      <c r="D1319" s="170" t="s">
        <v>226</v>
      </c>
      <c r="E1319" s="170" t="s">
        <v>1142</v>
      </c>
      <c r="F1319" s="62">
        <v>256.25</v>
      </c>
      <c r="G1319" s="62" t="s">
        <v>1074</v>
      </c>
      <c r="H1319" s="114">
        <v>64.703749999999999</v>
      </c>
      <c r="I1319" s="19" t="s">
        <v>40</v>
      </c>
      <c r="J1319" s="180">
        <v>1.3182500000000061</v>
      </c>
      <c r="K1319" s="62" t="s">
        <v>1075</v>
      </c>
      <c r="L1319" s="62" t="s">
        <v>1076</v>
      </c>
      <c r="M1319" s="114">
        <v>-0.48578125</v>
      </c>
      <c r="N1319" s="59">
        <v>16.527000230498047</v>
      </c>
      <c r="O1319" s="59">
        <v>-0.68507864592643131</v>
      </c>
      <c r="BU1319" s="61"/>
    </row>
    <row r="1320" spans="1:73" x14ac:dyDescent="0.35">
      <c r="A1320" s="7" t="s">
        <v>1379</v>
      </c>
      <c r="B1320" s="7" t="s">
        <v>1382</v>
      </c>
      <c r="C1320" s="170" t="s">
        <v>848</v>
      </c>
      <c r="D1320" s="170" t="s">
        <v>226</v>
      </c>
      <c r="E1320" s="170" t="s">
        <v>1143</v>
      </c>
      <c r="F1320" s="62">
        <v>256.17</v>
      </c>
      <c r="G1320" s="62" t="s">
        <v>1074</v>
      </c>
      <c r="H1320" s="114">
        <v>64.687083299999998</v>
      </c>
      <c r="I1320" s="19" t="s">
        <v>40</v>
      </c>
      <c r="J1320" s="180">
        <v>1.3349167000000079</v>
      </c>
      <c r="K1320" s="62" t="s">
        <v>1075</v>
      </c>
      <c r="L1320" s="62" t="s">
        <v>1076</v>
      </c>
      <c r="M1320" s="114">
        <v>-0.59451453685760502</v>
      </c>
      <c r="N1320" s="59">
        <v>17.01814619009156</v>
      </c>
      <c r="O1320" s="59">
        <v>-0.19393268633291783</v>
      </c>
      <c r="BU1320" s="61"/>
    </row>
    <row r="1321" spans="1:73" x14ac:dyDescent="0.35">
      <c r="A1321" s="7" t="s">
        <v>1379</v>
      </c>
      <c r="B1321" s="7" t="s">
        <v>1382</v>
      </c>
      <c r="C1321" s="170" t="s">
        <v>848</v>
      </c>
      <c r="D1321" s="170" t="s">
        <v>226</v>
      </c>
      <c r="E1321" s="170" t="s">
        <v>1144</v>
      </c>
      <c r="F1321" s="62">
        <v>256.05</v>
      </c>
      <c r="G1321" s="62" t="s">
        <v>1074</v>
      </c>
      <c r="H1321" s="114">
        <v>64.662083300000006</v>
      </c>
      <c r="I1321" s="19" t="s">
        <v>40</v>
      </c>
      <c r="J1321" s="180">
        <v>1.3599166999999994</v>
      </c>
      <c r="K1321" s="62" t="s">
        <v>1075</v>
      </c>
      <c r="L1321" s="62" t="s">
        <v>1076</v>
      </c>
      <c r="M1321" s="114">
        <v>-0.60259901285171502</v>
      </c>
      <c r="N1321" s="59">
        <v>17.054691929673112</v>
      </c>
      <c r="O1321" s="59">
        <v>-0.157386946751366</v>
      </c>
      <c r="BU1321" s="61"/>
    </row>
    <row r="1322" spans="1:73" x14ac:dyDescent="0.35">
      <c r="A1322" s="7" t="s">
        <v>1379</v>
      </c>
      <c r="B1322" s="7" t="s">
        <v>1382</v>
      </c>
      <c r="C1322" s="170" t="s">
        <v>848</v>
      </c>
      <c r="D1322" s="170" t="s">
        <v>226</v>
      </c>
      <c r="E1322" s="170" t="s">
        <v>1145</v>
      </c>
      <c r="F1322" s="62">
        <v>256.01</v>
      </c>
      <c r="G1322" s="62" t="s">
        <v>1074</v>
      </c>
      <c r="H1322" s="114">
        <v>64.653750000000002</v>
      </c>
      <c r="I1322" s="19" t="s">
        <v>40</v>
      </c>
      <c r="J1322" s="180">
        <v>1.3682500000000033</v>
      </c>
      <c r="K1322" s="62" t="s">
        <v>1075</v>
      </c>
      <c r="L1322" s="62" t="s">
        <v>1076</v>
      </c>
      <c r="M1322" s="114">
        <v>-0.68719534873962407</v>
      </c>
      <c r="N1322" s="59">
        <v>17.437343476017137</v>
      </c>
      <c r="O1322" s="59">
        <v>0.22526459959265921</v>
      </c>
      <c r="BU1322" s="61"/>
    </row>
    <row r="1323" spans="1:73" x14ac:dyDescent="0.35">
      <c r="A1323" s="7" t="s">
        <v>1379</v>
      </c>
      <c r="B1323" s="7" t="s">
        <v>1382</v>
      </c>
      <c r="C1323" s="170" t="s">
        <v>848</v>
      </c>
      <c r="D1323" s="170" t="s">
        <v>226</v>
      </c>
      <c r="E1323" s="170" t="s">
        <v>1146</v>
      </c>
      <c r="F1323" s="62">
        <v>255.96999999999997</v>
      </c>
      <c r="G1323" s="62" t="s">
        <v>1074</v>
      </c>
      <c r="H1323" s="114">
        <v>64.645416699999998</v>
      </c>
      <c r="I1323" s="19" t="s">
        <v>40</v>
      </c>
      <c r="J1323" s="180">
        <v>1.3765833000000072</v>
      </c>
      <c r="K1323" s="62" t="s">
        <v>1075</v>
      </c>
      <c r="L1323" s="62" t="s">
        <v>1076</v>
      </c>
      <c r="M1323" s="114">
        <v>-0.63509987592697104</v>
      </c>
      <c r="N1323" s="59">
        <v>17.201651113657888</v>
      </c>
      <c r="O1323" s="59">
        <v>-1.042776276658941E-2</v>
      </c>
      <c r="BU1323" s="61"/>
    </row>
    <row r="1324" spans="1:73" x14ac:dyDescent="0.35">
      <c r="A1324" s="7" t="s">
        <v>1379</v>
      </c>
      <c r="B1324" s="7" t="s">
        <v>1382</v>
      </c>
      <c r="C1324" s="170" t="s">
        <v>848</v>
      </c>
      <c r="D1324" s="170" t="s">
        <v>226</v>
      </c>
      <c r="E1324" s="170" t="s">
        <v>1147</v>
      </c>
      <c r="F1324" s="62">
        <v>255.92999999999998</v>
      </c>
      <c r="G1324" s="62" t="s">
        <v>1074</v>
      </c>
      <c r="H1324" s="114">
        <v>64.6370833</v>
      </c>
      <c r="I1324" s="19" t="s">
        <v>40</v>
      </c>
      <c r="J1324" s="180">
        <v>1.3849167000000051</v>
      </c>
      <c r="K1324" s="62" t="s">
        <v>1075</v>
      </c>
      <c r="L1324" s="62" t="s">
        <v>1076</v>
      </c>
      <c r="M1324" s="114">
        <v>-0.63744096755981405</v>
      </c>
      <c r="N1324" s="59">
        <v>17.212239277003423</v>
      </c>
      <c r="O1324" s="59">
        <v>1.6040057894528559E-4</v>
      </c>
      <c r="BU1324" s="61"/>
    </row>
    <row r="1325" spans="1:73" x14ac:dyDescent="0.35">
      <c r="A1325" s="7" t="s">
        <v>1379</v>
      </c>
      <c r="B1325" s="7" t="s">
        <v>1382</v>
      </c>
      <c r="C1325" s="170" t="s">
        <v>848</v>
      </c>
      <c r="D1325" s="170" t="s">
        <v>226</v>
      </c>
      <c r="E1325" s="170" t="s">
        <v>1148</v>
      </c>
      <c r="F1325" s="62">
        <v>255.91</v>
      </c>
      <c r="G1325" s="62" t="s">
        <v>1074</v>
      </c>
      <c r="H1325" s="114">
        <v>64.630864250000002</v>
      </c>
      <c r="I1325" s="19" t="s">
        <v>40</v>
      </c>
      <c r="J1325" s="180">
        <v>1.3911357500000037</v>
      </c>
      <c r="K1325" s="62" t="s">
        <v>1075</v>
      </c>
      <c r="L1325" s="62" t="s">
        <v>1076</v>
      </c>
      <c r="M1325" s="114">
        <v>-0.40699651598930359</v>
      </c>
      <c r="N1325" s="59">
        <v>16.171574458130976</v>
      </c>
      <c r="O1325" s="59">
        <v>-1.0405044182935015</v>
      </c>
      <c r="BU1325" s="61"/>
    </row>
    <row r="1326" spans="1:73" x14ac:dyDescent="0.35">
      <c r="A1326" s="7" t="s">
        <v>1379</v>
      </c>
      <c r="B1326" s="7" t="s">
        <v>1382</v>
      </c>
      <c r="C1326" s="170" t="s">
        <v>848</v>
      </c>
      <c r="D1326" s="170" t="s">
        <v>226</v>
      </c>
      <c r="E1326" s="170" t="s">
        <v>1148</v>
      </c>
      <c r="F1326" s="62">
        <v>255.91</v>
      </c>
      <c r="G1326" s="62" t="s">
        <v>1074</v>
      </c>
      <c r="H1326" s="114">
        <v>64.630864250000002</v>
      </c>
      <c r="I1326" s="19" t="s">
        <v>40</v>
      </c>
      <c r="J1326" s="180">
        <v>1.3911357500000037</v>
      </c>
      <c r="K1326" s="62" t="s">
        <v>1075</v>
      </c>
      <c r="L1326" s="62" t="s">
        <v>1076</v>
      </c>
      <c r="M1326" s="114">
        <v>-0.32751992106437683</v>
      </c>
      <c r="N1326" s="59">
        <v>15.813404798868493</v>
      </c>
      <c r="O1326" s="59">
        <v>-1.3986740775559845</v>
      </c>
      <c r="BU1326" s="61"/>
    </row>
    <row r="1327" spans="1:73" x14ac:dyDescent="0.35">
      <c r="A1327" s="7" t="s">
        <v>1379</v>
      </c>
      <c r="B1327" s="7" t="s">
        <v>1382</v>
      </c>
      <c r="C1327" s="170" t="s">
        <v>848</v>
      </c>
      <c r="D1327" s="170" t="s">
        <v>226</v>
      </c>
      <c r="E1327" s="170" t="s">
        <v>1149</v>
      </c>
      <c r="F1327" s="62">
        <v>255.89</v>
      </c>
      <c r="G1327" s="62" t="s">
        <v>1074</v>
      </c>
      <c r="H1327" s="114">
        <v>64.624645200000003</v>
      </c>
      <c r="I1327" s="19" t="s">
        <v>40</v>
      </c>
      <c r="J1327" s="180">
        <v>1.3973548000000022</v>
      </c>
      <c r="K1327" s="62" t="s">
        <v>1075</v>
      </c>
      <c r="L1327" s="62" t="s">
        <v>1076</v>
      </c>
      <c r="M1327" s="114">
        <v>-0.45504890680313098</v>
      </c>
      <c r="N1327" s="59">
        <v>16.388311468709599</v>
      </c>
      <c r="O1327" s="59">
        <v>-0.82376740771487889</v>
      </c>
      <c r="BU1327" s="61"/>
    </row>
    <row r="1328" spans="1:73" x14ac:dyDescent="0.35">
      <c r="A1328" s="7" t="s">
        <v>1379</v>
      </c>
      <c r="B1328" s="7" t="s">
        <v>1382</v>
      </c>
      <c r="C1328" s="170" t="s">
        <v>848</v>
      </c>
      <c r="D1328" s="170" t="s">
        <v>226</v>
      </c>
      <c r="E1328" s="170" t="s">
        <v>1150</v>
      </c>
      <c r="F1328" s="62">
        <v>255.82999999999998</v>
      </c>
      <c r="G1328" s="62" t="s">
        <v>1074</v>
      </c>
      <c r="H1328" s="114">
        <v>64.603935500000006</v>
      </c>
      <c r="I1328" s="19" t="s">
        <v>40</v>
      </c>
      <c r="J1328" s="180">
        <v>1.4180644999999998</v>
      </c>
      <c r="K1328" s="62" t="s">
        <v>1075</v>
      </c>
      <c r="L1328" s="62" t="s">
        <v>1076</v>
      </c>
      <c r="M1328" s="114">
        <v>-0.58082895278930702</v>
      </c>
      <c r="N1328" s="59">
        <v>16.956289672482296</v>
      </c>
      <c r="O1328" s="59">
        <v>-0.2557892039421823</v>
      </c>
      <c r="BU1328" s="61"/>
    </row>
    <row r="1329" spans="1:73" x14ac:dyDescent="0.35">
      <c r="A1329" s="7" t="s">
        <v>1379</v>
      </c>
      <c r="B1329" s="7" t="s">
        <v>1382</v>
      </c>
      <c r="C1329" s="170" t="s">
        <v>848</v>
      </c>
      <c r="D1329" s="170" t="s">
        <v>226</v>
      </c>
      <c r="E1329" s="170" t="s">
        <v>1151</v>
      </c>
      <c r="F1329" s="62">
        <v>255.76999999999998</v>
      </c>
      <c r="G1329" s="62" t="s">
        <v>1074</v>
      </c>
      <c r="H1329" s="114">
        <v>64.583225849999991</v>
      </c>
      <c r="I1329" s="19" t="s">
        <v>40</v>
      </c>
      <c r="J1329" s="180">
        <v>1.4387741500000146</v>
      </c>
      <c r="K1329" s="62" t="s">
        <v>1075</v>
      </c>
      <c r="L1329" s="62" t="s">
        <v>1076</v>
      </c>
      <c r="M1329" s="114">
        <v>-0.45851667523384099</v>
      </c>
      <c r="N1329" s="59">
        <v>16.403957959997452</v>
      </c>
      <c r="O1329" s="59">
        <v>-0.80812091642702555</v>
      </c>
      <c r="BU1329" s="61"/>
    </row>
    <row r="1330" spans="1:73" x14ac:dyDescent="0.35">
      <c r="A1330" s="7" t="s">
        <v>1379</v>
      </c>
      <c r="B1330" s="7" t="s">
        <v>1382</v>
      </c>
      <c r="C1330" s="170" t="s">
        <v>848</v>
      </c>
      <c r="D1330" s="170" t="s">
        <v>226</v>
      </c>
      <c r="E1330" s="170" t="s">
        <v>1152</v>
      </c>
      <c r="F1330" s="62">
        <v>255.60999999999999</v>
      </c>
      <c r="G1330" s="62" t="s">
        <v>1074</v>
      </c>
      <c r="H1330" s="114">
        <v>64.528000000000006</v>
      </c>
      <c r="I1330" s="19" t="s">
        <v>40</v>
      </c>
      <c r="J1330" s="180">
        <v>1.4939999999999998</v>
      </c>
      <c r="K1330" s="62" t="s">
        <v>1075</v>
      </c>
      <c r="L1330" s="62" t="s">
        <v>1076</v>
      </c>
      <c r="M1330" s="114">
        <v>-0.47141954064369201</v>
      </c>
      <c r="N1330" s="59">
        <v>16.462181728383502</v>
      </c>
      <c r="O1330" s="59">
        <v>-0.74989714804097574</v>
      </c>
      <c r="BU1330" s="61"/>
    </row>
    <row r="1331" spans="1:73" x14ac:dyDescent="0.35">
      <c r="A1331" s="7" t="s">
        <v>1379</v>
      </c>
      <c r="B1331" s="7" t="s">
        <v>1382</v>
      </c>
      <c r="C1331" s="170" t="s">
        <v>848</v>
      </c>
      <c r="D1331" s="170" t="s">
        <v>226</v>
      </c>
      <c r="E1331" s="170" t="s">
        <v>1153</v>
      </c>
      <c r="F1331" s="62">
        <v>255.45</v>
      </c>
      <c r="G1331" s="62" t="s">
        <v>1074</v>
      </c>
      <c r="H1331" s="114">
        <v>64.418675699999994</v>
      </c>
      <c r="I1331" s="19" t="s">
        <v>40</v>
      </c>
      <c r="J1331" s="180">
        <v>1.6033243000000112</v>
      </c>
      <c r="K1331" s="62" t="s">
        <v>1075</v>
      </c>
      <c r="L1331" s="62" t="s">
        <v>1076</v>
      </c>
      <c r="M1331" s="114">
        <v>-0.5933086156845091</v>
      </c>
      <c r="N1331" s="59">
        <v>17.012695179543645</v>
      </c>
      <c r="O1331" s="59">
        <v>-0.19938369688083313</v>
      </c>
      <c r="BU1331" s="61"/>
    </row>
    <row r="1332" spans="1:73" x14ac:dyDescent="0.35">
      <c r="A1332" s="7" t="s">
        <v>1379</v>
      </c>
      <c r="B1332" s="7" t="s">
        <v>1382</v>
      </c>
      <c r="C1332" s="170" t="s">
        <v>848</v>
      </c>
      <c r="D1332" s="170" t="s">
        <v>226</v>
      </c>
      <c r="E1332" s="170" t="s">
        <v>1154</v>
      </c>
      <c r="F1332" s="62">
        <v>255.04999999999998</v>
      </c>
      <c r="G1332" s="62" t="s">
        <v>1074</v>
      </c>
      <c r="H1332" s="114">
        <v>64.2901667</v>
      </c>
      <c r="I1332" s="19" t="s">
        <v>40</v>
      </c>
      <c r="J1332" s="180">
        <v>1.7318333000000052</v>
      </c>
      <c r="K1332" s="62" t="s">
        <v>1075</v>
      </c>
      <c r="L1332" s="62" t="s">
        <v>1076</v>
      </c>
      <c r="M1332" s="114">
        <v>-0.42451043725013698</v>
      </c>
      <c r="N1332" s="59">
        <v>16.250553752418877</v>
      </c>
      <c r="O1332" s="59">
        <v>-0.96152512400560042</v>
      </c>
      <c r="BU1332" s="61"/>
    </row>
    <row r="1333" spans="1:73" x14ac:dyDescent="0.35">
      <c r="A1333" s="7" t="s">
        <v>1379</v>
      </c>
      <c r="B1333" s="7" t="s">
        <v>1382</v>
      </c>
      <c r="C1333" s="170" t="s">
        <v>848</v>
      </c>
      <c r="D1333" s="170" t="s">
        <v>226</v>
      </c>
      <c r="E1333" s="170" t="s">
        <v>1088</v>
      </c>
      <c r="F1333" s="62">
        <v>260.52000000000004</v>
      </c>
      <c r="G1333" s="62" t="s">
        <v>1074</v>
      </c>
      <c r="H1333" s="114">
        <v>65.785749999999993</v>
      </c>
      <c r="I1333" s="19" t="s">
        <v>40</v>
      </c>
      <c r="J1333" s="180">
        <v>0.23625000000001251</v>
      </c>
      <c r="K1333" s="62" t="s">
        <v>97</v>
      </c>
      <c r="L1333" s="163" t="s">
        <v>1155</v>
      </c>
      <c r="M1333" s="114">
        <v>-1.64969818592072</v>
      </c>
      <c r="N1333" s="59">
        <v>21.821232824273388</v>
      </c>
      <c r="O1333" s="59">
        <v>1.7695631535319301</v>
      </c>
      <c r="BU1333" s="61"/>
    </row>
    <row r="1334" spans="1:73" x14ac:dyDescent="0.35">
      <c r="A1334" s="7" t="s">
        <v>1379</v>
      </c>
      <c r="B1334" s="7" t="s">
        <v>1382</v>
      </c>
      <c r="C1334" s="170" t="s">
        <v>848</v>
      </c>
      <c r="D1334" s="170" t="s">
        <v>226</v>
      </c>
      <c r="E1334" s="170" t="s">
        <v>1087</v>
      </c>
      <c r="F1334" s="62">
        <v>260.56</v>
      </c>
      <c r="G1334" s="62" t="s">
        <v>1074</v>
      </c>
      <c r="H1334" s="114">
        <v>65.793249999999986</v>
      </c>
      <c r="I1334" s="19" t="s">
        <v>40</v>
      </c>
      <c r="J1334" s="180">
        <v>0.22875000000001933</v>
      </c>
      <c r="K1334" s="62" t="s">
        <v>97</v>
      </c>
      <c r="L1334" s="163" t="s">
        <v>1155</v>
      </c>
      <c r="M1334" s="114">
        <v>-1.3078010559082001</v>
      </c>
      <c r="N1334" s="59">
        <v>20.257636396849275</v>
      </c>
      <c r="O1334" s="59">
        <v>0.20596672610781752</v>
      </c>
      <c r="BU1334" s="61"/>
    </row>
    <row r="1335" spans="1:73" x14ac:dyDescent="0.35">
      <c r="A1335" s="7" t="s">
        <v>1379</v>
      </c>
      <c r="B1335" s="7" t="s">
        <v>1382</v>
      </c>
      <c r="C1335" s="170" t="s">
        <v>848</v>
      </c>
      <c r="D1335" s="170" t="s">
        <v>226</v>
      </c>
      <c r="E1335" s="170" t="s">
        <v>1086</v>
      </c>
      <c r="F1335" s="62">
        <v>260.64000000000004</v>
      </c>
      <c r="G1335" s="62" t="s">
        <v>1074</v>
      </c>
      <c r="H1335" s="114">
        <v>65.808250000000001</v>
      </c>
      <c r="I1335" s="19" t="s">
        <v>40</v>
      </c>
      <c r="J1335" s="180">
        <v>0.21375000000000455</v>
      </c>
      <c r="K1335" s="62" t="s">
        <v>97</v>
      </c>
      <c r="L1335" s="163" t="s">
        <v>1155</v>
      </c>
      <c r="M1335" s="114">
        <v>-1.39011566638947</v>
      </c>
      <c r="N1335" s="59">
        <v>20.63344436849847</v>
      </c>
      <c r="O1335" s="59">
        <v>0.5817746977570124</v>
      </c>
      <c r="BU1335" s="61"/>
    </row>
    <row r="1336" spans="1:73" x14ac:dyDescent="0.35">
      <c r="A1336" s="7" t="s">
        <v>1379</v>
      </c>
      <c r="B1336" s="7" t="s">
        <v>1382</v>
      </c>
      <c r="C1336" s="170" t="s">
        <v>848</v>
      </c>
      <c r="D1336" s="170" t="s">
        <v>226</v>
      </c>
      <c r="E1336" s="170" t="s">
        <v>1085</v>
      </c>
      <c r="F1336" s="62">
        <v>260.76</v>
      </c>
      <c r="G1336" s="62" t="s">
        <v>1074</v>
      </c>
      <c r="H1336" s="114">
        <v>65.833521739130433</v>
      </c>
      <c r="I1336" s="19" t="s">
        <v>40</v>
      </c>
      <c r="J1336" s="180">
        <v>0.18847826086957298</v>
      </c>
      <c r="K1336" s="62" t="s">
        <v>97</v>
      </c>
      <c r="L1336" s="163" t="s">
        <v>1155</v>
      </c>
      <c r="M1336" s="114">
        <v>-1.4579250097274801</v>
      </c>
      <c r="N1336" s="59">
        <v>20.943333828393232</v>
      </c>
      <c r="O1336" s="59">
        <v>0.89166415765177476</v>
      </c>
      <c r="BU1336" s="61"/>
    </row>
    <row r="1337" spans="1:73" x14ac:dyDescent="0.35">
      <c r="A1337" s="7" t="s">
        <v>1379</v>
      </c>
      <c r="B1337" s="7" t="s">
        <v>1382</v>
      </c>
      <c r="C1337" s="170" t="s">
        <v>848</v>
      </c>
      <c r="D1337" s="170" t="s">
        <v>226</v>
      </c>
      <c r="E1337" s="170" t="s">
        <v>1084</v>
      </c>
      <c r="F1337" s="62">
        <v>260.8</v>
      </c>
      <c r="G1337" s="62" t="s">
        <v>1074</v>
      </c>
      <c r="H1337" s="114">
        <v>65.842130434782604</v>
      </c>
      <c r="I1337" s="19" t="s">
        <v>40</v>
      </c>
      <c r="J1337" s="180">
        <v>0.17986956521740183</v>
      </c>
      <c r="K1337" s="62" t="s">
        <v>97</v>
      </c>
      <c r="L1337" s="163" t="s">
        <v>1155</v>
      </c>
      <c r="M1337" s="114">
        <v>-1.2445298910141001</v>
      </c>
      <c r="N1337" s="59">
        <v>19.969047760333932</v>
      </c>
      <c r="O1337" s="59">
        <v>-8.2621910407524979E-2</v>
      </c>
      <c r="BU1337" s="61"/>
    </row>
    <row r="1338" spans="1:73" x14ac:dyDescent="0.35">
      <c r="A1338" s="7" t="s">
        <v>1379</v>
      </c>
      <c r="B1338" s="7" t="s">
        <v>1382</v>
      </c>
      <c r="C1338" s="170" t="s">
        <v>848</v>
      </c>
      <c r="D1338" s="170" t="s">
        <v>226</v>
      </c>
      <c r="E1338" s="170" t="s">
        <v>1083</v>
      </c>
      <c r="F1338" s="62">
        <v>260.88</v>
      </c>
      <c r="G1338" s="62" t="s">
        <v>1074</v>
      </c>
      <c r="H1338" s="114">
        <v>65.859347826086946</v>
      </c>
      <c r="I1338" s="19" t="s">
        <v>40</v>
      </c>
      <c r="J1338" s="180">
        <v>0.16265217391305953</v>
      </c>
      <c r="K1338" s="62" t="s">
        <v>97</v>
      </c>
      <c r="L1338" s="163" t="s">
        <v>1155</v>
      </c>
      <c r="M1338" s="114">
        <v>-1.3953030586242701</v>
      </c>
      <c r="N1338" s="59">
        <v>20.657141063876832</v>
      </c>
      <c r="O1338" s="59">
        <v>0.60547139313537457</v>
      </c>
      <c r="BU1338" s="61"/>
    </row>
    <row r="1339" spans="1:73" x14ac:dyDescent="0.35">
      <c r="A1339" s="7" t="s">
        <v>1379</v>
      </c>
      <c r="B1339" s="7" t="s">
        <v>1382</v>
      </c>
      <c r="C1339" s="170" t="s">
        <v>848</v>
      </c>
      <c r="D1339" s="170" t="s">
        <v>226</v>
      </c>
      <c r="E1339" s="170" t="s">
        <v>1082</v>
      </c>
      <c r="F1339" s="62">
        <v>260.96000000000004</v>
      </c>
      <c r="G1339" s="62" t="s">
        <v>1074</v>
      </c>
      <c r="H1339" s="114">
        <v>65.876565217391317</v>
      </c>
      <c r="I1339" s="19" t="s">
        <v>40</v>
      </c>
      <c r="J1339" s="180">
        <v>0.14543478260868881</v>
      </c>
      <c r="K1339" s="62" t="s">
        <v>97</v>
      </c>
      <c r="L1339" s="163" t="s">
        <v>1155</v>
      </c>
      <c r="M1339" s="114">
        <v>-1.4872820854187001</v>
      </c>
      <c r="N1339" s="59">
        <v>21.077581569354361</v>
      </c>
      <c r="O1339" s="59">
        <v>1.0259118986129039</v>
      </c>
      <c r="BU1339" s="61"/>
    </row>
    <row r="1340" spans="1:73" x14ac:dyDescent="0.35">
      <c r="A1340" s="7" t="s">
        <v>1379</v>
      </c>
      <c r="B1340" s="7" t="s">
        <v>1382</v>
      </c>
      <c r="C1340" s="170" t="s">
        <v>848</v>
      </c>
      <c r="D1340" s="170" t="s">
        <v>226</v>
      </c>
      <c r="E1340" s="170" t="s">
        <v>1081</v>
      </c>
      <c r="F1340" s="62">
        <v>261.08000000000004</v>
      </c>
      <c r="G1340" s="62" t="s">
        <v>1074</v>
      </c>
      <c r="H1340" s="114">
        <v>65.90239130434783</v>
      </c>
      <c r="I1340" s="19" t="s">
        <v>40</v>
      </c>
      <c r="J1340" s="180">
        <v>0.11960869565217536</v>
      </c>
      <c r="K1340" s="62" t="s">
        <v>97</v>
      </c>
      <c r="L1340" s="163" t="s">
        <v>1155</v>
      </c>
      <c r="M1340" s="114">
        <v>-1.42505781650543</v>
      </c>
      <c r="N1340" s="59">
        <v>20.79309593307725</v>
      </c>
      <c r="O1340" s="59">
        <v>0.74142626233579279</v>
      </c>
      <c r="BU1340" s="61"/>
    </row>
    <row r="1341" spans="1:73" x14ac:dyDescent="0.35">
      <c r="A1341" s="7" t="s">
        <v>1379</v>
      </c>
      <c r="B1341" s="7" t="s">
        <v>1382</v>
      </c>
      <c r="C1341" s="170" t="s">
        <v>848</v>
      </c>
      <c r="D1341" s="170" t="s">
        <v>226</v>
      </c>
      <c r="E1341" s="170" t="s">
        <v>1080</v>
      </c>
      <c r="F1341" s="62">
        <v>261.28000000000003</v>
      </c>
      <c r="G1341" s="62" t="s">
        <v>1074</v>
      </c>
      <c r="H1341" s="114">
        <v>65.949608695652188</v>
      </c>
      <c r="I1341" s="19" t="s">
        <v>40</v>
      </c>
      <c r="J1341" s="180">
        <v>7.2391304347817709E-2</v>
      </c>
      <c r="K1341" s="62" t="s">
        <v>97</v>
      </c>
      <c r="L1341" s="163" t="s">
        <v>1155</v>
      </c>
      <c r="M1341" s="114">
        <v>-1.6087075948715202</v>
      </c>
      <c r="N1341" s="59">
        <v>21.633400730006894</v>
      </c>
      <c r="O1341" s="59">
        <v>1.5817310592654366</v>
      </c>
      <c r="BU1341" s="61"/>
    </row>
    <row r="1342" spans="1:73" x14ac:dyDescent="0.35">
      <c r="A1342" s="7" t="s">
        <v>1379</v>
      </c>
      <c r="B1342" s="7" t="s">
        <v>1382</v>
      </c>
      <c r="C1342" s="170" t="s">
        <v>848</v>
      </c>
      <c r="D1342" s="170" t="s">
        <v>226</v>
      </c>
      <c r="E1342" s="170" t="s">
        <v>1079</v>
      </c>
      <c r="F1342" s="62">
        <v>261.44</v>
      </c>
      <c r="G1342" s="62" t="s">
        <v>1074</v>
      </c>
      <c r="H1342" s="114">
        <v>65.98821739130436</v>
      </c>
      <c r="I1342" s="19" t="s">
        <v>40</v>
      </c>
      <c r="J1342" s="180">
        <v>3.3782608695645422E-2</v>
      </c>
      <c r="K1342" s="62" t="s">
        <v>97</v>
      </c>
      <c r="L1342" s="163" t="s">
        <v>1155</v>
      </c>
      <c r="M1342" s="114">
        <v>-1.2773538112640401</v>
      </c>
      <c r="N1342" s="59">
        <v>20.118732271654899</v>
      </c>
      <c r="O1342" s="59">
        <v>6.7062600913441628E-2</v>
      </c>
      <c r="BU1342" s="61"/>
    </row>
    <row r="1343" spans="1:73" x14ac:dyDescent="0.35">
      <c r="A1343" s="7" t="s">
        <v>1379</v>
      </c>
      <c r="B1343" s="7" t="s">
        <v>1382</v>
      </c>
      <c r="C1343" s="170" t="s">
        <v>848</v>
      </c>
      <c r="D1343" s="170" t="s">
        <v>226</v>
      </c>
      <c r="E1343" s="170" t="s">
        <v>1078</v>
      </c>
      <c r="F1343" s="62">
        <v>261.52000000000004</v>
      </c>
      <c r="G1343" s="62" t="s">
        <v>1074</v>
      </c>
      <c r="H1343" s="114">
        <v>66.007521739130453</v>
      </c>
      <c r="I1343" s="19" t="s">
        <v>40</v>
      </c>
      <c r="J1343" s="180">
        <v>1.4478260869552173E-2</v>
      </c>
      <c r="K1343" s="62" t="s">
        <v>97</v>
      </c>
      <c r="L1343" s="163" t="s">
        <v>1155</v>
      </c>
      <c r="M1343" s="114">
        <v>-1.3348503589630101</v>
      </c>
      <c r="N1343" s="59">
        <v>20.381085346219457</v>
      </c>
      <c r="O1343" s="59">
        <v>0.32941567547799977</v>
      </c>
      <c r="BU1343" s="61"/>
    </row>
    <row r="1344" spans="1:73" x14ac:dyDescent="0.35">
      <c r="A1344" s="7" t="s">
        <v>1379</v>
      </c>
      <c r="B1344" s="7" t="s">
        <v>1382</v>
      </c>
      <c r="C1344" s="170" t="s">
        <v>848</v>
      </c>
      <c r="D1344" s="170" t="s">
        <v>226</v>
      </c>
      <c r="E1344" s="170" t="s">
        <v>1077</v>
      </c>
      <c r="F1344" s="62">
        <v>261.56</v>
      </c>
      <c r="G1344" s="62" t="s">
        <v>1074</v>
      </c>
      <c r="H1344" s="114">
        <v>66.017173913043493</v>
      </c>
      <c r="I1344" s="19" t="s">
        <v>40</v>
      </c>
      <c r="J1344" s="180">
        <v>4.8260869565126541E-3</v>
      </c>
      <c r="K1344" s="62" t="s">
        <v>97</v>
      </c>
      <c r="L1344" s="163" t="s">
        <v>1155</v>
      </c>
      <c r="M1344" s="114">
        <v>-1.2422652721405001</v>
      </c>
      <c r="N1344" s="59">
        <v>19.958722969174115</v>
      </c>
      <c r="O1344" s="59">
        <v>-9.2946701567342416E-2</v>
      </c>
      <c r="BU1344" s="61"/>
    </row>
    <row r="1345" spans="1:73" x14ac:dyDescent="0.35">
      <c r="A1345" s="7" t="s">
        <v>1379</v>
      </c>
      <c r="B1345" s="7" t="s">
        <v>1382</v>
      </c>
      <c r="C1345" s="170" t="s">
        <v>848</v>
      </c>
      <c r="D1345" s="170" t="s">
        <v>226</v>
      </c>
      <c r="E1345" s="170" t="s">
        <v>1073</v>
      </c>
      <c r="F1345" s="62">
        <v>261.60000000000002</v>
      </c>
      <c r="G1345" s="62" t="s">
        <v>1074</v>
      </c>
      <c r="H1345" s="114">
        <v>66.025350000000003</v>
      </c>
      <c r="I1345" s="19" t="s">
        <v>40</v>
      </c>
      <c r="J1345" s="180">
        <v>-3.3499999999975216E-3</v>
      </c>
      <c r="K1345" s="62" t="s">
        <v>97</v>
      </c>
      <c r="L1345" s="163" t="s">
        <v>1155</v>
      </c>
      <c r="M1345" s="114">
        <v>-1.2626495838165301</v>
      </c>
      <c r="N1345" s="59">
        <v>20.051669670741457</v>
      </c>
      <c r="O1345" s="59">
        <v>0</v>
      </c>
      <c r="BU1345" s="61"/>
    </row>
    <row r="1346" spans="1:73" x14ac:dyDescent="0.35">
      <c r="A1346" s="7" t="s">
        <v>1379</v>
      </c>
      <c r="B1346" s="7" t="s">
        <v>1382</v>
      </c>
      <c r="C1346" s="170" t="s">
        <v>848</v>
      </c>
      <c r="D1346" s="170" t="s">
        <v>226</v>
      </c>
      <c r="E1346" s="170" t="s">
        <v>1107</v>
      </c>
      <c r="F1346" s="62">
        <v>258.73</v>
      </c>
      <c r="G1346" s="62" t="s">
        <v>1074</v>
      </c>
      <c r="H1346" s="114">
        <v>65.312454545454543</v>
      </c>
      <c r="I1346" s="19" t="s">
        <v>40</v>
      </c>
      <c r="J1346" s="180">
        <v>0.70954545454546292</v>
      </c>
      <c r="K1346" s="62" t="s">
        <v>97</v>
      </c>
      <c r="L1346" s="163" t="s">
        <v>1155</v>
      </c>
      <c r="M1346" s="114">
        <v>-1.3315808057785001</v>
      </c>
      <c r="N1346" s="59">
        <v>20.36616126493962</v>
      </c>
      <c r="O1346" s="59">
        <v>0.31449159419816297</v>
      </c>
      <c r="BU1346" s="61"/>
    </row>
    <row r="1347" spans="1:73" x14ac:dyDescent="0.35">
      <c r="A1347" s="7" t="s">
        <v>1379</v>
      </c>
      <c r="B1347" s="7" t="s">
        <v>1382</v>
      </c>
      <c r="C1347" s="170" t="s">
        <v>848</v>
      </c>
      <c r="D1347" s="170" t="s">
        <v>226</v>
      </c>
      <c r="E1347" s="170" t="s">
        <v>1106</v>
      </c>
      <c r="F1347" s="62">
        <v>258.81</v>
      </c>
      <c r="G1347" s="62" t="s">
        <v>1074</v>
      </c>
      <c r="H1347" s="114">
        <v>65.33303846153845</v>
      </c>
      <c r="I1347" s="19" t="s">
        <v>40</v>
      </c>
      <c r="J1347" s="180">
        <v>0.68896153846155528</v>
      </c>
      <c r="K1347" s="62" t="s">
        <v>97</v>
      </c>
      <c r="L1347" s="163" t="s">
        <v>1155</v>
      </c>
      <c r="M1347" s="114">
        <v>-1.1322035074234</v>
      </c>
      <c r="N1347" s="59">
        <v>19.457303134252413</v>
      </c>
      <c r="O1347" s="59">
        <v>-0.59436653648904425</v>
      </c>
      <c r="BU1347" s="61"/>
    </row>
    <row r="1348" spans="1:73" x14ac:dyDescent="0.35">
      <c r="A1348" s="7" t="s">
        <v>1379</v>
      </c>
      <c r="B1348" s="7" t="s">
        <v>1382</v>
      </c>
      <c r="C1348" s="170" t="s">
        <v>848</v>
      </c>
      <c r="D1348" s="170" t="s">
        <v>226</v>
      </c>
      <c r="E1348" s="170" t="s">
        <v>1105</v>
      </c>
      <c r="F1348" s="62">
        <v>258.93</v>
      </c>
      <c r="G1348" s="62" t="s">
        <v>1074</v>
      </c>
      <c r="H1348" s="114">
        <v>65.381499999999988</v>
      </c>
      <c r="I1348" s="19" t="s">
        <v>40</v>
      </c>
      <c r="J1348" s="180">
        <v>0.64050000000001717</v>
      </c>
      <c r="K1348" s="62" t="s">
        <v>97</v>
      </c>
      <c r="L1348" s="163" t="s">
        <v>1155</v>
      </c>
      <c r="M1348" s="114">
        <v>-1.13063924312592</v>
      </c>
      <c r="N1348" s="59">
        <v>19.450181890988098</v>
      </c>
      <c r="O1348" s="59">
        <v>-0.60148777975335932</v>
      </c>
      <c r="BU1348" s="61"/>
    </row>
    <row r="1349" spans="1:73" x14ac:dyDescent="0.35">
      <c r="A1349" s="7" t="s">
        <v>1379</v>
      </c>
      <c r="B1349" s="7" t="s">
        <v>1382</v>
      </c>
      <c r="C1349" s="170" t="s">
        <v>848</v>
      </c>
      <c r="D1349" s="170" t="s">
        <v>226</v>
      </c>
      <c r="E1349" s="170" t="s">
        <v>1104</v>
      </c>
      <c r="F1349" s="62">
        <v>259.01</v>
      </c>
      <c r="G1349" s="62" t="s">
        <v>1074</v>
      </c>
      <c r="H1349" s="114">
        <v>65.413807692307685</v>
      </c>
      <c r="I1349" s="19" t="s">
        <v>40</v>
      </c>
      <c r="J1349" s="180">
        <v>0.60819230769232036</v>
      </c>
      <c r="K1349" s="62" t="s">
        <v>97</v>
      </c>
      <c r="L1349" s="163" t="s">
        <v>1155</v>
      </c>
      <c r="M1349" s="114">
        <v>-1.0524554729461701</v>
      </c>
      <c r="N1349" s="59">
        <v>19.094440823486238</v>
      </c>
      <c r="O1349" s="59">
        <v>-0.95722884725521951</v>
      </c>
      <c r="BU1349" s="61"/>
    </row>
    <row r="1350" spans="1:73" x14ac:dyDescent="0.35">
      <c r="A1350" s="7" t="s">
        <v>1379</v>
      </c>
      <c r="B1350" s="7" t="s">
        <v>1382</v>
      </c>
      <c r="C1350" s="170" t="s">
        <v>848</v>
      </c>
      <c r="D1350" s="170" t="s">
        <v>226</v>
      </c>
      <c r="E1350" s="170" t="s">
        <v>1103</v>
      </c>
      <c r="F1350" s="62">
        <v>259.13</v>
      </c>
      <c r="G1350" s="62" t="s">
        <v>1074</v>
      </c>
      <c r="H1350" s="114">
        <v>65.445224137931035</v>
      </c>
      <c r="I1350" s="19" t="s">
        <v>40</v>
      </c>
      <c r="J1350" s="180">
        <v>0.57677586206897047</v>
      </c>
      <c r="K1350" s="62" t="s">
        <v>97</v>
      </c>
      <c r="L1350" s="163" t="s">
        <v>1155</v>
      </c>
      <c r="M1350" s="114">
        <v>-1.1680402040481601</v>
      </c>
      <c r="N1350" s="59">
        <v>19.620488302916446</v>
      </c>
      <c r="O1350" s="59">
        <v>-0.43118136782501182</v>
      </c>
      <c r="BU1350" s="61"/>
    </row>
    <row r="1351" spans="1:73" x14ac:dyDescent="0.35">
      <c r="A1351" s="7" t="s">
        <v>1379</v>
      </c>
      <c r="B1351" s="7" t="s">
        <v>1382</v>
      </c>
      <c r="C1351" s="170" t="s">
        <v>848</v>
      </c>
      <c r="D1351" s="170" t="s">
        <v>226</v>
      </c>
      <c r="E1351" s="170" t="s">
        <v>1102</v>
      </c>
      <c r="F1351" s="62">
        <v>259.20999999999998</v>
      </c>
      <c r="G1351" s="62" t="s">
        <v>1074</v>
      </c>
      <c r="H1351" s="114">
        <v>65.458051724137931</v>
      </c>
      <c r="I1351" s="19" t="s">
        <v>40</v>
      </c>
      <c r="J1351" s="180">
        <v>0.56394827586207441</v>
      </c>
      <c r="K1351" s="62" t="s">
        <v>97</v>
      </c>
      <c r="L1351" s="163" t="s">
        <v>1155</v>
      </c>
      <c r="M1351" s="114">
        <v>-1.0654229402542101</v>
      </c>
      <c r="N1351" s="59">
        <v>19.153418243924424</v>
      </c>
      <c r="O1351" s="59">
        <v>-0.8982514268170334</v>
      </c>
      <c r="BU1351" s="61"/>
    </row>
    <row r="1352" spans="1:73" x14ac:dyDescent="0.35">
      <c r="A1352" s="7" t="s">
        <v>1379</v>
      </c>
      <c r="B1352" s="7" t="s">
        <v>1382</v>
      </c>
      <c r="C1352" s="170" t="s">
        <v>848</v>
      </c>
      <c r="D1352" s="170" t="s">
        <v>226</v>
      </c>
      <c r="E1352" s="170" t="s">
        <v>1101</v>
      </c>
      <c r="F1352" s="62">
        <v>259.25</v>
      </c>
      <c r="G1352" s="62" t="s">
        <v>1074</v>
      </c>
      <c r="H1352" s="114">
        <v>65.464465517241379</v>
      </c>
      <c r="I1352" s="19" t="s">
        <v>40</v>
      </c>
      <c r="J1352" s="180">
        <v>0.55753448275862638</v>
      </c>
      <c r="K1352" s="62" t="s">
        <v>97</v>
      </c>
      <c r="L1352" s="163" t="s">
        <v>1155</v>
      </c>
      <c r="M1352" s="114">
        <v>-1.08938543796539</v>
      </c>
      <c r="N1352" s="59">
        <v>19.26242878000998</v>
      </c>
      <c r="O1352" s="59">
        <v>-0.78924089073147741</v>
      </c>
      <c r="BU1352" s="61"/>
    </row>
    <row r="1353" spans="1:73" x14ac:dyDescent="0.35">
      <c r="A1353" s="7" t="s">
        <v>1379</v>
      </c>
      <c r="B1353" s="7" t="s">
        <v>1382</v>
      </c>
      <c r="C1353" s="170" t="s">
        <v>848</v>
      </c>
      <c r="D1353" s="170" t="s">
        <v>226</v>
      </c>
      <c r="E1353" s="170" t="s">
        <v>1156</v>
      </c>
      <c r="F1353" s="62">
        <v>259.35000000000002</v>
      </c>
      <c r="G1353" s="62" t="s">
        <v>1074</v>
      </c>
      <c r="H1353" s="114">
        <v>65.480500000000006</v>
      </c>
      <c r="I1353" s="19" t="s">
        <v>40</v>
      </c>
      <c r="J1353" s="180">
        <v>0.5414999999999992</v>
      </c>
      <c r="K1353" s="62" t="s">
        <v>97</v>
      </c>
      <c r="L1353" s="163" t="s">
        <v>1155</v>
      </c>
      <c r="M1353" s="114">
        <v>-1.15853183269501</v>
      </c>
      <c r="N1353" s="59">
        <v>19.57718368867009</v>
      </c>
      <c r="O1353" s="59">
        <v>-0.47448598207136783</v>
      </c>
      <c r="BU1353" s="61"/>
    </row>
    <row r="1354" spans="1:73" x14ac:dyDescent="0.35">
      <c r="A1354" s="7" t="s">
        <v>1379</v>
      </c>
      <c r="B1354" s="7" t="s">
        <v>1382</v>
      </c>
      <c r="C1354" s="170" t="s">
        <v>848</v>
      </c>
      <c r="D1354" s="170" t="s">
        <v>226</v>
      </c>
      <c r="E1354" s="170" t="s">
        <v>1099</v>
      </c>
      <c r="F1354" s="62">
        <v>259.49</v>
      </c>
      <c r="G1354" s="62" t="s">
        <v>1074</v>
      </c>
      <c r="H1354" s="114">
        <v>65.502948275862067</v>
      </c>
      <c r="I1354" s="19" t="s">
        <v>40</v>
      </c>
      <c r="J1354" s="180">
        <v>0.51905172413793821</v>
      </c>
      <c r="K1354" s="62" t="s">
        <v>97</v>
      </c>
      <c r="L1354" s="163" t="s">
        <v>1155</v>
      </c>
      <c r="M1354" s="114">
        <v>-1.25256507396698</v>
      </c>
      <c r="N1354" s="59">
        <v>20.005684039195756</v>
      </c>
      <c r="O1354" s="59">
        <v>-4.5985631545701011E-2</v>
      </c>
      <c r="BU1354" s="61"/>
    </row>
    <row r="1355" spans="1:73" x14ac:dyDescent="0.35">
      <c r="A1355" s="7" t="s">
        <v>1379</v>
      </c>
      <c r="B1355" s="7" t="s">
        <v>1382</v>
      </c>
      <c r="C1355" s="170" t="s">
        <v>848</v>
      </c>
      <c r="D1355" s="170" t="s">
        <v>226</v>
      </c>
      <c r="E1355" s="170" t="s">
        <v>1098</v>
      </c>
      <c r="F1355" s="62">
        <v>259.61</v>
      </c>
      <c r="G1355" s="62" t="s">
        <v>1074</v>
      </c>
      <c r="H1355" s="114">
        <v>65.522189655172426</v>
      </c>
      <c r="I1355" s="19" t="s">
        <v>40</v>
      </c>
      <c r="J1355" s="180">
        <v>0.49981034482757991</v>
      </c>
      <c r="K1355" s="62" t="s">
        <v>97</v>
      </c>
      <c r="L1355" s="163" t="s">
        <v>1155</v>
      </c>
      <c r="M1355" s="114">
        <v>-1.18240766525269</v>
      </c>
      <c r="N1355" s="59">
        <v>19.685933287467705</v>
      </c>
      <c r="O1355" s="59">
        <v>-0.36573638327375235</v>
      </c>
      <c r="BU1355" s="61"/>
    </row>
    <row r="1356" spans="1:73" x14ac:dyDescent="0.35">
      <c r="A1356" s="7" t="s">
        <v>1379</v>
      </c>
      <c r="B1356" s="7" t="s">
        <v>1382</v>
      </c>
      <c r="C1356" s="170" t="s">
        <v>848</v>
      </c>
      <c r="D1356" s="170" t="s">
        <v>226</v>
      </c>
      <c r="E1356" s="170" t="s">
        <v>1097</v>
      </c>
      <c r="F1356" s="62">
        <v>259.73</v>
      </c>
      <c r="G1356" s="62" t="s">
        <v>1074</v>
      </c>
      <c r="H1356" s="114">
        <v>65.549200000000013</v>
      </c>
      <c r="I1356" s="19" t="s">
        <v>40</v>
      </c>
      <c r="J1356" s="180">
        <v>0.47279999999999234</v>
      </c>
      <c r="K1356" s="62" t="s">
        <v>97</v>
      </c>
      <c r="L1356" s="163" t="s">
        <v>1155</v>
      </c>
      <c r="M1356" s="114">
        <v>-1.3752087831497199</v>
      </c>
      <c r="N1356" s="59">
        <v>20.565356736067304</v>
      </c>
      <c r="O1356" s="59">
        <v>0.51368706532584696</v>
      </c>
      <c r="BU1356" s="61"/>
    </row>
    <row r="1357" spans="1:73" x14ac:dyDescent="0.35">
      <c r="A1357" s="7" t="s">
        <v>1379</v>
      </c>
      <c r="B1357" s="7" t="s">
        <v>1382</v>
      </c>
      <c r="C1357" s="170" t="s">
        <v>848</v>
      </c>
      <c r="D1357" s="170" t="s">
        <v>226</v>
      </c>
      <c r="E1357" s="170" t="s">
        <v>1096</v>
      </c>
      <c r="F1357" s="62">
        <v>259.89</v>
      </c>
      <c r="G1357" s="62" t="s">
        <v>1074</v>
      </c>
      <c r="H1357" s="114">
        <v>65.588666666666668</v>
      </c>
      <c r="I1357" s="19" t="s">
        <v>40</v>
      </c>
      <c r="J1357" s="180">
        <v>0.43333333333333712</v>
      </c>
      <c r="K1357" s="62" t="s">
        <v>97</v>
      </c>
      <c r="L1357" s="163" t="s">
        <v>1155</v>
      </c>
      <c r="M1357" s="114">
        <v>-1.37279932498932</v>
      </c>
      <c r="N1357" s="59">
        <v>20.55435271596809</v>
      </c>
      <c r="O1357" s="59">
        <v>0.50268304522663243</v>
      </c>
      <c r="BU1357" s="61"/>
    </row>
    <row r="1358" spans="1:73" x14ac:dyDescent="0.35">
      <c r="A1358" s="7" t="s">
        <v>1379</v>
      </c>
      <c r="B1358" s="7" t="s">
        <v>1382</v>
      </c>
      <c r="C1358" s="170" t="s">
        <v>848</v>
      </c>
      <c r="D1358" s="170" t="s">
        <v>226</v>
      </c>
      <c r="E1358" s="170" t="s">
        <v>1095</v>
      </c>
      <c r="F1358" s="62">
        <v>259.93</v>
      </c>
      <c r="G1358" s="62" t="s">
        <v>1074</v>
      </c>
      <c r="H1358" s="114">
        <v>65.598533333333336</v>
      </c>
      <c r="I1358" s="19" t="s">
        <v>40</v>
      </c>
      <c r="J1358" s="180">
        <v>0.42346666666666977</v>
      </c>
      <c r="K1358" s="62" t="s">
        <v>97</v>
      </c>
      <c r="L1358" s="163" t="s">
        <v>1155</v>
      </c>
      <c r="M1358" s="114">
        <v>-1.3128599405288701</v>
      </c>
      <c r="N1358" s="59">
        <v>20.280721047700919</v>
      </c>
      <c r="O1358" s="59">
        <v>0.22905137695946109</v>
      </c>
      <c r="BU1358" s="61"/>
    </row>
    <row r="1359" spans="1:73" x14ac:dyDescent="0.35">
      <c r="A1359" s="7" t="s">
        <v>1379</v>
      </c>
      <c r="B1359" s="7" t="s">
        <v>1382</v>
      </c>
      <c r="C1359" s="170" t="s">
        <v>848</v>
      </c>
      <c r="D1359" s="170" t="s">
        <v>226</v>
      </c>
      <c r="E1359" s="170" t="s">
        <v>1094</v>
      </c>
      <c r="F1359" s="62">
        <v>260.01</v>
      </c>
      <c r="G1359" s="62" t="s">
        <v>1074</v>
      </c>
      <c r="H1359" s="114">
        <v>65.647374999999982</v>
      </c>
      <c r="I1359" s="19" t="s">
        <v>40</v>
      </c>
      <c r="J1359" s="180">
        <v>0.37462500000002308</v>
      </c>
      <c r="K1359" s="62" t="s">
        <v>97</v>
      </c>
      <c r="L1359" s="163" t="s">
        <v>1155</v>
      </c>
      <c r="M1359" s="114">
        <v>-1.29182343482971</v>
      </c>
      <c r="N1359" s="59">
        <v>20.18473756223753</v>
      </c>
      <c r="O1359" s="59">
        <v>0.13306789149607212</v>
      </c>
      <c r="BU1359" s="61"/>
    </row>
    <row r="1360" spans="1:73" x14ac:dyDescent="0.35">
      <c r="A1360" s="7" t="s">
        <v>1379</v>
      </c>
      <c r="B1360" s="7" t="s">
        <v>1382</v>
      </c>
      <c r="C1360" s="170" t="s">
        <v>848</v>
      </c>
      <c r="D1360" s="170" t="s">
        <v>226</v>
      </c>
      <c r="E1360" s="170" t="s">
        <v>1093</v>
      </c>
      <c r="F1360" s="62">
        <v>260.08999999999997</v>
      </c>
      <c r="G1360" s="62" t="s">
        <v>1074</v>
      </c>
      <c r="H1360" s="114">
        <v>65.700374999999966</v>
      </c>
      <c r="I1360" s="19" t="s">
        <v>40</v>
      </c>
      <c r="J1360" s="180">
        <v>0.32162500000004002</v>
      </c>
      <c r="K1360" s="62" t="s">
        <v>97</v>
      </c>
      <c r="L1360" s="163" t="s">
        <v>1155</v>
      </c>
      <c r="M1360" s="114">
        <v>-1.2753566980361901</v>
      </c>
      <c r="N1360" s="59">
        <v>20.109623136028933</v>
      </c>
      <c r="O1360" s="59">
        <v>5.7953465287475581E-2</v>
      </c>
      <c r="BU1360" s="61"/>
    </row>
    <row r="1361" spans="1:73" x14ac:dyDescent="0.35">
      <c r="A1361" s="7" t="s">
        <v>1379</v>
      </c>
      <c r="B1361" s="7" t="s">
        <v>1382</v>
      </c>
      <c r="C1361" s="170" t="s">
        <v>848</v>
      </c>
      <c r="D1361" s="170" t="s">
        <v>226</v>
      </c>
      <c r="E1361" s="170" t="s">
        <v>1092</v>
      </c>
      <c r="F1361" s="62">
        <v>260.17</v>
      </c>
      <c r="G1361" s="62" t="s">
        <v>1074</v>
      </c>
      <c r="H1361" s="114">
        <v>65.720124999999996</v>
      </c>
      <c r="I1361" s="19" t="s">
        <v>40</v>
      </c>
      <c r="J1361" s="180">
        <v>0.30187500000000966</v>
      </c>
      <c r="K1361" s="62" t="s">
        <v>97</v>
      </c>
      <c r="L1361" s="163" t="s">
        <v>1155</v>
      </c>
      <c r="M1361" s="114">
        <v>-1.29457943439484</v>
      </c>
      <c r="N1361" s="59">
        <v>20.19731087896281</v>
      </c>
      <c r="O1361" s="59">
        <v>0.14564120822135251</v>
      </c>
      <c r="BU1361" s="61"/>
    </row>
    <row r="1362" spans="1:73" x14ac:dyDescent="0.35">
      <c r="A1362" s="7" t="s">
        <v>1379</v>
      </c>
      <c r="B1362" s="7" t="s">
        <v>1382</v>
      </c>
      <c r="C1362" s="170" t="s">
        <v>848</v>
      </c>
      <c r="D1362" s="170" t="s">
        <v>226</v>
      </c>
      <c r="E1362" s="170" t="s">
        <v>1091</v>
      </c>
      <c r="F1362" s="62">
        <v>260.25</v>
      </c>
      <c r="G1362" s="62" t="s">
        <v>1074</v>
      </c>
      <c r="H1362" s="114">
        <v>65.735124999999996</v>
      </c>
      <c r="I1362" s="19" t="s">
        <v>40</v>
      </c>
      <c r="J1362" s="180">
        <v>0.28687500000000909</v>
      </c>
      <c r="K1362" s="62" t="s">
        <v>97</v>
      </c>
      <c r="L1362" s="163" t="s">
        <v>1155</v>
      </c>
      <c r="M1362" s="114">
        <v>-1.2781314134597801</v>
      </c>
      <c r="N1362" s="59">
        <v>20.122279097661508</v>
      </c>
      <c r="O1362" s="59">
        <v>7.0609426920050566E-2</v>
      </c>
      <c r="BU1362" s="61"/>
    </row>
    <row r="1363" spans="1:73" x14ac:dyDescent="0.35">
      <c r="A1363" s="7" t="s">
        <v>1379</v>
      </c>
      <c r="B1363" s="7" t="s">
        <v>1382</v>
      </c>
      <c r="C1363" s="170" t="s">
        <v>848</v>
      </c>
      <c r="D1363" s="170" t="s">
        <v>226</v>
      </c>
      <c r="E1363" s="170" t="s">
        <v>1090</v>
      </c>
      <c r="F1363" s="62">
        <v>260.33</v>
      </c>
      <c r="G1363" s="62" t="s">
        <v>1074</v>
      </c>
      <c r="H1363" s="114">
        <v>65.750124999999983</v>
      </c>
      <c r="I1363" s="19" t="s">
        <v>40</v>
      </c>
      <c r="J1363" s="180">
        <v>0.27187500000002274</v>
      </c>
      <c r="K1363" s="62" t="s">
        <v>97</v>
      </c>
      <c r="L1363" s="163" t="s">
        <v>1155</v>
      </c>
      <c r="M1363" s="114">
        <v>-1.2769340753555301</v>
      </c>
      <c r="N1363" s="59">
        <v>20.116817772801269</v>
      </c>
      <c r="O1363" s="59">
        <v>6.5148102059811919E-2</v>
      </c>
      <c r="BU1363" s="61"/>
    </row>
    <row r="1364" spans="1:73" x14ac:dyDescent="0.35">
      <c r="A1364" s="7" t="s">
        <v>1379</v>
      </c>
      <c r="B1364" s="7" t="s">
        <v>1382</v>
      </c>
      <c r="C1364" s="170" t="s">
        <v>848</v>
      </c>
      <c r="D1364" s="170" t="s">
        <v>226</v>
      </c>
      <c r="E1364" s="170" t="s">
        <v>1089</v>
      </c>
      <c r="F1364" s="62">
        <v>260.45</v>
      </c>
      <c r="G1364" s="62" t="s">
        <v>1074</v>
      </c>
      <c r="H1364" s="114">
        <v>65.772624999999991</v>
      </c>
      <c r="I1364" s="19" t="s">
        <v>40</v>
      </c>
      <c r="J1364" s="180">
        <v>0.24937500000001478</v>
      </c>
      <c r="K1364" s="62" t="s">
        <v>97</v>
      </c>
      <c r="L1364" s="163" t="s">
        <v>1155</v>
      </c>
      <c r="M1364" s="114">
        <v>-1.2475593566894501</v>
      </c>
      <c r="N1364" s="59">
        <v>19.982860102182709</v>
      </c>
      <c r="O1364" s="59">
        <v>-6.8809568558748424E-2</v>
      </c>
      <c r="BU1364" s="61"/>
    </row>
    <row r="1365" spans="1:73" x14ac:dyDescent="0.35">
      <c r="A1365" s="7" t="s">
        <v>1379</v>
      </c>
      <c r="B1365" s="7" t="s">
        <v>1382</v>
      </c>
      <c r="C1365" s="170" t="s">
        <v>848</v>
      </c>
      <c r="D1365" s="170" t="s">
        <v>226</v>
      </c>
      <c r="E1365" s="170" t="s">
        <v>1157</v>
      </c>
      <c r="F1365" s="62">
        <v>245.51999999999998</v>
      </c>
      <c r="G1365" s="62" t="s">
        <v>1074</v>
      </c>
      <c r="H1365" s="114">
        <v>61.780999999999999</v>
      </c>
      <c r="I1365" s="19" t="s">
        <v>40</v>
      </c>
      <c r="J1365" s="180">
        <v>4.2410000000000068</v>
      </c>
      <c r="K1365" s="62" t="s">
        <v>97</v>
      </c>
      <c r="L1365" s="163" t="s">
        <v>1158</v>
      </c>
      <c r="M1365" s="114">
        <v>-1.1955</v>
      </c>
      <c r="BU1365" s="61"/>
    </row>
    <row r="1366" spans="1:73" x14ac:dyDescent="0.35">
      <c r="A1366" s="7" t="s">
        <v>1379</v>
      </c>
      <c r="B1366" s="7" t="s">
        <v>1382</v>
      </c>
      <c r="C1366" s="170" t="s">
        <v>848</v>
      </c>
      <c r="D1366" s="170" t="s">
        <v>226</v>
      </c>
      <c r="E1366" s="170" t="s">
        <v>1159</v>
      </c>
      <c r="F1366" s="62">
        <v>245.61999999999998</v>
      </c>
      <c r="G1366" s="62" t="s">
        <v>1074</v>
      </c>
      <c r="H1366" s="114">
        <v>61.805999999999997</v>
      </c>
      <c r="I1366" s="19" t="s">
        <v>40</v>
      </c>
      <c r="J1366" s="180">
        <v>4.2160000000000082</v>
      </c>
      <c r="K1366" s="62" t="s">
        <v>97</v>
      </c>
      <c r="L1366" s="163" t="s">
        <v>1158</v>
      </c>
      <c r="M1366" s="114">
        <v>-1.2014999999999998</v>
      </c>
      <c r="BU1366" s="61"/>
    </row>
    <row r="1367" spans="1:73" x14ac:dyDescent="0.35">
      <c r="A1367" s="7" t="s">
        <v>1379</v>
      </c>
      <c r="B1367" s="7" t="s">
        <v>1382</v>
      </c>
      <c r="C1367" s="170" t="s">
        <v>848</v>
      </c>
      <c r="D1367" s="170" t="s">
        <v>226</v>
      </c>
      <c r="E1367" s="170" t="s">
        <v>1160</v>
      </c>
      <c r="F1367" s="62">
        <v>245.72</v>
      </c>
      <c r="G1367" s="62" t="s">
        <v>1074</v>
      </c>
      <c r="H1367" s="114">
        <v>61.832000000000001</v>
      </c>
      <c r="I1367" s="19" t="s">
        <v>40</v>
      </c>
      <c r="J1367" s="180">
        <v>4.1900000000000048</v>
      </c>
      <c r="K1367" s="62" t="s">
        <v>97</v>
      </c>
      <c r="L1367" s="163" t="s">
        <v>1158</v>
      </c>
      <c r="M1367" s="114">
        <v>-1.2875000000000001</v>
      </c>
      <c r="BU1367" s="61"/>
    </row>
    <row r="1368" spans="1:73" x14ac:dyDescent="0.35">
      <c r="A1368" s="7" t="s">
        <v>1379</v>
      </c>
      <c r="B1368" s="7" t="s">
        <v>1382</v>
      </c>
      <c r="C1368" s="170" t="s">
        <v>848</v>
      </c>
      <c r="D1368" s="170" t="s">
        <v>226</v>
      </c>
      <c r="E1368" s="170" t="s">
        <v>1161</v>
      </c>
      <c r="F1368" s="62">
        <v>245.82</v>
      </c>
      <c r="G1368" s="62" t="s">
        <v>1074</v>
      </c>
      <c r="H1368" s="114">
        <v>61.856999999999999</v>
      </c>
      <c r="I1368" s="19" t="s">
        <v>40</v>
      </c>
      <c r="J1368" s="180">
        <v>4.1650000000000063</v>
      </c>
      <c r="K1368" s="62" t="s">
        <v>97</v>
      </c>
      <c r="L1368" s="163" t="s">
        <v>1158</v>
      </c>
      <c r="M1368" s="114">
        <v>-1.2995000000000001</v>
      </c>
      <c r="BU1368" s="61"/>
    </row>
    <row r="1369" spans="1:73" x14ac:dyDescent="0.35">
      <c r="A1369" s="7" t="s">
        <v>1379</v>
      </c>
      <c r="B1369" s="7" t="s">
        <v>1382</v>
      </c>
      <c r="C1369" s="170" t="s">
        <v>848</v>
      </c>
      <c r="D1369" s="170" t="s">
        <v>226</v>
      </c>
      <c r="E1369" s="170" t="s">
        <v>1162</v>
      </c>
      <c r="F1369" s="62">
        <v>245.97</v>
      </c>
      <c r="G1369" s="62" t="s">
        <v>1074</v>
      </c>
      <c r="H1369" s="114">
        <v>61.895000000000003</v>
      </c>
      <c r="I1369" s="19" t="s">
        <v>40</v>
      </c>
      <c r="J1369" s="180">
        <v>4.1270000000000024</v>
      </c>
      <c r="K1369" s="62" t="s">
        <v>97</v>
      </c>
      <c r="L1369" s="163" t="s">
        <v>1158</v>
      </c>
      <c r="M1369" s="114">
        <v>-1.4344999999999999</v>
      </c>
      <c r="BU1369" s="61"/>
    </row>
    <row r="1370" spans="1:73" x14ac:dyDescent="0.35">
      <c r="A1370" s="7" t="s">
        <v>1379</v>
      </c>
      <c r="B1370" s="7" t="s">
        <v>1382</v>
      </c>
      <c r="C1370" s="170" t="s">
        <v>848</v>
      </c>
      <c r="D1370" s="170" t="s">
        <v>226</v>
      </c>
      <c r="E1370" s="170" t="s">
        <v>1163</v>
      </c>
      <c r="F1370" s="62">
        <v>246.01999999999998</v>
      </c>
      <c r="G1370" s="62" t="s">
        <v>1074</v>
      </c>
      <c r="H1370" s="114">
        <v>61.908000000000001</v>
      </c>
      <c r="I1370" s="19" t="s">
        <v>40</v>
      </c>
      <c r="J1370" s="180">
        <v>4.1140000000000043</v>
      </c>
      <c r="K1370" s="62" t="s">
        <v>97</v>
      </c>
      <c r="L1370" s="163" t="s">
        <v>1158</v>
      </c>
      <c r="M1370" s="114">
        <v>-1.4034999999999997</v>
      </c>
      <c r="BU1370" s="61"/>
    </row>
    <row r="1371" spans="1:73" x14ac:dyDescent="0.35">
      <c r="A1371" s="7" t="s">
        <v>1379</v>
      </c>
      <c r="B1371" s="7" t="s">
        <v>1382</v>
      </c>
      <c r="C1371" s="170" t="s">
        <v>848</v>
      </c>
      <c r="D1371" s="170" t="s">
        <v>226</v>
      </c>
      <c r="E1371" s="170" t="s">
        <v>1164</v>
      </c>
      <c r="F1371" s="62">
        <v>246.11999999999998</v>
      </c>
      <c r="G1371" s="62" t="s">
        <v>1074</v>
      </c>
      <c r="H1371" s="114">
        <v>61.933999999999997</v>
      </c>
      <c r="I1371" s="19" t="s">
        <v>40</v>
      </c>
      <c r="J1371" s="180">
        <v>4.0880000000000081</v>
      </c>
      <c r="K1371" s="62" t="s">
        <v>97</v>
      </c>
      <c r="L1371" s="163" t="s">
        <v>1158</v>
      </c>
      <c r="M1371" s="114">
        <v>-1.3885000000000001</v>
      </c>
      <c r="BU1371" s="61"/>
    </row>
    <row r="1372" spans="1:73" x14ac:dyDescent="0.35">
      <c r="A1372" s="7" t="s">
        <v>1379</v>
      </c>
      <c r="B1372" s="7" t="s">
        <v>1382</v>
      </c>
      <c r="C1372" s="170" t="s">
        <v>848</v>
      </c>
      <c r="D1372" s="170" t="s">
        <v>226</v>
      </c>
      <c r="E1372" s="170" t="s">
        <v>1165</v>
      </c>
      <c r="F1372" s="62">
        <v>246.22</v>
      </c>
      <c r="G1372" s="62" t="s">
        <v>1074</v>
      </c>
      <c r="H1372" s="114">
        <v>61.959000000000003</v>
      </c>
      <c r="I1372" s="19" t="s">
        <v>40</v>
      </c>
      <c r="J1372" s="180">
        <v>4.0630000000000024</v>
      </c>
      <c r="K1372" s="62" t="s">
        <v>97</v>
      </c>
      <c r="L1372" s="163" t="s">
        <v>1158</v>
      </c>
      <c r="M1372" s="114">
        <v>-1.3014999999999999</v>
      </c>
      <c r="BU1372" s="61"/>
    </row>
    <row r="1373" spans="1:73" x14ac:dyDescent="0.35">
      <c r="A1373" s="7" t="s">
        <v>1379</v>
      </c>
      <c r="B1373" s="7" t="s">
        <v>1382</v>
      </c>
      <c r="C1373" s="170" t="s">
        <v>848</v>
      </c>
      <c r="D1373" s="170" t="s">
        <v>226</v>
      </c>
      <c r="E1373" s="170" t="s">
        <v>1166</v>
      </c>
      <c r="F1373" s="62">
        <v>246.36999999999998</v>
      </c>
      <c r="G1373" s="62" t="s">
        <v>1074</v>
      </c>
      <c r="H1373" s="114">
        <v>61.997</v>
      </c>
      <c r="I1373" s="19" t="s">
        <v>40</v>
      </c>
      <c r="J1373" s="180">
        <v>4.0250000000000057</v>
      </c>
      <c r="K1373" s="62" t="s">
        <v>97</v>
      </c>
      <c r="L1373" s="163" t="s">
        <v>1158</v>
      </c>
      <c r="M1373" s="114">
        <v>-1.5925</v>
      </c>
      <c r="BU1373" s="61"/>
    </row>
    <row r="1374" spans="1:73" x14ac:dyDescent="0.35">
      <c r="A1374" s="7" t="s">
        <v>1379</v>
      </c>
      <c r="B1374" s="7" t="s">
        <v>1382</v>
      </c>
      <c r="C1374" s="170" t="s">
        <v>848</v>
      </c>
      <c r="D1374" s="170" t="s">
        <v>226</v>
      </c>
      <c r="E1374" s="170" t="s">
        <v>1167</v>
      </c>
      <c r="F1374" s="62">
        <v>246.42</v>
      </c>
      <c r="G1374" s="62" t="s">
        <v>1074</v>
      </c>
      <c r="H1374" s="114">
        <v>62.01</v>
      </c>
      <c r="I1374" s="19" t="s">
        <v>40</v>
      </c>
      <c r="J1374" s="180">
        <v>4.0120000000000076</v>
      </c>
      <c r="K1374" s="62" t="s">
        <v>97</v>
      </c>
      <c r="L1374" s="163" t="s">
        <v>1158</v>
      </c>
      <c r="M1374" s="114">
        <v>-1.5334999999999996</v>
      </c>
      <c r="BU1374" s="61"/>
    </row>
    <row r="1375" spans="1:73" x14ac:dyDescent="0.35">
      <c r="A1375" s="7" t="s">
        <v>1379</v>
      </c>
      <c r="B1375" s="7" t="s">
        <v>1382</v>
      </c>
      <c r="C1375" s="170" t="s">
        <v>848</v>
      </c>
      <c r="D1375" s="170" t="s">
        <v>226</v>
      </c>
      <c r="E1375" s="170" t="s">
        <v>1168</v>
      </c>
      <c r="F1375" s="62">
        <v>246.51999999999998</v>
      </c>
      <c r="G1375" s="62" t="s">
        <v>1074</v>
      </c>
      <c r="H1375" s="114">
        <v>62.034999999999997</v>
      </c>
      <c r="I1375" s="19" t="s">
        <v>40</v>
      </c>
      <c r="J1375" s="180">
        <v>3.987000000000009</v>
      </c>
      <c r="K1375" s="62" t="s">
        <v>97</v>
      </c>
      <c r="L1375" s="163" t="s">
        <v>1158</v>
      </c>
      <c r="M1375" s="114">
        <v>-1.4114999999999998</v>
      </c>
      <c r="BU1375" s="61"/>
    </row>
    <row r="1376" spans="1:73" x14ac:dyDescent="0.35">
      <c r="A1376" s="7" t="s">
        <v>1379</v>
      </c>
      <c r="B1376" s="7" t="s">
        <v>1382</v>
      </c>
      <c r="C1376" s="170" t="s">
        <v>848</v>
      </c>
      <c r="D1376" s="170" t="s">
        <v>226</v>
      </c>
      <c r="E1376" s="170" t="s">
        <v>1169</v>
      </c>
      <c r="F1376" s="62">
        <v>246.76999999999998</v>
      </c>
      <c r="G1376" s="62" t="s">
        <v>1074</v>
      </c>
      <c r="H1376" s="114">
        <v>62.098999999999997</v>
      </c>
      <c r="I1376" s="19" t="s">
        <v>40</v>
      </c>
      <c r="J1376" s="180">
        <v>3.9230000000000089</v>
      </c>
      <c r="K1376" s="62" t="s">
        <v>97</v>
      </c>
      <c r="L1376" s="163" t="s">
        <v>1158</v>
      </c>
      <c r="M1376" s="114">
        <v>-1.4284999999999997</v>
      </c>
      <c r="BU1376" s="61"/>
    </row>
    <row r="1377" spans="1:73" x14ac:dyDescent="0.35">
      <c r="A1377" s="7" t="s">
        <v>1379</v>
      </c>
      <c r="B1377" s="7" t="s">
        <v>1382</v>
      </c>
      <c r="C1377" s="170" t="s">
        <v>848</v>
      </c>
      <c r="D1377" s="170" t="s">
        <v>226</v>
      </c>
      <c r="E1377" s="170" t="s">
        <v>1170</v>
      </c>
      <c r="F1377" s="62">
        <v>246.92</v>
      </c>
      <c r="G1377" s="62" t="s">
        <v>1074</v>
      </c>
      <c r="H1377" s="114">
        <v>62.137</v>
      </c>
      <c r="I1377" s="19" t="s">
        <v>40</v>
      </c>
      <c r="J1377" s="180">
        <v>3.8850000000000051</v>
      </c>
      <c r="K1377" s="62" t="s">
        <v>97</v>
      </c>
      <c r="L1377" s="163" t="s">
        <v>1158</v>
      </c>
      <c r="M1377" s="114">
        <v>-1.3975</v>
      </c>
      <c r="BU1377" s="61"/>
    </row>
    <row r="1378" spans="1:73" x14ac:dyDescent="0.35">
      <c r="A1378" s="7" t="s">
        <v>1379</v>
      </c>
      <c r="B1378" s="7" t="s">
        <v>1382</v>
      </c>
      <c r="C1378" s="170" t="s">
        <v>848</v>
      </c>
      <c r="D1378" s="170" t="s">
        <v>226</v>
      </c>
      <c r="E1378" s="170" t="s">
        <v>1171</v>
      </c>
      <c r="F1378" s="62">
        <v>247.01999999999998</v>
      </c>
      <c r="G1378" s="62" t="s">
        <v>1074</v>
      </c>
      <c r="H1378" s="114">
        <v>62.162999999999997</v>
      </c>
      <c r="I1378" s="19" t="s">
        <v>40</v>
      </c>
      <c r="J1378" s="180">
        <v>3.8590000000000089</v>
      </c>
      <c r="K1378" s="62" t="s">
        <v>97</v>
      </c>
      <c r="L1378" s="163" t="s">
        <v>1158</v>
      </c>
      <c r="M1378" s="114">
        <v>-1.3314999999999997</v>
      </c>
      <c r="BU1378" s="61"/>
    </row>
    <row r="1379" spans="1:73" x14ac:dyDescent="0.35">
      <c r="A1379" s="7" t="s">
        <v>1379</v>
      </c>
      <c r="B1379" s="7" t="s">
        <v>1382</v>
      </c>
      <c r="C1379" s="170" t="s">
        <v>848</v>
      </c>
      <c r="D1379" s="170" t="s">
        <v>226</v>
      </c>
      <c r="E1379" s="170" t="s">
        <v>1172</v>
      </c>
      <c r="F1379" s="62">
        <v>247.22</v>
      </c>
      <c r="G1379" s="62" t="s">
        <v>1074</v>
      </c>
      <c r="H1379" s="114">
        <v>62.213999999999999</v>
      </c>
      <c r="I1379" s="19" t="s">
        <v>40</v>
      </c>
      <c r="J1379" s="180">
        <v>3.8080000000000069</v>
      </c>
      <c r="K1379" s="62" t="s">
        <v>97</v>
      </c>
      <c r="L1379" s="163" t="s">
        <v>1158</v>
      </c>
      <c r="M1379" s="114">
        <v>-1.3005</v>
      </c>
      <c r="BU1379" s="61"/>
    </row>
    <row r="1380" spans="1:73" x14ac:dyDescent="0.35">
      <c r="A1380" s="7" t="s">
        <v>1379</v>
      </c>
      <c r="B1380" s="7" t="s">
        <v>1382</v>
      </c>
      <c r="C1380" s="170" t="s">
        <v>848</v>
      </c>
      <c r="D1380" s="170" t="s">
        <v>226</v>
      </c>
      <c r="E1380" s="170" t="s">
        <v>1173</v>
      </c>
      <c r="F1380" s="62">
        <v>247.36999999999998</v>
      </c>
      <c r="G1380" s="62" t="s">
        <v>1074</v>
      </c>
      <c r="H1380" s="114">
        <v>62.252000000000002</v>
      </c>
      <c r="I1380" s="19" t="s">
        <v>40</v>
      </c>
      <c r="J1380" s="180">
        <v>3.7700000000000031</v>
      </c>
      <c r="K1380" s="62" t="s">
        <v>97</v>
      </c>
      <c r="L1380" s="163" t="s">
        <v>1158</v>
      </c>
      <c r="M1380" s="114">
        <v>-1.4175</v>
      </c>
      <c r="BU1380" s="61"/>
    </row>
    <row r="1381" spans="1:73" x14ac:dyDescent="0.35">
      <c r="A1381" s="7" t="s">
        <v>1379</v>
      </c>
      <c r="B1381" s="7" t="s">
        <v>1382</v>
      </c>
      <c r="C1381" s="170" t="s">
        <v>848</v>
      </c>
      <c r="D1381" s="170" t="s">
        <v>226</v>
      </c>
      <c r="E1381" s="170" t="s">
        <v>1174</v>
      </c>
      <c r="F1381" s="62">
        <v>247.42</v>
      </c>
      <c r="G1381" s="62" t="s">
        <v>1074</v>
      </c>
      <c r="H1381" s="114">
        <v>62.265000000000001</v>
      </c>
      <c r="I1381" s="19" t="s">
        <v>40</v>
      </c>
      <c r="J1381" s="180">
        <v>3.757000000000005</v>
      </c>
      <c r="K1381" s="62" t="s">
        <v>97</v>
      </c>
      <c r="L1381" s="163" t="s">
        <v>1158</v>
      </c>
      <c r="M1381" s="114">
        <v>-1.4434999999999998</v>
      </c>
      <c r="BU1381" s="61"/>
    </row>
    <row r="1382" spans="1:73" x14ac:dyDescent="0.35">
      <c r="A1382" s="7" t="s">
        <v>1379</v>
      </c>
      <c r="B1382" s="7" t="s">
        <v>1382</v>
      </c>
      <c r="C1382" s="170" t="s">
        <v>848</v>
      </c>
      <c r="D1382" s="170" t="s">
        <v>226</v>
      </c>
      <c r="E1382" s="170" t="s">
        <v>1175</v>
      </c>
      <c r="F1382" s="62">
        <v>247.61999999999998</v>
      </c>
      <c r="G1382" s="62" t="s">
        <v>1074</v>
      </c>
      <c r="H1382" s="114">
        <v>62.314999999999998</v>
      </c>
      <c r="I1382" s="19" t="s">
        <v>40</v>
      </c>
      <c r="J1382" s="180">
        <v>3.7070000000000078</v>
      </c>
      <c r="K1382" s="62" t="s">
        <v>97</v>
      </c>
      <c r="L1382" s="163" t="s">
        <v>1158</v>
      </c>
      <c r="M1382" s="114">
        <v>-1.4384999999999999</v>
      </c>
      <c r="BU1382" s="61"/>
    </row>
    <row r="1383" spans="1:73" x14ac:dyDescent="0.35">
      <c r="A1383" s="7" t="s">
        <v>1379</v>
      </c>
      <c r="B1383" s="7" t="s">
        <v>1382</v>
      </c>
      <c r="C1383" s="170" t="s">
        <v>848</v>
      </c>
      <c r="D1383" s="170" t="s">
        <v>226</v>
      </c>
      <c r="E1383" s="170" t="s">
        <v>1176</v>
      </c>
      <c r="F1383" s="62">
        <v>247.82</v>
      </c>
      <c r="G1383" s="62" t="s">
        <v>1074</v>
      </c>
      <c r="H1383" s="114">
        <v>62.366</v>
      </c>
      <c r="I1383" s="19" t="s">
        <v>40</v>
      </c>
      <c r="J1383" s="180">
        <v>3.6560000000000059</v>
      </c>
      <c r="K1383" s="62" t="s">
        <v>97</v>
      </c>
      <c r="L1383" s="163" t="s">
        <v>1158</v>
      </c>
      <c r="M1383" s="114">
        <v>-1.5785</v>
      </c>
      <c r="BU1383" s="61"/>
    </row>
    <row r="1384" spans="1:73" x14ac:dyDescent="0.35">
      <c r="A1384" s="7" t="s">
        <v>1379</v>
      </c>
      <c r="B1384" s="7" t="s">
        <v>1382</v>
      </c>
      <c r="C1384" s="170" t="s">
        <v>848</v>
      </c>
      <c r="D1384" s="170" t="s">
        <v>226</v>
      </c>
      <c r="E1384" s="170" t="s">
        <v>1177</v>
      </c>
      <c r="F1384" s="62">
        <v>247.92</v>
      </c>
      <c r="G1384" s="62" t="s">
        <v>1074</v>
      </c>
      <c r="H1384" s="114">
        <v>62.392000000000003</v>
      </c>
      <c r="I1384" s="19" t="s">
        <v>40</v>
      </c>
      <c r="J1384" s="180">
        <v>3.6300000000000026</v>
      </c>
      <c r="K1384" s="62" t="s">
        <v>97</v>
      </c>
      <c r="L1384" s="163" t="s">
        <v>1158</v>
      </c>
      <c r="M1384" s="114">
        <v>-1.6074999999999999</v>
      </c>
      <c r="BU1384" s="61"/>
    </row>
    <row r="1385" spans="1:73" x14ac:dyDescent="0.35">
      <c r="A1385" s="7" t="s">
        <v>1379</v>
      </c>
      <c r="B1385" s="7" t="s">
        <v>1382</v>
      </c>
      <c r="C1385" s="170" t="s">
        <v>848</v>
      </c>
      <c r="D1385" s="170" t="s">
        <v>226</v>
      </c>
      <c r="E1385" s="170" t="s">
        <v>1178</v>
      </c>
      <c r="F1385" s="62">
        <v>248.01999999999998</v>
      </c>
      <c r="G1385" s="62" t="s">
        <v>1074</v>
      </c>
      <c r="H1385" s="114">
        <v>62.417000000000002</v>
      </c>
      <c r="I1385" s="19" t="s">
        <v>40</v>
      </c>
      <c r="J1385" s="180">
        <v>3.605000000000004</v>
      </c>
      <c r="K1385" s="62" t="s">
        <v>97</v>
      </c>
      <c r="L1385" s="163" t="s">
        <v>1158</v>
      </c>
      <c r="M1385" s="114">
        <v>-1.4504999999999999</v>
      </c>
      <c r="BU1385" s="61"/>
    </row>
    <row r="1386" spans="1:73" x14ac:dyDescent="0.35">
      <c r="A1386" s="7" t="s">
        <v>1379</v>
      </c>
      <c r="B1386" s="7" t="s">
        <v>1382</v>
      </c>
      <c r="C1386" s="170" t="s">
        <v>848</v>
      </c>
      <c r="D1386" s="170" t="s">
        <v>226</v>
      </c>
      <c r="E1386" s="170" t="s">
        <v>1179</v>
      </c>
      <c r="F1386" s="62">
        <v>248.11999999999998</v>
      </c>
      <c r="G1386" s="62" t="s">
        <v>1074</v>
      </c>
      <c r="H1386" s="114">
        <v>62.442999999999998</v>
      </c>
      <c r="I1386" s="19" t="s">
        <v>40</v>
      </c>
      <c r="J1386" s="180">
        <v>3.5790000000000077</v>
      </c>
      <c r="K1386" s="62" t="s">
        <v>97</v>
      </c>
      <c r="L1386" s="163" t="s">
        <v>1158</v>
      </c>
      <c r="M1386" s="114">
        <v>-1.5704999999999996</v>
      </c>
      <c r="BU1386" s="61"/>
    </row>
    <row r="1387" spans="1:73" x14ac:dyDescent="0.35">
      <c r="A1387" s="7" t="s">
        <v>1379</v>
      </c>
      <c r="B1387" s="7" t="s">
        <v>1382</v>
      </c>
      <c r="C1387" s="170" t="s">
        <v>848</v>
      </c>
      <c r="D1387" s="170" t="s">
        <v>226</v>
      </c>
      <c r="E1387" s="170" t="s">
        <v>1180</v>
      </c>
      <c r="F1387" s="62">
        <v>248.22</v>
      </c>
      <c r="G1387" s="62" t="s">
        <v>1074</v>
      </c>
      <c r="H1387" s="114">
        <v>62.468000000000004</v>
      </c>
      <c r="I1387" s="19" t="s">
        <v>40</v>
      </c>
      <c r="J1387" s="180">
        <v>3.554000000000002</v>
      </c>
      <c r="K1387" s="62" t="s">
        <v>97</v>
      </c>
      <c r="L1387" s="163" t="s">
        <v>1181</v>
      </c>
      <c r="M1387" s="114">
        <v>-1.4644999999999997</v>
      </c>
      <c r="BU1387" s="61"/>
    </row>
    <row r="1388" spans="1:73" x14ac:dyDescent="0.35">
      <c r="A1388" s="7" t="s">
        <v>1379</v>
      </c>
      <c r="B1388" s="7" t="s">
        <v>1382</v>
      </c>
      <c r="C1388" s="170" t="s">
        <v>848</v>
      </c>
      <c r="D1388" s="170" t="s">
        <v>226</v>
      </c>
      <c r="E1388" s="170" t="s">
        <v>1182</v>
      </c>
      <c r="F1388" s="62">
        <v>248.51999999999998</v>
      </c>
      <c r="G1388" s="62" t="s">
        <v>1074</v>
      </c>
      <c r="H1388" s="114">
        <v>62.545000000000002</v>
      </c>
      <c r="I1388" s="19" t="s">
        <v>40</v>
      </c>
      <c r="J1388" s="180">
        <v>3.4770000000000039</v>
      </c>
      <c r="K1388" s="62" t="s">
        <v>97</v>
      </c>
      <c r="L1388" s="163" t="s">
        <v>1181</v>
      </c>
      <c r="M1388" s="114">
        <v>-1.5585</v>
      </c>
      <c r="BU1388" s="61"/>
    </row>
    <row r="1389" spans="1:73" x14ac:dyDescent="0.35">
      <c r="A1389" s="7" t="s">
        <v>1379</v>
      </c>
      <c r="B1389" s="7" t="s">
        <v>1382</v>
      </c>
      <c r="C1389" s="170" t="s">
        <v>848</v>
      </c>
      <c r="D1389" s="170" t="s">
        <v>226</v>
      </c>
      <c r="E1389" s="170" t="s">
        <v>1183</v>
      </c>
      <c r="F1389" s="62">
        <v>248.61999999999998</v>
      </c>
      <c r="G1389" s="62" t="s">
        <v>1074</v>
      </c>
      <c r="H1389" s="114">
        <v>62.57</v>
      </c>
      <c r="I1389" s="19" t="s">
        <v>40</v>
      </c>
      <c r="J1389" s="180">
        <v>3.4520000000000053</v>
      </c>
      <c r="K1389" s="62" t="s">
        <v>97</v>
      </c>
      <c r="L1389" s="163" t="s">
        <v>1181</v>
      </c>
      <c r="M1389" s="114">
        <v>-1.2144999999999997</v>
      </c>
      <c r="BU1389" s="61"/>
    </row>
    <row r="1390" spans="1:73" x14ac:dyDescent="0.35">
      <c r="A1390" s="7" t="s">
        <v>1379</v>
      </c>
      <c r="B1390" s="7" t="s">
        <v>1382</v>
      </c>
      <c r="C1390" s="170" t="s">
        <v>848</v>
      </c>
      <c r="D1390" s="170" t="s">
        <v>226</v>
      </c>
      <c r="E1390" s="170" t="s">
        <v>1184</v>
      </c>
      <c r="F1390" s="62">
        <v>248.72</v>
      </c>
      <c r="G1390" s="62" t="s">
        <v>1074</v>
      </c>
      <c r="H1390" s="114">
        <v>62.595999999999997</v>
      </c>
      <c r="I1390" s="19" t="s">
        <v>40</v>
      </c>
      <c r="J1390" s="180">
        <v>3.426000000000009</v>
      </c>
      <c r="K1390" s="62" t="s">
        <v>97</v>
      </c>
      <c r="L1390" s="163" t="s">
        <v>1181</v>
      </c>
      <c r="M1390" s="114">
        <v>-1.4834999999999998</v>
      </c>
      <c r="BU1390" s="61"/>
    </row>
    <row r="1391" spans="1:73" x14ac:dyDescent="0.35">
      <c r="A1391" s="7" t="s">
        <v>1379</v>
      </c>
      <c r="B1391" s="7" t="s">
        <v>1382</v>
      </c>
      <c r="C1391" s="170" t="s">
        <v>848</v>
      </c>
      <c r="D1391" s="170" t="s">
        <v>226</v>
      </c>
      <c r="E1391" s="170" t="s">
        <v>1185</v>
      </c>
      <c r="F1391" s="62">
        <v>248.82</v>
      </c>
      <c r="G1391" s="62" t="s">
        <v>1074</v>
      </c>
      <c r="H1391" s="114">
        <v>62.621000000000002</v>
      </c>
      <c r="I1391" s="19" t="s">
        <v>40</v>
      </c>
      <c r="J1391" s="180">
        <v>3.4010000000000034</v>
      </c>
      <c r="K1391" s="62" t="s">
        <v>97</v>
      </c>
      <c r="L1391" s="163" t="s">
        <v>1181</v>
      </c>
      <c r="M1391" s="114">
        <v>-1.3565</v>
      </c>
      <c r="BU1391" s="61"/>
    </row>
    <row r="1392" spans="1:73" x14ac:dyDescent="0.35">
      <c r="A1392" s="7" t="s">
        <v>1379</v>
      </c>
      <c r="B1392" s="7" t="s">
        <v>1382</v>
      </c>
      <c r="C1392" s="170" t="s">
        <v>848</v>
      </c>
      <c r="D1392" s="170" t="s">
        <v>226</v>
      </c>
      <c r="E1392" s="170" t="s">
        <v>1186</v>
      </c>
      <c r="F1392" s="62">
        <v>248.92</v>
      </c>
      <c r="G1392" s="62" t="s">
        <v>1074</v>
      </c>
      <c r="H1392" s="114">
        <v>62.646000000000001</v>
      </c>
      <c r="I1392" s="19" t="s">
        <v>40</v>
      </c>
      <c r="J1392" s="180">
        <v>3.3760000000000048</v>
      </c>
      <c r="K1392" s="62" t="s">
        <v>97</v>
      </c>
      <c r="L1392" s="163" t="s">
        <v>1181</v>
      </c>
      <c r="M1392" s="114">
        <v>-1.1534999999999997</v>
      </c>
      <c r="BU1392" s="61"/>
    </row>
    <row r="1393" spans="1:73" x14ac:dyDescent="0.35">
      <c r="A1393" s="7" t="s">
        <v>1379</v>
      </c>
      <c r="B1393" s="7" t="s">
        <v>1382</v>
      </c>
      <c r="C1393" s="170" t="s">
        <v>848</v>
      </c>
      <c r="D1393" s="170" t="s">
        <v>226</v>
      </c>
      <c r="E1393" s="170" t="s">
        <v>1187</v>
      </c>
      <c r="F1393" s="62">
        <v>249.01999999999998</v>
      </c>
      <c r="G1393" s="62" t="s">
        <v>1074</v>
      </c>
      <c r="H1393" s="114">
        <v>62.671999999999997</v>
      </c>
      <c r="I1393" s="19" t="s">
        <v>40</v>
      </c>
      <c r="J1393" s="180">
        <v>3.3500000000000085</v>
      </c>
      <c r="K1393" s="62" t="s">
        <v>97</v>
      </c>
      <c r="L1393" s="163" t="s">
        <v>1181</v>
      </c>
      <c r="M1393" s="114">
        <v>-1.2195</v>
      </c>
      <c r="BU1393" s="61"/>
    </row>
    <row r="1394" spans="1:73" x14ac:dyDescent="0.35">
      <c r="A1394" s="7" t="s">
        <v>1379</v>
      </c>
      <c r="B1394" s="7" t="s">
        <v>1382</v>
      </c>
      <c r="C1394" s="170" t="s">
        <v>848</v>
      </c>
      <c r="D1394" s="170" t="s">
        <v>226</v>
      </c>
      <c r="E1394" s="170" t="s">
        <v>1188</v>
      </c>
      <c r="F1394" s="62">
        <v>249.11999999999998</v>
      </c>
      <c r="G1394" s="62" t="s">
        <v>1074</v>
      </c>
      <c r="H1394" s="114">
        <v>62.697000000000003</v>
      </c>
      <c r="I1394" s="19" t="s">
        <v>40</v>
      </c>
      <c r="J1394" s="180">
        <v>3.3250000000000028</v>
      </c>
      <c r="K1394" s="62" t="s">
        <v>97</v>
      </c>
      <c r="L1394" s="163" t="s">
        <v>1181</v>
      </c>
      <c r="M1394" s="114">
        <v>-1.3784999999999998</v>
      </c>
      <c r="BU1394" s="61"/>
    </row>
    <row r="1395" spans="1:73" x14ac:dyDescent="0.35">
      <c r="A1395" s="7" t="s">
        <v>1379</v>
      </c>
      <c r="B1395" s="7" t="s">
        <v>1382</v>
      </c>
      <c r="C1395" s="170" t="s">
        <v>848</v>
      </c>
      <c r="D1395" s="170" t="s">
        <v>226</v>
      </c>
      <c r="E1395" s="170" t="s">
        <v>1189</v>
      </c>
      <c r="F1395" s="62">
        <v>249.22</v>
      </c>
      <c r="G1395" s="62" t="s">
        <v>1074</v>
      </c>
      <c r="H1395" s="114">
        <v>62.722999999999999</v>
      </c>
      <c r="I1395" s="19" t="s">
        <v>40</v>
      </c>
      <c r="J1395" s="180">
        <v>3.2990000000000066</v>
      </c>
      <c r="K1395" s="62" t="s">
        <v>97</v>
      </c>
      <c r="L1395" s="163" t="s">
        <v>1181</v>
      </c>
      <c r="M1395" s="114">
        <v>-1.3414999999999999</v>
      </c>
      <c r="BU1395" s="61"/>
    </row>
    <row r="1396" spans="1:73" x14ac:dyDescent="0.35">
      <c r="A1396" s="7" t="s">
        <v>1379</v>
      </c>
      <c r="B1396" s="7" t="s">
        <v>1382</v>
      </c>
      <c r="C1396" s="170" t="s">
        <v>848</v>
      </c>
      <c r="D1396" s="170" t="s">
        <v>226</v>
      </c>
      <c r="E1396" s="170" t="s">
        <v>1190</v>
      </c>
      <c r="F1396" s="62">
        <v>249.26999999999998</v>
      </c>
      <c r="G1396" s="62" t="s">
        <v>1074</v>
      </c>
      <c r="H1396" s="114">
        <v>62.735999999999997</v>
      </c>
      <c r="I1396" s="19" t="s">
        <v>40</v>
      </c>
      <c r="J1396" s="180">
        <v>3.2860000000000085</v>
      </c>
      <c r="K1396" s="62" t="s">
        <v>97</v>
      </c>
      <c r="L1396" s="163" t="s">
        <v>1181</v>
      </c>
      <c r="M1396" s="114">
        <v>-1.4255</v>
      </c>
      <c r="BU1396" s="61"/>
    </row>
    <row r="1397" spans="1:73" x14ac:dyDescent="0.35">
      <c r="A1397" s="7" t="s">
        <v>1379</v>
      </c>
      <c r="B1397" s="7" t="s">
        <v>1382</v>
      </c>
      <c r="C1397" s="170" t="s">
        <v>848</v>
      </c>
      <c r="D1397" s="170" t="s">
        <v>226</v>
      </c>
      <c r="E1397" s="170" t="s">
        <v>1191</v>
      </c>
      <c r="F1397" s="62">
        <v>249.32</v>
      </c>
      <c r="G1397" s="62" t="s">
        <v>1074</v>
      </c>
      <c r="H1397" s="114">
        <v>62.747999999999998</v>
      </c>
      <c r="I1397" s="19" t="s">
        <v>40</v>
      </c>
      <c r="J1397" s="180">
        <v>3.274000000000008</v>
      </c>
      <c r="K1397" s="62" t="s">
        <v>97</v>
      </c>
      <c r="L1397" s="163" t="s">
        <v>1181</v>
      </c>
      <c r="M1397" s="114">
        <v>-1.1955</v>
      </c>
      <c r="BU1397" s="61"/>
    </row>
    <row r="1398" spans="1:73" x14ac:dyDescent="0.35">
      <c r="A1398" s="7" t="s">
        <v>1379</v>
      </c>
      <c r="B1398" s="7" t="s">
        <v>1382</v>
      </c>
      <c r="C1398" s="170" t="s">
        <v>848</v>
      </c>
      <c r="D1398" s="170" t="s">
        <v>226</v>
      </c>
      <c r="E1398" s="170" t="s">
        <v>1192</v>
      </c>
      <c r="F1398" s="62">
        <v>249.42</v>
      </c>
      <c r="G1398" s="62" t="s">
        <v>1074</v>
      </c>
      <c r="H1398" s="114">
        <v>62.774000000000001</v>
      </c>
      <c r="I1398" s="19" t="s">
        <v>40</v>
      </c>
      <c r="J1398" s="180">
        <v>3.2480000000000047</v>
      </c>
      <c r="K1398" s="62" t="s">
        <v>97</v>
      </c>
      <c r="L1398" s="163" t="s">
        <v>1181</v>
      </c>
      <c r="M1398" s="114">
        <v>-1.1284999999999998</v>
      </c>
      <c r="BU1398" s="61"/>
    </row>
    <row r="1399" spans="1:73" x14ac:dyDescent="0.35">
      <c r="A1399" s="7" t="s">
        <v>1379</v>
      </c>
      <c r="B1399" s="7" t="s">
        <v>1382</v>
      </c>
      <c r="C1399" s="170" t="s">
        <v>848</v>
      </c>
      <c r="D1399" s="170" t="s">
        <v>226</v>
      </c>
      <c r="E1399" s="170" t="s">
        <v>1193</v>
      </c>
      <c r="F1399" s="62">
        <v>249.47</v>
      </c>
      <c r="G1399" s="62" t="s">
        <v>1074</v>
      </c>
      <c r="H1399" s="114">
        <v>62.786000000000001</v>
      </c>
      <c r="I1399" s="19" t="s">
        <v>40</v>
      </c>
      <c r="J1399" s="180">
        <v>3.2360000000000042</v>
      </c>
      <c r="K1399" s="62" t="s">
        <v>97</v>
      </c>
      <c r="L1399" s="163" t="s">
        <v>1181</v>
      </c>
      <c r="M1399" s="114">
        <v>-1.3354999999999997</v>
      </c>
      <c r="BU1399" s="61"/>
    </row>
    <row r="1400" spans="1:73" x14ac:dyDescent="0.35">
      <c r="A1400" s="7" t="s">
        <v>1379</v>
      </c>
      <c r="B1400" s="7" t="s">
        <v>1382</v>
      </c>
      <c r="C1400" s="170" t="s">
        <v>848</v>
      </c>
      <c r="D1400" s="170" t="s">
        <v>226</v>
      </c>
      <c r="E1400" s="170" t="s">
        <v>1194</v>
      </c>
      <c r="F1400" s="62">
        <v>249.51999999999998</v>
      </c>
      <c r="G1400" s="62" t="s">
        <v>1074</v>
      </c>
      <c r="H1400" s="114">
        <v>62.798999999999999</v>
      </c>
      <c r="I1400" s="19" t="s">
        <v>40</v>
      </c>
      <c r="J1400" s="180">
        <v>3.2230000000000061</v>
      </c>
      <c r="K1400" s="62" t="s">
        <v>97</v>
      </c>
      <c r="L1400" s="163" t="s">
        <v>1181</v>
      </c>
      <c r="M1400" s="114">
        <v>-1.1684999999999999</v>
      </c>
      <c r="BU1400" s="61"/>
    </row>
    <row r="1401" spans="1:73" x14ac:dyDescent="0.35">
      <c r="A1401" s="7" t="s">
        <v>1379</v>
      </c>
      <c r="B1401" s="7" t="s">
        <v>1382</v>
      </c>
      <c r="C1401" s="170" t="s">
        <v>848</v>
      </c>
      <c r="D1401" s="170" t="s">
        <v>226</v>
      </c>
      <c r="E1401" s="170" t="s">
        <v>1195</v>
      </c>
      <c r="F1401" s="62">
        <v>249.57</v>
      </c>
      <c r="G1401" s="62" t="s">
        <v>1074</v>
      </c>
      <c r="H1401" s="114">
        <v>62.811999999999998</v>
      </c>
      <c r="I1401" s="19" t="s">
        <v>40</v>
      </c>
      <c r="J1401" s="180">
        <v>3.210000000000008</v>
      </c>
      <c r="K1401" s="62" t="s">
        <v>97</v>
      </c>
      <c r="L1401" s="163" t="s">
        <v>1181</v>
      </c>
      <c r="M1401" s="114">
        <v>-1.3725000000000001</v>
      </c>
      <c r="BU1401" s="61"/>
    </row>
    <row r="1402" spans="1:73" x14ac:dyDescent="0.35">
      <c r="A1402" s="7" t="s">
        <v>1379</v>
      </c>
      <c r="B1402" s="7" t="s">
        <v>1382</v>
      </c>
      <c r="C1402" s="170" t="s">
        <v>848</v>
      </c>
      <c r="D1402" s="170" t="s">
        <v>226</v>
      </c>
      <c r="E1402" s="170" t="s">
        <v>1196</v>
      </c>
      <c r="F1402" s="62">
        <v>249.67</v>
      </c>
      <c r="G1402" s="62" t="s">
        <v>1074</v>
      </c>
      <c r="H1402" s="114">
        <v>62.837000000000003</v>
      </c>
      <c r="I1402" s="19" t="s">
        <v>40</v>
      </c>
      <c r="J1402" s="180">
        <v>3.1850000000000023</v>
      </c>
      <c r="K1402" s="62" t="s">
        <v>97</v>
      </c>
      <c r="L1402" s="163" t="s">
        <v>1181</v>
      </c>
      <c r="M1402" s="114">
        <v>-1.3005</v>
      </c>
      <c r="BU1402" s="61"/>
    </row>
    <row r="1403" spans="1:73" x14ac:dyDescent="0.35">
      <c r="A1403" s="7" t="s">
        <v>1379</v>
      </c>
      <c r="B1403" s="7" t="s">
        <v>1382</v>
      </c>
      <c r="C1403" s="170" t="s">
        <v>848</v>
      </c>
      <c r="D1403" s="170" t="s">
        <v>226</v>
      </c>
      <c r="E1403" s="170" t="s">
        <v>1197</v>
      </c>
      <c r="F1403" s="62">
        <v>249.86999999999998</v>
      </c>
      <c r="G1403" s="62" t="s">
        <v>1074</v>
      </c>
      <c r="H1403" s="114">
        <v>62.887999999999998</v>
      </c>
      <c r="I1403" s="19" t="s">
        <v>40</v>
      </c>
      <c r="J1403" s="180">
        <v>3.1340000000000074</v>
      </c>
      <c r="K1403" s="62" t="s">
        <v>97</v>
      </c>
      <c r="L1403" s="163" t="s">
        <v>1181</v>
      </c>
      <c r="M1403" s="114">
        <v>-1.3464999999999998</v>
      </c>
      <c r="BU1403" s="61"/>
    </row>
    <row r="1404" spans="1:73" x14ac:dyDescent="0.35">
      <c r="A1404" s="7" t="s">
        <v>1379</v>
      </c>
      <c r="B1404" s="7" t="s">
        <v>1382</v>
      </c>
      <c r="C1404" s="170" t="s">
        <v>848</v>
      </c>
      <c r="D1404" s="170" t="s">
        <v>226</v>
      </c>
      <c r="E1404" s="170" t="s">
        <v>1198</v>
      </c>
      <c r="F1404" s="62">
        <v>249.92</v>
      </c>
      <c r="G1404" s="62" t="s">
        <v>1074</v>
      </c>
      <c r="H1404" s="114">
        <v>62.901000000000003</v>
      </c>
      <c r="I1404" s="19" t="s">
        <v>40</v>
      </c>
      <c r="J1404" s="180">
        <v>3.1210000000000022</v>
      </c>
      <c r="K1404" s="62" t="s">
        <v>97</v>
      </c>
      <c r="L1404" s="163" t="s">
        <v>1181</v>
      </c>
      <c r="M1404" s="114">
        <v>-1.1055000000000001</v>
      </c>
      <c r="BU1404" s="61"/>
    </row>
    <row r="1405" spans="1:73" x14ac:dyDescent="0.35">
      <c r="A1405" s="7" t="s">
        <v>1379</v>
      </c>
      <c r="B1405" s="7" t="s">
        <v>1382</v>
      </c>
      <c r="C1405" s="170" t="s">
        <v>848</v>
      </c>
      <c r="D1405" s="170" t="s">
        <v>226</v>
      </c>
      <c r="E1405" s="170" t="s">
        <v>1199</v>
      </c>
      <c r="F1405" s="62">
        <v>249.97</v>
      </c>
      <c r="G1405" s="62" t="s">
        <v>1074</v>
      </c>
      <c r="H1405" s="114">
        <v>62.914000000000001</v>
      </c>
      <c r="I1405" s="19" t="s">
        <v>40</v>
      </c>
      <c r="J1405" s="180">
        <v>3.1080000000000041</v>
      </c>
      <c r="K1405" s="62" t="s">
        <v>97</v>
      </c>
      <c r="L1405" s="163" t="s">
        <v>1181</v>
      </c>
      <c r="M1405" s="114">
        <v>-1.2805</v>
      </c>
      <c r="BU1405" s="61"/>
    </row>
    <row r="1406" spans="1:73" x14ac:dyDescent="0.35">
      <c r="A1406" s="7" t="s">
        <v>1379</v>
      </c>
      <c r="B1406" s="7" t="s">
        <v>1382</v>
      </c>
      <c r="C1406" s="170" t="s">
        <v>848</v>
      </c>
      <c r="D1406" s="170" t="s">
        <v>226</v>
      </c>
      <c r="E1406" s="170" t="s">
        <v>1200</v>
      </c>
      <c r="F1406" s="62">
        <v>250</v>
      </c>
      <c r="G1406" s="62" t="s">
        <v>1074</v>
      </c>
      <c r="H1406" s="114">
        <v>62.920999999999999</v>
      </c>
      <c r="I1406" s="19" t="s">
        <v>40</v>
      </c>
      <c r="J1406" s="180">
        <v>3.1010000000000062</v>
      </c>
      <c r="K1406" s="62" t="s">
        <v>97</v>
      </c>
      <c r="L1406" s="163" t="s">
        <v>1181</v>
      </c>
      <c r="M1406" s="114">
        <v>-1.1984999999999997</v>
      </c>
      <c r="BU1406" s="61"/>
    </row>
    <row r="1407" spans="1:73" x14ac:dyDescent="0.35">
      <c r="A1407" s="7" t="s">
        <v>1379</v>
      </c>
      <c r="B1407" s="7" t="s">
        <v>1382</v>
      </c>
      <c r="C1407" s="170" t="s">
        <v>848</v>
      </c>
      <c r="D1407" s="170" t="s">
        <v>226</v>
      </c>
      <c r="E1407" s="170" t="s">
        <v>1201</v>
      </c>
      <c r="F1407" s="62">
        <v>250.12</v>
      </c>
      <c r="G1407" s="62" t="s">
        <v>1074</v>
      </c>
      <c r="H1407" s="114">
        <v>62.951999999999998</v>
      </c>
      <c r="I1407" s="19" t="s">
        <v>40</v>
      </c>
      <c r="J1407" s="180">
        <v>3.0700000000000074</v>
      </c>
      <c r="K1407" s="62" t="s">
        <v>97</v>
      </c>
      <c r="L1407" s="163" t="s">
        <v>1181</v>
      </c>
      <c r="M1407" s="114">
        <v>-1.2084999999999999</v>
      </c>
      <c r="BU1407" s="61"/>
    </row>
    <row r="1408" spans="1:73" x14ac:dyDescent="0.35">
      <c r="A1408" s="7" t="s">
        <v>1379</v>
      </c>
      <c r="B1408" s="7" t="s">
        <v>1382</v>
      </c>
      <c r="C1408" s="170" t="s">
        <v>848</v>
      </c>
      <c r="D1408" s="170" t="s">
        <v>226</v>
      </c>
      <c r="E1408" s="170" t="s">
        <v>1202</v>
      </c>
      <c r="F1408" s="62">
        <v>250.22</v>
      </c>
      <c r="G1408" s="62" t="s">
        <v>1074</v>
      </c>
      <c r="H1408" s="114">
        <v>62.976999999999997</v>
      </c>
      <c r="I1408" s="19" t="s">
        <v>40</v>
      </c>
      <c r="J1408" s="180">
        <v>3.0450000000000088</v>
      </c>
      <c r="K1408" s="62" t="s">
        <v>97</v>
      </c>
      <c r="L1408" s="163" t="s">
        <v>1181</v>
      </c>
      <c r="M1408" s="114">
        <v>-1.1795</v>
      </c>
      <c r="BU1408" s="61"/>
    </row>
    <row r="1409" spans="1:73" x14ac:dyDescent="0.35">
      <c r="A1409" s="7" t="s">
        <v>1379</v>
      </c>
      <c r="B1409" s="7" t="s">
        <v>1382</v>
      </c>
      <c r="C1409" s="170" t="s">
        <v>848</v>
      </c>
      <c r="D1409" s="170" t="s">
        <v>226</v>
      </c>
      <c r="E1409" s="170" t="s">
        <v>1203</v>
      </c>
      <c r="F1409" s="62">
        <v>250.32</v>
      </c>
      <c r="G1409" s="62" t="s">
        <v>1074</v>
      </c>
      <c r="H1409" s="114">
        <v>63.003</v>
      </c>
      <c r="I1409" s="19" t="s">
        <v>40</v>
      </c>
      <c r="J1409" s="180">
        <v>3.0190000000000055</v>
      </c>
      <c r="K1409" s="62" t="s">
        <v>97</v>
      </c>
      <c r="L1409" s="163" t="s">
        <v>1181</v>
      </c>
      <c r="M1409" s="114">
        <v>-1.2054999999999998</v>
      </c>
      <c r="BU1409" s="61"/>
    </row>
    <row r="1410" spans="1:73" x14ac:dyDescent="0.35">
      <c r="A1410" s="7" t="s">
        <v>1379</v>
      </c>
      <c r="B1410" s="7" t="s">
        <v>1382</v>
      </c>
      <c r="C1410" s="170" t="s">
        <v>848</v>
      </c>
      <c r="D1410" s="170" t="s">
        <v>226</v>
      </c>
      <c r="E1410" s="170" t="s">
        <v>1204</v>
      </c>
      <c r="F1410" s="62">
        <v>250.42000000000002</v>
      </c>
      <c r="G1410" s="62" t="s">
        <v>1074</v>
      </c>
      <c r="H1410" s="114">
        <v>63.027999999999999</v>
      </c>
      <c r="I1410" s="19" t="s">
        <v>40</v>
      </c>
      <c r="J1410" s="180">
        <v>2.9940000000000069</v>
      </c>
      <c r="K1410" s="62" t="s">
        <v>97</v>
      </c>
      <c r="L1410" s="163" t="s">
        <v>1181</v>
      </c>
      <c r="M1410" s="114">
        <v>-1.2575000000000001</v>
      </c>
      <c r="BU1410" s="61"/>
    </row>
    <row r="1411" spans="1:73" x14ac:dyDescent="0.35">
      <c r="A1411" s="7" t="s">
        <v>1379</v>
      </c>
      <c r="B1411" s="7" t="s">
        <v>1382</v>
      </c>
      <c r="C1411" s="170" t="s">
        <v>848</v>
      </c>
      <c r="D1411" s="170" t="s">
        <v>226</v>
      </c>
      <c r="E1411" s="170" t="s">
        <v>1205</v>
      </c>
      <c r="F1411" s="62">
        <v>250.52</v>
      </c>
      <c r="G1411" s="62" t="s">
        <v>1074</v>
      </c>
      <c r="H1411" s="114">
        <v>63.054000000000002</v>
      </c>
      <c r="I1411" s="19" t="s">
        <v>40</v>
      </c>
      <c r="J1411" s="180">
        <v>2.9680000000000035</v>
      </c>
      <c r="K1411" s="62" t="s">
        <v>97</v>
      </c>
      <c r="L1411" s="163" t="s">
        <v>1181</v>
      </c>
      <c r="M1411" s="114">
        <v>-1.2965</v>
      </c>
      <c r="BU1411" s="61"/>
    </row>
    <row r="1412" spans="1:73" x14ac:dyDescent="0.35">
      <c r="A1412" s="7" t="s">
        <v>1379</v>
      </c>
      <c r="B1412" s="7" t="s">
        <v>1382</v>
      </c>
      <c r="C1412" s="170" t="s">
        <v>848</v>
      </c>
      <c r="D1412" s="170" t="s">
        <v>226</v>
      </c>
      <c r="E1412" s="170" t="s">
        <v>1206</v>
      </c>
      <c r="F1412" s="62">
        <v>250.62</v>
      </c>
      <c r="G1412" s="62" t="s">
        <v>1074</v>
      </c>
      <c r="H1412" s="114">
        <v>63.079000000000001</v>
      </c>
      <c r="I1412" s="19" t="s">
        <v>40</v>
      </c>
      <c r="J1412" s="180">
        <v>2.9430000000000049</v>
      </c>
      <c r="K1412" s="62" t="s">
        <v>97</v>
      </c>
      <c r="L1412" s="163" t="s">
        <v>1181</v>
      </c>
      <c r="M1412" s="114">
        <v>-1.3565</v>
      </c>
      <c r="BU1412" s="61"/>
    </row>
    <row r="1413" spans="1:73" x14ac:dyDescent="0.35">
      <c r="A1413" s="7" t="s">
        <v>1379</v>
      </c>
      <c r="B1413" s="7" t="s">
        <v>1382</v>
      </c>
      <c r="C1413" s="170" t="s">
        <v>848</v>
      </c>
      <c r="D1413" s="170" t="s">
        <v>226</v>
      </c>
      <c r="E1413" s="170" t="s">
        <v>1207</v>
      </c>
      <c r="F1413" s="62">
        <v>250.72</v>
      </c>
      <c r="G1413" s="62" t="s">
        <v>1074</v>
      </c>
      <c r="H1413" s="114">
        <v>63.104999999999997</v>
      </c>
      <c r="I1413" s="19" t="s">
        <v>40</v>
      </c>
      <c r="J1413" s="180">
        <v>2.9170000000000087</v>
      </c>
      <c r="K1413" s="62" t="s">
        <v>97</v>
      </c>
      <c r="L1413" s="163" t="s">
        <v>1181</v>
      </c>
      <c r="M1413" s="114">
        <v>-1.2264999999999997</v>
      </c>
      <c r="BU1413" s="61"/>
    </row>
    <row r="1414" spans="1:73" x14ac:dyDescent="0.35">
      <c r="A1414" s="7" t="s">
        <v>1379</v>
      </c>
      <c r="B1414" s="7" t="s">
        <v>1382</v>
      </c>
      <c r="C1414" s="170" t="s">
        <v>848</v>
      </c>
      <c r="D1414" s="170" t="s">
        <v>226</v>
      </c>
      <c r="E1414" s="170" t="s">
        <v>1208</v>
      </c>
      <c r="F1414" s="62">
        <v>250.82</v>
      </c>
      <c r="G1414" s="62" t="s">
        <v>1074</v>
      </c>
      <c r="H1414" s="114">
        <v>63.13</v>
      </c>
      <c r="I1414" s="19" t="s">
        <v>40</v>
      </c>
      <c r="J1414" s="180">
        <v>2.892000000000003</v>
      </c>
      <c r="K1414" s="62" t="s">
        <v>97</v>
      </c>
      <c r="L1414" s="163" t="s">
        <v>1181</v>
      </c>
      <c r="M1414" s="114">
        <v>-1.1694999999999998</v>
      </c>
      <c r="BU1414" s="61"/>
    </row>
    <row r="1415" spans="1:73" x14ac:dyDescent="0.35">
      <c r="A1415" s="7" t="s">
        <v>1379</v>
      </c>
      <c r="B1415" s="7" t="s">
        <v>1382</v>
      </c>
      <c r="C1415" s="170" t="s">
        <v>848</v>
      </c>
      <c r="D1415" s="170" t="s">
        <v>226</v>
      </c>
      <c r="E1415" s="170" t="s">
        <v>1209</v>
      </c>
      <c r="F1415" s="62">
        <v>250.92000000000002</v>
      </c>
      <c r="G1415" s="62" t="s">
        <v>1074</v>
      </c>
      <c r="H1415" s="114">
        <v>63.155999999999999</v>
      </c>
      <c r="I1415" s="19" t="s">
        <v>40</v>
      </c>
      <c r="J1415" s="180">
        <v>2.8660000000000068</v>
      </c>
      <c r="K1415" s="62" t="s">
        <v>97</v>
      </c>
      <c r="L1415" s="163" t="s">
        <v>1181</v>
      </c>
      <c r="M1415" s="114">
        <v>-1.2584999999999997</v>
      </c>
      <c r="BU1415" s="61"/>
    </row>
    <row r="1416" spans="1:73" x14ac:dyDescent="0.35">
      <c r="A1416" s="7" t="s">
        <v>1379</v>
      </c>
      <c r="B1416" s="7" t="s">
        <v>1382</v>
      </c>
      <c r="C1416" s="170" t="s">
        <v>848</v>
      </c>
      <c r="D1416" s="170" t="s">
        <v>226</v>
      </c>
      <c r="E1416" s="170" t="s">
        <v>1210</v>
      </c>
      <c r="F1416" s="62">
        <v>251.02</v>
      </c>
      <c r="G1416" s="62" t="s">
        <v>1074</v>
      </c>
      <c r="H1416" s="114">
        <v>63.180999999999997</v>
      </c>
      <c r="I1416" s="19" t="s">
        <v>40</v>
      </c>
      <c r="J1416" s="180">
        <v>2.8410000000000082</v>
      </c>
      <c r="K1416" s="62" t="s">
        <v>97</v>
      </c>
      <c r="L1416" s="163" t="s">
        <v>1181</v>
      </c>
      <c r="M1416" s="114">
        <v>-1.2044999999999999</v>
      </c>
      <c r="BU1416" s="61"/>
    </row>
    <row r="1417" spans="1:73" x14ac:dyDescent="0.35">
      <c r="A1417" s="7" t="s">
        <v>1379</v>
      </c>
      <c r="B1417" s="7" t="s">
        <v>1382</v>
      </c>
      <c r="C1417" s="170" t="s">
        <v>848</v>
      </c>
      <c r="D1417" s="170" t="s">
        <v>226</v>
      </c>
      <c r="E1417" s="170" t="s">
        <v>1211</v>
      </c>
      <c r="F1417" s="62">
        <v>251.12</v>
      </c>
      <c r="G1417" s="62" t="s">
        <v>1074</v>
      </c>
      <c r="H1417" s="114">
        <v>63.207000000000001</v>
      </c>
      <c r="I1417" s="19" t="s">
        <v>40</v>
      </c>
      <c r="J1417" s="180">
        <v>2.8150000000000048</v>
      </c>
      <c r="K1417" s="62" t="s">
        <v>97</v>
      </c>
      <c r="L1417" s="163" t="s">
        <v>1181</v>
      </c>
      <c r="M1417" s="114">
        <v>-1.1715</v>
      </c>
      <c r="BU1417" s="61"/>
    </row>
    <row r="1418" spans="1:73" x14ac:dyDescent="0.35">
      <c r="A1418" s="7" t="s">
        <v>1379</v>
      </c>
      <c r="B1418" s="7" t="s">
        <v>1382</v>
      </c>
      <c r="C1418" s="170" t="s">
        <v>848</v>
      </c>
      <c r="D1418" s="170" t="s">
        <v>226</v>
      </c>
      <c r="E1418" s="170" t="s">
        <v>1212</v>
      </c>
      <c r="F1418" s="62">
        <v>251.22</v>
      </c>
      <c r="G1418" s="62" t="s">
        <v>1074</v>
      </c>
      <c r="H1418" s="114">
        <v>63.231999999999999</v>
      </c>
      <c r="I1418" s="19" t="s">
        <v>40</v>
      </c>
      <c r="J1418" s="180">
        <v>2.7900000000000063</v>
      </c>
      <c r="K1418" s="62" t="s">
        <v>97</v>
      </c>
      <c r="L1418" s="163" t="s">
        <v>1181</v>
      </c>
      <c r="M1418" s="114">
        <v>-1.2544999999999997</v>
      </c>
      <c r="BU1418" s="61"/>
    </row>
    <row r="1419" spans="1:73" x14ac:dyDescent="0.35">
      <c r="A1419" s="7" t="s">
        <v>1379</v>
      </c>
      <c r="B1419" s="7" t="s">
        <v>1382</v>
      </c>
      <c r="C1419" s="170" t="s">
        <v>848</v>
      </c>
      <c r="D1419" s="170" t="s">
        <v>226</v>
      </c>
      <c r="E1419" s="170" t="s">
        <v>1213</v>
      </c>
      <c r="F1419" s="62">
        <v>251.32</v>
      </c>
      <c r="G1419" s="62" t="s">
        <v>1074</v>
      </c>
      <c r="H1419" s="114">
        <v>63.256999999999998</v>
      </c>
      <c r="I1419" s="19" t="s">
        <v>40</v>
      </c>
      <c r="J1419" s="180">
        <v>2.7650000000000077</v>
      </c>
      <c r="K1419" s="62" t="s">
        <v>97</v>
      </c>
      <c r="L1419" s="163" t="s">
        <v>1181</v>
      </c>
      <c r="M1419" s="114">
        <v>-1.1025</v>
      </c>
      <c r="BU1419" s="61"/>
    </row>
    <row r="1420" spans="1:73" x14ac:dyDescent="0.35">
      <c r="A1420" s="7" t="s">
        <v>1379</v>
      </c>
      <c r="B1420" s="7" t="s">
        <v>1382</v>
      </c>
      <c r="C1420" s="170" t="s">
        <v>848</v>
      </c>
      <c r="D1420" s="170" t="s">
        <v>226</v>
      </c>
      <c r="E1420" s="170" t="s">
        <v>1214</v>
      </c>
      <c r="F1420" s="62">
        <v>251.42000000000002</v>
      </c>
      <c r="G1420" s="62" t="s">
        <v>1074</v>
      </c>
      <c r="H1420" s="114">
        <v>63.283000000000001</v>
      </c>
      <c r="I1420" s="19" t="s">
        <v>40</v>
      </c>
      <c r="J1420" s="180">
        <v>2.7390000000000043</v>
      </c>
      <c r="K1420" s="62" t="s">
        <v>97</v>
      </c>
      <c r="L1420" s="163" t="s">
        <v>1181</v>
      </c>
      <c r="M1420" s="114">
        <v>-1.1525000000000001</v>
      </c>
      <c r="BU1420" s="61"/>
    </row>
    <row r="1421" spans="1:73" x14ac:dyDescent="0.35">
      <c r="A1421" s="7" t="s">
        <v>1379</v>
      </c>
      <c r="B1421" s="7" t="s">
        <v>1382</v>
      </c>
      <c r="C1421" s="170" t="s">
        <v>848</v>
      </c>
      <c r="D1421" s="170" t="s">
        <v>226</v>
      </c>
      <c r="E1421" s="170" t="s">
        <v>1215</v>
      </c>
      <c r="F1421" s="62">
        <v>251.47</v>
      </c>
      <c r="G1421" s="62" t="s">
        <v>1074</v>
      </c>
      <c r="H1421" s="114">
        <v>63.295999999999999</v>
      </c>
      <c r="I1421" s="19" t="s">
        <v>40</v>
      </c>
      <c r="J1421" s="180">
        <v>2.7260000000000062</v>
      </c>
      <c r="K1421" s="62" t="s">
        <v>97</v>
      </c>
      <c r="L1421" s="163" t="s">
        <v>1181</v>
      </c>
      <c r="M1421" s="114">
        <v>-1.3234999999999997</v>
      </c>
      <c r="BU1421" s="61"/>
    </row>
    <row r="1422" spans="1:73" x14ac:dyDescent="0.35">
      <c r="A1422" s="7" t="s">
        <v>1379</v>
      </c>
      <c r="B1422" s="7" t="s">
        <v>1382</v>
      </c>
      <c r="C1422" s="170" t="s">
        <v>848</v>
      </c>
      <c r="D1422" s="170" t="s">
        <v>226</v>
      </c>
      <c r="E1422" s="170" t="s">
        <v>1216</v>
      </c>
      <c r="F1422" s="62">
        <v>251.47</v>
      </c>
      <c r="G1422" s="62" t="s">
        <v>1074</v>
      </c>
      <c r="H1422" s="114">
        <v>63.295999999999999</v>
      </c>
      <c r="I1422" s="19" t="s">
        <v>40</v>
      </c>
      <c r="J1422" s="180">
        <v>2.7260000000000062</v>
      </c>
      <c r="K1422" s="62" t="s">
        <v>97</v>
      </c>
      <c r="L1422" s="163" t="s">
        <v>1181</v>
      </c>
      <c r="M1422" s="114">
        <v>-1.2635000000000001</v>
      </c>
      <c r="BU1422" s="61"/>
    </row>
    <row r="1423" spans="1:73" x14ac:dyDescent="0.35">
      <c r="A1423" s="7" t="s">
        <v>1379</v>
      </c>
      <c r="B1423" s="7" t="s">
        <v>1382</v>
      </c>
      <c r="C1423" s="170" t="s">
        <v>848</v>
      </c>
      <c r="D1423" s="170" t="s">
        <v>226</v>
      </c>
      <c r="E1423" s="170" t="s">
        <v>1217</v>
      </c>
      <c r="F1423" s="62">
        <v>251.52</v>
      </c>
      <c r="G1423" s="62" t="s">
        <v>1074</v>
      </c>
      <c r="H1423" s="114">
        <v>63.308</v>
      </c>
      <c r="I1423" s="19" t="s">
        <v>40</v>
      </c>
      <c r="J1423" s="180">
        <v>2.7140000000000057</v>
      </c>
      <c r="K1423" s="62" t="s">
        <v>97</v>
      </c>
      <c r="L1423" s="163" t="s">
        <v>1181</v>
      </c>
      <c r="M1423" s="114">
        <v>-1.2524999999999999</v>
      </c>
      <c r="BU1423" s="61"/>
    </row>
    <row r="1424" spans="1:73" x14ac:dyDescent="0.35">
      <c r="A1424" s="7" t="s">
        <v>1379</v>
      </c>
      <c r="B1424" s="7" t="s">
        <v>1382</v>
      </c>
      <c r="C1424" s="170" t="s">
        <v>848</v>
      </c>
      <c r="D1424" s="170" t="s">
        <v>226</v>
      </c>
      <c r="E1424" s="170" t="s">
        <v>1218</v>
      </c>
      <c r="F1424" s="62">
        <v>251.62</v>
      </c>
      <c r="G1424" s="62" t="s">
        <v>1074</v>
      </c>
      <c r="H1424" s="114">
        <v>63.334000000000003</v>
      </c>
      <c r="I1424" s="19" t="s">
        <v>40</v>
      </c>
      <c r="J1424" s="180">
        <v>2.6880000000000024</v>
      </c>
      <c r="K1424" s="62" t="s">
        <v>97</v>
      </c>
      <c r="L1424" s="163" t="s">
        <v>1181</v>
      </c>
      <c r="M1424" s="114">
        <v>-1.3574999999999999</v>
      </c>
      <c r="BU1424" s="61"/>
    </row>
    <row r="1425" spans="1:73" x14ac:dyDescent="0.35">
      <c r="A1425" s="7" t="s">
        <v>1379</v>
      </c>
      <c r="B1425" s="7" t="s">
        <v>1382</v>
      </c>
      <c r="C1425" s="170" t="s">
        <v>848</v>
      </c>
      <c r="D1425" s="170" t="s">
        <v>226</v>
      </c>
      <c r="E1425" s="170" t="s">
        <v>1219</v>
      </c>
      <c r="F1425" s="62">
        <v>251.67000000000002</v>
      </c>
      <c r="G1425" s="62" t="s">
        <v>1074</v>
      </c>
      <c r="H1425" s="114">
        <v>63.347000000000001</v>
      </c>
      <c r="I1425" s="19" t="s">
        <v>40</v>
      </c>
      <c r="J1425" s="180">
        <v>2.6750000000000043</v>
      </c>
      <c r="K1425" s="62" t="s">
        <v>97</v>
      </c>
      <c r="L1425" s="163" t="s">
        <v>1181</v>
      </c>
      <c r="M1425" s="114">
        <v>-1.3234999999999997</v>
      </c>
      <c r="BU1425" s="61"/>
    </row>
    <row r="1426" spans="1:73" x14ac:dyDescent="0.35">
      <c r="A1426" s="7" t="s">
        <v>1379</v>
      </c>
      <c r="B1426" s="7" t="s">
        <v>1382</v>
      </c>
      <c r="C1426" s="170" t="s">
        <v>848</v>
      </c>
      <c r="D1426" s="170" t="s">
        <v>226</v>
      </c>
      <c r="E1426" s="170" t="s">
        <v>1220</v>
      </c>
      <c r="F1426" s="62">
        <v>251.72</v>
      </c>
      <c r="G1426" s="62" t="s">
        <v>1074</v>
      </c>
      <c r="H1426" s="114">
        <v>63.359000000000002</v>
      </c>
      <c r="I1426" s="19" t="s">
        <v>40</v>
      </c>
      <c r="J1426" s="180">
        <v>2.6630000000000038</v>
      </c>
      <c r="K1426" s="62" t="s">
        <v>97</v>
      </c>
      <c r="L1426" s="163" t="s">
        <v>1181</v>
      </c>
      <c r="M1426" s="114">
        <v>-1.6094999999999997</v>
      </c>
      <c r="BU1426" s="61"/>
    </row>
    <row r="1427" spans="1:73" x14ac:dyDescent="0.35">
      <c r="A1427" s="7" t="s">
        <v>1379</v>
      </c>
      <c r="B1427" s="7" t="s">
        <v>1382</v>
      </c>
      <c r="C1427" s="170" t="s">
        <v>848</v>
      </c>
      <c r="D1427" s="170" t="s">
        <v>226</v>
      </c>
      <c r="E1427" s="170" t="s">
        <v>1221</v>
      </c>
      <c r="F1427" s="62">
        <v>251.77</v>
      </c>
      <c r="G1427" s="62" t="s">
        <v>1074</v>
      </c>
      <c r="H1427" s="114">
        <v>63.372</v>
      </c>
      <c r="I1427" s="19" t="s">
        <v>40</v>
      </c>
      <c r="J1427" s="180">
        <v>2.6500000000000057</v>
      </c>
      <c r="K1427" s="62" t="s">
        <v>97</v>
      </c>
      <c r="L1427" s="163" t="s">
        <v>1181</v>
      </c>
      <c r="M1427" s="114">
        <v>-1.4204999999999997</v>
      </c>
      <c r="BU1427" s="61"/>
    </row>
    <row r="1428" spans="1:73" x14ac:dyDescent="0.35">
      <c r="A1428" s="7" t="s">
        <v>1379</v>
      </c>
      <c r="B1428" s="7" t="s">
        <v>1382</v>
      </c>
      <c r="C1428" s="170" t="s">
        <v>848</v>
      </c>
      <c r="D1428" s="170" t="s">
        <v>226</v>
      </c>
      <c r="E1428" s="170" t="s">
        <v>1222</v>
      </c>
      <c r="F1428" s="62">
        <v>251.87</v>
      </c>
      <c r="G1428" s="62" t="s">
        <v>1074</v>
      </c>
      <c r="H1428" s="114">
        <v>63.396999999999998</v>
      </c>
      <c r="I1428" s="19" t="s">
        <v>40</v>
      </c>
      <c r="J1428" s="180">
        <v>2.6250000000000071</v>
      </c>
      <c r="K1428" s="62" t="s">
        <v>97</v>
      </c>
      <c r="L1428" s="163" t="s">
        <v>1181</v>
      </c>
      <c r="M1428" s="114">
        <v>-1.4264999999999999</v>
      </c>
      <c r="BU1428" s="61"/>
    </row>
    <row r="1429" spans="1:73" x14ac:dyDescent="0.35">
      <c r="A1429" s="7" t="s">
        <v>1379</v>
      </c>
      <c r="B1429" s="7" t="s">
        <v>1382</v>
      </c>
      <c r="C1429" s="170" t="s">
        <v>848</v>
      </c>
      <c r="D1429" s="170" t="s">
        <v>226</v>
      </c>
      <c r="E1429" s="170" t="s">
        <v>1223</v>
      </c>
      <c r="F1429" s="62">
        <v>251.92000000000002</v>
      </c>
      <c r="G1429" s="62" t="s">
        <v>1074</v>
      </c>
      <c r="H1429" s="114">
        <v>63.41</v>
      </c>
      <c r="I1429" s="19" t="s">
        <v>40</v>
      </c>
      <c r="J1429" s="180">
        <v>2.612000000000009</v>
      </c>
      <c r="K1429" s="62" t="s">
        <v>97</v>
      </c>
      <c r="L1429" s="163" t="s">
        <v>1181</v>
      </c>
      <c r="M1429" s="114">
        <v>-1.5105</v>
      </c>
      <c r="BU1429" s="61"/>
    </row>
    <row r="1430" spans="1:73" x14ac:dyDescent="0.35">
      <c r="A1430" s="7" t="s">
        <v>1379</v>
      </c>
      <c r="B1430" s="7" t="s">
        <v>1382</v>
      </c>
      <c r="C1430" s="170" t="s">
        <v>848</v>
      </c>
      <c r="D1430" s="170" t="s">
        <v>226</v>
      </c>
      <c r="E1430" s="170" t="s">
        <v>1224</v>
      </c>
      <c r="F1430" s="62">
        <v>251.97</v>
      </c>
      <c r="G1430" s="62" t="s">
        <v>1074</v>
      </c>
      <c r="H1430" s="114">
        <v>63.423000000000002</v>
      </c>
      <c r="I1430" s="19" t="s">
        <v>40</v>
      </c>
      <c r="J1430" s="180">
        <v>2.5990000000000038</v>
      </c>
      <c r="K1430" s="62" t="s">
        <v>97</v>
      </c>
      <c r="L1430" s="163" t="s">
        <v>1181</v>
      </c>
      <c r="M1430" s="114">
        <v>-1.4884999999999997</v>
      </c>
      <c r="BU1430" s="61"/>
    </row>
    <row r="1431" spans="1:73" x14ac:dyDescent="0.35">
      <c r="A1431" s="7" t="s">
        <v>1379</v>
      </c>
      <c r="B1431" s="7" t="s">
        <v>1382</v>
      </c>
      <c r="C1431" s="170" t="s">
        <v>848</v>
      </c>
      <c r="D1431" s="170" t="s">
        <v>226</v>
      </c>
      <c r="E1431" s="170" t="s">
        <v>1225</v>
      </c>
      <c r="F1431" s="62">
        <v>252.07000000000002</v>
      </c>
      <c r="G1431" s="62" t="s">
        <v>1074</v>
      </c>
      <c r="H1431" s="114">
        <v>63.448</v>
      </c>
      <c r="I1431" s="19" t="s">
        <v>40</v>
      </c>
      <c r="J1431" s="180">
        <v>2.5740000000000052</v>
      </c>
      <c r="K1431" s="62" t="s">
        <v>97</v>
      </c>
      <c r="L1431" s="163" t="s">
        <v>1181</v>
      </c>
      <c r="M1431" s="114">
        <v>-1.4434999999999998</v>
      </c>
      <c r="BU1431" s="61"/>
    </row>
    <row r="1432" spans="1:73" x14ac:dyDescent="0.35">
      <c r="A1432" s="7" t="s">
        <v>1379</v>
      </c>
      <c r="B1432" s="7" t="s">
        <v>1382</v>
      </c>
      <c r="C1432" s="170" t="s">
        <v>848</v>
      </c>
      <c r="D1432" s="170" t="s">
        <v>226</v>
      </c>
      <c r="E1432" s="170" t="s">
        <v>1225</v>
      </c>
      <c r="F1432" s="62">
        <v>252.07000000000002</v>
      </c>
      <c r="G1432" s="62" t="s">
        <v>1074</v>
      </c>
      <c r="H1432" s="114">
        <v>63.448</v>
      </c>
      <c r="I1432" s="19" t="s">
        <v>40</v>
      </c>
      <c r="J1432" s="180">
        <v>2.5740000000000052</v>
      </c>
      <c r="K1432" s="62" t="s">
        <v>97</v>
      </c>
      <c r="L1432" s="163" t="s">
        <v>1181</v>
      </c>
      <c r="M1432" s="114">
        <v>-1.6525000000000001</v>
      </c>
      <c r="BU1432" s="61"/>
    </row>
    <row r="1433" spans="1:73" x14ac:dyDescent="0.35">
      <c r="A1433" s="7" t="s">
        <v>1379</v>
      </c>
      <c r="B1433" s="7" t="s">
        <v>1382</v>
      </c>
      <c r="C1433" s="170" t="s">
        <v>848</v>
      </c>
      <c r="D1433" s="170" t="s">
        <v>226</v>
      </c>
      <c r="E1433" s="170" t="s">
        <v>1226</v>
      </c>
      <c r="F1433" s="62">
        <v>252.17000000000002</v>
      </c>
      <c r="G1433" s="62" t="s">
        <v>1074</v>
      </c>
      <c r="H1433" s="114">
        <v>63.473999999999997</v>
      </c>
      <c r="I1433" s="19" t="s">
        <v>40</v>
      </c>
      <c r="J1433" s="180">
        <v>2.5480000000000089</v>
      </c>
      <c r="K1433" s="62" t="s">
        <v>97</v>
      </c>
      <c r="L1433" s="163" t="s">
        <v>1181</v>
      </c>
      <c r="M1433" s="114">
        <v>-1.4794999999999998</v>
      </c>
      <c r="BU1433" s="61"/>
    </row>
    <row r="1434" spans="1:73" x14ac:dyDescent="0.35">
      <c r="A1434" s="7" t="s">
        <v>1379</v>
      </c>
      <c r="B1434" s="7" t="s">
        <v>1382</v>
      </c>
      <c r="C1434" s="170" t="s">
        <v>848</v>
      </c>
      <c r="D1434" s="170" t="s">
        <v>226</v>
      </c>
      <c r="E1434" s="170" t="s">
        <v>1227</v>
      </c>
      <c r="F1434" s="62">
        <v>252.27</v>
      </c>
      <c r="G1434" s="62" t="s">
        <v>1074</v>
      </c>
      <c r="H1434" s="114">
        <v>63.499000000000002</v>
      </c>
      <c r="I1434" s="19" t="s">
        <v>40</v>
      </c>
      <c r="J1434" s="180">
        <v>2.5230000000000032</v>
      </c>
      <c r="K1434" s="62" t="s">
        <v>97</v>
      </c>
      <c r="L1434" s="163" t="s">
        <v>1181</v>
      </c>
      <c r="M1434" s="114">
        <v>-1.5275000000000001</v>
      </c>
      <c r="BU1434" s="61"/>
    </row>
    <row r="1435" spans="1:73" x14ac:dyDescent="0.35">
      <c r="A1435" s="7" t="s">
        <v>1379</v>
      </c>
      <c r="B1435" s="7" t="s">
        <v>1382</v>
      </c>
      <c r="C1435" s="170" t="s">
        <v>848</v>
      </c>
      <c r="D1435" s="170" t="s">
        <v>226</v>
      </c>
      <c r="E1435" s="170" t="s">
        <v>1228</v>
      </c>
      <c r="F1435" s="62">
        <v>252.37</v>
      </c>
      <c r="G1435" s="62" t="s">
        <v>1074</v>
      </c>
      <c r="H1435" s="114">
        <v>63.524999999999999</v>
      </c>
      <c r="I1435" s="19" t="s">
        <v>40</v>
      </c>
      <c r="J1435" s="180">
        <v>2.497000000000007</v>
      </c>
      <c r="K1435" s="62" t="s">
        <v>97</v>
      </c>
      <c r="L1435" s="163" t="s">
        <v>1181</v>
      </c>
      <c r="M1435" s="114">
        <v>-1.4964999999999997</v>
      </c>
      <c r="BU1435" s="61"/>
    </row>
    <row r="1436" spans="1:73" x14ac:dyDescent="0.35">
      <c r="A1436" s="7" t="s">
        <v>1379</v>
      </c>
      <c r="B1436" s="7" t="s">
        <v>1382</v>
      </c>
      <c r="C1436" s="170" t="s">
        <v>848</v>
      </c>
      <c r="D1436" s="170" t="s">
        <v>226</v>
      </c>
      <c r="E1436" s="170" t="s">
        <v>1229</v>
      </c>
      <c r="F1436" s="62">
        <v>252.47</v>
      </c>
      <c r="G1436" s="62" t="s">
        <v>1074</v>
      </c>
      <c r="H1436" s="114">
        <v>63.55</v>
      </c>
      <c r="I1436" s="19" t="s">
        <v>40</v>
      </c>
      <c r="J1436" s="180">
        <v>2.4720000000000084</v>
      </c>
      <c r="K1436" s="62" t="s">
        <v>97</v>
      </c>
      <c r="L1436" s="163" t="s">
        <v>1230</v>
      </c>
      <c r="M1436" s="114">
        <v>-1.4655</v>
      </c>
      <c r="BU1436" s="61"/>
    </row>
    <row r="1437" spans="1:73" x14ac:dyDescent="0.35">
      <c r="A1437" s="7" t="s">
        <v>1379</v>
      </c>
      <c r="B1437" s="7" t="s">
        <v>1382</v>
      </c>
      <c r="C1437" s="170" t="s">
        <v>848</v>
      </c>
      <c r="D1437" s="170" t="s">
        <v>226</v>
      </c>
      <c r="E1437" s="170" t="s">
        <v>1231</v>
      </c>
      <c r="F1437" s="62">
        <v>252.57000000000002</v>
      </c>
      <c r="G1437" s="62" t="s">
        <v>1074</v>
      </c>
      <c r="H1437" s="114">
        <v>63.576000000000001</v>
      </c>
      <c r="I1437" s="19" t="s">
        <v>40</v>
      </c>
      <c r="J1437" s="180">
        <v>2.4460000000000051</v>
      </c>
      <c r="K1437" s="62" t="s">
        <v>97</v>
      </c>
      <c r="L1437" s="163" t="s">
        <v>1230</v>
      </c>
      <c r="M1437" s="114">
        <v>-1.3355000000000001</v>
      </c>
      <c r="BU1437" s="61"/>
    </row>
    <row r="1438" spans="1:73" x14ac:dyDescent="0.35">
      <c r="A1438" s="7" t="s">
        <v>1379</v>
      </c>
      <c r="B1438" s="7" t="s">
        <v>1382</v>
      </c>
      <c r="C1438" s="170" t="s">
        <v>848</v>
      </c>
      <c r="D1438" s="170" t="s">
        <v>226</v>
      </c>
      <c r="E1438" s="170" t="s">
        <v>1232</v>
      </c>
      <c r="F1438" s="62">
        <v>252.67000000000002</v>
      </c>
      <c r="G1438" s="62" t="s">
        <v>1074</v>
      </c>
      <c r="H1438" s="114">
        <v>63.600999999999999</v>
      </c>
      <c r="I1438" s="19" t="s">
        <v>40</v>
      </c>
      <c r="J1438" s="180">
        <v>2.4210000000000065</v>
      </c>
      <c r="K1438" s="62" t="s">
        <v>97</v>
      </c>
      <c r="L1438" s="163" t="s">
        <v>1230</v>
      </c>
      <c r="M1438" s="114">
        <v>-1.4325000000000001</v>
      </c>
      <c r="BU1438" s="61"/>
    </row>
    <row r="1439" spans="1:73" x14ac:dyDescent="0.35">
      <c r="A1439" s="7" t="s">
        <v>1379</v>
      </c>
      <c r="B1439" s="7" t="s">
        <v>1382</v>
      </c>
      <c r="C1439" s="170" t="s">
        <v>848</v>
      </c>
      <c r="D1439" s="170" t="s">
        <v>226</v>
      </c>
      <c r="E1439" s="170" t="s">
        <v>1233</v>
      </c>
      <c r="F1439" s="62">
        <v>252.77</v>
      </c>
      <c r="G1439" s="62" t="s">
        <v>1074</v>
      </c>
      <c r="H1439" s="114">
        <v>63.627000000000002</v>
      </c>
      <c r="I1439" s="19" t="s">
        <v>40</v>
      </c>
      <c r="J1439" s="180">
        <v>2.3950000000000031</v>
      </c>
      <c r="K1439" s="62" t="s">
        <v>97</v>
      </c>
      <c r="L1439" s="163" t="s">
        <v>1230</v>
      </c>
      <c r="M1439" s="114">
        <v>-1.4075</v>
      </c>
      <c r="BU1439" s="61"/>
    </row>
    <row r="1440" spans="1:73" x14ac:dyDescent="0.35">
      <c r="A1440" s="7" t="s">
        <v>1379</v>
      </c>
      <c r="B1440" s="7" t="s">
        <v>1382</v>
      </c>
      <c r="C1440" s="170" t="s">
        <v>848</v>
      </c>
      <c r="D1440" s="170" t="s">
        <v>226</v>
      </c>
      <c r="E1440" s="170" t="s">
        <v>1233</v>
      </c>
      <c r="F1440" s="62">
        <v>252.77</v>
      </c>
      <c r="G1440" s="62" t="s">
        <v>1074</v>
      </c>
      <c r="H1440" s="114">
        <v>63.627000000000002</v>
      </c>
      <c r="I1440" s="19" t="s">
        <v>40</v>
      </c>
      <c r="J1440" s="180">
        <v>2.3950000000000031</v>
      </c>
      <c r="K1440" s="62" t="s">
        <v>97</v>
      </c>
      <c r="L1440" s="163" t="s">
        <v>1230</v>
      </c>
      <c r="M1440" s="114">
        <v>-1.4524999999999999</v>
      </c>
      <c r="BU1440" s="61"/>
    </row>
    <row r="1441" spans="1:73" x14ac:dyDescent="0.35">
      <c r="A1441" s="7" t="s">
        <v>1379</v>
      </c>
      <c r="B1441" s="7" t="s">
        <v>1382</v>
      </c>
      <c r="C1441" s="170" t="s">
        <v>848</v>
      </c>
      <c r="D1441" s="170" t="s">
        <v>226</v>
      </c>
      <c r="E1441" s="170" t="s">
        <v>1234</v>
      </c>
      <c r="F1441" s="62">
        <v>252.82000000000002</v>
      </c>
      <c r="G1441" s="62" t="s">
        <v>1074</v>
      </c>
      <c r="H1441" s="114">
        <v>63.639000000000003</v>
      </c>
      <c r="I1441" s="19" t="s">
        <v>40</v>
      </c>
      <c r="J1441" s="180">
        <v>2.3830000000000027</v>
      </c>
      <c r="K1441" s="62" t="s">
        <v>97</v>
      </c>
      <c r="L1441" s="163" t="s">
        <v>1230</v>
      </c>
      <c r="M1441" s="114">
        <v>-1.4175</v>
      </c>
      <c r="BU1441" s="61"/>
    </row>
    <row r="1442" spans="1:73" x14ac:dyDescent="0.35">
      <c r="A1442" s="7" t="s">
        <v>1379</v>
      </c>
      <c r="B1442" s="7" t="s">
        <v>1382</v>
      </c>
      <c r="C1442" s="170" t="s">
        <v>848</v>
      </c>
      <c r="D1442" s="170" t="s">
        <v>226</v>
      </c>
      <c r="E1442" s="170" t="s">
        <v>1235</v>
      </c>
      <c r="F1442" s="62">
        <v>252.87</v>
      </c>
      <c r="G1442" s="62" t="s">
        <v>1074</v>
      </c>
      <c r="H1442" s="114">
        <v>63.652000000000001</v>
      </c>
      <c r="I1442" s="19" t="s">
        <v>40</v>
      </c>
      <c r="J1442" s="180">
        <v>2.3700000000000045</v>
      </c>
      <c r="K1442" s="62" t="s">
        <v>97</v>
      </c>
      <c r="L1442" s="163" t="s">
        <v>1230</v>
      </c>
      <c r="M1442" s="114">
        <v>-1.3365</v>
      </c>
      <c r="BU1442" s="61"/>
    </row>
    <row r="1443" spans="1:73" x14ac:dyDescent="0.35">
      <c r="A1443" s="7" t="s">
        <v>1379</v>
      </c>
      <c r="B1443" s="7" t="s">
        <v>1382</v>
      </c>
      <c r="C1443" s="170" t="s">
        <v>848</v>
      </c>
      <c r="D1443" s="170" t="s">
        <v>226</v>
      </c>
      <c r="E1443" s="170" t="s">
        <v>1235</v>
      </c>
      <c r="F1443" s="62">
        <v>252.87</v>
      </c>
      <c r="G1443" s="62" t="s">
        <v>1074</v>
      </c>
      <c r="H1443" s="114">
        <v>63.652000000000001</v>
      </c>
      <c r="I1443" s="19" t="s">
        <v>40</v>
      </c>
      <c r="J1443" s="180">
        <v>2.3700000000000045</v>
      </c>
      <c r="K1443" s="62" t="s">
        <v>97</v>
      </c>
      <c r="L1443" s="163" t="s">
        <v>1230</v>
      </c>
      <c r="M1443" s="114">
        <v>-1.2594999999999996</v>
      </c>
      <c r="BU1443" s="61"/>
    </row>
    <row r="1444" spans="1:73" x14ac:dyDescent="0.35">
      <c r="A1444" s="7" t="s">
        <v>1379</v>
      </c>
      <c r="B1444" s="7" t="s">
        <v>1382</v>
      </c>
      <c r="C1444" s="170" t="s">
        <v>848</v>
      </c>
      <c r="D1444" s="170" t="s">
        <v>226</v>
      </c>
      <c r="E1444" s="170" t="s">
        <v>1236</v>
      </c>
      <c r="F1444" s="62">
        <v>252.97</v>
      </c>
      <c r="G1444" s="62" t="s">
        <v>1074</v>
      </c>
      <c r="H1444" s="114">
        <v>63.677999999999997</v>
      </c>
      <c r="I1444" s="19" t="s">
        <v>40</v>
      </c>
      <c r="J1444" s="180">
        <v>2.3440000000000083</v>
      </c>
      <c r="K1444" s="62" t="s">
        <v>97</v>
      </c>
      <c r="L1444" s="163" t="s">
        <v>1230</v>
      </c>
      <c r="M1444" s="114">
        <v>-1.3765000000000001</v>
      </c>
      <c r="BU1444" s="61"/>
    </row>
    <row r="1445" spans="1:73" x14ac:dyDescent="0.35">
      <c r="A1445" s="7" t="s">
        <v>1379</v>
      </c>
      <c r="B1445" s="7" t="s">
        <v>1382</v>
      </c>
      <c r="C1445" s="170" t="s">
        <v>848</v>
      </c>
      <c r="D1445" s="170" t="s">
        <v>226</v>
      </c>
      <c r="E1445" s="170" t="s">
        <v>1236</v>
      </c>
      <c r="F1445" s="62">
        <v>252.97</v>
      </c>
      <c r="G1445" s="62" t="s">
        <v>1074</v>
      </c>
      <c r="H1445" s="114">
        <v>63.677999999999997</v>
      </c>
      <c r="I1445" s="19" t="s">
        <v>40</v>
      </c>
      <c r="J1445" s="180">
        <v>2.3440000000000083</v>
      </c>
      <c r="K1445" s="62" t="s">
        <v>97</v>
      </c>
      <c r="L1445" s="163" t="s">
        <v>1230</v>
      </c>
      <c r="M1445" s="114">
        <v>-1.4675</v>
      </c>
      <c r="BU1445" s="61"/>
    </row>
    <row r="1446" spans="1:73" x14ac:dyDescent="0.35">
      <c r="A1446" s="7" t="s">
        <v>1379</v>
      </c>
      <c r="B1446" s="7" t="s">
        <v>1382</v>
      </c>
      <c r="C1446" s="170" t="s">
        <v>848</v>
      </c>
      <c r="D1446" s="170" t="s">
        <v>226</v>
      </c>
      <c r="E1446" s="170" t="s">
        <v>1237</v>
      </c>
      <c r="F1446" s="62">
        <v>253.07000000000002</v>
      </c>
      <c r="G1446" s="62" t="s">
        <v>1074</v>
      </c>
      <c r="H1446" s="114">
        <v>63.703000000000003</v>
      </c>
      <c r="I1446" s="19" t="s">
        <v>40</v>
      </c>
      <c r="J1446" s="180">
        <v>2.3190000000000026</v>
      </c>
      <c r="K1446" s="62" t="s">
        <v>97</v>
      </c>
      <c r="L1446" s="163" t="s">
        <v>1230</v>
      </c>
      <c r="M1446" s="114">
        <v>-1.3374999999999999</v>
      </c>
      <c r="BU1446" s="61"/>
    </row>
    <row r="1447" spans="1:73" x14ac:dyDescent="0.35">
      <c r="A1447" s="7" t="s">
        <v>1379</v>
      </c>
      <c r="B1447" s="7" t="s">
        <v>1382</v>
      </c>
      <c r="C1447" s="170" t="s">
        <v>848</v>
      </c>
      <c r="D1447" s="170" t="s">
        <v>226</v>
      </c>
      <c r="E1447" s="170" t="s">
        <v>1238</v>
      </c>
      <c r="F1447" s="62">
        <v>253.17000000000002</v>
      </c>
      <c r="G1447" s="62" t="s">
        <v>1074</v>
      </c>
      <c r="H1447" s="114">
        <v>63.738</v>
      </c>
      <c r="I1447" s="19" t="s">
        <v>40</v>
      </c>
      <c r="J1447" s="180">
        <v>2.284000000000006</v>
      </c>
      <c r="K1447" s="62" t="s">
        <v>97</v>
      </c>
      <c r="L1447" s="163" t="s">
        <v>1230</v>
      </c>
      <c r="M1447" s="114">
        <v>-1.3325</v>
      </c>
      <c r="BU1447" s="61"/>
    </row>
    <row r="1448" spans="1:73" x14ac:dyDescent="0.35">
      <c r="A1448" s="7" t="s">
        <v>1379</v>
      </c>
      <c r="B1448" s="7" t="s">
        <v>1382</v>
      </c>
      <c r="C1448" s="170" t="s">
        <v>848</v>
      </c>
      <c r="D1448" s="170" t="s">
        <v>226</v>
      </c>
      <c r="E1448" s="170" t="s">
        <v>1239</v>
      </c>
      <c r="F1448" s="62">
        <v>253.27</v>
      </c>
      <c r="G1448" s="62" t="s">
        <v>1074</v>
      </c>
      <c r="H1448" s="114">
        <v>63.773000000000003</v>
      </c>
      <c r="I1448" s="19" t="s">
        <v>40</v>
      </c>
      <c r="J1448" s="180">
        <v>2.2490000000000023</v>
      </c>
      <c r="K1448" s="62" t="s">
        <v>97</v>
      </c>
      <c r="L1448" s="163" t="s">
        <v>1230</v>
      </c>
      <c r="M1448" s="114">
        <v>-1.3355000000000001</v>
      </c>
      <c r="BU1448" s="61"/>
    </row>
    <row r="1449" spans="1:73" x14ac:dyDescent="0.35">
      <c r="A1449" s="7" t="s">
        <v>1379</v>
      </c>
      <c r="B1449" s="7" t="s">
        <v>1382</v>
      </c>
      <c r="C1449" s="170" t="s">
        <v>848</v>
      </c>
      <c r="D1449" s="170" t="s">
        <v>226</v>
      </c>
      <c r="E1449" s="170" t="s">
        <v>1240</v>
      </c>
      <c r="F1449" s="62">
        <v>253.32000000000002</v>
      </c>
      <c r="G1449" s="62" t="s">
        <v>1074</v>
      </c>
      <c r="H1449" s="114">
        <v>63.790999999999997</v>
      </c>
      <c r="I1449" s="19" t="s">
        <v>40</v>
      </c>
      <c r="J1449" s="180">
        <v>2.2310000000000088</v>
      </c>
      <c r="K1449" s="62" t="s">
        <v>97</v>
      </c>
      <c r="L1449" s="163" t="s">
        <v>1230</v>
      </c>
      <c r="M1449" s="114">
        <v>-1.2164999999999999</v>
      </c>
      <c r="BU1449" s="61"/>
    </row>
    <row r="1450" spans="1:73" x14ac:dyDescent="0.35">
      <c r="A1450" s="7" t="s">
        <v>1379</v>
      </c>
      <c r="B1450" s="7" t="s">
        <v>1382</v>
      </c>
      <c r="C1450" s="170" t="s">
        <v>848</v>
      </c>
      <c r="D1450" s="170" t="s">
        <v>226</v>
      </c>
      <c r="E1450" s="170" t="s">
        <v>1241</v>
      </c>
      <c r="F1450" s="62">
        <v>253.37</v>
      </c>
      <c r="G1450" s="62" t="s">
        <v>1074</v>
      </c>
      <c r="H1450" s="114">
        <v>63.808</v>
      </c>
      <c r="I1450" s="19" t="s">
        <v>40</v>
      </c>
      <c r="J1450" s="180">
        <v>2.2140000000000057</v>
      </c>
      <c r="K1450" s="62" t="s">
        <v>97</v>
      </c>
      <c r="L1450" s="163" t="s">
        <v>1230</v>
      </c>
      <c r="M1450" s="114">
        <v>-1.1284999999999998</v>
      </c>
      <c r="BU1450" s="61"/>
    </row>
    <row r="1451" spans="1:73" x14ac:dyDescent="0.35">
      <c r="A1451" s="7" t="s">
        <v>1379</v>
      </c>
      <c r="B1451" s="7" t="s">
        <v>1382</v>
      </c>
      <c r="C1451" s="170" t="s">
        <v>848</v>
      </c>
      <c r="D1451" s="170" t="s">
        <v>226</v>
      </c>
      <c r="E1451" s="170" t="s">
        <v>1242</v>
      </c>
      <c r="F1451" s="62">
        <v>253.42000000000002</v>
      </c>
      <c r="G1451" s="62" t="s">
        <v>1074</v>
      </c>
      <c r="H1451" s="114">
        <v>63.823</v>
      </c>
      <c r="I1451" s="19" t="s">
        <v>40</v>
      </c>
      <c r="J1451" s="180">
        <v>2.1990000000000052</v>
      </c>
      <c r="K1451" s="62" t="s">
        <v>97</v>
      </c>
      <c r="L1451" s="163" t="s">
        <v>1230</v>
      </c>
      <c r="M1451" s="114">
        <v>-1.0145</v>
      </c>
      <c r="BU1451" s="61"/>
    </row>
    <row r="1452" spans="1:73" x14ac:dyDescent="0.35">
      <c r="A1452" s="7" t="s">
        <v>1379</v>
      </c>
      <c r="B1452" s="7" t="s">
        <v>1382</v>
      </c>
      <c r="C1452" s="170" t="s">
        <v>848</v>
      </c>
      <c r="D1452" s="170" t="s">
        <v>226</v>
      </c>
      <c r="E1452" s="170" t="s">
        <v>1243</v>
      </c>
      <c r="F1452" s="62">
        <v>253.47</v>
      </c>
      <c r="G1452" s="62" t="s">
        <v>1074</v>
      </c>
      <c r="H1452" s="114">
        <v>63.837000000000003</v>
      </c>
      <c r="I1452" s="19" t="s">
        <v>40</v>
      </c>
      <c r="J1452" s="180">
        <v>2.1850000000000023</v>
      </c>
      <c r="K1452" s="62" t="s">
        <v>97</v>
      </c>
      <c r="L1452" s="163" t="s">
        <v>1230</v>
      </c>
      <c r="M1452" s="114">
        <v>-1.1505000000000001</v>
      </c>
      <c r="BU1452" s="61"/>
    </row>
    <row r="1453" spans="1:73" x14ac:dyDescent="0.35">
      <c r="A1453" s="7" t="s">
        <v>1379</v>
      </c>
      <c r="B1453" s="7" t="s">
        <v>1382</v>
      </c>
      <c r="C1453" s="170" t="s">
        <v>848</v>
      </c>
      <c r="D1453" s="170" t="s">
        <v>226</v>
      </c>
      <c r="E1453" s="170" t="s">
        <v>1244</v>
      </c>
      <c r="F1453" s="62">
        <v>253.57000000000002</v>
      </c>
      <c r="G1453" s="62" t="s">
        <v>1074</v>
      </c>
      <c r="H1453" s="114">
        <v>63.866</v>
      </c>
      <c r="I1453" s="19" t="s">
        <v>40</v>
      </c>
      <c r="J1453" s="180">
        <v>2.1560000000000059</v>
      </c>
      <c r="K1453" s="62" t="s">
        <v>97</v>
      </c>
      <c r="L1453" s="163" t="s">
        <v>1230</v>
      </c>
      <c r="M1453" s="114">
        <v>-1.2664999999999997</v>
      </c>
      <c r="BU1453" s="61"/>
    </row>
    <row r="1454" spans="1:73" x14ac:dyDescent="0.35">
      <c r="A1454" s="7" t="s">
        <v>1379</v>
      </c>
      <c r="B1454" s="7" t="s">
        <v>1382</v>
      </c>
      <c r="C1454" s="170" t="s">
        <v>848</v>
      </c>
      <c r="D1454" s="170" t="s">
        <v>226</v>
      </c>
      <c r="E1454" s="170" t="s">
        <v>1245</v>
      </c>
      <c r="F1454" s="62">
        <v>253.67000000000002</v>
      </c>
      <c r="G1454" s="62" t="s">
        <v>1074</v>
      </c>
      <c r="H1454" s="114">
        <v>63.895000000000003</v>
      </c>
      <c r="I1454" s="19" t="s">
        <v>40</v>
      </c>
      <c r="J1454" s="180">
        <v>2.1270000000000024</v>
      </c>
      <c r="K1454" s="62" t="s">
        <v>97</v>
      </c>
      <c r="L1454" s="163" t="s">
        <v>1230</v>
      </c>
      <c r="M1454" s="114">
        <v>-1.2315</v>
      </c>
      <c r="BU1454" s="61"/>
    </row>
    <row r="1455" spans="1:73" x14ac:dyDescent="0.35">
      <c r="A1455" s="7" t="s">
        <v>1379</v>
      </c>
      <c r="B1455" s="7" t="s">
        <v>1382</v>
      </c>
      <c r="C1455" s="170" t="s">
        <v>848</v>
      </c>
      <c r="D1455" s="170" t="s">
        <v>226</v>
      </c>
      <c r="E1455" s="170" t="s">
        <v>1246</v>
      </c>
      <c r="F1455" s="62">
        <v>253.77</v>
      </c>
      <c r="G1455" s="62" t="s">
        <v>1074</v>
      </c>
      <c r="H1455" s="114">
        <v>63.917999999999999</v>
      </c>
      <c r="I1455" s="19" t="s">
        <v>40</v>
      </c>
      <c r="J1455" s="180">
        <v>2.1040000000000063</v>
      </c>
      <c r="K1455" s="62" t="s">
        <v>97</v>
      </c>
      <c r="L1455" s="163" t="s">
        <v>1230</v>
      </c>
      <c r="M1455" s="114">
        <v>-1.1915</v>
      </c>
      <c r="BU1455" s="61"/>
    </row>
    <row r="1456" spans="1:73" x14ac:dyDescent="0.35">
      <c r="A1456" s="7" t="s">
        <v>1379</v>
      </c>
      <c r="B1456" s="7" t="s">
        <v>1382</v>
      </c>
      <c r="C1456" s="170" t="s">
        <v>848</v>
      </c>
      <c r="D1456" s="170" t="s">
        <v>226</v>
      </c>
      <c r="E1456" s="170" t="s">
        <v>1247</v>
      </c>
      <c r="F1456" s="62">
        <v>253.87</v>
      </c>
      <c r="G1456" s="62" t="s">
        <v>1074</v>
      </c>
      <c r="H1456" s="114">
        <v>63.938000000000002</v>
      </c>
      <c r="I1456" s="19" t="s">
        <v>40</v>
      </c>
      <c r="J1456" s="180">
        <v>2.0840000000000032</v>
      </c>
      <c r="K1456" s="62" t="s">
        <v>97</v>
      </c>
      <c r="L1456" s="163" t="s">
        <v>1230</v>
      </c>
      <c r="M1456" s="114">
        <v>-1.2104999999999997</v>
      </c>
      <c r="BU1456" s="61"/>
    </row>
    <row r="1457" spans="1:73" x14ac:dyDescent="0.35">
      <c r="A1457" s="7" t="s">
        <v>1379</v>
      </c>
      <c r="B1457" s="7" t="s">
        <v>1382</v>
      </c>
      <c r="C1457" s="170" t="s">
        <v>848</v>
      </c>
      <c r="D1457" s="170" t="s">
        <v>226</v>
      </c>
      <c r="E1457" s="170" t="s">
        <v>1248</v>
      </c>
      <c r="F1457" s="62">
        <v>253.97</v>
      </c>
      <c r="G1457" s="62" t="s">
        <v>1074</v>
      </c>
      <c r="H1457" s="114">
        <v>63.959000000000003</v>
      </c>
      <c r="I1457" s="19" t="s">
        <v>40</v>
      </c>
      <c r="J1457" s="180">
        <v>2.0630000000000024</v>
      </c>
      <c r="K1457" s="62" t="s">
        <v>97</v>
      </c>
      <c r="L1457" s="163" t="s">
        <v>1230</v>
      </c>
      <c r="M1457" s="114">
        <v>-1.4384999999999999</v>
      </c>
      <c r="BU1457" s="61"/>
    </row>
    <row r="1458" spans="1:73" x14ac:dyDescent="0.35">
      <c r="A1458" s="7" t="s">
        <v>1379</v>
      </c>
      <c r="B1458" s="7" t="s">
        <v>1382</v>
      </c>
      <c r="C1458" s="170" t="s">
        <v>848</v>
      </c>
      <c r="D1458" s="170" t="s">
        <v>226</v>
      </c>
      <c r="E1458" s="170" t="s">
        <v>1249</v>
      </c>
      <c r="F1458" s="62">
        <v>254.07000000000002</v>
      </c>
      <c r="G1458" s="62" t="s">
        <v>1074</v>
      </c>
      <c r="H1458" s="114">
        <v>63.98</v>
      </c>
      <c r="I1458" s="19" t="s">
        <v>40</v>
      </c>
      <c r="J1458" s="180">
        <v>2.0420000000000087</v>
      </c>
      <c r="K1458" s="62" t="s">
        <v>97</v>
      </c>
      <c r="L1458" s="163" t="s">
        <v>1230</v>
      </c>
      <c r="M1458" s="114">
        <v>-1.2645</v>
      </c>
      <c r="BU1458" s="61"/>
    </row>
    <row r="1459" spans="1:73" x14ac:dyDescent="0.35">
      <c r="A1459" s="7" t="s">
        <v>1379</v>
      </c>
      <c r="B1459" s="7" t="s">
        <v>1382</v>
      </c>
      <c r="C1459" s="170" t="s">
        <v>848</v>
      </c>
      <c r="D1459" s="170" t="s">
        <v>226</v>
      </c>
      <c r="E1459" s="170" t="s">
        <v>1250</v>
      </c>
      <c r="F1459" s="62">
        <v>254.17000000000002</v>
      </c>
      <c r="G1459" s="62" t="s">
        <v>1074</v>
      </c>
      <c r="H1459" s="114">
        <v>64.004000000000005</v>
      </c>
      <c r="I1459" s="19" t="s">
        <v>40</v>
      </c>
      <c r="J1459" s="180">
        <v>2.0180000000000007</v>
      </c>
      <c r="K1459" s="62" t="s">
        <v>97</v>
      </c>
      <c r="L1459" s="163" t="s">
        <v>1230</v>
      </c>
      <c r="M1459" s="114">
        <v>-1.2075</v>
      </c>
      <c r="BU1459" s="61"/>
    </row>
    <row r="1460" spans="1:73" x14ac:dyDescent="0.35">
      <c r="A1460" s="7" t="s">
        <v>1379</v>
      </c>
      <c r="B1460" s="7" t="s">
        <v>1382</v>
      </c>
      <c r="C1460" s="170" t="s">
        <v>848</v>
      </c>
      <c r="D1460" s="170" t="s">
        <v>226</v>
      </c>
      <c r="E1460" s="170" t="s">
        <v>1251</v>
      </c>
      <c r="F1460" s="62">
        <v>254.27</v>
      </c>
      <c r="G1460" s="62" t="s">
        <v>1074</v>
      </c>
      <c r="H1460" s="114">
        <v>64.031000000000006</v>
      </c>
      <c r="I1460" s="19" t="s">
        <v>40</v>
      </c>
      <c r="J1460" s="180">
        <v>1.9909999999999997</v>
      </c>
      <c r="K1460" s="62" t="s">
        <v>97</v>
      </c>
      <c r="L1460" s="163" t="s">
        <v>1230</v>
      </c>
      <c r="M1460" s="114">
        <v>-0.96650000000000003</v>
      </c>
      <c r="BU1460" s="61"/>
    </row>
    <row r="1461" spans="1:73" x14ac:dyDescent="0.35">
      <c r="A1461" s="7" t="s">
        <v>1379</v>
      </c>
      <c r="B1461" s="7" t="s">
        <v>1382</v>
      </c>
      <c r="C1461" s="170" t="s">
        <v>848</v>
      </c>
      <c r="D1461" s="170" t="s">
        <v>226</v>
      </c>
      <c r="E1461" s="170" t="s">
        <v>1252</v>
      </c>
      <c r="F1461" s="62">
        <v>254.37</v>
      </c>
      <c r="G1461" s="62" t="s">
        <v>1074</v>
      </c>
      <c r="H1461" s="114">
        <v>64.058000000000007</v>
      </c>
      <c r="I1461" s="19" t="s">
        <v>40</v>
      </c>
      <c r="J1461" s="180">
        <v>1.9639999999999986</v>
      </c>
      <c r="K1461" s="62" t="s">
        <v>97</v>
      </c>
      <c r="L1461" s="163" t="s">
        <v>1230</v>
      </c>
      <c r="M1461" s="114">
        <v>-1.2264999999999997</v>
      </c>
      <c r="BU1461" s="61"/>
    </row>
    <row r="1462" spans="1:73" x14ac:dyDescent="0.35">
      <c r="A1462" s="7" t="s">
        <v>1379</v>
      </c>
      <c r="B1462" s="7" t="s">
        <v>1382</v>
      </c>
      <c r="C1462" s="170" t="s">
        <v>848</v>
      </c>
      <c r="D1462" s="170" t="s">
        <v>226</v>
      </c>
      <c r="E1462" s="170" t="s">
        <v>1253</v>
      </c>
      <c r="F1462" s="62">
        <v>254.47</v>
      </c>
      <c r="G1462" s="62" t="s">
        <v>1074</v>
      </c>
      <c r="H1462" s="114">
        <v>64.084999999999994</v>
      </c>
      <c r="I1462" s="19" t="s">
        <v>40</v>
      </c>
      <c r="J1462" s="180">
        <v>1.9370000000000118</v>
      </c>
      <c r="K1462" s="62" t="s">
        <v>97</v>
      </c>
      <c r="L1462" s="163" t="s">
        <v>1230</v>
      </c>
      <c r="M1462" s="114">
        <v>-1.1745000000000001</v>
      </c>
      <c r="BU1462" s="61"/>
    </row>
    <row r="1463" spans="1:73" x14ac:dyDescent="0.35">
      <c r="A1463" s="7" t="s">
        <v>1379</v>
      </c>
      <c r="B1463" s="7" t="s">
        <v>1382</v>
      </c>
      <c r="C1463" s="170" t="s">
        <v>848</v>
      </c>
      <c r="D1463" s="170" t="s">
        <v>226</v>
      </c>
      <c r="E1463" s="170" t="s">
        <v>1254</v>
      </c>
      <c r="F1463" s="62">
        <v>254.67000000000002</v>
      </c>
      <c r="G1463" s="62" t="s">
        <v>1074</v>
      </c>
      <c r="H1463" s="114">
        <v>64.153999999999996</v>
      </c>
      <c r="I1463" s="19" t="s">
        <v>40</v>
      </c>
      <c r="J1463" s="180">
        <v>1.8680000000000092</v>
      </c>
      <c r="K1463" s="62" t="s">
        <v>97</v>
      </c>
      <c r="L1463" s="163" t="s">
        <v>1230</v>
      </c>
      <c r="M1463" s="114">
        <v>-1.2375</v>
      </c>
      <c r="BU1463" s="61"/>
    </row>
    <row r="1464" spans="1:73" x14ac:dyDescent="0.35">
      <c r="A1464" s="7" t="s">
        <v>1379</v>
      </c>
      <c r="B1464" s="7" t="s">
        <v>1382</v>
      </c>
      <c r="C1464" s="170" t="s">
        <v>848</v>
      </c>
      <c r="D1464" s="170" t="s">
        <v>226</v>
      </c>
      <c r="E1464" s="170" t="s">
        <v>1255</v>
      </c>
      <c r="F1464" s="62">
        <v>254.77</v>
      </c>
      <c r="G1464" s="62" t="s">
        <v>1074</v>
      </c>
      <c r="H1464" s="114">
        <v>64.19</v>
      </c>
      <c r="I1464" s="19" t="s">
        <v>40</v>
      </c>
      <c r="J1464" s="180">
        <v>1.8320000000000078</v>
      </c>
      <c r="K1464" s="62" t="s">
        <v>97</v>
      </c>
      <c r="L1464" s="163" t="s">
        <v>1230</v>
      </c>
      <c r="M1464" s="114">
        <v>-1.1844999999999999</v>
      </c>
      <c r="BU1464" s="61"/>
    </row>
    <row r="1465" spans="1:73" x14ac:dyDescent="0.35">
      <c r="A1465" s="7" t="s">
        <v>1379</v>
      </c>
      <c r="B1465" s="7" t="s">
        <v>1382</v>
      </c>
      <c r="C1465" s="170" t="s">
        <v>848</v>
      </c>
      <c r="D1465" s="170" t="s">
        <v>226</v>
      </c>
      <c r="E1465" s="170" t="s">
        <v>1256</v>
      </c>
      <c r="F1465" s="62">
        <v>254.87</v>
      </c>
      <c r="G1465" s="62" t="s">
        <v>1074</v>
      </c>
      <c r="H1465" s="114">
        <v>64.225999999999999</v>
      </c>
      <c r="I1465" s="19" t="s">
        <v>40</v>
      </c>
      <c r="J1465" s="180">
        <v>1.7960000000000065</v>
      </c>
      <c r="K1465" s="62" t="s">
        <v>97</v>
      </c>
      <c r="L1465" s="163" t="s">
        <v>1230</v>
      </c>
      <c r="M1465" s="114">
        <v>-1.3104999999999998</v>
      </c>
      <c r="BU1465" s="61"/>
    </row>
    <row r="1466" spans="1:73" x14ac:dyDescent="0.35">
      <c r="A1466" s="7" t="s">
        <v>1379</v>
      </c>
      <c r="B1466" s="7" t="s">
        <v>1382</v>
      </c>
      <c r="C1466" s="170" t="s">
        <v>848</v>
      </c>
      <c r="D1466" s="170" t="s">
        <v>226</v>
      </c>
      <c r="E1466" s="170" t="s">
        <v>1257</v>
      </c>
      <c r="F1466" s="62">
        <v>255.07000000000002</v>
      </c>
      <c r="G1466" s="62" t="s">
        <v>1074</v>
      </c>
      <c r="H1466" s="114">
        <v>64.296999999999997</v>
      </c>
      <c r="I1466" s="19" t="s">
        <v>40</v>
      </c>
      <c r="J1466" s="180">
        <v>1.7250000000000085</v>
      </c>
      <c r="K1466" s="62" t="s">
        <v>97</v>
      </c>
      <c r="L1466" s="163" t="s">
        <v>1258</v>
      </c>
      <c r="M1466" s="114">
        <v>-1.2254999999999998</v>
      </c>
      <c r="BU1466" s="61"/>
    </row>
    <row r="1467" spans="1:73" x14ac:dyDescent="0.35">
      <c r="A1467" s="7" t="s">
        <v>1379</v>
      </c>
      <c r="B1467" s="7" t="s">
        <v>1382</v>
      </c>
      <c r="C1467" s="170" t="s">
        <v>848</v>
      </c>
      <c r="D1467" s="170" t="s">
        <v>226</v>
      </c>
      <c r="E1467" s="170" t="s">
        <v>1259</v>
      </c>
      <c r="F1467" s="62">
        <v>255.17000000000002</v>
      </c>
      <c r="G1467" s="62" t="s">
        <v>1074</v>
      </c>
      <c r="H1467" s="114">
        <v>64.33</v>
      </c>
      <c r="I1467" s="19" t="s">
        <v>40</v>
      </c>
      <c r="J1467" s="180">
        <v>1.6920000000000073</v>
      </c>
      <c r="K1467" s="62" t="s">
        <v>97</v>
      </c>
      <c r="L1467" s="163" t="s">
        <v>1258</v>
      </c>
      <c r="M1467" s="114">
        <v>-1.1174999999999999</v>
      </c>
      <c r="BU1467" s="61"/>
    </row>
    <row r="1468" spans="1:73" x14ac:dyDescent="0.35">
      <c r="A1468" s="7" t="s">
        <v>1379</v>
      </c>
      <c r="B1468" s="7" t="s">
        <v>1382</v>
      </c>
      <c r="C1468" s="170" t="s">
        <v>848</v>
      </c>
      <c r="D1468" s="170" t="s">
        <v>226</v>
      </c>
      <c r="E1468" s="170" t="s">
        <v>1260</v>
      </c>
      <c r="F1468" s="62">
        <v>255.27</v>
      </c>
      <c r="G1468" s="62" t="s">
        <v>1074</v>
      </c>
      <c r="H1468" s="114">
        <v>64.361999999999995</v>
      </c>
      <c r="I1468" s="19" t="s">
        <v>40</v>
      </c>
      <c r="J1468" s="180">
        <v>1.6600000000000108</v>
      </c>
      <c r="K1468" s="62" t="s">
        <v>97</v>
      </c>
      <c r="L1468" s="163" t="s">
        <v>1258</v>
      </c>
      <c r="M1468" s="114">
        <v>-1.2044999999999999</v>
      </c>
      <c r="BU1468" s="61"/>
    </row>
    <row r="1469" spans="1:73" x14ac:dyDescent="0.35">
      <c r="A1469" s="7" t="s">
        <v>1379</v>
      </c>
      <c r="B1469" s="7" t="s">
        <v>1382</v>
      </c>
      <c r="C1469" s="170" t="s">
        <v>848</v>
      </c>
      <c r="D1469" s="170" t="s">
        <v>226</v>
      </c>
      <c r="E1469" s="170" t="s">
        <v>1261</v>
      </c>
      <c r="F1469" s="62">
        <v>255.37</v>
      </c>
      <c r="G1469" s="62" t="s">
        <v>1074</v>
      </c>
      <c r="H1469" s="114">
        <v>64.393000000000001</v>
      </c>
      <c r="I1469" s="19" t="s">
        <v>40</v>
      </c>
      <c r="J1469" s="180">
        <v>1.6290000000000049</v>
      </c>
      <c r="K1469" s="62" t="s">
        <v>97</v>
      </c>
      <c r="L1469" s="163" t="s">
        <v>1258</v>
      </c>
      <c r="M1469" s="114">
        <v>-1.1274999999999999</v>
      </c>
      <c r="BU1469" s="61"/>
    </row>
    <row r="1470" spans="1:73" x14ac:dyDescent="0.35">
      <c r="A1470" s="7" t="s">
        <v>1379</v>
      </c>
      <c r="B1470" s="7" t="s">
        <v>1382</v>
      </c>
      <c r="C1470" s="170" t="s">
        <v>848</v>
      </c>
      <c r="D1470" s="170" t="s">
        <v>226</v>
      </c>
      <c r="E1470" s="170" t="s">
        <v>1262</v>
      </c>
      <c r="F1470" s="62">
        <v>255.77</v>
      </c>
      <c r="G1470" s="62" t="s">
        <v>1074</v>
      </c>
      <c r="H1470" s="114">
        <v>64.582999999999998</v>
      </c>
      <c r="I1470" s="19" t="s">
        <v>40</v>
      </c>
      <c r="J1470" s="180">
        <v>1.4390000000000072</v>
      </c>
      <c r="K1470" s="62" t="s">
        <v>97</v>
      </c>
      <c r="L1470" s="163" t="s">
        <v>1258</v>
      </c>
      <c r="M1470" s="114">
        <v>-0.94149999999999989</v>
      </c>
      <c r="BU1470" s="61"/>
    </row>
    <row r="1471" spans="1:73" x14ac:dyDescent="0.35">
      <c r="A1471" s="7" t="s">
        <v>1379</v>
      </c>
      <c r="B1471" s="7" t="s">
        <v>1382</v>
      </c>
      <c r="C1471" s="170" t="s">
        <v>848</v>
      </c>
      <c r="D1471" s="170" t="s">
        <v>226</v>
      </c>
      <c r="E1471" s="170" t="s">
        <v>1263</v>
      </c>
      <c r="F1471" s="62">
        <v>255.97</v>
      </c>
      <c r="G1471" s="62" t="s">
        <v>1074</v>
      </c>
      <c r="H1471" s="114">
        <v>64.644999999999996</v>
      </c>
      <c r="I1471" s="19" t="s">
        <v>40</v>
      </c>
      <c r="J1471" s="180">
        <v>1.3770000000000095</v>
      </c>
      <c r="K1471" s="62" t="s">
        <v>97</v>
      </c>
      <c r="L1471" s="163" t="s">
        <v>1258</v>
      </c>
      <c r="M1471" s="114">
        <v>-1.3574999999999999</v>
      </c>
      <c r="BU1471" s="61"/>
    </row>
    <row r="1472" spans="1:73" x14ac:dyDescent="0.35">
      <c r="A1472" s="7" t="s">
        <v>1379</v>
      </c>
      <c r="B1472" s="7" t="s">
        <v>1382</v>
      </c>
      <c r="C1472" s="170" t="s">
        <v>848</v>
      </c>
      <c r="D1472" s="170" t="s">
        <v>226</v>
      </c>
      <c r="E1472" s="170" t="s">
        <v>1264</v>
      </c>
      <c r="F1472" s="62">
        <v>256.22000000000003</v>
      </c>
      <c r="G1472" s="62" t="s">
        <v>1074</v>
      </c>
      <c r="H1472" s="114">
        <v>64.697999999999993</v>
      </c>
      <c r="I1472" s="19" t="s">
        <v>40</v>
      </c>
      <c r="J1472" s="180">
        <v>1.3240000000000123</v>
      </c>
      <c r="K1472" s="62" t="s">
        <v>97</v>
      </c>
      <c r="L1472" s="163" t="s">
        <v>1258</v>
      </c>
      <c r="M1472" s="114">
        <v>-1.3214999999999999</v>
      </c>
      <c r="BU1472" s="61"/>
    </row>
    <row r="1473" spans="1:73" x14ac:dyDescent="0.35">
      <c r="A1473" s="7" t="s">
        <v>1379</v>
      </c>
      <c r="B1473" s="7" t="s">
        <v>1382</v>
      </c>
      <c r="C1473" s="170" t="s">
        <v>848</v>
      </c>
      <c r="D1473" s="170" t="s">
        <v>226</v>
      </c>
      <c r="E1473" s="170" t="s">
        <v>1265</v>
      </c>
      <c r="F1473" s="62">
        <v>256.67</v>
      </c>
      <c r="G1473" s="62" t="s">
        <v>1074</v>
      </c>
      <c r="H1473" s="114">
        <v>64.795000000000002</v>
      </c>
      <c r="I1473" s="19" t="s">
        <v>40</v>
      </c>
      <c r="J1473" s="180">
        <v>1.2270000000000039</v>
      </c>
      <c r="K1473" s="62" t="s">
        <v>97</v>
      </c>
      <c r="L1473" s="163" t="s">
        <v>1258</v>
      </c>
      <c r="M1473" s="114">
        <v>-1.2854999999999999</v>
      </c>
      <c r="BU1473" s="61"/>
    </row>
    <row r="1474" spans="1:73" x14ac:dyDescent="0.35">
      <c r="A1474" s="7" t="s">
        <v>1379</v>
      </c>
      <c r="B1474" s="7" t="s">
        <v>1382</v>
      </c>
      <c r="C1474" s="170" t="s">
        <v>848</v>
      </c>
      <c r="D1474" s="170" t="s">
        <v>226</v>
      </c>
      <c r="E1474" s="170" t="s">
        <v>1266</v>
      </c>
      <c r="F1474" s="62">
        <v>257.52000000000004</v>
      </c>
      <c r="G1474" s="62" t="s">
        <v>1074</v>
      </c>
      <c r="H1474" s="114">
        <v>65.03</v>
      </c>
      <c r="I1474" s="19" t="s">
        <v>40</v>
      </c>
      <c r="J1474" s="180">
        <v>0.99200000000000443</v>
      </c>
      <c r="K1474" s="62" t="s">
        <v>97</v>
      </c>
      <c r="L1474" s="163" t="s">
        <v>1258</v>
      </c>
      <c r="M1474" s="114">
        <v>-0.85849999999999993</v>
      </c>
      <c r="BU1474" s="61"/>
    </row>
    <row r="1475" spans="1:73" x14ac:dyDescent="0.35">
      <c r="A1475" s="7" t="s">
        <v>1379</v>
      </c>
      <c r="B1475" s="7" t="s">
        <v>1382</v>
      </c>
      <c r="C1475" s="170" t="s">
        <v>848</v>
      </c>
      <c r="D1475" s="170" t="s">
        <v>226</v>
      </c>
      <c r="E1475" s="170" t="s">
        <v>1267</v>
      </c>
      <c r="F1475" s="62">
        <v>257.57000000000005</v>
      </c>
      <c r="G1475" s="62" t="s">
        <v>1074</v>
      </c>
      <c r="H1475" s="114">
        <v>65.040000000000006</v>
      </c>
      <c r="I1475" s="19" t="s">
        <v>40</v>
      </c>
      <c r="J1475" s="180">
        <v>0.98199999999999932</v>
      </c>
      <c r="K1475" s="62" t="s">
        <v>97</v>
      </c>
      <c r="L1475" s="163" t="s">
        <v>1258</v>
      </c>
      <c r="M1475" s="114">
        <v>-0.96650000000000003</v>
      </c>
      <c r="BU1475" s="61"/>
    </row>
    <row r="1476" spans="1:73" x14ac:dyDescent="0.35">
      <c r="A1476" s="7" t="s">
        <v>1379</v>
      </c>
      <c r="B1476" s="7" t="s">
        <v>1382</v>
      </c>
      <c r="C1476" s="170" t="s">
        <v>848</v>
      </c>
      <c r="D1476" s="170" t="s">
        <v>226</v>
      </c>
      <c r="E1476" s="170" t="s">
        <v>1268</v>
      </c>
      <c r="F1476" s="62">
        <v>257.67</v>
      </c>
      <c r="G1476" s="62" t="s">
        <v>1074</v>
      </c>
      <c r="H1476" s="114">
        <v>65.055000000000007</v>
      </c>
      <c r="I1476" s="19" t="s">
        <v>40</v>
      </c>
      <c r="J1476" s="180">
        <v>0.96699999999999875</v>
      </c>
      <c r="K1476" s="62" t="s">
        <v>97</v>
      </c>
      <c r="L1476" s="163" t="s">
        <v>1258</v>
      </c>
      <c r="M1476" s="114">
        <v>-1.0065</v>
      </c>
      <c r="BU1476" s="61"/>
    </row>
    <row r="1477" spans="1:73" x14ac:dyDescent="0.35">
      <c r="A1477" s="7" t="s">
        <v>1379</v>
      </c>
      <c r="B1477" s="7" t="s">
        <v>1382</v>
      </c>
      <c r="C1477" s="170" t="s">
        <v>848</v>
      </c>
      <c r="D1477" s="170" t="s">
        <v>226</v>
      </c>
      <c r="E1477" s="170" t="s">
        <v>1269</v>
      </c>
      <c r="F1477" s="62">
        <v>257.77000000000004</v>
      </c>
      <c r="G1477" s="62" t="s">
        <v>1074</v>
      </c>
      <c r="H1477" s="114">
        <v>65.069999999999993</v>
      </c>
      <c r="I1477" s="19" t="s">
        <v>40</v>
      </c>
      <c r="J1477" s="180">
        <v>0.95200000000001239</v>
      </c>
      <c r="K1477" s="62" t="s">
        <v>97</v>
      </c>
      <c r="L1477" s="163" t="s">
        <v>1258</v>
      </c>
      <c r="M1477" s="114">
        <v>-1.0844999999999998</v>
      </c>
      <c r="BU1477" s="61"/>
    </row>
    <row r="1478" spans="1:73" x14ac:dyDescent="0.35">
      <c r="A1478" s="7" t="s">
        <v>1379</v>
      </c>
      <c r="B1478" s="7" t="s">
        <v>1382</v>
      </c>
      <c r="C1478" s="170" t="s">
        <v>848</v>
      </c>
      <c r="D1478" s="170" t="s">
        <v>226</v>
      </c>
      <c r="E1478" s="170" t="s">
        <v>1270</v>
      </c>
      <c r="F1478" s="62">
        <v>257.87000000000006</v>
      </c>
      <c r="G1478" s="62" t="s">
        <v>1074</v>
      </c>
      <c r="H1478" s="114">
        <v>65.084999999999994</v>
      </c>
      <c r="I1478" s="19" t="s">
        <v>40</v>
      </c>
      <c r="J1478" s="180">
        <v>0.93700000000001182</v>
      </c>
      <c r="K1478" s="62" t="s">
        <v>97</v>
      </c>
      <c r="L1478" s="163" t="s">
        <v>1258</v>
      </c>
      <c r="M1478" s="114">
        <v>-1.0065</v>
      </c>
      <c r="BU1478" s="61"/>
    </row>
    <row r="1479" spans="1:73" x14ac:dyDescent="0.35">
      <c r="A1479" s="7" t="s">
        <v>1379</v>
      </c>
      <c r="B1479" s="7" t="s">
        <v>1382</v>
      </c>
      <c r="C1479" s="170" t="s">
        <v>848</v>
      </c>
      <c r="D1479" s="170" t="s">
        <v>226</v>
      </c>
      <c r="E1479" s="170" t="s">
        <v>1271</v>
      </c>
      <c r="F1479" s="62">
        <v>257.97000000000003</v>
      </c>
      <c r="G1479" s="62" t="s">
        <v>1074</v>
      </c>
      <c r="H1479" s="114">
        <v>65.099999999999994</v>
      </c>
      <c r="I1479" s="19" t="s">
        <v>40</v>
      </c>
      <c r="J1479" s="180">
        <v>0.92200000000001125</v>
      </c>
      <c r="K1479" s="62" t="s">
        <v>97</v>
      </c>
      <c r="L1479" s="163" t="s">
        <v>1258</v>
      </c>
      <c r="M1479" s="114">
        <v>-1.0135000000000001</v>
      </c>
      <c r="BU1479" s="61"/>
    </row>
    <row r="1480" spans="1:73" x14ac:dyDescent="0.35">
      <c r="A1480" s="7" t="s">
        <v>1379</v>
      </c>
      <c r="B1480" s="7" t="s">
        <v>1382</v>
      </c>
      <c r="C1480" s="170" t="s">
        <v>848</v>
      </c>
      <c r="D1480" s="170" t="s">
        <v>226</v>
      </c>
      <c r="E1480" s="170" t="s">
        <v>1272</v>
      </c>
      <c r="F1480" s="62">
        <v>258.02000000000004</v>
      </c>
      <c r="G1480" s="62" t="s">
        <v>1074</v>
      </c>
      <c r="H1480" s="114">
        <v>65.108000000000004</v>
      </c>
      <c r="I1480" s="19" t="s">
        <v>40</v>
      </c>
      <c r="J1480" s="180">
        <v>0.91400000000000148</v>
      </c>
      <c r="K1480" s="62" t="s">
        <v>97</v>
      </c>
      <c r="L1480" s="163" t="s">
        <v>1273</v>
      </c>
      <c r="M1480" s="114">
        <v>-1.1025</v>
      </c>
      <c r="BU1480" s="61"/>
    </row>
    <row r="1481" spans="1:73" x14ac:dyDescent="0.35">
      <c r="A1481" s="7" t="s">
        <v>1379</v>
      </c>
      <c r="B1481" s="7" t="s">
        <v>1382</v>
      </c>
      <c r="C1481" s="170" t="s">
        <v>848</v>
      </c>
      <c r="D1481" s="170" t="s">
        <v>226</v>
      </c>
      <c r="E1481" s="170" t="s">
        <v>1274</v>
      </c>
      <c r="F1481" s="62">
        <v>258.12</v>
      </c>
      <c r="G1481" s="62" t="s">
        <v>1074</v>
      </c>
      <c r="H1481" s="114">
        <v>65.123000000000005</v>
      </c>
      <c r="I1481" s="19" t="s">
        <v>40</v>
      </c>
      <c r="J1481" s="180">
        <v>0.89900000000000091</v>
      </c>
      <c r="K1481" s="62" t="s">
        <v>97</v>
      </c>
      <c r="L1481" s="163" t="s">
        <v>1273</v>
      </c>
      <c r="M1481" s="114">
        <v>-1.2364999999999999</v>
      </c>
      <c r="BU1481" s="61"/>
    </row>
    <row r="1482" spans="1:73" x14ac:dyDescent="0.35">
      <c r="A1482" s="7" t="s">
        <v>1379</v>
      </c>
      <c r="B1482" s="7" t="s">
        <v>1382</v>
      </c>
      <c r="C1482" s="170" t="s">
        <v>848</v>
      </c>
      <c r="D1482" s="170" t="s">
        <v>226</v>
      </c>
      <c r="E1482" s="170" t="s">
        <v>1274</v>
      </c>
      <c r="F1482" s="62">
        <v>258.12</v>
      </c>
      <c r="G1482" s="62" t="s">
        <v>1074</v>
      </c>
      <c r="H1482" s="114">
        <v>65.123000000000005</v>
      </c>
      <c r="I1482" s="19" t="s">
        <v>40</v>
      </c>
      <c r="J1482" s="180">
        <v>0.89900000000000091</v>
      </c>
      <c r="K1482" s="62" t="s">
        <v>97</v>
      </c>
      <c r="L1482" s="163" t="s">
        <v>1273</v>
      </c>
      <c r="M1482" s="114">
        <v>-1.1665000000000001</v>
      </c>
      <c r="BU1482" s="61"/>
    </row>
    <row r="1483" spans="1:73" x14ac:dyDescent="0.35">
      <c r="A1483" s="7" t="s">
        <v>1379</v>
      </c>
      <c r="B1483" s="7" t="s">
        <v>1382</v>
      </c>
      <c r="C1483" s="170" t="s">
        <v>848</v>
      </c>
      <c r="D1483" s="170" t="s">
        <v>226</v>
      </c>
      <c r="E1483" s="170" t="s">
        <v>1275</v>
      </c>
      <c r="F1483" s="62">
        <v>258.22000000000003</v>
      </c>
      <c r="G1483" s="62" t="s">
        <v>1074</v>
      </c>
      <c r="H1483" s="114">
        <v>65.153000000000006</v>
      </c>
      <c r="I1483" s="19" t="s">
        <v>40</v>
      </c>
      <c r="J1483" s="180">
        <v>0.86899999999999977</v>
      </c>
      <c r="K1483" s="62" t="s">
        <v>97</v>
      </c>
      <c r="L1483" s="163" t="s">
        <v>1273</v>
      </c>
      <c r="M1483" s="114">
        <v>-1.0194999999999999</v>
      </c>
      <c r="BU1483" s="61"/>
    </row>
    <row r="1484" spans="1:73" x14ac:dyDescent="0.35">
      <c r="A1484" s="7" t="s">
        <v>1379</v>
      </c>
      <c r="B1484" s="7" t="s">
        <v>1382</v>
      </c>
      <c r="C1484" s="170" t="s">
        <v>848</v>
      </c>
      <c r="D1484" s="170" t="s">
        <v>226</v>
      </c>
      <c r="E1484" s="170" t="s">
        <v>1276</v>
      </c>
      <c r="F1484" s="62">
        <v>258.32</v>
      </c>
      <c r="G1484" s="62" t="s">
        <v>1074</v>
      </c>
      <c r="H1484" s="114">
        <v>65.203999999999994</v>
      </c>
      <c r="I1484" s="19" t="s">
        <v>40</v>
      </c>
      <c r="J1484" s="180">
        <v>0.81800000000001205</v>
      </c>
      <c r="K1484" s="62" t="s">
        <v>97</v>
      </c>
      <c r="L1484" s="163" t="s">
        <v>1273</v>
      </c>
      <c r="M1484" s="114">
        <v>-1.1284999999999998</v>
      </c>
      <c r="BU1484" s="61"/>
    </row>
    <row r="1485" spans="1:73" x14ac:dyDescent="0.35">
      <c r="A1485" s="7" t="s">
        <v>1379</v>
      </c>
      <c r="B1485" s="7" t="s">
        <v>1382</v>
      </c>
      <c r="C1485" s="170" t="s">
        <v>848</v>
      </c>
      <c r="D1485" s="170" t="s">
        <v>226</v>
      </c>
      <c r="E1485" s="170" t="s">
        <v>1277</v>
      </c>
      <c r="F1485" s="62">
        <v>258.52000000000004</v>
      </c>
      <c r="G1485" s="62" t="s">
        <v>1074</v>
      </c>
      <c r="H1485" s="114">
        <v>65.263000000000005</v>
      </c>
      <c r="I1485" s="19" t="s">
        <v>40</v>
      </c>
      <c r="J1485" s="180">
        <v>0.75900000000000034</v>
      </c>
      <c r="K1485" s="62" t="s">
        <v>97</v>
      </c>
      <c r="L1485" s="163" t="s">
        <v>1273</v>
      </c>
      <c r="M1485" s="114">
        <v>-1.2685</v>
      </c>
      <c r="BU1485" s="61"/>
    </row>
    <row r="1486" spans="1:73" x14ac:dyDescent="0.35">
      <c r="A1486" s="7" t="s">
        <v>1379</v>
      </c>
      <c r="B1486" s="7" t="s">
        <v>1382</v>
      </c>
      <c r="C1486" s="170" t="s">
        <v>848</v>
      </c>
      <c r="D1486" s="170" t="s">
        <v>226</v>
      </c>
      <c r="E1486" s="170" t="s">
        <v>1278</v>
      </c>
      <c r="F1486" s="62">
        <v>258.62</v>
      </c>
      <c r="G1486" s="62" t="s">
        <v>1074</v>
      </c>
      <c r="H1486" s="114">
        <v>65.286000000000001</v>
      </c>
      <c r="I1486" s="19" t="s">
        <v>40</v>
      </c>
      <c r="J1486" s="180">
        <v>0.73600000000000421</v>
      </c>
      <c r="K1486" s="62" t="s">
        <v>97</v>
      </c>
      <c r="L1486" s="163" t="s">
        <v>1273</v>
      </c>
      <c r="M1486" s="114">
        <v>-1.2475000000000001</v>
      </c>
      <c r="BU1486" s="61"/>
    </row>
    <row r="1487" spans="1:73" x14ac:dyDescent="0.35">
      <c r="A1487" s="7" t="s">
        <v>1379</v>
      </c>
      <c r="B1487" s="7" t="s">
        <v>1382</v>
      </c>
      <c r="C1487" s="170" t="s">
        <v>848</v>
      </c>
      <c r="D1487" s="170" t="s">
        <v>226</v>
      </c>
      <c r="E1487" s="170" t="s">
        <v>1279</v>
      </c>
      <c r="F1487" s="62">
        <v>258.72000000000003</v>
      </c>
      <c r="G1487" s="62" t="s">
        <v>1074</v>
      </c>
      <c r="H1487" s="114">
        <v>65.31</v>
      </c>
      <c r="I1487" s="19" t="s">
        <v>40</v>
      </c>
      <c r="J1487" s="180">
        <v>0.7120000000000033</v>
      </c>
      <c r="K1487" s="62" t="s">
        <v>97</v>
      </c>
      <c r="L1487" s="163" t="s">
        <v>1273</v>
      </c>
      <c r="M1487" s="114">
        <v>-1.3035000000000001</v>
      </c>
      <c r="BU1487" s="61"/>
    </row>
    <row r="1488" spans="1:73" x14ac:dyDescent="0.35">
      <c r="A1488" s="7" t="s">
        <v>1379</v>
      </c>
      <c r="B1488" s="7" t="s">
        <v>1382</v>
      </c>
      <c r="C1488" s="170" t="s">
        <v>848</v>
      </c>
      <c r="D1488" s="170" t="s">
        <v>226</v>
      </c>
      <c r="E1488" s="170" t="s">
        <v>1280</v>
      </c>
      <c r="F1488" s="62">
        <v>258.92</v>
      </c>
      <c r="G1488" s="62" t="s">
        <v>1074</v>
      </c>
      <c r="H1488" s="114">
        <v>65.376999999999995</v>
      </c>
      <c r="I1488" s="19" t="s">
        <v>40</v>
      </c>
      <c r="J1488" s="180">
        <v>0.64500000000001023</v>
      </c>
      <c r="K1488" s="62" t="s">
        <v>97</v>
      </c>
      <c r="L1488" s="163" t="s">
        <v>1273</v>
      </c>
      <c r="M1488" s="114">
        <v>-1.2424999999999999</v>
      </c>
      <c r="BU1488" s="61"/>
    </row>
    <row r="1489" spans="1:73" x14ac:dyDescent="0.35">
      <c r="A1489" s="7" t="s">
        <v>1379</v>
      </c>
      <c r="B1489" s="7" t="s">
        <v>1382</v>
      </c>
      <c r="C1489" s="170" t="s">
        <v>848</v>
      </c>
      <c r="D1489" s="170" t="s">
        <v>226</v>
      </c>
      <c r="E1489" s="170" t="s">
        <v>1281</v>
      </c>
      <c r="F1489" s="62">
        <v>259.02000000000004</v>
      </c>
      <c r="G1489" s="62" t="s">
        <v>1074</v>
      </c>
      <c r="H1489" s="114">
        <v>65.418000000000006</v>
      </c>
      <c r="I1489" s="19" t="s">
        <v>40</v>
      </c>
      <c r="J1489" s="180">
        <v>0.6039999999999992</v>
      </c>
      <c r="K1489" s="62" t="s">
        <v>97</v>
      </c>
      <c r="L1489" s="163" t="s">
        <v>1273</v>
      </c>
      <c r="M1489" s="114">
        <v>-1.3254999999999999</v>
      </c>
      <c r="BU1489" s="61"/>
    </row>
    <row r="1490" spans="1:73" x14ac:dyDescent="0.35">
      <c r="A1490" s="7" t="s">
        <v>1379</v>
      </c>
      <c r="B1490" s="7" t="s">
        <v>1382</v>
      </c>
      <c r="C1490" s="170" t="s">
        <v>848</v>
      </c>
      <c r="D1490" s="170" t="s">
        <v>226</v>
      </c>
      <c r="E1490" s="170" t="s">
        <v>1282</v>
      </c>
      <c r="F1490" s="62">
        <v>259.12</v>
      </c>
      <c r="G1490" s="62" t="s">
        <v>1074</v>
      </c>
      <c r="H1490" s="114">
        <v>65.444000000000003</v>
      </c>
      <c r="I1490" s="19" t="s">
        <v>40</v>
      </c>
      <c r="J1490" s="180">
        <v>0.57800000000000296</v>
      </c>
      <c r="K1490" s="62" t="s">
        <v>97</v>
      </c>
      <c r="L1490" s="163" t="s">
        <v>1273</v>
      </c>
      <c r="M1490" s="114">
        <v>-1.2294999999999998</v>
      </c>
      <c r="BU1490" s="61"/>
    </row>
    <row r="1491" spans="1:73" x14ac:dyDescent="0.35">
      <c r="A1491" s="7" t="s">
        <v>1379</v>
      </c>
      <c r="B1491" s="7" t="s">
        <v>1382</v>
      </c>
      <c r="C1491" s="170" t="s">
        <v>848</v>
      </c>
      <c r="D1491" s="170" t="s">
        <v>226</v>
      </c>
      <c r="E1491" s="170" t="s">
        <v>1283</v>
      </c>
      <c r="F1491" s="62">
        <v>259.22000000000003</v>
      </c>
      <c r="G1491" s="62" t="s">
        <v>1074</v>
      </c>
      <c r="H1491" s="114">
        <v>65.459999999999994</v>
      </c>
      <c r="I1491" s="19" t="s">
        <v>40</v>
      </c>
      <c r="J1491" s="180">
        <v>0.56200000000001182</v>
      </c>
      <c r="K1491" s="62" t="s">
        <v>97</v>
      </c>
      <c r="L1491" s="163" t="s">
        <v>1273</v>
      </c>
      <c r="M1491" s="114">
        <v>-1.2484999999999999</v>
      </c>
      <c r="BU1491" s="61"/>
    </row>
    <row r="1492" spans="1:73" x14ac:dyDescent="0.35">
      <c r="A1492" s="7" t="s">
        <v>1379</v>
      </c>
      <c r="B1492" s="7" t="s">
        <v>1382</v>
      </c>
      <c r="C1492" s="170" t="s">
        <v>848</v>
      </c>
      <c r="D1492" s="170" t="s">
        <v>226</v>
      </c>
      <c r="E1492" s="170" t="s">
        <v>1284</v>
      </c>
      <c r="F1492" s="62">
        <v>259.32</v>
      </c>
      <c r="G1492" s="62" t="s">
        <v>1074</v>
      </c>
      <c r="H1492" s="114">
        <v>65.475999999999999</v>
      </c>
      <c r="I1492" s="19" t="s">
        <v>40</v>
      </c>
      <c r="J1492" s="180">
        <v>0.54600000000000648</v>
      </c>
      <c r="K1492" s="62" t="s">
        <v>97</v>
      </c>
      <c r="L1492" s="163" t="s">
        <v>1273</v>
      </c>
      <c r="M1492" s="114">
        <v>-1.1964999999999999</v>
      </c>
      <c r="BU1492" s="61"/>
    </row>
    <row r="1493" spans="1:73" x14ac:dyDescent="0.35">
      <c r="A1493" s="7" t="s">
        <v>1379</v>
      </c>
      <c r="B1493" s="7" t="s">
        <v>1382</v>
      </c>
      <c r="C1493" s="170" t="s">
        <v>848</v>
      </c>
      <c r="D1493" s="170" t="s">
        <v>226</v>
      </c>
      <c r="E1493" s="170" t="s">
        <v>1285</v>
      </c>
      <c r="F1493" s="62">
        <v>259.42</v>
      </c>
      <c r="G1493" s="62" t="s">
        <v>1074</v>
      </c>
      <c r="H1493" s="114">
        <v>65.492000000000004</v>
      </c>
      <c r="I1493" s="19" t="s">
        <v>40</v>
      </c>
      <c r="J1493" s="180">
        <v>0.53000000000000114</v>
      </c>
      <c r="K1493" s="62" t="s">
        <v>97</v>
      </c>
      <c r="L1493" s="163" t="s">
        <v>1273</v>
      </c>
      <c r="M1493" s="114">
        <v>-1.2544999999999997</v>
      </c>
      <c r="BU1493" s="61"/>
    </row>
    <row r="1494" spans="1:73" x14ac:dyDescent="0.35">
      <c r="A1494" s="7" t="s">
        <v>1379</v>
      </c>
      <c r="B1494" s="7" t="s">
        <v>1382</v>
      </c>
      <c r="C1494" s="170" t="s">
        <v>848</v>
      </c>
      <c r="D1494" s="170" t="s">
        <v>226</v>
      </c>
      <c r="E1494" s="170" t="s">
        <v>1286</v>
      </c>
      <c r="F1494" s="62">
        <v>259.52000000000004</v>
      </c>
      <c r="G1494" s="62" t="s">
        <v>1074</v>
      </c>
      <c r="H1494" s="114">
        <v>65.507999999999996</v>
      </c>
      <c r="I1494" s="19" t="s">
        <v>40</v>
      </c>
      <c r="J1494" s="180">
        <v>0.51400000000001</v>
      </c>
      <c r="K1494" s="62" t="s">
        <v>97</v>
      </c>
      <c r="L1494" s="163" t="s">
        <v>1273</v>
      </c>
      <c r="M1494" s="114">
        <v>-1.3885000000000001</v>
      </c>
      <c r="BU1494" s="61"/>
    </row>
    <row r="1495" spans="1:73" x14ac:dyDescent="0.35">
      <c r="A1495" s="7" t="s">
        <v>1379</v>
      </c>
      <c r="B1495" s="7" t="s">
        <v>1382</v>
      </c>
      <c r="C1495" s="170" t="s">
        <v>848</v>
      </c>
      <c r="D1495" s="170" t="s">
        <v>226</v>
      </c>
      <c r="E1495" s="170" t="s">
        <v>1287</v>
      </c>
      <c r="F1495" s="62">
        <v>259.57</v>
      </c>
      <c r="G1495" s="62" t="s">
        <v>1074</v>
      </c>
      <c r="H1495" s="114">
        <v>65.516000000000005</v>
      </c>
      <c r="I1495" s="19" t="s">
        <v>40</v>
      </c>
      <c r="J1495" s="180">
        <v>0.50600000000000023</v>
      </c>
      <c r="K1495" s="62" t="s">
        <v>97</v>
      </c>
      <c r="L1495" s="163" t="s">
        <v>1273</v>
      </c>
      <c r="M1495" s="114">
        <v>-1.0614999999999997</v>
      </c>
      <c r="BU1495" s="61"/>
    </row>
    <row r="1496" spans="1:73" x14ac:dyDescent="0.35">
      <c r="A1496" s="7" t="s">
        <v>1379</v>
      </c>
      <c r="B1496" s="7" t="s">
        <v>1382</v>
      </c>
      <c r="C1496" s="170" t="s">
        <v>848</v>
      </c>
      <c r="D1496" s="170" t="s">
        <v>226</v>
      </c>
      <c r="E1496" s="170" t="s">
        <v>1288</v>
      </c>
      <c r="F1496" s="62">
        <v>259.62</v>
      </c>
      <c r="G1496" s="62" t="s">
        <v>1074</v>
      </c>
      <c r="H1496" s="114">
        <v>65.524000000000001</v>
      </c>
      <c r="I1496" s="19" t="s">
        <v>40</v>
      </c>
      <c r="J1496" s="180">
        <v>0.49800000000000466</v>
      </c>
      <c r="K1496" s="62" t="s">
        <v>97</v>
      </c>
      <c r="L1496" s="163" t="s">
        <v>1273</v>
      </c>
      <c r="M1496" s="114">
        <v>-1.1074999999999999</v>
      </c>
      <c r="BU1496" s="61"/>
    </row>
    <row r="1497" spans="1:73" x14ac:dyDescent="0.35">
      <c r="A1497" s="7" t="s">
        <v>1379</v>
      </c>
      <c r="B1497" s="7" t="s">
        <v>1382</v>
      </c>
      <c r="C1497" s="170" t="s">
        <v>848</v>
      </c>
      <c r="D1497" s="170" t="s">
        <v>226</v>
      </c>
      <c r="E1497" s="170" t="s">
        <v>1289</v>
      </c>
      <c r="F1497" s="62">
        <v>259.72000000000003</v>
      </c>
      <c r="G1497" s="62" t="s">
        <v>1074</v>
      </c>
      <c r="H1497" s="114">
        <v>65.546999999999997</v>
      </c>
      <c r="I1497" s="19" t="s">
        <v>40</v>
      </c>
      <c r="J1497" s="180">
        <v>0.47500000000000853</v>
      </c>
      <c r="K1497" s="62" t="s">
        <v>97</v>
      </c>
      <c r="L1497" s="163" t="s">
        <v>1273</v>
      </c>
      <c r="M1497" s="114">
        <v>-1.0974999999999999</v>
      </c>
      <c r="BU1497" s="61"/>
    </row>
    <row r="1498" spans="1:73" x14ac:dyDescent="0.35">
      <c r="A1498" s="7" t="s">
        <v>1379</v>
      </c>
      <c r="B1498" s="7" t="s">
        <v>1382</v>
      </c>
      <c r="C1498" s="170" t="s">
        <v>848</v>
      </c>
      <c r="D1498" s="170" t="s">
        <v>226</v>
      </c>
      <c r="E1498" s="170" t="s">
        <v>1290</v>
      </c>
      <c r="F1498" s="62">
        <v>259.82</v>
      </c>
      <c r="G1498" s="62" t="s">
        <v>1074</v>
      </c>
      <c r="H1498" s="114">
        <v>65.570999999999998</v>
      </c>
      <c r="I1498" s="19" t="s">
        <v>40</v>
      </c>
      <c r="J1498" s="180">
        <v>0.45100000000000762</v>
      </c>
      <c r="K1498" s="62" t="s">
        <v>97</v>
      </c>
      <c r="L1498" s="163" t="s">
        <v>1273</v>
      </c>
      <c r="M1498" s="114">
        <v>-1.1625000000000001</v>
      </c>
      <c r="BU1498" s="61"/>
    </row>
    <row r="1499" spans="1:73" x14ac:dyDescent="0.35">
      <c r="A1499" s="7" t="s">
        <v>1379</v>
      </c>
      <c r="B1499" s="7" t="s">
        <v>1382</v>
      </c>
      <c r="C1499" s="170" t="s">
        <v>848</v>
      </c>
      <c r="D1499" s="170" t="s">
        <v>226</v>
      </c>
      <c r="E1499" s="170" t="s">
        <v>1291</v>
      </c>
      <c r="F1499" s="62">
        <v>259.92</v>
      </c>
      <c r="G1499" s="62" t="s">
        <v>1074</v>
      </c>
      <c r="H1499" s="114">
        <v>65.596000000000004</v>
      </c>
      <c r="I1499" s="19" t="s">
        <v>40</v>
      </c>
      <c r="J1499" s="180">
        <v>0.42600000000000193</v>
      </c>
      <c r="K1499" s="62" t="s">
        <v>97</v>
      </c>
      <c r="L1499" s="163" t="s">
        <v>1273</v>
      </c>
      <c r="M1499" s="114">
        <v>-1.2164999999999999</v>
      </c>
      <c r="BU1499" s="61"/>
    </row>
    <row r="1500" spans="1:73" x14ac:dyDescent="0.35">
      <c r="A1500" s="7" t="s">
        <v>1379</v>
      </c>
      <c r="B1500" s="7" t="s">
        <v>1382</v>
      </c>
      <c r="C1500" s="170" t="s">
        <v>848</v>
      </c>
      <c r="D1500" s="170" t="s">
        <v>226</v>
      </c>
      <c r="E1500" s="170" t="s">
        <v>1292</v>
      </c>
      <c r="F1500" s="62">
        <v>260.12</v>
      </c>
      <c r="G1500" s="62" t="s">
        <v>1074</v>
      </c>
      <c r="H1500" s="114">
        <v>65.710999999999999</v>
      </c>
      <c r="I1500" s="19" t="s">
        <v>40</v>
      </c>
      <c r="J1500" s="180">
        <v>0.31100000000000705</v>
      </c>
      <c r="K1500" s="62" t="s">
        <v>97</v>
      </c>
      <c r="L1500" s="163" t="s">
        <v>1273</v>
      </c>
      <c r="M1500" s="114">
        <v>-1.2334999999999998</v>
      </c>
      <c r="BU1500" s="61"/>
    </row>
    <row r="1501" spans="1:73" x14ac:dyDescent="0.35">
      <c r="A1501" s="7" t="s">
        <v>1379</v>
      </c>
      <c r="B1501" s="7" t="s">
        <v>1382</v>
      </c>
      <c r="C1501" s="170" t="s">
        <v>848</v>
      </c>
      <c r="D1501" s="170" t="s">
        <v>226</v>
      </c>
      <c r="E1501" s="170" t="s">
        <v>1293</v>
      </c>
      <c r="F1501" s="62">
        <v>260.17</v>
      </c>
      <c r="G1501" s="62" t="s">
        <v>1074</v>
      </c>
      <c r="H1501" s="114">
        <v>65.72</v>
      </c>
      <c r="I1501" s="19" t="s">
        <v>40</v>
      </c>
      <c r="J1501" s="180">
        <v>0.30200000000000671</v>
      </c>
      <c r="K1501" s="62" t="s">
        <v>97</v>
      </c>
      <c r="L1501" s="163" t="s">
        <v>1273</v>
      </c>
      <c r="M1501" s="114">
        <v>-1.1614999999999998</v>
      </c>
      <c r="BU1501" s="61"/>
    </row>
    <row r="1502" spans="1:73" x14ac:dyDescent="0.35">
      <c r="A1502" s="7" t="s">
        <v>1379</v>
      </c>
      <c r="B1502" s="7" t="s">
        <v>1382</v>
      </c>
      <c r="C1502" s="170" t="s">
        <v>848</v>
      </c>
      <c r="D1502" s="170" t="s">
        <v>226</v>
      </c>
      <c r="E1502" s="170" t="s">
        <v>1294</v>
      </c>
      <c r="F1502" s="62">
        <v>260.32</v>
      </c>
      <c r="G1502" s="62" t="s">
        <v>1074</v>
      </c>
      <c r="H1502" s="114">
        <v>65.748000000000005</v>
      </c>
      <c r="I1502" s="19" t="s">
        <v>40</v>
      </c>
      <c r="J1502" s="180">
        <v>0.27400000000000091</v>
      </c>
      <c r="K1502" s="62" t="s">
        <v>97</v>
      </c>
      <c r="L1502" s="163" t="s">
        <v>1273</v>
      </c>
      <c r="M1502" s="114">
        <v>-1.1684999999999999</v>
      </c>
      <c r="BU1502" s="61"/>
    </row>
    <row r="1503" spans="1:73" x14ac:dyDescent="0.35">
      <c r="A1503" s="7" t="s">
        <v>1379</v>
      </c>
      <c r="B1503" s="7" t="s">
        <v>1382</v>
      </c>
      <c r="C1503" s="170" t="s">
        <v>848</v>
      </c>
      <c r="D1503" s="170" t="s">
        <v>226</v>
      </c>
      <c r="E1503" s="170" t="s">
        <v>1295</v>
      </c>
      <c r="F1503" s="62">
        <v>260.42</v>
      </c>
      <c r="G1503" s="62" t="s">
        <v>1074</v>
      </c>
      <c r="H1503" s="114">
        <v>65.766999999999996</v>
      </c>
      <c r="I1503" s="19" t="s">
        <v>40</v>
      </c>
      <c r="J1503" s="180">
        <v>0.25500000000000966</v>
      </c>
      <c r="K1503" s="62" t="s">
        <v>97</v>
      </c>
      <c r="L1503" s="163" t="s">
        <v>1273</v>
      </c>
      <c r="M1503" s="114">
        <v>-1.1795</v>
      </c>
      <c r="BU1503" s="61"/>
    </row>
    <row r="1504" spans="1:73" x14ac:dyDescent="0.35">
      <c r="A1504" s="7" t="s">
        <v>1379</v>
      </c>
      <c r="B1504" s="7" t="s">
        <v>1382</v>
      </c>
      <c r="C1504" s="170" t="s">
        <v>848</v>
      </c>
      <c r="D1504" s="170" t="s">
        <v>226</v>
      </c>
      <c r="E1504" s="170" t="s">
        <v>1296</v>
      </c>
      <c r="F1504" s="62">
        <v>260.52000000000004</v>
      </c>
      <c r="G1504" s="62" t="s">
        <v>1074</v>
      </c>
      <c r="H1504" s="114">
        <v>65.786000000000001</v>
      </c>
      <c r="I1504" s="19" t="s">
        <v>40</v>
      </c>
      <c r="J1504" s="180">
        <v>0.23600000000000421</v>
      </c>
      <c r="K1504" s="62" t="s">
        <v>97</v>
      </c>
      <c r="L1504" s="163" t="s">
        <v>1273</v>
      </c>
      <c r="M1504" s="114">
        <v>-1.2725</v>
      </c>
      <c r="BU1504" s="61"/>
    </row>
    <row r="1505" spans="1:73" x14ac:dyDescent="0.35">
      <c r="A1505" s="7" t="s">
        <v>1379</v>
      </c>
      <c r="B1505" s="7" t="s">
        <v>1382</v>
      </c>
      <c r="C1505" s="170" t="s">
        <v>848</v>
      </c>
      <c r="D1505" s="170" t="s">
        <v>226</v>
      </c>
      <c r="E1505" s="170" t="s">
        <v>1297</v>
      </c>
      <c r="F1505" s="62">
        <v>260.62</v>
      </c>
      <c r="G1505" s="62" t="s">
        <v>1074</v>
      </c>
      <c r="H1505" s="114">
        <v>65.804000000000002</v>
      </c>
      <c r="I1505" s="19" t="s">
        <v>40</v>
      </c>
      <c r="J1505" s="180">
        <v>0.21800000000000352</v>
      </c>
      <c r="K1505" s="62" t="s">
        <v>97</v>
      </c>
      <c r="L1505" s="163" t="s">
        <v>1273</v>
      </c>
      <c r="M1505" s="114">
        <v>-1.1575</v>
      </c>
      <c r="BU1505" s="61"/>
    </row>
    <row r="1506" spans="1:73" x14ac:dyDescent="0.35">
      <c r="A1506" s="7" t="s">
        <v>1379</v>
      </c>
      <c r="B1506" s="7" t="s">
        <v>1382</v>
      </c>
      <c r="C1506" s="170" t="s">
        <v>848</v>
      </c>
      <c r="D1506" s="170" t="s">
        <v>226</v>
      </c>
      <c r="E1506" s="170" t="s">
        <v>1298</v>
      </c>
      <c r="F1506" s="62">
        <v>260.77000000000004</v>
      </c>
      <c r="G1506" s="62" t="s">
        <v>1074</v>
      </c>
      <c r="H1506" s="114">
        <v>65.835999999999999</v>
      </c>
      <c r="I1506" s="19" t="s">
        <v>40</v>
      </c>
      <c r="J1506" s="180">
        <v>0.18600000000000705</v>
      </c>
      <c r="K1506" s="62" t="s">
        <v>97</v>
      </c>
      <c r="L1506" s="163" t="s">
        <v>1273</v>
      </c>
      <c r="M1506" s="114">
        <v>-1.1244999999999998</v>
      </c>
      <c r="BU1506" s="61"/>
    </row>
    <row r="1507" spans="1:73" x14ac:dyDescent="0.35">
      <c r="A1507" s="7" t="s">
        <v>1379</v>
      </c>
      <c r="B1507" s="7" t="s">
        <v>1382</v>
      </c>
      <c r="C1507" s="170" t="s">
        <v>848</v>
      </c>
      <c r="D1507" s="170" t="s">
        <v>226</v>
      </c>
      <c r="E1507" s="170" t="s">
        <v>1299</v>
      </c>
      <c r="F1507" s="62">
        <v>261.12</v>
      </c>
      <c r="G1507" s="62" t="s">
        <v>1074</v>
      </c>
      <c r="H1507" s="114">
        <v>65.911000000000001</v>
      </c>
      <c r="I1507" s="19" t="s">
        <v>40</v>
      </c>
      <c r="J1507" s="180">
        <v>0.11100000000000421</v>
      </c>
      <c r="K1507" s="62" t="s">
        <v>97</v>
      </c>
      <c r="L1507" s="163" t="s">
        <v>1273</v>
      </c>
      <c r="M1507" s="114">
        <v>-1.3035000000000001</v>
      </c>
      <c r="BU1507" s="61"/>
    </row>
    <row r="1508" spans="1:73" x14ac:dyDescent="0.35">
      <c r="A1508" s="7" t="s">
        <v>1379</v>
      </c>
      <c r="B1508" s="7" t="s">
        <v>1382</v>
      </c>
      <c r="C1508" s="170" t="s">
        <v>848</v>
      </c>
      <c r="D1508" s="170" t="s">
        <v>226</v>
      </c>
      <c r="E1508" s="170" t="s">
        <v>1300</v>
      </c>
      <c r="F1508" s="62">
        <v>261.22000000000003</v>
      </c>
      <c r="G1508" s="62" t="s">
        <v>1074</v>
      </c>
      <c r="H1508" s="114">
        <v>65.935130434782621</v>
      </c>
      <c r="I1508" s="19" t="s">
        <v>40</v>
      </c>
      <c r="J1508" s="180">
        <v>8.6869565217384093E-2</v>
      </c>
      <c r="K1508" s="62" t="s">
        <v>97</v>
      </c>
      <c r="L1508" s="163" t="s">
        <v>1273</v>
      </c>
      <c r="M1508" s="114">
        <v>-1.2075</v>
      </c>
      <c r="BU1508" s="61"/>
    </row>
    <row r="1509" spans="1:73" x14ac:dyDescent="0.35">
      <c r="A1509" s="7" t="s">
        <v>1379</v>
      </c>
      <c r="B1509" s="7" t="s">
        <v>1382</v>
      </c>
      <c r="E1509"/>
      <c r="F1509"/>
      <c r="BU1509" s="61"/>
    </row>
    <row r="1510" spans="1:73" x14ac:dyDescent="0.35">
      <c r="A1510" s="7" t="s">
        <v>1379</v>
      </c>
      <c r="B1510" s="7" t="s">
        <v>1382</v>
      </c>
      <c r="C1510" s="17" t="s">
        <v>1301</v>
      </c>
      <c r="D1510" s="5" t="s">
        <v>38</v>
      </c>
      <c r="E1510" s="181" t="s">
        <v>1302</v>
      </c>
      <c r="F1510" s="182">
        <v>211.63499999999999</v>
      </c>
      <c r="G1510" s="5" t="s">
        <v>39</v>
      </c>
      <c r="H1510" s="152">
        <v>65.004379999999998</v>
      </c>
      <c r="I1510" s="19" t="s">
        <v>40</v>
      </c>
      <c r="J1510" s="152">
        <v>1.017620000000008</v>
      </c>
      <c r="K1510" s="5" t="s">
        <v>44</v>
      </c>
      <c r="L1510" s="101" t="s">
        <v>188</v>
      </c>
      <c r="M1510" s="59">
        <v>0.06</v>
      </c>
      <c r="N1510" s="59">
        <v>9.7933788000000028</v>
      </c>
      <c r="O1510" s="59">
        <v>1.2381599999999988</v>
      </c>
      <c r="BU1510" s="61"/>
    </row>
    <row r="1511" spans="1:73" x14ac:dyDescent="0.35">
      <c r="A1511" s="7" t="s">
        <v>1379</v>
      </c>
      <c r="B1511" s="7" t="s">
        <v>1382</v>
      </c>
      <c r="C1511" s="17" t="s">
        <v>1301</v>
      </c>
      <c r="D1511" s="5" t="s">
        <v>38</v>
      </c>
      <c r="E1511" s="181" t="s">
        <v>1303</v>
      </c>
      <c r="F1511" s="182">
        <v>211.66499999999999</v>
      </c>
      <c r="G1511" s="5" t="s">
        <v>39</v>
      </c>
      <c r="H1511" s="152">
        <v>65.011189999999999</v>
      </c>
      <c r="I1511" s="19" t="s">
        <v>40</v>
      </c>
      <c r="J1511" s="152">
        <v>1.0108100000000064</v>
      </c>
      <c r="K1511" s="5" t="s">
        <v>44</v>
      </c>
      <c r="L1511" s="101" t="s">
        <v>188</v>
      </c>
      <c r="M1511" s="59">
        <v>0.01</v>
      </c>
      <c r="N1511" s="59">
        <v>10.014940800000002</v>
      </c>
      <c r="O1511" s="59">
        <v>1.4597219999999975</v>
      </c>
      <c r="BU1511" s="61"/>
    </row>
    <row r="1512" spans="1:73" x14ac:dyDescent="0.35">
      <c r="A1512" s="7" t="s">
        <v>1379</v>
      </c>
      <c r="B1512" s="7" t="s">
        <v>1382</v>
      </c>
      <c r="C1512" s="17" t="s">
        <v>1301</v>
      </c>
      <c r="D1512" s="5" t="s">
        <v>38</v>
      </c>
      <c r="E1512" s="181" t="s">
        <v>1304</v>
      </c>
      <c r="F1512" s="182">
        <v>211.69499999999999</v>
      </c>
      <c r="G1512" s="5" t="s">
        <v>39</v>
      </c>
      <c r="H1512" s="152">
        <v>65.017989999999998</v>
      </c>
      <c r="I1512" s="19" t="s">
        <v>40</v>
      </c>
      <c r="J1512" s="152">
        <v>1.0040100000000081</v>
      </c>
      <c r="K1512" s="5" t="s">
        <v>44</v>
      </c>
      <c r="L1512" s="101" t="s">
        <v>188</v>
      </c>
      <c r="M1512" s="59">
        <v>0</v>
      </c>
      <c r="N1512" s="59">
        <v>10.059270000000003</v>
      </c>
      <c r="O1512" s="59">
        <v>1.5040511999999993</v>
      </c>
      <c r="BU1512" s="61"/>
    </row>
    <row r="1513" spans="1:73" x14ac:dyDescent="0.35">
      <c r="A1513" s="7" t="s">
        <v>1379</v>
      </c>
      <c r="B1513" s="7" t="s">
        <v>1382</v>
      </c>
      <c r="C1513" s="17" t="s">
        <v>1301</v>
      </c>
      <c r="D1513" s="5" t="s">
        <v>38</v>
      </c>
      <c r="E1513" s="181" t="s">
        <v>1305</v>
      </c>
      <c r="F1513" s="182">
        <v>211.715</v>
      </c>
      <c r="G1513" s="5" t="s">
        <v>39</v>
      </c>
      <c r="H1513" s="152">
        <v>65.022530000000003</v>
      </c>
      <c r="I1513" s="19" t="s">
        <v>40</v>
      </c>
      <c r="J1513" s="152">
        <v>0.9994700000000023</v>
      </c>
      <c r="K1513" s="5" t="s">
        <v>44</v>
      </c>
      <c r="L1513" s="101" t="s">
        <v>188</v>
      </c>
      <c r="M1513" s="59">
        <v>0.06</v>
      </c>
      <c r="N1513" s="59">
        <v>9.7933788000000028</v>
      </c>
      <c r="O1513" s="59">
        <v>1.2381599999999988</v>
      </c>
      <c r="BU1513" s="61"/>
    </row>
    <row r="1514" spans="1:73" x14ac:dyDescent="0.35">
      <c r="A1514" s="7" t="s">
        <v>1379</v>
      </c>
      <c r="B1514" s="7" t="s">
        <v>1382</v>
      </c>
      <c r="C1514" s="17" t="s">
        <v>1301</v>
      </c>
      <c r="D1514" s="5" t="s">
        <v>38</v>
      </c>
      <c r="E1514" s="181" t="s">
        <v>1306</v>
      </c>
      <c r="F1514" s="182">
        <v>211.755</v>
      </c>
      <c r="G1514" s="5" t="s">
        <v>39</v>
      </c>
      <c r="H1514" s="152">
        <v>65.031599999999997</v>
      </c>
      <c r="I1514" s="19" t="s">
        <v>40</v>
      </c>
      <c r="J1514" s="152">
        <v>0.99040000000000816</v>
      </c>
      <c r="K1514" s="5" t="s">
        <v>44</v>
      </c>
      <c r="L1514" s="101" t="s">
        <v>188</v>
      </c>
      <c r="M1514" s="59">
        <v>0.03</v>
      </c>
      <c r="N1514" s="59">
        <v>9.9262992000000008</v>
      </c>
      <c r="O1514" s="59">
        <v>1.3710803999999968</v>
      </c>
      <c r="BU1514" s="61"/>
    </row>
    <row r="1515" spans="1:73" x14ac:dyDescent="0.35">
      <c r="A1515" s="7" t="s">
        <v>1379</v>
      </c>
      <c r="B1515" s="7" t="s">
        <v>1382</v>
      </c>
      <c r="C1515" s="17" t="s">
        <v>1301</v>
      </c>
      <c r="D1515" s="5" t="s">
        <v>38</v>
      </c>
      <c r="E1515" s="181" t="s">
        <v>1307</v>
      </c>
      <c r="F1515" s="182">
        <v>211.785</v>
      </c>
      <c r="G1515" s="5" t="s">
        <v>39</v>
      </c>
      <c r="H1515" s="152">
        <v>65.037350000000004</v>
      </c>
      <c r="I1515" s="19" t="s">
        <v>40</v>
      </c>
      <c r="J1515" s="152">
        <v>0.98465000000000202</v>
      </c>
      <c r="K1515" s="5" t="s">
        <v>44</v>
      </c>
      <c r="L1515" s="101" t="s">
        <v>188</v>
      </c>
      <c r="M1515" s="59">
        <v>0.02</v>
      </c>
      <c r="N1515" s="59">
        <v>9.9706172000000013</v>
      </c>
      <c r="O1515" s="59">
        <v>1.4153983999999973</v>
      </c>
      <c r="BU1515" s="61"/>
    </row>
    <row r="1516" spans="1:73" x14ac:dyDescent="0.35">
      <c r="A1516" s="7" t="s">
        <v>1379</v>
      </c>
      <c r="B1516" s="7" t="s">
        <v>1382</v>
      </c>
      <c r="C1516" s="17" t="s">
        <v>1301</v>
      </c>
      <c r="D1516" s="5" t="s">
        <v>38</v>
      </c>
      <c r="E1516" s="181" t="s">
        <v>1308</v>
      </c>
      <c r="F1516" s="182">
        <v>211.815</v>
      </c>
      <c r="G1516" s="5" t="s">
        <v>39</v>
      </c>
      <c r="H1516" s="152">
        <v>65.04204</v>
      </c>
      <c r="I1516" s="19" t="s">
        <v>40</v>
      </c>
      <c r="J1516" s="152">
        <v>0.97996000000000549</v>
      </c>
      <c r="K1516" s="5" t="s">
        <v>44</v>
      </c>
      <c r="L1516" s="101" t="s">
        <v>188</v>
      </c>
      <c r="M1516" s="59">
        <v>0.12</v>
      </c>
      <c r="N1516" s="59">
        <v>9.5276892000000029</v>
      </c>
      <c r="O1516" s="59">
        <v>0.97247039999999885</v>
      </c>
      <c r="BU1516" s="61"/>
    </row>
    <row r="1517" spans="1:73" x14ac:dyDescent="0.35">
      <c r="A1517" s="7" t="s">
        <v>1379</v>
      </c>
      <c r="B1517" s="7" t="s">
        <v>1382</v>
      </c>
      <c r="C1517" s="17" t="s">
        <v>1301</v>
      </c>
      <c r="D1517" s="5" t="s">
        <v>38</v>
      </c>
      <c r="E1517" s="181" t="s">
        <v>1309</v>
      </c>
      <c r="F1517" s="182">
        <v>211.83500000000001</v>
      </c>
      <c r="G1517" s="5" t="s">
        <v>39</v>
      </c>
      <c r="H1517" s="152">
        <v>65.045169999999999</v>
      </c>
      <c r="I1517" s="19" t="s">
        <v>40</v>
      </c>
      <c r="J1517" s="152">
        <v>0.97683000000000675</v>
      </c>
      <c r="K1517" s="5" t="s">
        <v>44</v>
      </c>
      <c r="L1517" s="101" t="s">
        <v>188</v>
      </c>
      <c r="M1517" s="59">
        <v>0.04</v>
      </c>
      <c r="N1517" s="59">
        <v>9.8819868000000035</v>
      </c>
      <c r="O1517" s="59">
        <v>1.3267679999999995</v>
      </c>
      <c r="BU1517" s="61"/>
    </row>
    <row r="1518" spans="1:73" x14ac:dyDescent="0.35">
      <c r="A1518" s="7" t="s">
        <v>1379</v>
      </c>
      <c r="B1518" s="7" t="s">
        <v>1382</v>
      </c>
      <c r="C1518" s="17" t="s">
        <v>1301</v>
      </c>
      <c r="D1518" s="5" t="s">
        <v>38</v>
      </c>
      <c r="E1518" s="181" t="s">
        <v>1310</v>
      </c>
      <c r="F1518" s="182">
        <v>211.875</v>
      </c>
      <c r="G1518" s="5" t="s">
        <v>39</v>
      </c>
      <c r="H1518" s="152">
        <v>65.051429999999996</v>
      </c>
      <c r="I1518" s="19" t="s">
        <v>40</v>
      </c>
      <c r="J1518" s="152">
        <v>0.97057000000000926</v>
      </c>
      <c r="K1518" s="5" t="s">
        <v>44</v>
      </c>
      <c r="L1518" s="101" t="s">
        <v>188</v>
      </c>
      <c r="M1518" s="59">
        <v>0.02</v>
      </c>
      <c r="N1518" s="59">
        <v>9.9706172000000013</v>
      </c>
      <c r="O1518" s="59">
        <v>1.4153983999999973</v>
      </c>
      <c r="BU1518" s="61"/>
    </row>
    <row r="1519" spans="1:73" x14ac:dyDescent="0.35">
      <c r="A1519" s="7" t="s">
        <v>1379</v>
      </c>
      <c r="B1519" s="7" t="s">
        <v>1382</v>
      </c>
      <c r="C1519" s="17" t="s">
        <v>1301</v>
      </c>
      <c r="D1519" s="5" t="s">
        <v>38</v>
      </c>
      <c r="E1519" s="181" t="s">
        <v>1311</v>
      </c>
      <c r="F1519" s="182">
        <v>211.905</v>
      </c>
      <c r="G1519" s="5" t="s">
        <v>39</v>
      </c>
      <c r="H1519" s="152">
        <v>65.056120000000007</v>
      </c>
      <c r="I1519" s="19" t="s">
        <v>40</v>
      </c>
      <c r="J1519" s="152">
        <v>0.96587999999999852</v>
      </c>
      <c r="K1519" s="5" t="s">
        <v>44</v>
      </c>
      <c r="L1519" s="101" t="s">
        <v>188</v>
      </c>
      <c r="M1519" s="59">
        <v>0.06</v>
      </c>
      <c r="N1519" s="59">
        <v>9.7933788000000028</v>
      </c>
      <c r="O1519" s="59">
        <v>1.2381599999999988</v>
      </c>
      <c r="BU1519" s="61"/>
    </row>
    <row r="1520" spans="1:73" x14ac:dyDescent="0.35">
      <c r="A1520" s="7" t="s">
        <v>1379</v>
      </c>
      <c r="B1520" s="7" t="s">
        <v>1382</v>
      </c>
      <c r="C1520" s="17" t="s">
        <v>1301</v>
      </c>
      <c r="D1520" s="5" t="s">
        <v>38</v>
      </c>
      <c r="E1520" s="181" t="s">
        <v>1312</v>
      </c>
      <c r="F1520" s="182">
        <v>211.935</v>
      </c>
      <c r="G1520" s="5" t="s">
        <v>39</v>
      </c>
      <c r="H1520" s="152">
        <v>65.060820000000007</v>
      </c>
      <c r="I1520" s="19" t="s">
        <v>40</v>
      </c>
      <c r="J1520" s="152">
        <v>0.96117999999999881</v>
      </c>
      <c r="K1520" s="5" t="s">
        <v>44</v>
      </c>
      <c r="L1520" s="101" t="s">
        <v>188</v>
      </c>
      <c r="M1520" s="59">
        <v>0</v>
      </c>
      <c r="N1520" s="59">
        <v>10.059270000000003</v>
      </c>
      <c r="O1520" s="59">
        <v>1.5040511999999993</v>
      </c>
      <c r="BU1520" s="61"/>
    </row>
    <row r="1521" spans="1:73" x14ac:dyDescent="0.35">
      <c r="A1521" s="7" t="s">
        <v>1379</v>
      </c>
      <c r="B1521" s="7" t="s">
        <v>1382</v>
      </c>
      <c r="C1521" s="17" t="s">
        <v>1301</v>
      </c>
      <c r="D1521" s="5" t="s">
        <v>38</v>
      </c>
      <c r="E1521" s="181" t="s">
        <v>1313</v>
      </c>
      <c r="F1521" s="182">
        <v>211.97499999999999</v>
      </c>
      <c r="G1521" s="5" t="s">
        <v>39</v>
      </c>
      <c r="H1521" s="152">
        <v>65.067080000000004</v>
      </c>
      <c r="I1521" s="19" t="s">
        <v>40</v>
      </c>
      <c r="J1521" s="152">
        <v>0.95492000000000132</v>
      </c>
      <c r="K1521" s="5" t="s">
        <v>44</v>
      </c>
      <c r="L1521" s="101" t="s">
        <v>188</v>
      </c>
      <c r="M1521" s="59">
        <v>0.02</v>
      </c>
      <c r="N1521" s="59">
        <v>9.9706172000000013</v>
      </c>
      <c r="O1521" s="59">
        <v>1.4153983999999973</v>
      </c>
      <c r="BU1521" s="61"/>
    </row>
    <row r="1522" spans="1:73" x14ac:dyDescent="0.35">
      <c r="A1522" s="7" t="s">
        <v>1379</v>
      </c>
      <c r="B1522" s="7" t="s">
        <v>1382</v>
      </c>
      <c r="C1522" s="17" t="s">
        <v>1301</v>
      </c>
      <c r="D1522" s="5" t="s">
        <v>38</v>
      </c>
      <c r="E1522" s="181" t="s">
        <v>1314</v>
      </c>
      <c r="F1522" s="182">
        <v>212.005</v>
      </c>
      <c r="G1522" s="5" t="s">
        <v>39</v>
      </c>
      <c r="H1522" s="152">
        <v>65.071770000000001</v>
      </c>
      <c r="I1522" s="19" t="s">
        <v>40</v>
      </c>
      <c r="J1522" s="152">
        <v>0.95023000000000479</v>
      </c>
      <c r="K1522" s="5" t="s">
        <v>44</v>
      </c>
      <c r="L1522" s="101" t="s">
        <v>188</v>
      </c>
      <c r="M1522" s="59">
        <v>-0.1</v>
      </c>
      <c r="N1522" s="59">
        <v>10.502870000000003</v>
      </c>
      <c r="O1522" s="59">
        <v>1.9476511999999992</v>
      </c>
      <c r="BU1522" s="61"/>
    </row>
    <row r="1523" spans="1:73" x14ac:dyDescent="0.35">
      <c r="A1523" s="7" t="s">
        <v>1379</v>
      </c>
      <c r="B1523" s="7" t="s">
        <v>1382</v>
      </c>
      <c r="C1523" s="17" t="s">
        <v>1301</v>
      </c>
      <c r="D1523" s="5" t="s">
        <v>38</v>
      </c>
      <c r="E1523" s="181" t="s">
        <v>1315</v>
      </c>
      <c r="F1523" s="182">
        <v>212.035</v>
      </c>
      <c r="G1523" s="5" t="s">
        <v>39</v>
      </c>
      <c r="H1523" s="152">
        <v>65.076459999999997</v>
      </c>
      <c r="I1523" s="19" t="s">
        <v>40</v>
      </c>
      <c r="J1523" s="152">
        <v>0.94554000000000826</v>
      </c>
      <c r="K1523" s="5" t="s">
        <v>44</v>
      </c>
      <c r="L1523" s="101" t="s">
        <v>188</v>
      </c>
      <c r="M1523" s="59">
        <v>-0.01</v>
      </c>
      <c r="N1523" s="59">
        <v>10.103604800000003</v>
      </c>
      <c r="O1523" s="59">
        <v>1.5483859999999989</v>
      </c>
      <c r="BU1523" s="61"/>
    </row>
    <row r="1524" spans="1:73" x14ac:dyDescent="0.35">
      <c r="A1524" s="7" t="s">
        <v>1379</v>
      </c>
      <c r="B1524" s="7" t="s">
        <v>1382</v>
      </c>
      <c r="C1524" s="17" t="s">
        <v>1301</v>
      </c>
      <c r="D1524" s="5" t="s">
        <v>38</v>
      </c>
      <c r="E1524" s="181" t="s">
        <v>1316</v>
      </c>
      <c r="F1524" s="182">
        <v>212.05500000000001</v>
      </c>
      <c r="G1524" s="5" t="s">
        <v>39</v>
      </c>
      <c r="H1524" s="152">
        <v>65.079589999999996</v>
      </c>
      <c r="I1524" s="19" t="s">
        <v>40</v>
      </c>
      <c r="J1524" s="152">
        <v>0.94241000000000952</v>
      </c>
      <c r="K1524" s="5" t="s">
        <v>44</v>
      </c>
      <c r="L1524" s="101" t="s">
        <v>188</v>
      </c>
      <c r="M1524" s="59">
        <v>-0.12</v>
      </c>
      <c r="N1524" s="59">
        <v>10.591657200000002</v>
      </c>
      <c r="O1524" s="59">
        <v>2.036438399999998</v>
      </c>
      <c r="BU1524" s="61"/>
    </row>
    <row r="1525" spans="1:73" x14ac:dyDescent="0.35">
      <c r="A1525" s="7" t="s">
        <v>1379</v>
      </c>
      <c r="B1525" s="7" t="s">
        <v>1382</v>
      </c>
      <c r="C1525" s="17" t="s">
        <v>1301</v>
      </c>
      <c r="D1525" s="5" t="s">
        <v>38</v>
      </c>
      <c r="E1525" s="181" t="s">
        <v>1317</v>
      </c>
      <c r="F1525" s="182">
        <v>212.08500000000001</v>
      </c>
      <c r="G1525" s="5" t="s">
        <v>39</v>
      </c>
      <c r="H1525" s="152">
        <v>65.084289999999996</v>
      </c>
      <c r="I1525" s="19" t="s">
        <v>40</v>
      </c>
      <c r="J1525" s="152">
        <v>0.93771000000000981</v>
      </c>
      <c r="K1525" s="5" t="s">
        <v>44</v>
      </c>
      <c r="L1525" s="101" t="s">
        <v>188</v>
      </c>
      <c r="M1525" s="59">
        <v>-0.03</v>
      </c>
      <c r="N1525" s="59">
        <v>10.192291200000001</v>
      </c>
      <c r="O1525" s="59">
        <v>1.6370723999999974</v>
      </c>
      <c r="BU1525" s="61"/>
    </row>
    <row r="1526" spans="1:73" x14ac:dyDescent="0.35">
      <c r="A1526" s="7" t="s">
        <v>1379</v>
      </c>
      <c r="B1526" s="7" t="s">
        <v>1382</v>
      </c>
      <c r="C1526" s="17" t="s">
        <v>1301</v>
      </c>
      <c r="D1526" s="5" t="s">
        <v>38</v>
      </c>
      <c r="E1526" s="181" t="s">
        <v>1318</v>
      </c>
      <c r="F1526" s="182">
        <v>212.125</v>
      </c>
      <c r="G1526" s="5" t="s">
        <v>39</v>
      </c>
      <c r="H1526" s="152">
        <v>65.090540000000004</v>
      </c>
      <c r="I1526" s="19" t="s">
        <v>40</v>
      </c>
      <c r="J1526" s="152">
        <v>0.93146000000000129</v>
      </c>
      <c r="K1526" s="5" t="s">
        <v>44</v>
      </c>
      <c r="L1526" s="101" t="s">
        <v>188</v>
      </c>
      <c r="M1526" s="59">
        <v>-0.15</v>
      </c>
      <c r="N1526" s="59">
        <v>10.724880000000002</v>
      </c>
      <c r="O1526" s="59">
        <v>2.1696611999999984</v>
      </c>
      <c r="BU1526" s="61"/>
    </row>
    <row r="1527" spans="1:73" x14ac:dyDescent="0.35">
      <c r="A1527" s="7" t="s">
        <v>1379</v>
      </c>
      <c r="B1527" s="7" t="s">
        <v>1382</v>
      </c>
      <c r="C1527" s="17" t="s">
        <v>1301</v>
      </c>
      <c r="D1527" s="5" t="s">
        <v>38</v>
      </c>
      <c r="E1527" s="181" t="s">
        <v>1319</v>
      </c>
      <c r="F1527" s="182">
        <v>212.155</v>
      </c>
      <c r="G1527" s="5" t="s">
        <v>39</v>
      </c>
      <c r="H1527" s="152">
        <v>65.095240000000004</v>
      </c>
      <c r="I1527" s="19" t="s">
        <v>40</v>
      </c>
      <c r="J1527" s="152">
        <v>0.92676000000000158</v>
      </c>
      <c r="K1527" s="5" t="s">
        <v>44</v>
      </c>
      <c r="L1527" s="101" t="s">
        <v>188</v>
      </c>
      <c r="M1527" s="59">
        <v>-0.12</v>
      </c>
      <c r="N1527" s="59">
        <v>10.591657200000002</v>
      </c>
      <c r="O1527" s="59">
        <v>2.036438399999998</v>
      </c>
      <c r="BU1527" s="61"/>
    </row>
    <row r="1528" spans="1:73" x14ac:dyDescent="0.35">
      <c r="A1528" s="7" t="s">
        <v>1379</v>
      </c>
      <c r="B1528" s="7" t="s">
        <v>1382</v>
      </c>
      <c r="C1528" s="17" t="s">
        <v>1301</v>
      </c>
      <c r="D1528" s="5" t="s">
        <v>38</v>
      </c>
      <c r="E1528" s="181" t="s">
        <v>1320</v>
      </c>
      <c r="F1528" s="182">
        <v>212.185</v>
      </c>
      <c r="G1528" s="5" t="s">
        <v>39</v>
      </c>
      <c r="H1528" s="152">
        <v>65.099930000000001</v>
      </c>
      <c r="I1528" s="19" t="s">
        <v>40</v>
      </c>
      <c r="J1528" s="152">
        <v>0.92207000000000505</v>
      </c>
      <c r="K1528" s="5" t="s">
        <v>44</v>
      </c>
      <c r="L1528" s="101" t="s">
        <v>188</v>
      </c>
      <c r="M1528" s="59">
        <v>0.02</v>
      </c>
      <c r="N1528" s="59">
        <v>9.9706172000000013</v>
      </c>
      <c r="O1528" s="59">
        <v>1.4153983999999973</v>
      </c>
    </row>
    <row r="1529" spans="1:73" x14ac:dyDescent="0.35">
      <c r="A1529" s="7" t="s">
        <v>1379</v>
      </c>
      <c r="B1529" s="7" t="s">
        <v>1382</v>
      </c>
      <c r="C1529" s="17" t="s">
        <v>1301</v>
      </c>
      <c r="D1529" s="5" t="s">
        <v>38</v>
      </c>
      <c r="E1529" s="181" t="s">
        <v>1321</v>
      </c>
      <c r="F1529" s="182">
        <v>212.22499999999999</v>
      </c>
      <c r="G1529" s="5" t="s">
        <v>39</v>
      </c>
      <c r="H1529" s="152">
        <v>65.106189999999998</v>
      </c>
      <c r="I1529" s="19" t="s">
        <v>40</v>
      </c>
      <c r="J1529" s="152">
        <v>0.91581000000000756</v>
      </c>
      <c r="K1529" s="5" t="s">
        <v>44</v>
      </c>
      <c r="L1529" s="101" t="s">
        <v>188</v>
      </c>
      <c r="M1529" s="59">
        <v>0.01</v>
      </c>
      <c r="N1529" s="59">
        <v>10.014940800000002</v>
      </c>
      <c r="O1529" s="59">
        <v>1.4597219999999975</v>
      </c>
    </row>
    <row r="1530" spans="1:73" x14ac:dyDescent="0.35">
      <c r="A1530" s="7" t="s">
        <v>1379</v>
      </c>
      <c r="B1530" s="7" t="s">
        <v>1382</v>
      </c>
      <c r="C1530" s="17" t="s">
        <v>1301</v>
      </c>
      <c r="D1530" s="5" t="s">
        <v>38</v>
      </c>
      <c r="E1530" s="181" t="s">
        <v>1322</v>
      </c>
      <c r="F1530" s="182">
        <v>212.245</v>
      </c>
      <c r="G1530" s="5" t="s">
        <v>39</v>
      </c>
      <c r="H1530" s="152">
        <v>65.109319999999997</v>
      </c>
      <c r="I1530" s="19" t="s">
        <v>40</v>
      </c>
      <c r="J1530" s="152">
        <v>0.91268000000000882</v>
      </c>
      <c r="K1530" s="5" t="s">
        <v>44</v>
      </c>
      <c r="L1530" s="101" t="s">
        <v>188</v>
      </c>
      <c r="M1530" s="59">
        <v>-0.13</v>
      </c>
      <c r="N1530" s="59">
        <v>10.636059200000004</v>
      </c>
      <c r="O1530" s="59">
        <v>2.0808403999999996</v>
      </c>
    </row>
    <row r="1531" spans="1:73" x14ac:dyDescent="0.35">
      <c r="A1531" s="7" t="s">
        <v>1379</v>
      </c>
      <c r="B1531" s="7" t="s">
        <v>1382</v>
      </c>
      <c r="C1531" s="17" t="s">
        <v>1301</v>
      </c>
      <c r="D1531" s="5" t="s">
        <v>38</v>
      </c>
      <c r="E1531" s="181" t="s">
        <v>1323</v>
      </c>
      <c r="F1531" s="182">
        <v>212.27500000000001</v>
      </c>
      <c r="G1531" s="5" t="s">
        <v>39</v>
      </c>
      <c r="H1531" s="152">
        <v>65.114010000000007</v>
      </c>
      <c r="I1531" s="19" t="s">
        <v>40</v>
      </c>
      <c r="J1531" s="152">
        <v>0.90798999999999808</v>
      </c>
      <c r="K1531" s="5" t="s">
        <v>44</v>
      </c>
      <c r="L1531" s="101" t="s">
        <v>188</v>
      </c>
      <c r="M1531" s="59">
        <v>-0.12</v>
      </c>
      <c r="N1531" s="59">
        <v>10.591657200000002</v>
      </c>
      <c r="O1531" s="59">
        <v>2.036438399999998</v>
      </c>
    </row>
    <row r="1532" spans="1:73" x14ac:dyDescent="0.35">
      <c r="A1532" s="7" t="s">
        <v>1379</v>
      </c>
      <c r="B1532" s="7" t="s">
        <v>1382</v>
      </c>
      <c r="C1532" s="17" t="s">
        <v>1301</v>
      </c>
      <c r="D1532" s="5" t="s">
        <v>38</v>
      </c>
      <c r="E1532" s="181" t="s">
        <v>1324</v>
      </c>
      <c r="F1532" s="182">
        <v>212.30500000000001</v>
      </c>
      <c r="G1532" s="5" t="s">
        <v>39</v>
      </c>
      <c r="H1532" s="152">
        <v>65.118709999999993</v>
      </c>
      <c r="I1532" s="19" t="s">
        <v>40</v>
      </c>
      <c r="J1532" s="152">
        <v>0.90329000000001258</v>
      </c>
      <c r="K1532" s="5" t="s">
        <v>44</v>
      </c>
      <c r="L1532" s="101" t="s">
        <v>188</v>
      </c>
      <c r="M1532" s="59">
        <v>-0.08</v>
      </c>
      <c r="N1532" s="59">
        <v>10.414105200000002</v>
      </c>
      <c r="O1532" s="59">
        <v>1.8588863999999976</v>
      </c>
    </row>
    <row r="1533" spans="1:73" x14ac:dyDescent="0.35">
      <c r="A1533" s="7" t="s">
        <v>1379</v>
      </c>
      <c r="B1533" s="7" t="s">
        <v>1382</v>
      </c>
      <c r="C1533" s="17" t="s">
        <v>1301</v>
      </c>
      <c r="D1533" s="5" t="s">
        <v>38</v>
      </c>
      <c r="E1533" s="181" t="s">
        <v>1325</v>
      </c>
      <c r="F1533" s="182">
        <v>212.33500000000001</v>
      </c>
      <c r="G1533" s="5" t="s">
        <v>39</v>
      </c>
      <c r="H1533" s="152">
        <v>65.123400000000004</v>
      </c>
      <c r="I1533" s="19" t="s">
        <v>40</v>
      </c>
      <c r="J1533" s="152">
        <v>0.89860000000000184</v>
      </c>
      <c r="K1533" s="5" t="s">
        <v>44</v>
      </c>
      <c r="L1533" s="101" t="s">
        <v>188</v>
      </c>
      <c r="M1533" s="59">
        <v>-0.15</v>
      </c>
      <c r="N1533" s="59">
        <v>10.724880000000002</v>
      </c>
      <c r="O1533" s="59">
        <v>2.1696611999999984</v>
      </c>
    </row>
    <row r="1534" spans="1:73" x14ac:dyDescent="0.35">
      <c r="A1534" s="7" t="s">
        <v>1379</v>
      </c>
      <c r="B1534" s="7" t="s">
        <v>1382</v>
      </c>
      <c r="C1534" s="17" t="s">
        <v>1301</v>
      </c>
      <c r="D1534" s="5" t="s">
        <v>38</v>
      </c>
      <c r="E1534" s="181" t="s">
        <v>1326</v>
      </c>
      <c r="F1534" s="182">
        <v>212.36500000000001</v>
      </c>
      <c r="G1534" s="5" t="s">
        <v>39</v>
      </c>
      <c r="H1534" s="152">
        <v>65.12809</v>
      </c>
      <c r="I1534" s="19" t="s">
        <v>40</v>
      </c>
      <c r="J1534" s="152">
        <v>0.89391000000000531</v>
      </c>
      <c r="K1534" s="5" t="s">
        <v>44</v>
      </c>
      <c r="L1534" s="101" t="s">
        <v>188</v>
      </c>
      <c r="M1534" s="59">
        <v>-0.14000000000000001</v>
      </c>
      <c r="N1534" s="59">
        <v>10.680466800000001</v>
      </c>
      <c r="O1534" s="59">
        <v>2.1252479999999974</v>
      </c>
    </row>
    <row r="1535" spans="1:73" x14ac:dyDescent="0.35">
      <c r="A1535" s="7" t="s">
        <v>1379</v>
      </c>
      <c r="B1535" s="7" t="s">
        <v>1382</v>
      </c>
      <c r="C1535" s="17" t="s">
        <v>1301</v>
      </c>
      <c r="D1535" s="5" t="s">
        <v>38</v>
      </c>
      <c r="E1535" s="181" t="s">
        <v>1327</v>
      </c>
      <c r="F1535" s="182">
        <v>212.39500000000001</v>
      </c>
      <c r="G1535" s="5" t="s">
        <v>39</v>
      </c>
      <c r="H1535" s="152">
        <v>65.132710000000003</v>
      </c>
      <c r="I1535" s="19" t="s">
        <v>40</v>
      </c>
      <c r="J1535" s="152">
        <v>0.88929000000000258</v>
      </c>
      <c r="K1535" s="5" t="s">
        <v>44</v>
      </c>
      <c r="L1535" s="101" t="s">
        <v>188</v>
      </c>
      <c r="M1535" s="59">
        <v>-0.17</v>
      </c>
      <c r="N1535" s="59">
        <v>10.813723200000002</v>
      </c>
      <c r="O1535" s="59">
        <v>2.2585043999999979</v>
      </c>
    </row>
    <row r="1536" spans="1:73" x14ac:dyDescent="0.35">
      <c r="A1536" s="7" t="s">
        <v>1379</v>
      </c>
      <c r="B1536" s="7" t="s">
        <v>1382</v>
      </c>
      <c r="C1536" s="17" t="s">
        <v>1301</v>
      </c>
      <c r="D1536" s="5" t="s">
        <v>38</v>
      </c>
      <c r="E1536" s="181" t="s">
        <v>1328</v>
      </c>
      <c r="F1536" s="182">
        <v>212.42500000000001</v>
      </c>
      <c r="G1536" s="5" t="s">
        <v>39</v>
      </c>
      <c r="H1536" s="152">
        <v>65.136939999999996</v>
      </c>
      <c r="I1536" s="19" t="s">
        <v>40</v>
      </c>
      <c r="J1536" s="152">
        <v>0.88506000000000995</v>
      </c>
      <c r="K1536" s="5" t="s">
        <v>44</v>
      </c>
      <c r="L1536" s="101" t="s">
        <v>188</v>
      </c>
      <c r="M1536" s="59">
        <v>-0.14000000000000001</v>
      </c>
      <c r="N1536" s="59">
        <v>10.680466800000001</v>
      </c>
      <c r="O1536" s="59">
        <v>2.1252479999999974</v>
      </c>
    </row>
    <row r="1537" spans="1:15" x14ac:dyDescent="0.35">
      <c r="A1537" s="7" t="s">
        <v>1379</v>
      </c>
      <c r="B1537" s="7" t="s">
        <v>1382</v>
      </c>
      <c r="C1537" s="17" t="s">
        <v>1301</v>
      </c>
      <c r="D1537" s="5" t="s">
        <v>38</v>
      </c>
      <c r="E1537" s="181" t="s">
        <v>1329</v>
      </c>
      <c r="F1537" s="182">
        <v>212.44499999999999</v>
      </c>
      <c r="G1537" s="5" t="s">
        <v>39</v>
      </c>
      <c r="H1537" s="152">
        <v>65.139750000000006</v>
      </c>
      <c r="I1537" s="19" t="s">
        <v>40</v>
      </c>
      <c r="J1537" s="152">
        <v>0.88224999999999909</v>
      </c>
      <c r="K1537" s="5" t="s">
        <v>44</v>
      </c>
      <c r="L1537" s="101" t="s">
        <v>188</v>
      </c>
      <c r="M1537" s="59">
        <v>-0.12</v>
      </c>
      <c r="N1537" s="59">
        <v>10.591657200000002</v>
      </c>
      <c r="O1537" s="59">
        <v>2.036438399999998</v>
      </c>
    </row>
    <row r="1538" spans="1:15" x14ac:dyDescent="0.35">
      <c r="A1538" s="7" t="s">
        <v>1379</v>
      </c>
      <c r="B1538" s="7" t="s">
        <v>1382</v>
      </c>
      <c r="C1538" s="17" t="s">
        <v>1301</v>
      </c>
      <c r="D1538" s="5" t="s">
        <v>38</v>
      </c>
      <c r="E1538" s="181" t="s">
        <v>1330</v>
      </c>
      <c r="F1538" s="182">
        <v>212.51499999999999</v>
      </c>
      <c r="G1538" s="5" t="s">
        <v>39</v>
      </c>
      <c r="H1538" s="152">
        <v>65.149619999999999</v>
      </c>
      <c r="I1538" s="19" t="s">
        <v>40</v>
      </c>
      <c r="J1538" s="152">
        <v>0.87238000000000682</v>
      </c>
      <c r="K1538" s="5" t="s">
        <v>44</v>
      </c>
      <c r="L1538" s="101" t="s">
        <v>188</v>
      </c>
      <c r="M1538" s="59">
        <v>-0.11</v>
      </c>
      <c r="N1538" s="59">
        <v>10.547260800000002</v>
      </c>
      <c r="O1538" s="59">
        <v>1.9920419999999979</v>
      </c>
    </row>
    <row r="1539" spans="1:15" x14ac:dyDescent="0.35">
      <c r="A1539" s="7" t="s">
        <v>1379</v>
      </c>
      <c r="B1539" s="7" t="s">
        <v>1382</v>
      </c>
      <c r="C1539" s="17" t="s">
        <v>1301</v>
      </c>
      <c r="D1539" s="5" t="s">
        <v>38</v>
      </c>
      <c r="E1539" s="181" t="s">
        <v>1331</v>
      </c>
      <c r="F1539" s="182">
        <v>212.54499999999999</v>
      </c>
      <c r="G1539" s="5" t="s">
        <v>39</v>
      </c>
      <c r="H1539" s="152">
        <v>65.153840000000002</v>
      </c>
      <c r="I1539" s="19" t="s">
        <v>40</v>
      </c>
      <c r="J1539" s="152">
        <v>0.86816000000000315</v>
      </c>
      <c r="K1539" s="5" t="s">
        <v>44</v>
      </c>
      <c r="L1539" s="101" t="s">
        <v>188</v>
      </c>
      <c r="M1539" s="59">
        <v>-0.13</v>
      </c>
      <c r="N1539" s="59">
        <v>10.636059200000004</v>
      </c>
      <c r="O1539" s="59">
        <v>2.0808403999999996</v>
      </c>
    </row>
    <row r="1540" spans="1:15" x14ac:dyDescent="0.35">
      <c r="A1540" s="7" t="s">
        <v>1379</v>
      </c>
      <c r="B1540" s="7" t="s">
        <v>1382</v>
      </c>
      <c r="C1540" s="17" t="s">
        <v>1301</v>
      </c>
      <c r="D1540" s="5" t="s">
        <v>38</v>
      </c>
      <c r="E1540" s="181" t="s">
        <v>1332</v>
      </c>
      <c r="F1540" s="182">
        <v>212.565</v>
      </c>
      <c r="G1540" s="5" t="s">
        <v>39</v>
      </c>
      <c r="H1540" s="152">
        <v>65.156660000000002</v>
      </c>
      <c r="I1540" s="19" t="s">
        <v>40</v>
      </c>
      <c r="J1540" s="152">
        <v>0.86534000000000333</v>
      </c>
      <c r="K1540" s="5" t="s">
        <v>44</v>
      </c>
      <c r="L1540" s="101" t="s">
        <v>188</v>
      </c>
      <c r="M1540" s="59">
        <v>-0.08</v>
      </c>
      <c r="N1540" s="59">
        <v>10.414105200000002</v>
      </c>
      <c r="O1540" s="59">
        <v>1.8588863999999976</v>
      </c>
    </row>
    <row r="1541" spans="1:15" x14ac:dyDescent="0.35">
      <c r="A1541" s="7" t="s">
        <v>1379</v>
      </c>
      <c r="B1541" s="7" t="s">
        <v>1382</v>
      </c>
      <c r="C1541" s="17" t="s">
        <v>1301</v>
      </c>
      <c r="D1541" s="5" t="s">
        <v>38</v>
      </c>
      <c r="E1541" s="181" t="s">
        <v>1333</v>
      </c>
      <c r="F1541" s="182">
        <v>212.60499999999999</v>
      </c>
      <c r="G1541" s="5" t="s">
        <v>39</v>
      </c>
      <c r="H1541" s="152">
        <v>65.162300000000002</v>
      </c>
      <c r="I1541" s="19" t="s">
        <v>40</v>
      </c>
      <c r="J1541" s="152">
        <v>0.85970000000000368</v>
      </c>
      <c r="K1541" s="5" t="s">
        <v>44</v>
      </c>
      <c r="L1541" s="101" t="s">
        <v>188</v>
      </c>
      <c r="M1541" s="59">
        <v>-0.06</v>
      </c>
      <c r="N1541" s="59">
        <v>10.325362800000001</v>
      </c>
      <c r="O1541" s="59">
        <v>1.7701439999999966</v>
      </c>
    </row>
    <row r="1542" spans="1:15" x14ac:dyDescent="0.35">
      <c r="A1542" s="7" t="s">
        <v>1379</v>
      </c>
      <c r="B1542" s="7" t="s">
        <v>1382</v>
      </c>
      <c r="C1542" s="17" t="s">
        <v>1301</v>
      </c>
      <c r="D1542" s="5" t="s">
        <v>38</v>
      </c>
      <c r="E1542" s="181" t="s">
        <v>1334</v>
      </c>
      <c r="F1542" s="182">
        <v>212.63499999999999</v>
      </c>
      <c r="G1542" s="5" t="s">
        <v>39</v>
      </c>
      <c r="H1542" s="152">
        <v>65.166519999999991</v>
      </c>
      <c r="I1542" s="19" t="s">
        <v>40</v>
      </c>
      <c r="J1542" s="152">
        <v>0.85548000000001423</v>
      </c>
      <c r="K1542" s="5" t="s">
        <v>44</v>
      </c>
      <c r="L1542" s="101" t="s">
        <v>188</v>
      </c>
      <c r="M1542" s="59">
        <v>-0.09</v>
      </c>
      <c r="N1542" s="59">
        <v>10.458484800000001</v>
      </c>
      <c r="O1542" s="59">
        <v>1.9032659999999968</v>
      </c>
    </row>
    <row r="1543" spans="1:15" x14ac:dyDescent="0.35">
      <c r="A1543" s="7" t="s">
        <v>1379</v>
      </c>
      <c r="B1543" s="7" t="s">
        <v>1382</v>
      </c>
      <c r="C1543" s="17" t="s">
        <v>1301</v>
      </c>
      <c r="D1543" s="5" t="s">
        <v>38</v>
      </c>
      <c r="E1543" s="181" t="s">
        <v>1335</v>
      </c>
      <c r="F1543" s="182">
        <v>212.66499999999999</v>
      </c>
      <c r="G1543" s="5" t="s">
        <v>39</v>
      </c>
      <c r="H1543" s="152">
        <v>65.170749999999998</v>
      </c>
      <c r="I1543" s="19" t="s">
        <v>40</v>
      </c>
      <c r="J1543" s="152">
        <v>0.85125000000000739</v>
      </c>
      <c r="K1543" s="5" t="s">
        <v>44</v>
      </c>
      <c r="L1543" s="101" t="s">
        <v>188</v>
      </c>
      <c r="M1543" s="59">
        <v>-0.09</v>
      </c>
      <c r="N1543" s="59">
        <v>10.458484800000001</v>
      </c>
      <c r="O1543" s="59">
        <v>1.9032659999999968</v>
      </c>
    </row>
    <row r="1544" spans="1:15" x14ac:dyDescent="0.35">
      <c r="A1544" s="7" t="s">
        <v>1379</v>
      </c>
      <c r="B1544" s="7" t="s">
        <v>1382</v>
      </c>
      <c r="C1544" s="17" t="s">
        <v>1301</v>
      </c>
      <c r="D1544" s="5" t="s">
        <v>38</v>
      </c>
      <c r="E1544" s="181" t="s">
        <v>1336</v>
      </c>
      <c r="F1544" s="182">
        <v>212.685</v>
      </c>
      <c r="G1544" s="5" t="s">
        <v>39</v>
      </c>
      <c r="H1544" s="152">
        <v>65.173569999999998</v>
      </c>
      <c r="I1544" s="19" t="s">
        <v>40</v>
      </c>
      <c r="J1544" s="152">
        <v>0.84843000000000757</v>
      </c>
      <c r="K1544" s="5" t="s">
        <v>44</v>
      </c>
      <c r="L1544" s="101" t="s">
        <v>188</v>
      </c>
      <c r="M1544" s="59">
        <v>-0.14000000000000001</v>
      </c>
      <c r="N1544" s="59">
        <v>10.680466800000001</v>
      </c>
      <c r="O1544" s="59">
        <v>2.1252479999999974</v>
      </c>
    </row>
    <row r="1545" spans="1:15" x14ac:dyDescent="0.35">
      <c r="A1545" s="7" t="s">
        <v>1379</v>
      </c>
      <c r="B1545" s="7" t="s">
        <v>1382</v>
      </c>
      <c r="C1545" s="17" t="s">
        <v>1301</v>
      </c>
      <c r="D1545" s="5" t="s">
        <v>38</v>
      </c>
      <c r="E1545" s="181" t="s">
        <v>1337</v>
      </c>
      <c r="F1545" s="182">
        <v>212.72499999999999</v>
      </c>
      <c r="G1545" s="5" t="s">
        <v>39</v>
      </c>
      <c r="H1545" s="152">
        <v>65.179209999999998</v>
      </c>
      <c r="I1545" s="19" t="s">
        <v>40</v>
      </c>
      <c r="J1545" s="152">
        <v>0.84279000000000792</v>
      </c>
      <c r="K1545" s="5" t="s">
        <v>44</v>
      </c>
      <c r="L1545" s="101" t="s">
        <v>188</v>
      </c>
      <c r="M1545" s="59">
        <v>-0.12</v>
      </c>
      <c r="N1545" s="59">
        <v>10.591657200000002</v>
      </c>
      <c r="O1545" s="59">
        <v>2.036438399999998</v>
      </c>
    </row>
    <row r="1546" spans="1:15" x14ac:dyDescent="0.35">
      <c r="A1546" s="7" t="s">
        <v>1379</v>
      </c>
      <c r="B1546" s="7" t="s">
        <v>1382</v>
      </c>
      <c r="C1546" s="17" t="s">
        <v>1301</v>
      </c>
      <c r="D1546" s="5" t="s">
        <v>38</v>
      </c>
      <c r="E1546" s="181" t="s">
        <v>1338</v>
      </c>
      <c r="F1546" s="182">
        <v>212.755</v>
      </c>
      <c r="G1546" s="5" t="s">
        <v>39</v>
      </c>
      <c r="H1546" s="152">
        <v>65.183430000000001</v>
      </c>
      <c r="I1546" s="19" t="s">
        <v>40</v>
      </c>
      <c r="J1546" s="152">
        <v>0.83857000000000426</v>
      </c>
      <c r="K1546" s="5" t="s">
        <v>44</v>
      </c>
      <c r="L1546" s="101" t="s">
        <v>188</v>
      </c>
      <c r="M1546" s="59">
        <v>-0.1</v>
      </c>
      <c r="N1546" s="59">
        <v>10.502870000000003</v>
      </c>
      <c r="O1546" s="59">
        <v>1.9476511999999992</v>
      </c>
    </row>
    <row r="1547" spans="1:15" x14ac:dyDescent="0.35">
      <c r="A1547" s="7" t="s">
        <v>1379</v>
      </c>
      <c r="B1547" s="7" t="s">
        <v>1382</v>
      </c>
      <c r="C1547" s="17" t="s">
        <v>1301</v>
      </c>
      <c r="D1547" s="5" t="s">
        <v>38</v>
      </c>
      <c r="E1547" s="181" t="s">
        <v>1339</v>
      </c>
      <c r="F1547" s="182">
        <v>212.785</v>
      </c>
      <c r="G1547" s="5" t="s">
        <v>39</v>
      </c>
      <c r="H1547" s="152">
        <v>65.187660000000008</v>
      </c>
      <c r="I1547" s="19" t="s">
        <v>40</v>
      </c>
      <c r="J1547" s="152">
        <v>0.83433999999999742</v>
      </c>
      <c r="K1547" s="5" t="s">
        <v>44</v>
      </c>
      <c r="L1547" s="101" t="s">
        <v>188</v>
      </c>
      <c r="M1547" s="59">
        <v>-0.09</v>
      </c>
      <c r="N1547" s="59">
        <v>10.458484800000001</v>
      </c>
      <c r="O1547" s="59">
        <v>1.9032659999999968</v>
      </c>
    </row>
    <row r="1548" spans="1:15" x14ac:dyDescent="0.35">
      <c r="A1548" s="7" t="s">
        <v>1379</v>
      </c>
      <c r="B1548" s="7" t="s">
        <v>1382</v>
      </c>
      <c r="C1548" s="17" t="s">
        <v>1301</v>
      </c>
      <c r="D1548" s="5" t="s">
        <v>38</v>
      </c>
      <c r="E1548" s="181" t="s">
        <v>1340</v>
      </c>
      <c r="F1548" s="182">
        <v>212.82499999999999</v>
      </c>
      <c r="G1548" s="5" t="s">
        <v>39</v>
      </c>
      <c r="H1548" s="152">
        <v>65.193300000000008</v>
      </c>
      <c r="I1548" s="19" t="s">
        <v>40</v>
      </c>
      <c r="J1548" s="152">
        <v>0.82869999999999777</v>
      </c>
      <c r="K1548" s="5" t="s">
        <v>44</v>
      </c>
      <c r="L1548" s="101" t="s">
        <v>188</v>
      </c>
      <c r="M1548" s="59">
        <v>-0.05</v>
      </c>
      <c r="N1548" s="59">
        <v>10.281000000000002</v>
      </c>
      <c r="O1548" s="59">
        <v>1.7257811999999983</v>
      </c>
    </row>
    <row r="1549" spans="1:15" x14ac:dyDescent="0.35">
      <c r="A1549" s="7" t="s">
        <v>1379</v>
      </c>
      <c r="B1549" s="7" t="s">
        <v>1382</v>
      </c>
      <c r="C1549" s="17" t="s">
        <v>1301</v>
      </c>
      <c r="D1549" s="5" t="s">
        <v>38</v>
      </c>
      <c r="E1549" s="181" t="s">
        <v>1341</v>
      </c>
      <c r="F1549" s="182">
        <v>212.845</v>
      </c>
      <c r="G1549" s="5" t="s">
        <v>39</v>
      </c>
      <c r="H1549" s="152">
        <v>65.196110000000004</v>
      </c>
      <c r="I1549" s="19" t="s">
        <v>40</v>
      </c>
      <c r="J1549" s="152">
        <v>0.82589000000000112</v>
      </c>
      <c r="K1549" s="5" t="s">
        <v>44</v>
      </c>
      <c r="L1549" s="101" t="s">
        <v>188</v>
      </c>
      <c r="M1549" s="59">
        <v>-0.13</v>
      </c>
      <c r="N1549" s="59">
        <v>10.636059200000004</v>
      </c>
      <c r="O1549" s="59">
        <v>2.0808403999999996</v>
      </c>
    </row>
    <row r="1550" spans="1:15" x14ac:dyDescent="0.35">
      <c r="A1550" s="7" t="s">
        <v>1379</v>
      </c>
      <c r="B1550" s="7" t="s">
        <v>1382</v>
      </c>
      <c r="C1550" s="17" t="s">
        <v>1301</v>
      </c>
      <c r="D1550" s="5" t="s">
        <v>38</v>
      </c>
      <c r="E1550" s="181" t="s">
        <v>1342</v>
      </c>
      <c r="F1550" s="182">
        <v>212.875</v>
      </c>
      <c r="G1550" s="5" t="s">
        <v>39</v>
      </c>
      <c r="H1550" s="152">
        <v>65.200339999999997</v>
      </c>
      <c r="I1550" s="19" t="s">
        <v>40</v>
      </c>
      <c r="J1550" s="152">
        <v>0.82166000000000849</v>
      </c>
      <c r="K1550" s="5" t="s">
        <v>44</v>
      </c>
      <c r="L1550" s="101" t="s">
        <v>188</v>
      </c>
      <c r="M1550" s="59">
        <v>-0.11</v>
      </c>
      <c r="N1550" s="59">
        <v>10.547260800000002</v>
      </c>
      <c r="O1550" s="59">
        <v>1.9920419999999979</v>
      </c>
    </row>
    <row r="1551" spans="1:15" x14ac:dyDescent="0.35">
      <c r="A1551" s="7" t="s">
        <v>1379</v>
      </c>
      <c r="B1551" s="7" t="s">
        <v>1382</v>
      </c>
      <c r="C1551" s="17" t="s">
        <v>1301</v>
      </c>
      <c r="D1551" s="5" t="s">
        <v>38</v>
      </c>
      <c r="E1551" s="181" t="s">
        <v>1343</v>
      </c>
      <c r="F1551" s="182">
        <v>212.91499999999999</v>
      </c>
      <c r="G1551" s="5" t="s">
        <v>39</v>
      </c>
      <c r="H1551" s="152">
        <v>65.205979999999997</v>
      </c>
      <c r="I1551" s="19" t="s">
        <v>40</v>
      </c>
      <c r="J1551" s="152">
        <v>0.81602000000000885</v>
      </c>
      <c r="K1551" s="5" t="s">
        <v>44</v>
      </c>
      <c r="L1551" s="101" t="s">
        <v>188</v>
      </c>
      <c r="M1551" s="59">
        <v>-0.13</v>
      </c>
      <c r="N1551" s="59">
        <v>10.636059200000004</v>
      </c>
      <c r="O1551" s="59">
        <v>2.0808403999999996</v>
      </c>
    </row>
    <row r="1552" spans="1:15" x14ac:dyDescent="0.35">
      <c r="A1552" s="7" t="s">
        <v>1379</v>
      </c>
      <c r="B1552" s="7" t="s">
        <v>1382</v>
      </c>
      <c r="C1552" s="17" t="s">
        <v>1301</v>
      </c>
      <c r="D1552" s="5" t="s">
        <v>38</v>
      </c>
      <c r="E1552" s="181" t="s">
        <v>1344</v>
      </c>
      <c r="F1552" s="182">
        <v>212.95500000000001</v>
      </c>
      <c r="G1552" s="5" t="s">
        <v>39</v>
      </c>
      <c r="H1552" s="152">
        <v>65.211610000000007</v>
      </c>
      <c r="I1552" s="19" t="s">
        <v>40</v>
      </c>
      <c r="J1552" s="152">
        <v>0.81038999999999817</v>
      </c>
      <c r="K1552" s="5" t="s">
        <v>44</v>
      </c>
      <c r="L1552" s="101" t="s">
        <v>188</v>
      </c>
      <c r="M1552" s="59">
        <v>-0.13</v>
      </c>
      <c r="N1552" s="59">
        <v>10.636059200000004</v>
      </c>
      <c r="O1552" s="59">
        <v>2.0808403999999996</v>
      </c>
    </row>
    <row r="1553" spans="1:15" x14ac:dyDescent="0.35">
      <c r="A1553" s="7" t="s">
        <v>1379</v>
      </c>
      <c r="B1553" s="7" t="s">
        <v>1382</v>
      </c>
      <c r="C1553" s="17" t="s">
        <v>1301</v>
      </c>
      <c r="D1553" s="5" t="s">
        <v>38</v>
      </c>
      <c r="E1553" s="181" t="s">
        <v>1345</v>
      </c>
      <c r="F1553" s="182">
        <v>213.005</v>
      </c>
      <c r="G1553" s="5" t="s">
        <v>39</v>
      </c>
      <c r="H1553" s="152">
        <v>65.21866</v>
      </c>
      <c r="I1553" s="19" t="s">
        <v>40</v>
      </c>
      <c r="J1553" s="152">
        <v>0.80334000000000572</v>
      </c>
      <c r="K1553" s="5" t="s">
        <v>44</v>
      </c>
      <c r="L1553" s="101" t="s">
        <v>188</v>
      </c>
      <c r="M1553" s="59">
        <v>-0.05</v>
      </c>
      <c r="N1553" s="59">
        <v>10.281000000000002</v>
      </c>
      <c r="O1553" s="59">
        <v>1.7257811999999983</v>
      </c>
    </row>
    <row r="1554" spans="1:15" x14ac:dyDescent="0.35">
      <c r="A1554" s="7" t="s">
        <v>1379</v>
      </c>
      <c r="B1554" s="7" t="s">
        <v>1382</v>
      </c>
      <c r="C1554" s="17" t="s">
        <v>1301</v>
      </c>
      <c r="D1554" s="5" t="s">
        <v>38</v>
      </c>
      <c r="E1554" s="181" t="s">
        <v>1346</v>
      </c>
      <c r="F1554" s="182">
        <v>213.035</v>
      </c>
      <c r="G1554" s="5" t="s">
        <v>39</v>
      </c>
      <c r="H1554" s="152">
        <v>65.222880000000004</v>
      </c>
      <c r="I1554" s="19" t="s">
        <v>40</v>
      </c>
      <c r="J1554" s="152">
        <v>0.79912000000000205</v>
      </c>
      <c r="K1554" s="5" t="s">
        <v>44</v>
      </c>
      <c r="L1554" s="101" t="s">
        <v>188</v>
      </c>
      <c r="M1554" s="59">
        <v>-0.03</v>
      </c>
      <c r="N1554" s="59">
        <v>10.192291200000001</v>
      </c>
      <c r="O1554" s="59">
        <v>1.6370723999999974</v>
      </c>
    </row>
    <row r="1555" spans="1:15" x14ac:dyDescent="0.35">
      <c r="A1555" s="7" t="s">
        <v>1379</v>
      </c>
      <c r="B1555" s="7" t="s">
        <v>1382</v>
      </c>
      <c r="C1555" s="17" t="s">
        <v>1301</v>
      </c>
      <c r="D1555" s="5" t="s">
        <v>38</v>
      </c>
      <c r="E1555" s="181" t="s">
        <v>1347</v>
      </c>
      <c r="F1555" s="182">
        <v>213.08500000000001</v>
      </c>
      <c r="G1555" s="5" t="s">
        <v>39</v>
      </c>
      <c r="H1555" s="152">
        <v>65.239000000000004</v>
      </c>
      <c r="I1555" s="19" t="s">
        <v>40</v>
      </c>
      <c r="J1555" s="152">
        <v>0.78300000000000125</v>
      </c>
      <c r="K1555" s="5" t="s">
        <v>44</v>
      </c>
      <c r="L1555" s="101" t="s">
        <v>188</v>
      </c>
      <c r="M1555" s="59">
        <v>-0.1</v>
      </c>
      <c r="N1555" s="59">
        <v>10.502870000000003</v>
      </c>
      <c r="O1555" s="59">
        <v>1.9476511999999992</v>
      </c>
    </row>
    <row r="1556" spans="1:15" x14ac:dyDescent="0.35">
      <c r="A1556" s="7" t="s">
        <v>1379</v>
      </c>
      <c r="B1556" s="7" t="s">
        <v>1382</v>
      </c>
      <c r="C1556" s="17" t="s">
        <v>1301</v>
      </c>
      <c r="D1556" s="5" t="s">
        <v>38</v>
      </c>
      <c r="E1556" s="181" t="s">
        <v>1348</v>
      </c>
      <c r="F1556" s="182">
        <v>213.095</v>
      </c>
      <c r="G1556" s="5" t="s">
        <v>39</v>
      </c>
      <c r="H1556" s="152">
        <v>65.242999999999995</v>
      </c>
      <c r="I1556" s="19" t="s">
        <v>40</v>
      </c>
      <c r="J1556" s="152">
        <v>0.77900000000001057</v>
      </c>
      <c r="K1556" s="5" t="s">
        <v>44</v>
      </c>
      <c r="L1556" s="101" t="s">
        <v>188</v>
      </c>
      <c r="M1556" s="59">
        <v>-0.14000000000000001</v>
      </c>
      <c r="N1556" s="59">
        <v>10.680466800000001</v>
      </c>
      <c r="O1556" s="59">
        <v>2.1252479999999974</v>
      </c>
    </row>
    <row r="1557" spans="1:15" x14ac:dyDescent="0.35">
      <c r="A1557" s="7" t="s">
        <v>1379</v>
      </c>
      <c r="B1557" s="7" t="s">
        <v>1382</v>
      </c>
      <c r="C1557" s="17" t="s">
        <v>1301</v>
      </c>
      <c r="D1557" s="5" t="s">
        <v>38</v>
      </c>
      <c r="E1557" s="181" t="s">
        <v>1349</v>
      </c>
      <c r="F1557" s="182">
        <v>213.125</v>
      </c>
      <c r="G1557" s="5" t="s">
        <v>39</v>
      </c>
      <c r="H1557" s="152">
        <v>65.254999999999995</v>
      </c>
      <c r="I1557" s="19" t="s">
        <v>40</v>
      </c>
      <c r="J1557" s="152">
        <v>0.76700000000001012</v>
      </c>
      <c r="K1557" s="5" t="s">
        <v>44</v>
      </c>
      <c r="L1557" s="101" t="s">
        <v>188</v>
      </c>
      <c r="M1557" s="59">
        <v>-0.05</v>
      </c>
      <c r="N1557" s="59">
        <v>10.281000000000002</v>
      </c>
      <c r="O1557" s="59">
        <v>1.7257811999999983</v>
      </c>
    </row>
    <row r="1558" spans="1:15" x14ac:dyDescent="0.35">
      <c r="A1558" s="7" t="s">
        <v>1379</v>
      </c>
      <c r="B1558" s="7" t="s">
        <v>1382</v>
      </c>
      <c r="C1558" s="17" t="s">
        <v>1301</v>
      </c>
      <c r="D1558" s="5" t="s">
        <v>38</v>
      </c>
      <c r="E1558" s="181" t="s">
        <v>1350</v>
      </c>
      <c r="F1558" s="182">
        <v>213.155</v>
      </c>
      <c r="G1558" s="5" t="s">
        <v>39</v>
      </c>
      <c r="H1558" s="152">
        <v>65.266999999999996</v>
      </c>
      <c r="I1558" s="19" t="s">
        <v>40</v>
      </c>
      <c r="J1558" s="152">
        <v>0.75500000000000966</v>
      </c>
      <c r="K1558" s="5" t="s">
        <v>44</v>
      </c>
      <c r="L1558" s="101" t="s">
        <v>188</v>
      </c>
      <c r="M1558" s="59">
        <v>-7.0000000000000007E-2</v>
      </c>
      <c r="N1558" s="59">
        <v>10.369731200000002</v>
      </c>
      <c r="O1558" s="59">
        <v>1.8145123999999981</v>
      </c>
    </row>
    <row r="1559" spans="1:15" x14ac:dyDescent="0.35">
      <c r="A1559" s="7" t="s">
        <v>1379</v>
      </c>
      <c r="B1559" s="7" t="s">
        <v>1382</v>
      </c>
      <c r="C1559" s="17" t="s">
        <v>1301</v>
      </c>
      <c r="D1559" s="5" t="s">
        <v>38</v>
      </c>
      <c r="E1559" s="181" t="s">
        <v>1351</v>
      </c>
      <c r="F1559" s="182">
        <v>213.17500000000001</v>
      </c>
      <c r="G1559" s="5" t="s">
        <v>39</v>
      </c>
      <c r="H1559" s="152">
        <v>65.275000000000006</v>
      </c>
      <c r="I1559" s="19" t="s">
        <v>40</v>
      </c>
      <c r="J1559" s="152">
        <v>0.74699999999999989</v>
      </c>
      <c r="K1559" s="5" t="s">
        <v>44</v>
      </c>
      <c r="L1559" s="101" t="s">
        <v>188</v>
      </c>
      <c r="M1559" s="59">
        <v>0</v>
      </c>
      <c r="N1559" s="59">
        <v>10.059270000000003</v>
      </c>
      <c r="O1559" s="59">
        <v>1.5040511999999993</v>
      </c>
    </row>
    <row r="1560" spans="1:15" x14ac:dyDescent="0.35">
      <c r="A1560" s="7" t="s">
        <v>1379</v>
      </c>
      <c r="B1560" s="7" t="s">
        <v>1382</v>
      </c>
      <c r="C1560" s="17" t="s">
        <v>1301</v>
      </c>
      <c r="D1560" s="5" t="s">
        <v>38</v>
      </c>
      <c r="E1560" s="181" t="s">
        <v>1352</v>
      </c>
      <c r="F1560" s="182">
        <v>213.215</v>
      </c>
      <c r="G1560" s="5" t="s">
        <v>39</v>
      </c>
      <c r="H1560" s="152">
        <v>65.290999999999997</v>
      </c>
      <c r="I1560" s="19" t="s">
        <v>40</v>
      </c>
      <c r="J1560" s="152">
        <v>0.73100000000000875</v>
      </c>
      <c r="K1560" s="5" t="s">
        <v>44</v>
      </c>
      <c r="L1560" s="101" t="s">
        <v>188</v>
      </c>
      <c r="M1560" s="59">
        <v>-0.01</v>
      </c>
      <c r="N1560" s="59">
        <v>10.103604800000003</v>
      </c>
      <c r="O1560" s="59">
        <v>1.5483859999999989</v>
      </c>
    </row>
    <row r="1561" spans="1:15" x14ac:dyDescent="0.35">
      <c r="A1561" s="7" t="s">
        <v>1379</v>
      </c>
      <c r="B1561" s="7" t="s">
        <v>1382</v>
      </c>
      <c r="C1561" s="17" t="s">
        <v>1301</v>
      </c>
      <c r="D1561" s="5" t="s">
        <v>38</v>
      </c>
      <c r="E1561" s="181" t="s">
        <v>1353</v>
      </c>
      <c r="F1561" s="182">
        <v>213.245</v>
      </c>
      <c r="G1561" s="5" t="s">
        <v>39</v>
      </c>
      <c r="H1561" s="152">
        <v>65.302999999999997</v>
      </c>
      <c r="I1561" s="19" t="s">
        <v>40</v>
      </c>
      <c r="J1561" s="152">
        <v>0.7190000000000083</v>
      </c>
      <c r="K1561" s="5" t="s">
        <v>44</v>
      </c>
      <c r="L1561" s="101" t="s">
        <v>188</v>
      </c>
      <c r="M1561" s="59">
        <v>-0.02</v>
      </c>
      <c r="N1561" s="59">
        <v>10.147945200000004</v>
      </c>
      <c r="O1561" s="59">
        <v>1.5927264000000001</v>
      </c>
    </row>
    <row r="1562" spans="1:15" x14ac:dyDescent="0.35">
      <c r="A1562" s="7" t="s">
        <v>1379</v>
      </c>
      <c r="B1562" s="7" t="s">
        <v>1382</v>
      </c>
      <c r="C1562" s="17" t="s">
        <v>1301</v>
      </c>
      <c r="D1562" s="5" t="s">
        <v>38</v>
      </c>
      <c r="E1562" s="181" t="s">
        <v>1354</v>
      </c>
      <c r="F1562" s="182">
        <v>213.285</v>
      </c>
      <c r="G1562" s="5" t="s">
        <v>39</v>
      </c>
      <c r="H1562" s="152">
        <v>65.319000000000003</v>
      </c>
      <c r="I1562" s="19" t="s">
        <v>40</v>
      </c>
      <c r="J1562" s="152">
        <v>0.70300000000000296</v>
      </c>
      <c r="K1562" s="5" t="s">
        <v>44</v>
      </c>
      <c r="L1562" s="101" t="s">
        <v>188</v>
      </c>
      <c r="M1562" s="59">
        <v>-0.03</v>
      </c>
      <c r="N1562" s="59">
        <v>10.192291200000001</v>
      </c>
      <c r="O1562" s="59">
        <v>1.6370723999999974</v>
      </c>
    </row>
    <row r="1563" spans="1:15" x14ac:dyDescent="0.35">
      <c r="A1563" s="7" t="s">
        <v>1379</v>
      </c>
      <c r="B1563" s="7" t="s">
        <v>1382</v>
      </c>
      <c r="C1563" s="17" t="s">
        <v>1301</v>
      </c>
      <c r="D1563" s="5" t="s">
        <v>38</v>
      </c>
      <c r="E1563" s="181" t="s">
        <v>1355</v>
      </c>
      <c r="F1563" s="182">
        <v>213.33500000000001</v>
      </c>
      <c r="G1563" s="5" t="s">
        <v>39</v>
      </c>
      <c r="H1563" s="152">
        <v>65.333379999999991</v>
      </c>
      <c r="I1563" s="19" t="s">
        <v>40</v>
      </c>
      <c r="J1563" s="152">
        <v>0.68862000000001444</v>
      </c>
      <c r="K1563" s="5" t="s">
        <v>44</v>
      </c>
      <c r="L1563" s="101" t="s">
        <v>188</v>
      </c>
      <c r="M1563" s="59">
        <v>-0.13</v>
      </c>
      <c r="N1563" s="59">
        <v>10.636059200000004</v>
      </c>
      <c r="O1563" s="59">
        <v>2.0808403999999996</v>
      </c>
    </row>
    <row r="1564" spans="1:15" x14ac:dyDescent="0.35">
      <c r="A1564" s="7" t="s">
        <v>1379</v>
      </c>
      <c r="B1564" s="7" t="s">
        <v>1382</v>
      </c>
      <c r="C1564" s="17" t="s">
        <v>1301</v>
      </c>
      <c r="D1564" s="5" t="s">
        <v>38</v>
      </c>
      <c r="E1564" s="181" t="s">
        <v>1356</v>
      </c>
      <c r="F1564" s="182">
        <v>213.39500000000001</v>
      </c>
      <c r="G1564" s="5" t="s">
        <v>39</v>
      </c>
      <c r="H1564" s="152">
        <v>65.343879999999999</v>
      </c>
      <c r="I1564" s="19" t="s">
        <v>40</v>
      </c>
      <c r="J1564" s="152">
        <v>0.67812000000000694</v>
      </c>
      <c r="K1564" s="5" t="s">
        <v>44</v>
      </c>
      <c r="L1564" s="101" t="s">
        <v>188</v>
      </c>
      <c r="M1564" s="59">
        <v>-0.13</v>
      </c>
      <c r="N1564" s="59">
        <v>10.636059200000004</v>
      </c>
      <c r="O1564" s="59">
        <v>2.0808403999999996</v>
      </c>
    </row>
    <row r="1565" spans="1:15" x14ac:dyDescent="0.35">
      <c r="A1565" s="7" t="s">
        <v>1379</v>
      </c>
      <c r="B1565" s="7" t="s">
        <v>1382</v>
      </c>
      <c r="C1565" s="17" t="s">
        <v>1301</v>
      </c>
      <c r="D1565" s="5" t="s">
        <v>38</v>
      </c>
      <c r="E1565" s="181" t="s">
        <v>1357</v>
      </c>
      <c r="F1565" s="182">
        <v>213.41499999999999</v>
      </c>
      <c r="G1565" s="5" t="s">
        <v>39</v>
      </c>
      <c r="H1565" s="152">
        <v>65.347380000000001</v>
      </c>
      <c r="I1565" s="19" t="s">
        <v>40</v>
      </c>
      <c r="J1565" s="152">
        <v>0.67462000000000444</v>
      </c>
      <c r="K1565" s="5" t="s">
        <v>44</v>
      </c>
      <c r="L1565" s="101" t="s">
        <v>188</v>
      </c>
      <c r="M1565" s="59">
        <v>-0.1</v>
      </c>
      <c r="N1565" s="59">
        <v>10.502870000000003</v>
      </c>
      <c r="O1565" s="59">
        <v>1.9476511999999992</v>
      </c>
    </row>
    <row r="1566" spans="1:15" x14ac:dyDescent="0.35">
      <c r="A1566" s="7" t="s">
        <v>1379</v>
      </c>
      <c r="B1566" s="7" t="s">
        <v>1382</v>
      </c>
      <c r="C1566" s="17" t="s">
        <v>1301</v>
      </c>
      <c r="D1566" s="5" t="s">
        <v>38</v>
      </c>
      <c r="E1566" s="181" t="s">
        <v>1358</v>
      </c>
      <c r="F1566" s="182">
        <v>213.45500000000001</v>
      </c>
      <c r="G1566" s="5" t="s">
        <v>39</v>
      </c>
      <c r="H1566" s="152">
        <v>65.354379999999992</v>
      </c>
      <c r="I1566" s="19" t="s">
        <v>40</v>
      </c>
      <c r="J1566" s="152">
        <v>0.66762000000001365</v>
      </c>
      <c r="K1566" s="5" t="s">
        <v>44</v>
      </c>
      <c r="L1566" s="101" t="s">
        <v>188</v>
      </c>
      <c r="M1566" s="59">
        <v>-0.04</v>
      </c>
      <c r="N1566" s="59">
        <v>10.236642800000002</v>
      </c>
      <c r="O1566" s="59">
        <v>1.681423999999998</v>
      </c>
    </row>
    <row r="1567" spans="1:15" x14ac:dyDescent="0.35">
      <c r="A1567" s="7" t="s">
        <v>1379</v>
      </c>
      <c r="B1567" s="7" t="s">
        <v>1382</v>
      </c>
      <c r="C1567" s="17" t="s">
        <v>1301</v>
      </c>
      <c r="D1567" s="5" t="s">
        <v>38</v>
      </c>
      <c r="E1567" s="181" t="s">
        <v>1359</v>
      </c>
      <c r="F1567" s="182">
        <v>213.48500000000001</v>
      </c>
      <c r="G1567" s="5" t="s">
        <v>39</v>
      </c>
      <c r="H1567" s="152">
        <v>65.359629999999996</v>
      </c>
      <c r="I1567" s="19" t="s">
        <v>40</v>
      </c>
      <c r="J1567" s="152">
        <v>0.6623700000000099</v>
      </c>
      <c r="K1567" s="5" t="s">
        <v>44</v>
      </c>
      <c r="L1567" s="101" t="s">
        <v>188</v>
      </c>
      <c r="M1567" s="59">
        <v>-0.01</v>
      </c>
      <c r="N1567" s="59">
        <v>10.103604800000003</v>
      </c>
      <c r="O1567" s="59">
        <v>1.5483859999999989</v>
      </c>
    </row>
    <row r="1568" spans="1:15" x14ac:dyDescent="0.35">
      <c r="A1568" s="7" t="s">
        <v>1379</v>
      </c>
      <c r="B1568" s="7" t="s">
        <v>1382</v>
      </c>
      <c r="C1568" s="17" t="s">
        <v>1301</v>
      </c>
      <c r="D1568" s="5" t="s">
        <v>38</v>
      </c>
      <c r="E1568" s="181" t="s">
        <v>1360</v>
      </c>
      <c r="F1568" s="182">
        <v>213.51499999999999</v>
      </c>
      <c r="G1568" s="5" t="s">
        <v>39</v>
      </c>
      <c r="H1568" s="152">
        <v>65.364879999999999</v>
      </c>
      <c r="I1568" s="19" t="s">
        <v>40</v>
      </c>
      <c r="J1568" s="152">
        <v>0.65712000000000614</v>
      </c>
      <c r="K1568" s="5" t="s">
        <v>44</v>
      </c>
      <c r="L1568" s="101" t="s">
        <v>188</v>
      </c>
      <c r="M1568" s="59">
        <v>7.0000000000000007E-2</v>
      </c>
      <c r="N1568" s="59">
        <v>9.7490832000000029</v>
      </c>
      <c r="O1568" s="59">
        <v>1.1938643999999989</v>
      </c>
    </row>
    <row r="1569" spans="1:15" x14ac:dyDescent="0.35">
      <c r="A1569" s="7" t="s">
        <v>1379</v>
      </c>
      <c r="B1569" s="7" t="s">
        <v>1382</v>
      </c>
      <c r="C1569" s="17" t="s">
        <v>1301</v>
      </c>
      <c r="D1569" s="5" t="s">
        <v>38</v>
      </c>
      <c r="E1569" s="181" t="s">
        <v>1361</v>
      </c>
      <c r="F1569" s="182">
        <v>213.52500000000001</v>
      </c>
      <c r="G1569" s="5" t="s">
        <v>39</v>
      </c>
      <c r="H1569" s="152">
        <v>65.366630000000001</v>
      </c>
      <c r="I1569" s="19" t="s">
        <v>40</v>
      </c>
      <c r="J1569" s="152">
        <v>0.65537000000000489</v>
      </c>
      <c r="K1569" s="5" t="s">
        <v>44</v>
      </c>
      <c r="L1569" s="101" t="s">
        <v>188</v>
      </c>
      <c r="M1569" s="59">
        <v>0.02</v>
      </c>
      <c r="N1569" s="59">
        <v>9.9706172000000013</v>
      </c>
      <c r="O1569" s="59">
        <v>1.4153983999999973</v>
      </c>
    </row>
    <row r="1570" spans="1:15" x14ac:dyDescent="0.35">
      <c r="A1570" s="7" t="s">
        <v>1379</v>
      </c>
      <c r="B1570" s="7" t="s">
        <v>1382</v>
      </c>
      <c r="C1570" s="17" t="s">
        <v>1301</v>
      </c>
      <c r="D1570" s="5" t="s">
        <v>38</v>
      </c>
      <c r="E1570" s="181" t="s">
        <v>1362</v>
      </c>
      <c r="F1570" s="182">
        <v>213.57499999999999</v>
      </c>
      <c r="G1570" s="5" t="s">
        <v>39</v>
      </c>
      <c r="H1570" s="152">
        <v>65.375379999999993</v>
      </c>
      <c r="I1570" s="19" t="s">
        <v>40</v>
      </c>
      <c r="J1570" s="152">
        <v>0.64662000000001285</v>
      </c>
      <c r="K1570" s="5" t="s">
        <v>44</v>
      </c>
      <c r="L1570" s="101" t="s">
        <v>188</v>
      </c>
      <c r="M1570" s="59">
        <v>0.04</v>
      </c>
      <c r="N1570" s="59">
        <v>9.8819868000000035</v>
      </c>
      <c r="O1570" s="59">
        <v>1.3267679999999995</v>
      </c>
    </row>
    <row r="1571" spans="1:15" x14ac:dyDescent="0.35">
      <c r="A1571" s="7" t="s">
        <v>1379</v>
      </c>
      <c r="B1571" s="7" t="s">
        <v>1382</v>
      </c>
      <c r="C1571" s="17" t="s">
        <v>1301</v>
      </c>
      <c r="D1571" s="5" t="s">
        <v>38</v>
      </c>
      <c r="E1571" s="181" t="s">
        <v>1363</v>
      </c>
      <c r="F1571" s="182">
        <v>213.67500000000001</v>
      </c>
      <c r="G1571" s="5" t="s">
        <v>39</v>
      </c>
      <c r="H1571" s="152">
        <v>65.392870000000002</v>
      </c>
      <c r="I1571" s="19" t="s">
        <v>40</v>
      </c>
      <c r="J1571" s="152">
        <v>0.62913000000000352</v>
      </c>
      <c r="K1571" s="5" t="s">
        <v>44</v>
      </c>
      <c r="L1571" s="101" t="s">
        <v>188</v>
      </c>
      <c r="M1571" s="59">
        <v>-0.16</v>
      </c>
      <c r="N1571" s="59">
        <v>10.769298800000003</v>
      </c>
      <c r="O1571" s="59">
        <v>2.2140799999999992</v>
      </c>
    </row>
    <row r="1572" spans="1:15" x14ac:dyDescent="0.35">
      <c r="A1572" s="7" t="s">
        <v>1379</v>
      </c>
      <c r="B1572" s="7" t="s">
        <v>1382</v>
      </c>
      <c r="C1572" s="17" t="s">
        <v>1301</v>
      </c>
      <c r="D1572" s="5" t="s">
        <v>38</v>
      </c>
      <c r="E1572" s="181" t="s">
        <v>1364</v>
      </c>
      <c r="F1572" s="182">
        <v>213.70500000000001</v>
      </c>
      <c r="G1572" s="5" t="s">
        <v>39</v>
      </c>
      <c r="H1572" s="152">
        <v>65.398120000000006</v>
      </c>
      <c r="I1572" s="19" t="s">
        <v>40</v>
      </c>
      <c r="J1572" s="152">
        <v>0.62387999999999977</v>
      </c>
      <c r="K1572" s="5" t="s">
        <v>44</v>
      </c>
      <c r="L1572" s="101" t="s">
        <v>188</v>
      </c>
      <c r="M1572" s="59">
        <v>-0.1</v>
      </c>
      <c r="N1572" s="59">
        <v>10.502870000000003</v>
      </c>
      <c r="O1572" s="59">
        <v>1.9476511999999992</v>
      </c>
    </row>
    <row r="1573" spans="1:15" x14ac:dyDescent="0.35">
      <c r="A1573" s="7" t="s">
        <v>1379</v>
      </c>
      <c r="B1573" s="7" t="s">
        <v>1382</v>
      </c>
      <c r="C1573" s="17" t="s">
        <v>1301</v>
      </c>
      <c r="D1573" s="5" t="s">
        <v>38</v>
      </c>
      <c r="E1573" s="181" t="s">
        <v>1365</v>
      </c>
      <c r="F1573" s="182">
        <v>213.73500000000001</v>
      </c>
      <c r="G1573" s="5" t="s">
        <v>39</v>
      </c>
      <c r="H1573" s="152">
        <v>65.40337000000001</v>
      </c>
      <c r="I1573" s="19" t="s">
        <v>40</v>
      </c>
      <c r="J1573" s="152">
        <v>0.61862999999999602</v>
      </c>
      <c r="K1573" s="5" t="s">
        <v>44</v>
      </c>
      <c r="L1573" s="101" t="s">
        <v>188</v>
      </c>
      <c r="M1573" s="59">
        <v>-0.02</v>
      </c>
      <c r="N1573" s="59">
        <v>10.147945200000004</v>
      </c>
      <c r="O1573" s="59">
        <v>1.5927264000000001</v>
      </c>
    </row>
    <row r="1574" spans="1:15" x14ac:dyDescent="0.35">
      <c r="A1574" s="7" t="s">
        <v>1379</v>
      </c>
      <c r="B1574" s="7" t="s">
        <v>1382</v>
      </c>
      <c r="C1574" s="17" t="s">
        <v>1301</v>
      </c>
      <c r="D1574" s="5" t="s">
        <v>38</v>
      </c>
      <c r="E1574" s="181" t="s">
        <v>1366</v>
      </c>
      <c r="F1574" s="182">
        <v>213.815</v>
      </c>
      <c r="G1574" s="5" t="s">
        <v>39</v>
      </c>
      <c r="H1574" s="152">
        <v>65.417370000000005</v>
      </c>
      <c r="I1574" s="19" t="s">
        <v>40</v>
      </c>
      <c r="J1574" s="152">
        <v>0.60463000000000022</v>
      </c>
      <c r="K1574" s="5" t="s">
        <v>44</v>
      </c>
      <c r="L1574" s="101" t="s">
        <v>188</v>
      </c>
      <c r="M1574" s="59">
        <v>-0.03</v>
      </c>
      <c r="N1574" s="59">
        <v>10.192291200000001</v>
      </c>
      <c r="O1574" s="59">
        <v>1.6370723999999974</v>
      </c>
    </row>
    <row r="1575" spans="1:15" x14ac:dyDescent="0.35">
      <c r="A1575" s="7" t="s">
        <v>1379</v>
      </c>
      <c r="B1575" s="7" t="s">
        <v>1382</v>
      </c>
      <c r="C1575" s="17" t="s">
        <v>1301</v>
      </c>
      <c r="D1575" s="5" t="s">
        <v>38</v>
      </c>
      <c r="E1575" s="181" t="s">
        <v>1367</v>
      </c>
      <c r="F1575" s="182">
        <v>213.82499999999999</v>
      </c>
      <c r="G1575" s="5" t="s">
        <v>39</v>
      </c>
      <c r="H1575" s="152">
        <v>65.419120000000007</v>
      </c>
      <c r="I1575" s="19" t="s">
        <v>40</v>
      </c>
      <c r="J1575" s="152">
        <v>0.60287999999999897</v>
      </c>
      <c r="K1575" s="5" t="s">
        <v>44</v>
      </c>
      <c r="L1575" s="101" t="s">
        <v>188</v>
      </c>
      <c r="M1575" s="59">
        <v>-0.1</v>
      </c>
      <c r="N1575" s="59">
        <v>10.502870000000003</v>
      </c>
      <c r="O1575" s="59">
        <v>1.9476511999999992</v>
      </c>
    </row>
    <row r="1576" spans="1:15" x14ac:dyDescent="0.35">
      <c r="A1576" s="7" t="s">
        <v>1379</v>
      </c>
      <c r="B1576" s="7" t="s">
        <v>1382</v>
      </c>
      <c r="C1576" s="17" t="s">
        <v>1301</v>
      </c>
      <c r="D1576" s="5" t="s">
        <v>38</v>
      </c>
      <c r="E1576" s="181" t="s">
        <v>1368</v>
      </c>
      <c r="F1576" s="182">
        <v>213.94499999999999</v>
      </c>
      <c r="G1576" s="5" t="s">
        <v>39</v>
      </c>
      <c r="H1576" s="152">
        <v>65.441069999999996</v>
      </c>
      <c r="I1576" s="19" t="s">
        <v>40</v>
      </c>
      <c r="J1576" s="152">
        <v>0.58093000000000927</v>
      </c>
      <c r="K1576" s="5" t="s">
        <v>44</v>
      </c>
      <c r="L1576" s="101" t="s">
        <v>188</v>
      </c>
      <c r="M1576" s="59">
        <v>-0.1</v>
      </c>
      <c r="N1576" s="59">
        <v>10.502870000000003</v>
      </c>
      <c r="O1576" s="59">
        <v>1.9476511999999992</v>
      </c>
    </row>
    <row r="1577" spans="1:15" x14ac:dyDescent="0.35">
      <c r="A1577" s="7" t="s">
        <v>1379</v>
      </c>
      <c r="B1577" s="7" t="s">
        <v>1382</v>
      </c>
      <c r="C1577" s="17" t="s">
        <v>1301</v>
      </c>
      <c r="D1577" s="5" t="s">
        <v>38</v>
      </c>
      <c r="E1577" s="181" t="s">
        <v>1369</v>
      </c>
      <c r="F1577" s="182">
        <v>213.97499999999999</v>
      </c>
      <c r="G1577" s="5" t="s">
        <v>39</v>
      </c>
      <c r="H1577" s="152">
        <v>65.447140000000005</v>
      </c>
      <c r="I1577" s="19" t="s">
        <v>40</v>
      </c>
      <c r="J1577" s="152">
        <v>0.57486000000000104</v>
      </c>
      <c r="K1577" s="5" t="s">
        <v>44</v>
      </c>
      <c r="L1577" s="101" t="s">
        <v>188</v>
      </c>
      <c r="M1577" s="59">
        <v>0</v>
      </c>
      <c r="N1577" s="59">
        <v>10.059270000000003</v>
      </c>
      <c r="O1577" s="59">
        <v>1.5040511999999993</v>
      </c>
    </row>
    <row r="1578" spans="1:15" x14ac:dyDescent="0.35">
      <c r="A1578" s="7" t="s">
        <v>1379</v>
      </c>
      <c r="B1578" s="7" t="s">
        <v>1382</v>
      </c>
      <c r="C1578" s="17" t="s">
        <v>1301</v>
      </c>
      <c r="D1578" s="5" t="s">
        <v>38</v>
      </c>
      <c r="E1578" s="181" t="s">
        <v>1370</v>
      </c>
      <c r="F1578" s="182">
        <v>214.005</v>
      </c>
      <c r="G1578" s="5" t="s">
        <v>39</v>
      </c>
      <c r="H1578" s="152">
        <v>65.453199999999995</v>
      </c>
      <c r="I1578" s="19" t="s">
        <v>40</v>
      </c>
      <c r="J1578" s="152">
        <v>0.56880000000001019</v>
      </c>
      <c r="K1578" s="5" t="s">
        <v>44</v>
      </c>
      <c r="L1578" s="101" t="s">
        <v>188</v>
      </c>
      <c r="M1578" s="59">
        <v>0.01</v>
      </c>
      <c r="N1578" s="59">
        <v>10.014940800000002</v>
      </c>
      <c r="O1578" s="59">
        <v>1.4597219999999975</v>
      </c>
    </row>
    <row r="1579" spans="1:15" x14ac:dyDescent="0.35">
      <c r="A1579" s="7" t="s">
        <v>1379</v>
      </c>
      <c r="B1579" s="7" t="s">
        <v>1382</v>
      </c>
      <c r="C1579" s="17" t="s">
        <v>1301</v>
      </c>
      <c r="D1579" s="5" t="s">
        <v>38</v>
      </c>
      <c r="E1579" s="181" t="s">
        <v>1371</v>
      </c>
      <c r="F1579" s="182">
        <v>214.035</v>
      </c>
      <c r="G1579" s="5" t="s">
        <v>39</v>
      </c>
      <c r="H1579" s="152">
        <v>65.459270000000004</v>
      </c>
      <c r="I1579" s="19" t="s">
        <v>40</v>
      </c>
      <c r="J1579" s="152">
        <v>0.56273000000000195</v>
      </c>
      <c r="K1579" s="5" t="s">
        <v>44</v>
      </c>
      <c r="L1579" s="101" t="s">
        <v>188</v>
      </c>
      <c r="M1579" s="59">
        <v>-0.01</v>
      </c>
      <c r="N1579" s="59">
        <v>10.103604800000003</v>
      </c>
      <c r="O1579" s="59">
        <v>1.5483859999999989</v>
      </c>
    </row>
    <row r="1580" spans="1:15" x14ac:dyDescent="0.35">
      <c r="A1580" s="7" t="s">
        <v>1379</v>
      </c>
      <c r="B1580" s="7" t="s">
        <v>1382</v>
      </c>
      <c r="C1580" s="17" t="s">
        <v>1301</v>
      </c>
      <c r="D1580" s="5" t="s">
        <v>38</v>
      </c>
      <c r="E1580" s="181" t="s">
        <v>1372</v>
      </c>
      <c r="F1580" s="182">
        <v>214.065</v>
      </c>
      <c r="G1580" s="5" t="s">
        <v>39</v>
      </c>
      <c r="H1580" s="152">
        <v>65.465339999999998</v>
      </c>
      <c r="I1580" s="19" t="s">
        <v>40</v>
      </c>
      <c r="J1580" s="152">
        <v>0.55666000000000793</v>
      </c>
      <c r="K1580" s="5" t="s">
        <v>44</v>
      </c>
      <c r="L1580" s="101" t="s">
        <v>188</v>
      </c>
      <c r="M1580" s="59">
        <v>-0.12</v>
      </c>
      <c r="N1580" s="59">
        <v>10.591657200000002</v>
      </c>
      <c r="O1580" s="59">
        <v>2.036438399999998</v>
      </c>
    </row>
    <row r="1581" spans="1:15" x14ac:dyDescent="0.35">
      <c r="A1581" s="7" t="s">
        <v>1379</v>
      </c>
      <c r="B1581" s="7" t="s">
        <v>1382</v>
      </c>
      <c r="C1581" s="17" t="s">
        <v>1301</v>
      </c>
      <c r="D1581" s="5" t="s">
        <v>38</v>
      </c>
      <c r="E1581" s="181" t="s">
        <v>1373</v>
      </c>
      <c r="F1581" s="182">
        <v>214.095</v>
      </c>
      <c r="G1581" s="5" t="s">
        <v>39</v>
      </c>
      <c r="H1581" s="152">
        <v>65.471400000000003</v>
      </c>
      <c r="I1581" s="19" t="s">
        <v>40</v>
      </c>
      <c r="J1581" s="152">
        <v>0.55060000000000286</v>
      </c>
      <c r="K1581" s="5" t="s">
        <v>44</v>
      </c>
      <c r="L1581" s="101" t="s">
        <v>188</v>
      </c>
      <c r="M1581" s="59">
        <v>7.0000000000000007E-2</v>
      </c>
      <c r="N1581" s="59">
        <v>9.7490832000000029</v>
      </c>
      <c r="O1581" s="59">
        <v>1.1938643999999989</v>
      </c>
    </row>
    <row r="1582" spans="1:15" x14ac:dyDescent="0.35">
      <c r="A1582" s="7" t="s">
        <v>1379</v>
      </c>
      <c r="B1582" s="7" t="s">
        <v>1382</v>
      </c>
      <c r="C1582" s="17" t="s">
        <v>1301</v>
      </c>
      <c r="D1582" s="5" t="s">
        <v>38</v>
      </c>
      <c r="E1582" s="181" t="s">
        <v>1374</v>
      </c>
      <c r="F1582" s="182">
        <v>214.125</v>
      </c>
      <c r="G1582" s="5" t="s">
        <v>39</v>
      </c>
      <c r="H1582" s="152">
        <v>65.477469999999997</v>
      </c>
      <c r="I1582" s="19" t="s">
        <v>40</v>
      </c>
      <c r="J1582" s="152">
        <v>0.54453000000000884</v>
      </c>
      <c r="K1582" s="5" t="s">
        <v>44</v>
      </c>
      <c r="L1582" s="101" t="s">
        <v>188</v>
      </c>
      <c r="M1582" s="59">
        <v>0.04</v>
      </c>
      <c r="N1582" s="59">
        <v>9.8819868000000035</v>
      </c>
      <c r="O1582" s="59">
        <v>1.3267679999999995</v>
      </c>
    </row>
    <row r="1583" spans="1:15" x14ac:dyDescent="0.35">
      <c r="A1583" s="7" t="s">
        <v>1379</v>
      </c>
      <c r="B1583" s="7" t="s">
        <v>1382</v>
      </c>
      <c r="C1583" s="17" t="s">
        <v>1301</v>
      </c>
      <c r="D1583" s="5" t="s">
        <v>38</v>
      </c>
      <c r="E1583" s="181" t="s">
        <v>1375</v>
      </c>
      <c r="F1583" s="182">
        <v>214.155</v>
      </c>
      <c r="G1583" s="5" t="s">
        <v>39</v>
      </c>
      <c r="H1583" s="152">
        <v>65.483530000000002</v>
      </c>
      <c r="I1583" s="19" t="s">
        <v>40</v>
      </c>
      <c r="J1583" s="152">
        <v>0.53847000000000378</v>
      </c>
      <c r="K1583" s="5" t="s">
        <v>44</v>
      </c>
      <c r="L1583" s="101" t="s">
        <v>188</v>
      </c>
      <c r="M1583" s="59">
        <v>0.03</v>
      </c>
      <c r="N1583" s="59">
        <v>9.9262992000000008</v>
      </c>
      <c r="O1583" s="59">
        <v>1.3710803999999968</v>
      </c>
    </row>
    <row r="1584" spans="1:15" x14ac:dyDescent="0.35">
      <c r="A1584" s="7" t="s">
        <v>1379</v>
      </c>
      <c r="B1584" s="7" t="s">
        <v>1382</v>
      </c>
      <c r="C1584" s="17" t="s">
        <v>1301</v>
      </c>
      <c r="D1584" s="5" t="s">
        <v>38</v>
      </c>
      <c r="E1584" s="181" t="s">
        <v>1376</v>
      </c>
      <c r="F1584" s="182">
        <v>214.185</v>
      </c>
      <c r="G1584" s="5" t="s">
        <v>39</v>
      </c>
      <c r="H1584" s="152">
        <v>65.489599999999996</v>
      </c>
      <c r="I1584" s="19" t="s">
        <v>40</v>
      </c>
      <c r="J1584" s="152">
        <v>0.53240000000000975</v>
      </c>
      <c r="K1584" s="5" t="s">
        <v>44</v>
      </c>
      <c r="L1584" s="101" t="s">
        <v>188</v>
      </c>
      <c r="M1584" s="59">
        <v>-0.01</v>
      </c>
      <c r="N1584" s="59">
        <v>10.103604800000003</v>
      </c>
      <c r="O1584" s="59">
        <v>1.5483859999999989</v>
      </c>
    </row>
    <row r="1585" spans="1:15" x14ac:dyDescent="0.35">
      <c r="A1585" s="7" t="s">
        <v>1379</v>
      </c>
      <c r="B1585" s="7" t="s">
        <v>1382</v>
      </c>
      <c r="C1585" s="17" t="s">
        <v>1301</v>
      </c>
      <c r="D1585" s="5" t="s">
        <v>38</v>
      </c>
      <c r="E1585" s="181" t="s">
        <v>1377</v>
      </c>
      <c r="F1585" s="182">
        <v>214.215</v>
      </c>
      <c r="G1585" s="5" t="s">
        <v>39</v>
      </c>
      <c r="H1585" s="152">
        <v>65.495660000000001</v>
      </c>
      <c r="I1585" s="19" t="s">
        <v>40</v>
      </c>
      <c r="J1585" s="152">
        <v>0.52634000000000469</v>
      </c>
      <c r="K1585" s="5" t="s">
        <v>44</v>
      </c>
      <c r="L1585" s="101" t="s">
        <v>188</v>
      </c>
      <c r="M1585" s="59">
        <v>0.02</v>
      </c>
      <c r="N1585" s="59">
        <v>9.9706172000000013</v>
      </c>
      <c r="O1585" s="59">
        <v>1.4153983999999973</v>
      </c>
    </row>
    <row r="1586" spans="1:15" x14ac:dyDescent="0.35">
      <c r="E1586"/>
      <c r="F1586"/>
    </row>
    <row r="1587" spans="1:15" x14ac:dyDescent="0.35">
      <c r="E1587"/>
      <c r="F1587"/>
    </row>
    <row r="1588" spans="1:15" x14ac:dyDescent="0.35">
      <c r="E1588"/>
      <c r="F1588"/>
    </row>
    <row r="1589" spans="1:15" x14ac:dyDescent="0.35">
      <c r="E1589"/>
      <c r="F1589"/>
    </row>
    <row r="1590" spans="1:15" x14ac:dyDescent="0.35">
      <c r="E1590"/>
      <c r="F1590"/>
    </row>
    <row r="1591" spans="1:15" x14ac:dyDescent="0.35">
      <c r="E1591"/>
      <c r="F1591"/>
    </row>
    <row r="1592" spans="1:15" x14ac:dyDescent="0.35">
      <c r="E1592"/>
      <c r="F1592"/>
    </row>
    <row r="1593" spans="1:15" x14ac:dyDescent="0.35">
      <c r="E1593"/>
      <c r="F1593"/>
    </row>
    <row r="1594" spans="1:15" x14ac:dyDescent="0.35">
      <c r="E1594"/>
      <c r="F1594"/>
    </row>
    <row r="1595" spans="1:15" x14ac:dyDescent="0.35">
      <c r="E1595"/>
      <c r="F1595"/>
    </row>
    <row r="1596" spans="1:15" x14ac:dyDescent="0.35">
      <c r="E1596"/>
      <c r="F1596"/>
    </row>
    <row r="1597" spans="1:15" x14ac:dyDescent="0.35">
      <c r="E1597"/>
      <c r="F1597"/>
    </row>
    <row r="1598" spans="1:15" x14ac:dyDescent="0.35">
      <c r="E1598"/>
      <c r="F1598"/>
    </row>
    <row r="1599" spans="1:15" x14ac:dyDescent="0.35">
      <c r="E1599"/>
      <c r="F1599"/>
    </row>
    <row r="1600" spans="1:15" x14ac:dyDescent="0.35">
      <c r="E1600"/>
      <c r="F1600"/>
    </row>
    <row r="1601" spans="5:6" x14ac:dyDescent="0.35">
      <c r="E1601"/>
      <c r="F1601"/>
    </row>
    <row r="1602" spans="5:6" x14ac:dyDescent="0.35">
      <c r="E1602"/>
      <c r="F1602"/>
    </row>
    <row r="1603" spans="5:6" x14ac:dyDescent="0.35">
      <c r="E1603"/>
      <c r="F1603"/>
    </row>
    <row r="1604" spans="5:6" x14ac:dyDescent="0.35">
      <c r="E1604"/>
      <c r="F1604"/>
    </row>
    <row r="1605" spans="5:6" x14ac:dyDescent="0.35">
      <c r="E1605"/>
      <c r="F1605"/>
    </row>
    <row r="1606" spans="5:6" x14ac:dyDescent="0.35">
      <c r="E1606"/>
      <c r="F1606"/>
    </row>
    <row r="1607" spans="5:6" x14ac:dyDescent="0.35">
      <c r="E1607"/>
      <c r="F1607"/>
    </row>
    <row r="1608" spans="5:6" x14ac:dyDescent="0.35">
      <c r="E1608"/>
      <c r="F1608"/>
    </row>
    <row r="1609" spans="5:6" x14ac:dyDescent="0.35">
      <c r="E1609"/>
      <c r="F1609"/>
    </row>
    <row r="1610" spans="5:6" x14ac:dyDescent="0.35">
      <c r="E1610"/>
      <c r="F1610"/>
    </row>
    <row r="1611" spans="5:6" x14ac:dyDescent="0.35">
      <c r="E1611"/>
      <c r="F1611"/>
    </row>
    <row r="1612" spans="5:6" x14ac:dyDescent="0.35">
      <c r="E1612"/>
      <c r="F1612"/>
    </row>
    <row r="1613" spans="5:6" x14ac:dyDescent="0.35">
      <c r="E1613"/>
      <c r="F1613"/>
    </row>
    <row r="1614" spans="5:6" x14ac:dyDescent="0.35">
      <c r="E1614"/>
      <c r="F1614"/>
    </row>
    <row r="1615" spans="5:6" x14ac:dyDescent="0.35">
      <c r="E1615"/>
      <c r="F1615"/>
    </row>
    <row r="1616" spans="5:6" x14ac:dyDescent="0.35">
      <c r="E1616"/>
      <c r="F1616"/>
    </row>
    <row r="1617" spans="5:6" x14ac:dyDescent="0.35">
      <c r="E1617"/>
      <c r="F1617"/>
    </row>
    <row r="1618" spans="5:6" x14ac:dyDescent="0.35">
      <c r="E1618"/>
      <c r="F1618"/>
    </row>
    <row r="1619" spans="5:6" x14ac:dyDescent="0.35">
      <c r="E1619"/>
      <c r="F1619"/>
    </row>
    <row r="1620" spans="5:6" x14ac:dyDescent="0.35">
      <c r="E1620"/>
      <c r="F1620"/>
    </row>
    <row r="1621" spans="5:6" x14ac:dyDescent="0.35">
      <c r="E1621"/>
      <c r="F1621"/>
    </row>
    <row r="1622" spans="5:6" x14ac:dyDescent="0.35">
      <c r="E1622"/>
      <c r="F1622"/>
    </row>
    <row r="1623" spans="5:6" x14ac:dyDescent="0.35">
      <c r="E1623"/>
      <c r="F1623"/>
    </row>
    <row r="1624" spans="5:6" x14ac:dyDescent="0.35">
      <c r="E1624"/>
      <c r="F1624"/>
    </row>
    <row r="1625" spans="5:6" x14ac:dyDescent="0.35">
      <c r="E1625"/>
      <c r="F1625"/>
    </row>
    <row r="1626" spans="5:6" x14ac:dyDescent="0.35">
      <c r="E1626"/>
    </row>
    <row r="1627" spans="5:6" x14ac:dyDescent="0.35">
      <c r="E1627"/>
    </row>
    <row r="1628" spans="5:6" x14ac:dyDescent="0.35">
      <c r="E1628"/>
    </row>
    <row r="1629" spans="5:6" x14ac:dyDescent="0.35">
      <c r="E1629"/>
    </row>
    <row r="1630" spans="5:6" x14ac:dyDescent="0.35">
      <c r="E1630"/>
    </row>
    <row r="1631" spans="5:6" x14ac:dyDescent="0.35">
      <c r="E1631"/>
    </row>
    <row r="1632" spans="5:6" x14ac:dyDescent="0.35">
      <c r="E1632"/>
    </row>
    <row r="1633" spans="5:5" x14ac:dyDescent="0.35">
      <c r="E1633"/>
    </row>
    <row r="1634" spans="5:5" x14ac:dyDescent="0.35">
      <c r="E1634"/>
    </row>
    <row r="1635" spans="5:5" x14ac:dyDescent="0.35">
      <c r="E1635"/>
    </row>
    <row r="1636" spans="5:5" x14ac:dyDescent="0.35">
      <c r="E1636"/>
    </row>
    <row r="1637" spans="5:5" x14ac:dyDescent="0.35">
      <c r="E1637"/>
    </row>
    <row r="1638" spans="5:5" x14ac:dyDescent="0.35">
      <c r="E1638"/>
    </row>
    <row r="1639" spans="5:5" x14ac:dyDescent="0.35">
      <c r="E1639"/>
    </row>
    <row r="1640" spans="5:5" x14ac:dyDescent="0.35">
      <c r="E1640"/>
    </row>
    <row r="1641" spans="5:5" x14ac:dyDescent="0.35">
      <c r="E1641"/>
    </row>
    <row r="1642" spans="5:5" x14ac:dyDescent="0.35">
      <c r="E1642"/>
    </row>
    <row r="1643" spans="5:5" x14ac:dyDescent="0.35">
      <c r="E1643"/>
    </row>
    <row r="1644" spans="5:5" x14ac:dyDescent="0.35">
      <c r="E1644"/>
    </row>
    <row r="1645" spans="5:5" x14ac:dyDescent="0.35">
      <c r="E1645"/>
    </row>
    <row r="1646" spans="5:5" x14ac:dyDescent="0.35">
      <c r="E1646"/>
    </row>
    <row r="1647" spans="5:5" x14ac:dyDescent="0.35">
      <c r="E1647"/>
    </row>
    <row r="1648" spans="5:5" x14ac:dyDescent="0.35">
      <c r="E1648"/>
    </row>
    <row r="1649" spans="5:5" x14ac:dyDescent="0.35">
      <c r="E1649"/>
    </row>
    <row r="1650" spans="5:5" x14ac:dyDescent="0.35">
      <c r="E1650"/>
    </row>
    <row r="1651" spans="5:5" x14ac:dyDescent="0.35">
      <c r="E1651"/>
    </row>
    <row r="1652" spans="5:5" x14ac:dyDescent="0.35">
      <c r="E1652"/>
    </row>
    <row r="1653" spans="5:5" x14ac:dyDescent="0.35">
      <c r="E1653"/>
    </row>
    <row r="1654" spans="5:5" x14ac:dyDescent="0.35">
      <c r="E1654"/>
    </row>
    <row r="1655" spans="5:5" x14ac:dyDescent="0.35">
      <c r="E1655"/>
    </row>
    <row r="1656" spans="5:5" x14ac:dyDescent="0.35">
      <c r="E1656"/>
    </row>
    <row r="1657" spans="5:5" x14ac:dyDescent="0.35">
      <c r="E1657"/>
    </row>
    <row r="1658" spans="5:5" x14ac:dyDescent="0.35">
      <c r="E1658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0194-89FB-44B5-B26F-014145E3099F}">
  <dimension ref="A1:K2194"/>
  <sheetViews>
    <sheetView tabSelected="1" topLeftCell="A2159" workbookViewId="0">
      <selection activeCell="B2184" sqref="B2184"/>
    </sheetView>
  </sheetViews>
  <sheetFormatPr defaultRowHeight="15.5" x14ac:dyDescent="0.35"/>
  <cols>
    <col min="1" max="1" width="9.75" bestFit="1" customWidth="1"/>
    <col min="2" max="2" width="36.6640625" style="149" customWidth="1"/>
    <col min="3" max="5" width="10.83203125" style="6"/>
    <col min="6" max="6" width="13.33203125" style="6" customWidth="1"/>
    <col min="7" max="7" width="20.33203125" style="6" customWidth="1"/>
    <col min="8" max="8" width="24" style="6" customWidth="1"/>
    <col min="9" max="9" width="10.83203125" style="6"/>
    <col min="10" max="10" width="15.5" style="6" bestFit="1" customWidth="1"/>
    <col min="11" max="11" width="13.1640625" style="6" bestFit="1" customWidth="1"/>
  </cols>
  <sheetData>
    <row r="1" spans="1:11" x14ac:dyDescent="0.35">
      <c r="A1" t="s">
        <v>1378</v>
      </c>
      <c r="B1" s="14" t="s">
        <v>0</v>
      </c>
      <c r="C1" s="15" t="s">
        <v>1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22</v>
      </c>
      <c r="I1" s="15" t="s">
        <v>1384</v>
      </c>
      <c r="J1" s="15" t="s">
        <v>1385</v>
      </c>
      <c r="K1" s="15" t="s">
        <v>12</v>
      </c>
    </row>
    <row r="2" spans="1:11" x14ac:dyDescent="0.35">
      <c r="A2" t="s">
        <v>1383</v>
      </c>
      <c r="B2" s="37" t="s">
        <v>37</v>
      </c>
      <c r="C2" s="38" t="s">
        <v>38</v>
      </c>
      <c r="D2" s="39">
        <v>211.66</v>
      </c>
      <c r="E2" s="40" t="s">
        <v>39</v>
      </c>
      <c r="F2" s="41">
        <v>65.007366000000005</v>
      </c>
      <c r="G2" s="41" t="s">
        <v>40</v>
      </c>
      <c r="H2" s="41">
        <f t="shared" ref="H2:H65" si="0">66.022-F2</f>
        <v>1.0146340000000009</v>
      </c>
      <c r="I2" s="42">
        <v>-0.12970722537843299</v>
      </c>
      <c r="J2" s="43">
        <v>9.9714741337251098</v>
      </c>
      <c r="K2" s="44">
        <v>0.5755174778967671</v>
      </c>
    </row>
    <row r="3" spans="1:11" x14ac:dyDescent="0.35">
      <c r="A3" t="s">
        <v>1383</v>
      </c>
      <c r="B3" s="73" t="s">
        <v>37</v>
      </c>
      <c r="C3" s="74" t="s">
        <v>38</v>
      </c>
      <c r="D3" s="75">
        <v>211.69</v>
      </c>
      <c r="E3" s="6" t="s">
        <v>39</v>
      </c>
      <c r="F3" s="76">
        <v>65.014902000000006</v>
      </c>
      <c r="G3" s="76" t="s">
        <v>40</v>
      </c>
      <c r="H3" s="76">
        <f t="shared" si="0"/>
        <v>1.0070979999999992</v>
      </c>
      <c r="I3" s="77">
        <v>-0.40479693200863098</v>
      </c>
      <c r="J3" s="78">
        <v>11.20010352239683</v>
      </c>
      <c r="K3" s="79">
        <v>1.8041468665684874</v>
      </c>
    </row>
    <row r="4" spans="1:11" x14ac:dyDescent="0.35">
      <c r="A4" t="s">
        <v>1383</v>
      </c>
      <c r="B4" s="73" t="s">
        <v>37</v>
      </c>
      <c r="C4" s="74" t="s">
        <v>38</v>
      </c>
      <c r="D4" s="75">
        <v>211.75</v>
      </c>
      <c r="E4" s="6" t="s">
        <v>39</v>
      </c>
      <c r="F4" s="76">
        <v>65.029976000000005</v>
      </c>
      <c r="G4" s="76" t="s">
        <v>40</v>
      </c>
      <c r="H4" s="76">
        <f t="shared" si="0"/>
        <v>0.99202400000000068</v>
      </c>
      <c r="I4" s="77">
        <v>-7.9276295650752296E-2</v>
      </c>
      <c r="J4" s="78">
        <v>9.7474223365263128</v>
      </c>
      <c r="K4" s="79">
        <v>0.35146568069797013</v>
      </c>
    </row>
    <row r="5" spans="1:11" x14ac:dyDescent="0.35">
      <c r="A5" t="s">
        <v>1383</v>
      </c>
      <c r="B5" s="73" t="s">
        <v>37</v>
      </c>
      <c r="C5" s="74" t="s">
        <v>38</v>
      </c>
      <c r="D5" s="75">
        <v>211.78</v>
      </c>
      <c r="E5" s="6" t="s">
        <v>39</v>
      </c>
      <c r="F5" s="76">
        <v>65.036564999999996</v>
      </c>
      <c r="G5" s="76" t="s">
        <v>40</v>
      </c>
      <c r="H5" s="76">
        <f t="shared" si="0"/>
        <v>0.98543500000000961</v>
      </c>
      <c r="I5" s="77">
        <v>-0.25084548372117799</v>
      </c>
      <c r="J5" s="78">
        <v>10.511159855397977</v>
      </c>
      <c r="K5" s="79">
        <v>1.1152031995696348</v>
      </c>
    </row>
    <row r="6" spans="1:11" x14ac:dyDescent="0.35">
      <c r="A6" t="s">
        <v>1383</v>
      </c>
      <c r="B6" s="73" t="s">
        <v>37</v>
      </c>
      <c r="C6" s="74" t="s">
        <v>38</v>
      </c>
      <c r="D6" s="75">
        <v>211.81</v>
      </c>
      <c r="E6" s="6" t="s">
        <v>39</v>
      </c>
      <c r="F6" s="76">
        <v>65.041257999999999</v>
      </c>
      <c r="G6" s="76" t="s">
        <v>40</v>
      </c>
      <c r="H6" s="76">
        <f t="shared" si="0"/>
        <v>0.98074200000000644</v>
      </c>
      <c r="I6" s="77">
        <v>-0.25214081333690103</v>
      </c>
      <c r="J6" s="78">
        <v>10.51694217917111</v>
      </c>
      <c r="K6" s="79">
        <v>1.1209855233427675</v>
      </c>
    </row>
    <row r="7" spans="1:11" x14ac:dyDescent="0.35">
      <c r="A7" t="s">
        <v>1383</v>
      </c>
      <c r="B7" s="73" t="s">
        <v>37</v>
      </c>
      <c r="C7" s="74" t="s">
        <v>38</v>
      </c>
      <c r="D7" s="75">
        <v>211.84</v>
      </c>
      <c r="E7" s="6" t="s">
        <v>39</v>
      </c>
      <c r="F7" s="76">
        <v>65.045952</v>
      </c>
      <c r="G7" s="76" t="s">
        <v>40</v>
      </c>
      <c r="H7" s="76">
        <f t="shared" si="0"/>
        <v>0.9760480000000058</v>
      </c>
      <c r="I7" s="77">
        <v>-0.287714925663833</v>
      </c>
      <c r="J7" s="78">
        <v>10.675839380294178</v>
      </c>
      <c r="K7" s="79">
        <v>1.2798827244658355</v>
      </c>
    </row>
    <row r="8" spans="1:11" x14ac:dyDescent="0.35">
      <c r="A8" t="s">
        <v>1383</v>
      </c>
      <c r="B8" s="73" t="s">
        <v>37</v>
      </c>
      <c r="C8" s="74" t="s">
        <v>38</v>
      </c>
      <c r="D8" s="75">
        <v>211.87</v>
      </c>
      <c r="E8" s="6" t="s">
        <v>39</v>
      </c>
      <c r="F8" s="76">
        <v>65.050645000000003</v>
      </c>
      <c r="G8" s="76" t="s">
        <v>40</v>
      </c>
      <c r="H8" s="76">
        <f t="shared" si="0"/>
        <v>0.97135500000000263</v>
      </c>
      <c r="I8" s="77">
        <v>-6.2935884451954305E-2</v>
      </c>
      <c r="J8" s="78">
        <v>9.6749045105181608</v>
      </c>
      <c r="K8" s="79">
        <v>0.27894785468981809</v>
      </c>
    </row>
    <row r="9" spans="1:11" x14ac:dyDescent="0.35">
      <c r="A9" t="s">
        <v>1383</v>
      </c>
      <c r="B9" s="73" t="s">
        <v>37</v>
      </c>
      <c r="C9" s="74" t="s">
        <v>38</v>
      </c>
      <c r="D9" s="75">
        <v>211.9</v>
      </c>
      <c r="E9" s="6" t="s">
        <v>39</v>
      </c>
      <c r="F9" s="76">
        <v>65.055339000000004</v>
      </c>
      <c r="G9" s="76" t="s">
        <v>40</v>
      </c>
      <c r="H9" s="76">
        <f t="shared" si="0"/>
        <v>0.96666100000000199</v>
      </c>
      <c r="I9" s="77">
        <v>-0.14734002079026701</v>
      </c>
      <c r="J9" s="78">
        <v>10.049898588929636</v>
      </c>
      <c r="K9" s="79">
        <v>0.65394193310129367</v>
      </c>
    </row>
    <row r="10" spans="1:11" x14ac:dyDescent="0.35">
      <c r="A10" t="s">
        <v>1383</v>
      </c>
      <c r="B10" s="73" t="s">
        <v>37</v>
      </c>
      <c r="C10" s="74" t="s">
        <v>38</v>
      </c>
      <c r="D10" s="75">
        <v>211.93</v>
      </c>
      <c r="E10" s="6" t="s">
        <v>39</v>
      </c>
      <c r="F10" s="76">
        <v>65.060032000000007</v>
      </c>
      <c r="G10" s="76" t="s">
        <v>40</v>
      </c>
      <c r="H10" s="76">
        <f t="shared" si="0"/>
        <v>0.96196799999999882</v>
      </c>
      <c r="I10" s="77">
        <v>-5.9981534225714103E-2</v>
      </c>
      <c r="J10" s="78">
        <v>9.6617973652079741</v>
      </c>
      <c r="K10" s="79">
        <v>0.26584070937963133</v>
      </c>
    </row>
    <row r="11" spans="1:11" x14ac:dyDescent="0.35">
      <c r="A11" t="s">
        <v>1383</v>
      </c>
      <c r="B11" s="73" t="s">
        <v>37</v>
      </c>
      <c r="C11" s="74" t="s">
        <v>38</v>
      </c>
      <c r="D11" s="75">
        <v>211.94</v>
      </c>
      <c r="E11" s="6" t="s">
        <v>39</v>
      </c>
      <c r="F11" s="76">
        <v>65.061597000000006</v>
      </c>
      <c r="G11" s="76" t="s">
        <v>40</v>
      </c>
      <c r="H11" s="76">
        <f t="shared" si="0"/>
        <v>0.96040299999999945</v>
      </c>
      <c r="I11" s="77">
        <v>-0.16421894676766899</v>
      </c>
      <c r="J11" s="78">
        <v>10.125012106690406</v>
      </c>
      <c r="K11" s="79">
        <v>0.72905545086206303</v>
      </c>
    </row>
    <row r="12" spans="1:11" x14ac:dyDescent="0.35">
      <c r="A12" t="s">
        <v>1383</v>
      </c>
      <c r="B12" s="73" t="s">
        <v>37</v>
      </c>
      <c r="C12" s="74" t="s">
        <v>38</v>
      </c>
      <c r="D12" s="75">
        <v>212</v>
      </c>
      <c r="E12" s="6" t="s">
        <v>39</v>
      </c>
      <c r="F12" s="76">
        <v>65.070983999999996</v>
      </c>
      <c r="G12" s="76" t="s">
        <v>40</v>
      </c>
      <c r="H12" s="76">
        <f t="shared" si="0"/>
        <v>0.95101600000000985</v>
      </c>
      <c r="I12" s="77">
        <v>-0.27378788486530298</v>
      </c>
      <c r="J12" s="78">
        <v>10.613610254662092</v>
      </c>
      <c r="K12" s="79">
        <v>1.2176535988337491</v>
      </c>
    </row>
    <row r="13" spans="1:11" x14ac:dyDescent="0.35">
      <c r="A13" t="s">
        <v>1383</v>
      </c>
      <c r="B13" s="73" t="s">
        <v>37</v>
      </c>
      <c r="C13" s="74" t="s">
        <v>38</v>
      </c>
      <c r="D13" s="75">
        <v>212.03</v>
      </c>
      <c r="E13" s="6" t="s">
        <v>39</v>
      </c>
      <c r="F13" s="76">
        <v>65.075676999999999</v>
      </c>
      <c r="G13" s="76" t="s">
        <v>40</v>
      </c>
      <c r="H13" s="76">
        <f t="shared" si="0"/>
        <v>0.94632300000000669</v>
      </c>
      <c r="I13" s="77">
        <v>-0.30779915729478102</v>
      </c>
      <c r="J13" s="78">
        <v>10.765629812205191</v>
      </c>
      <c r="K13" s="79">
        <v>1.3696731563768481</v>
      </c>
    </row>
    <row r="14" spans="1:11" x14ac:dyDescent="0.35">
      <c r="A14" t="s">
        <v>1383</v>
      </c>
      <c r="B14" s="73" t="s">
        <v>37</v>
      </c>
      <c r="C14" s="74" t="s">
        <v>38</v>
      </c>
      <c r="D14" s="75">
        <v>212.06</v>
      </c>
      <c r="E14" s="6" t="s">
        <v>39</v>
      </c>
      <c r="F14" s="76">
        <v>65.080371</v>
      </c>
      <c r="G14" s="76" t="s">
        <v>40</v>
      </c>
      <c r="H14" s="76">
        <f t="shared" si="0"/>
        <v>0.94162900000000604</v>
      </c>
      <c r="I14" s="77">
        <v>-0.35205931806927399</v>
      </c>
      <c r="J14" s="78">
        <v>10.963710467486976</v>
      </c>
      <c r="K14" s="79">
        <v>1.5677538116586334</v>
      </c>
    </row>
    <row r="15" spans="1:11" x14ac:dyDescent="0.35">
      <c r="A15" t="s">
        <v>1383</v>
      </c>
      <c r="B15" s="73" t="s">
        <v>37</v>
      </c>
      <c r="C15" s="74" t="s">
        <v>38</v>
      </c>
      <c r="D15" s="75">
        <v>212.09</v>
      </c>
      <c r="E15" s="6" t="s">
        <v>39</v>
      </c>
      <c r="F15" s="76">
        <v>65.085065</v>
      </c>
      <c r="G15" s="76" t="s">
        <v>40</v>
      </c>
      <c r="H15" s="76">
        <f t="shared" si="0"/>
        <v>0.9369350000000054</v>
      </c>
      <c r="I15" s="77">
        <v>-0.37246270690406902</v>
      </c>
      <c r="J15" s="78">
        <v>11.055119270995988</v>
      </c>
      <c r="K15" s="79">
        <v>1.6591626151676451</v>
      </c>
    </row>
    <row r="16" spans="1:11" x14ac:dyDescent="0.35">
      <c r="A16" t="s">
        <v>1383</v>
      </c>
      <c r="B16" s="73" t="s">
        <v>37</v>
      </c>
      <c r="C16" s="74" t="s">
        <v>38</v>
      </c>
      <c r="D16" s="75">
        <v>212.12</v>
      </c>
      <c r="E16" s="6" t="s">
        <v>39</v>
      </c>
      <c r="F16" s="76">
        <v>65.089758000000003</v>
      </c>
      <c r="G16" s="76" t="s">
        <v>40</v>
      </c>
      <c r="H16" s="76">
        <f t="shared" si="0"/>
        <v>0.93224200000000224</v>
      </c>
      <c r="I16" s="77">
        <v>-0.29895340987498198</v>
      </c>
      <c r="J16" s="78">
        <v>10.726075969952888</v>
      </c>
      <c r="K16" s="79">
        <v>1.3301193141245449</v>
      </c>
    </row>
    <row r="17" spans="1:11" x14ac:dyDescent="0.35">
      <c r="A17" t="s">
        <v>1383</v>
      </c>
      <c r="B17" s="73" t="s">
        <v>37</v>
      </c>
      <c r="C17" s="74" t="s">
        <v>38</v>
      </c>
      <c r="D17" s="75">
        <v>212.15</v>
      </c>
      <c r="E17" s="6" t="s">
        <v>39</v>
      </c>
      <c r="F17" s="76">
        <v>65.094452000000004</v>
      </c>
      <c r="G17" s="76" t="s">
        <v>40</v>
      </c>
      <c r="H17" s="76">
        <f t="shared" si="0"/>
        <v>0.92754800000000159</v>
      </c>
      <c r="I17" s="77">
        <v>-0.360280546479047</v>
      </c>
      <c r="J17" s="78">
        <v>11.000534925853628</v>
      </c>
      <c r="K17" s="79">
        <v>1.6045782700252857</v>
      </c>
    </row>
    <row r="18" spans="1:11" x14ac:dyDescent="0.35">
      <c r="A18" t="s">
        <v>1383</v>
      </c>
      <c r="B18" s="73" t="s">
        <v>37</v>
      </c>
      <c r="C18" s="74" t="s">
        <v>38</v>
      </c>
      <c r="D18" s="75">
        <v>212.18</v>
      </c>
      <c r="E18" s="6" t="s">
        <v>39</v>
      </c>
      <c r="F18" s="76">
        <v>65.099144999999993</v>
      </c>
      <c r="G18" s="76" t="s">
        <v>40</v>
      </c>
      <c r="H18" s="76">
        <f t="shared" si="0"/>
        <v>0.92285500000001264</v>
      </c>
      <c r="I18" s="77">
        <v>-0.27299277648889703</v>
      </c>
      <c r="J18" s="78">
        <v>10.610058382585237</v>
      </c>
      <c r="K18" s="79">
        <v>1.2141017267568941</v>
      </c>
    </row>
    <row r="19" spans="1:11" x14ac:dyDescent="0.35">
      <c r="A19" t="s">
        <v>1383</v>
      </c>
      <c r="B19" s="73" t="s">
        <v>37</v>
      </c>
      <c r="C19" s="74" t="s">
        <v>38</v>
      </c>
      <c r="D19" s="75">
        <v>212.21</v>
      </c>
      <c r="E19" s="6" t="s">
        <v>39</v>
      </c>
      <c r="F19" s="76">
        <v>65.103838999999994</v>
      </c>
      <c r="G19" s="76" t="s">
        <v>40</v>
      </c>
      <c r="H19" s="76">
        <f t="shared" si="0"/>
        <v>0.918161000000012</v>
      </c>
      <c r="I19" s="77">
        <v>-0.193060401557752</v>
      </c>
      <c r="J19" s="78">
        <v>10.253455696099877</v>
      </c>
      <c r="K19" s="79">
        <v>0.85749904027153434</v>
      </c>
    </row>
    <row r="20" spans="1:11" x14ac:dyDescent="0.35">
      <c r="A20" t="s">
        <v>1383</v>
      </c>
      <c r="B20" s="73" t="s">
        <v>37</v>
      </c>
      <c r="C20" s="74" t="s">
        <v>38</v>
      </c>
      <c r="D20" s="75">
        <v>212.24</v>
      </c>
      <c r="E20" s="6" t="s">
        <v>39</v>
      </c>
      <c r="F20" s="76">
        <v>65.108531999999997</v>
      </c>
      <c r="G20" s="76" t="s">
        <v>40</v>
      </c>
      <c r="H20" s="76">
        <f t="shared" si="0"/>
        <v>0.91346800000000883</v>
      </c>
      <c r="I20" s="77">
        <v>-0.21588114776937201</v>
      </c>
      <c r="J20" s="78">
        <v>10.355171644143525</v>
      </c>
      <c r="K20" s="79">
        <v>0.95921498831518193</v>
      </c>
    </row>
    <row r="21" spans="1:11" x14ac:dyDescent="0.35">
      <c r="A21" t="s">
        <v>1383</v>
      </c>
      <c r="B21" s="73" t="s">
        <v>37</v>
      </c>
      <c r="C21" s="74" t="s">
        <v>38</v>
      </c>
      <c r="D21" s="75">
        <v>212.27</v>
      </c>
      <c r="E21" s="6" t="s">
        <v>39</v>
      </c>
      <c r="F21" s="76">
        <v>65.113225999999997</v>
      </c>
      <c r="G21" s="76" t="s">
        <v>40</v>
      </c>
      <c r="H21" s="76">
        <f t="shared" si="0"/>
        <v>0.90877400000000819</v>
      </c>
      <c r="I21" s="77">
        <v>-0.12728238392195401</v>
      </c>
      <c r="J21" s="78">
        <v>9.9606927994088892</v>
      </c>
      <c r="K21" s="79">
        <v>0.56473614358054647</v>
      </c>
    </row>
    <row r="22" spans="1:11" x14ac:dyDescent="0.35">
      <c r="A22" t="s">
        <v>1383</v>
      </c>
      <c r="B22" s="73" t="s">
        <v>37</v>
      </c>
      <c r="C22" s="74" t="s">
        <v>38</v>
      </c>
      <c r="D22" s="75">
        <v>212.3</v>
      </c>
      <c r="E22" s="6" t="s">
        <v>39</v>
      </c>
      <c r="F22" s="76">
        <v>65.117919000000001</v>
      </c>
      <c r="G22" s="76" t="s">
        <v>40</v>
      </c>
      <c r="H22" s="76">
        <f t="shared" si="0"/>
        <v>0.90408100000000502</v>
      </c>
      <c r="I22" s="77">
        <v>-0.467191712420573</v>
      </c>
      <c r="J22" s="78">
        <v>11.480308896272902</v>
      </c>
      <c r="K22" s="79">
        <v>2.0843522404445594</v>
      </c>
    </row>
    <row r="23" spans="1:11" x14ac:dyDescent="0.35">
      <c r="A23" t="s">
        <v>1383</v>
      </c>
      <c r="B23" s="73" t="s">
        <v>37</v>
      </c>
      <c r="C23" s="74" t="s">
        <v>38</v>
      </c>
      <c r="D23" s="75">
        <v>212.33</v>
      </c>
      <c r="E23" s="6" t="s">
        <v>39</v>
      </c>
      <c r="F23" s="76">
        <v>65.122613000000001</v>
      </c>
      <c r="G23" s="76" t="s">
        <v>40</v>
      </c>
      <c r="H23" s="76">
        <f t="shared" si="0"/>
        <v>0.89938700000000438</v>
      </c>
      <c r="I23" s="77">
        <v>-0.43703956862159898</v>
      </c>
      <c r="J23" s="78">
        <v>11.344829146433199</v>
      </c>
      <c r="K23" s="79">
        <v>1.948872490604856</v>
      </c>
    </row>
    <row r="24" spans="1:11" x14ac:dyDescent="0.35">
      <c r="A24" t="s">
        <v>1383</v>
      </c>
      <c r="B24" s="73" t="s">
        <v>37</v>
      </c>
      <c r="C24" s="74" t="s">
        <v>38</v>
      </c>
      <c r="D24" s="75">
        <v>212.36</v>
      </c>
      <c r="E24" s="6" t="s">
        <v>39</v>
      </c>
      <c r="F24" s="76">
        <v>65.127306000000004</v>
      </c>
      <c r="G24" s="76" t="s">
        <v>40</v>
      </c>
      <c r="H24" s="76">
        <f t="shared" si="0"/>
        <v>0.89469400000000121</v>
      </c>
      <c r="I24" s="77">
        <v>-0.47802394339863202</v>
      </c>
      <c r="J24" s="78">
        <v>11.529012834515356</v>
      </c>
      <c r="K24" s="79">
        <v>2.1330561786870135</v>
      </c>
    </row>
    <row r="25" spans="1:11" x14ac:dyDescent="0.35">
      <c r="A25" t="s">
        <v>1383</v>
      </c>
      <c r="B25" s="73" t="s">
        <v>37</v>
      </c>
      <c r="C25" s="74" t="s">
        <v>38</v>
      </c>
      <c r="D25" s="75">
        <v>212.39</v>
      </c>
      <c r="E25" s="6" t="s">
        <v>39</v>
      </c>
      <c r="F25" s="76">
        <v>65.132000000000005</v>
      </c>
      <c r="G25" s="76" t="s">
        <v>40</v>
      </c>
      <c r="H25" s="76">
        <f t="shared" si="0"/>
        <v>0.89000000000000057</v>
      </c>
      <c r="I25" s="77">
        <v>-0.39029479185156601</v>
      </c>
      <c r="J25" s="78">
        <v>11.135058138326883</v>
      </c>
      <c r="K25" s="79">
        <v>1.7391014824985405</v>
      </c>
    </row>
    <row r="26" spans="1:11" x14ac:dyDescent="0.35">
      <c r="A26" t="s">
        <v>1383</v>
      </c>
      <c r="B26" s="73" t="s">
        <v>37</v>
      </c>
      <c r="C26" s="74" t="s">
        <v>38</v>
      </c>
      <c r="D26" s="75">
        <v>212.42</v>
      </c>
      <c r="E26" s="6" t="s">
        <v>39</v>
      </c>
      <c r="F26" s="76">
        <v>65.136227000000005</v>
      </c>
      <c r="G26" s="76" t="s">
        <v>40</v>
      </c>
      <c r="H26" s="76">
        <f t="shared" si="0"/>
        <v>0.88577300000000037</v>
      </c>
      <c r="I26" s="77">
        <v>-0.39447812127647702</v>
      </c>
      <c r="J26" s="78">
        <v>11.153818167508803</v>
      </c>
      <c r="K26" s="79">
        <v>1.7578615116804599</v>
      </c>
    </row>
    <row r="27" spans="1:11" x14ac:dyDescent="0.35">
      <c r="A27" t="s">
        <v>1383</v>
      </c>
      <c r="B27" s="73" t="s">
        <v>37</v>
      </c>
      <c r="C27" s="74" t="s">
        <v>38</v>
      </c>
      <c r="D27" s="75">
        <v>212.45</v>
      </c>
      <c r="E27" s="6" t="s">
        <v>39</v>
      </c>
      <c r="F27" s="76">
        <v>65.140455000000003</v>
      </c>
      <c r="G27" s="76" t="s">
        <v>40</v>
      </c>
      <c r="H27" s="76">
        <f t="shared" si="0"/>
        <v>0.88154500000000269</v>
      </c>
      <c r="I27" s="77">
        <v>-0.37514285347007897</v>
      </c>
      <c r="J27" s="78">
        <v>11.067131050080434</v>
      </c>
      <c r="K27" s="79">
        <v>1.6711743942520911</v>
      </c>
    </row>
    <row r="28" spans="1:11" x14ac:dyDescent="0.35">
      <c r="A28" t="s">
        <v>1383</v>
      </c>
      <c r="B28" s="73" t="s">
        <v>37</v>
      </c>
      <c r="C28" s="74" t="s">
        <v>38</v>
      </c>
      <c r="D28" s="75">
        <v>212.51</v>
      </c>
      <c r="E28" s="6" t="s">
        <v>39</v>
      </c>
      <c r="F28" s="76">
        <v>65.148909000000003</v>
      </c>
      <c r="G28" s="76" t="s">
        <v>40</v>
      </c>
      <c r="H28" s="76">
        <f t="shared" si="0"/>
        <v>0.87309100000000228</v>
      </c>
      <c r="I28" s="77">
        <v>-0.432518447185615</v>
      </c>
      <c r="J28" s="78">
        <v>11.324526293495808</v>
      </c>
      <c r="K28" s="79">
        <v>1.928569637667465</v>
      </c>
    </row>
    <row r="29" spans="1:11" x14ac:dyDescent="0.35">
      <c r="A29" t="s">
        <v>1383</v>
      </c>
      <c r="B29" s="73" t="s">
        <v>37</v>
      </c>
      <c r="C29" s="74" t="s">
        <v>38</v>
      </c>
      <c r="D29" s="75">
        <v>212.54</v>
      </c>
      <c r="E29" s="6" t="s">
        <v>39</v>
      </c>
      <c r="F29" s="76">
        <v>65.153136000000003</v>
      </c>
      <c r="G29" s="76" t="s">
        <v>40</v>
      </c>
      <c r="H29" s="76">
        <f t="shared" si="0"/>
        <v>0.86886400000000208</v>
      </c>
      <c r="I29" s="77">
        <v>-0.37830900958240299</v>
      </c>
      <c r="J29" s="78">
        <v>11.081322358072214</v>
      </c>
      <c r="K29" s="79">
        <v>1.6853657022438711</v>
      </c>
    </row>
    <row r="30" spans="1:11" x14ac:dyDescent="0.35">
      <c r="A30" t="s">
        <v>1383</v>
      </c>
      <c r="B30" s="73" t="s">
        <v>37</v>
      </c>
      <c r="C30" s="74" t="s">
        <v>38</v>
      </c>
      <c r="D30" s="75">
        <v>212.57</v>
      </c>
      <c r="E30" s="6" t="s">
        <v>39</v>
      </c>
      <c r="F30" s="76">
        <v>65.157364000000001</v>
      </c>
      <c r="G30" s="76" t="s">
        <v>40</v>
      </c>
      <c r="H30" s="76">
        <f t="shared" si="0"/>
        <v>0.8646360000000044</v>
      </c>
      <c r="I30" s="77">
        <v>-0.313695799051462</v>
      </c>
      <c r="J30" s="78">
        <v>10.792003018802575</v>
      </c>
      <c r="K30" s="79">
        <v>1.3960463629742321</v>
      </c>
    </row>
    <row r="31" spans="1:11" x14ac:dyDescent="0.35">
      <c r="A31" t="s">
        <v>1383</v>
      </c>
      <c r="B31" s="73" t="s">
        <v>37</v>
      </c>
      <c r="C31" s="74" t="s">
        <v>38</v>
      </c>
      <c r="D31" s="75">
        <v>212.6</v>
      </c>
      <c r="E31" s="6" t="s">
        <v>39</v>
      </c>
      <c r="F31" s="76">
        <v>65.161591000000001</v>
      </c>
      <c r="G31" s="76" t="s">
        <v>40</v>
      </c>
      <c r="H31" s="76">
        <f t="shared" si="0"/>
        <v>0.8604090000000042</v>
      </c>
      <c r="I31" s="77">
        <v>-0.36386521569674901</v>
      </c>
      <c r="J31" s="78">
        <v>11.016594430116015</v>
      </c>
      <c r="K31" s="79">
        <v>1.6206377742876725</v>
      </c>
    </row>
    <row r="32" spans="1:11" x14ac:dyDescent="0.35">
      <c r="A32" t="s">
        <v>1383</v>
      </c>
      <c r="B32" s="73" t="s">
        <v>37</v>
      </c>
      <c r="C32" s="74" t="s">
        <v>38</v>
      </c>
      <c r="D32" s="75">
        <v>212.63</v>
      </c>
      <c r="E32" s="6" t="s">
        <v>39</v>
      </c>
      <c r="F32" s="76">
        <v>65.165818000000002</v>
      </c>
      <c r="G32" s="76" t="s">
        <v>40</v>
      </c>
      <c r="H32" s="76">
        <f t="shared" si="0"/>
        <v>0.856182000000004</v>
      </c>
      <c r="I32" s="77">
        <v>-0.47448397464053199</v>
      </c>
      <c r="J32" s="78">
        <v>11.513094515517082</v>
      </c>
      <c r="K32" s="79">
        <v>2.1171378596887394</v>
      </c>
    </row>
    <row r="33" spans="1:11" x14ac:dyDescent="0.35">
      <c r="A33" t="s">
        <v>1383</v>
      </c>
      <c r="B33" s="73" t="s">
        <v>37</v>
      </c>
      <c r="C33" s="74" t="s">
        <v>38</v>
      </c>
      <c r="D33" s="75">
        <v>212.66</v>
      </c>
      <c r="E33" s="6" t="s">
        <v>39</v>
      </c>
      <c r="F33" s="76">
        <v>65.170045000000002</v>
      </c>
      <c r="G33" s="76" t="s">
        <v>40</v>
      </c>
      <c r="H33" s="76">
        <f t="shared" si="0"/>
        <v>0.85195500000000379</v>
      </c>
      <c r="I33" s="77">
        <v>-0.343762085489419</v>
      </c>
      <c r="J33" s="78">
        <v>10.926555554832021</v>
      </c>
      <c r="K33" s="79">
        <v>1.5305988990036781</v>
      </c>
    </row>
    <row r="34" spans="1:11" x14ac:dyDescent="0.35">
      <c r="A34" t="s">
        <v>1383</v>
      </c>
      <c r="B34" s="73" t="s">
        <v>37</v>
      </c>
      <c r="C34" s="74" t="s">
        <v>38</v>
      </c>
      <c r="D34" s="75">
        <v>212.69</v>
      </c>
      <c r="E34" s="6" t="s">
        <v>39</v>
      </c>
      <c r="F34" s="76">
        <v>65.174272999999999</v>
      </c>
      <c r="G34" s="76" t="s">
        <v>40</v>
      </c>
      <c r="H34" s="76">
        <f t="shared" si="0"/>
        <v>0.84772700000000611</v>
      </c>
      <c r="I34" s="77">
        <v>-0.31477224031314599</v>
      </c>
      <c r="J34" s="78">
        <v>10.796818034966293</v>
      </c>
      <c r="K34" s="79">
        <v>1.4008613791379503</v>
      </c>
    </row>
    <row r="35" spans="1:11" x14ac:dyDescent="0.35">
      <c r="A35" t="s">
        <v>1383</v>
      </c>
      <c r="B35" s="73" t="s">
        <v>37</v>
      </c>
      <c r="C35" s="74" t="s">
        <v>38</v>
      </c>
      <c r="D35" s="75">
        <v>212.72</v>
      </c>
      <c r="E35" s="6" t="s">
        <v>39</v>
      </c>
      <c r="F35" s="76">
        <v>65.1785</v>
      </c>
      <c r="G35" s="76" t="s">
        <v>40</v>
      </c>
      <c r="H35" s="76">
        <f t="shared" si="0"/>
        <v>0.84350000000000591</v>
      </c>
      <c r="I35" s="77">
        <v>-0.38236047859607297</v>
      </c>
      <c r="J35" s="78">
        <v>11.099483937908303</v>
      </c>
      <c r="K35" s="79">
        <v>1.7035272820799605</v>
      </c>
    </row>
    <row r="36" spans="1:11" x14ac:dyDescent="0.35">
      <c r="A36" t="s">
        <v>1383</v>
      </c>
      <c r="B36" s="73" t="s">
        <v>37</v>
      </c>
      <c r="C36" s="74" t="s">
        <v>38</v>
      </c>
      <c r="D36" s="75">
        <v>212.75</v>
      </c>
      <c r="E36" s="6" t="s">
        <v>39</v>
      </c>
      <c r="F36" s="76">
        <v>65.182727</v>
      </c>
      <c r="G36" s="76" t="s">
        <v>40</v>
      </c>
      <c r="H36" s="76">
        <f t="shared" si="0"/>
        <v>0.83927300000000571</v>
      </c>
      <c r="I36" s="77">
        <v>-0.461783856743677</v>
      </c>
      <c r="J36" s="78">
        <v>11.456000498529249</v>
      </c>
      <c r="K36" s="79">
        <v>2.0600438427009067</v>
      </c>
    </row>
    <row r="37" spans="1:11" x14ac:dyDescent="0.35">
      <c r="A37" t="s">
        <v>1383</v>
      </c>
      <c r="B37" s="73" t="s">
        <v>37</v>
      </c>
      <c r="C37" s="74" t="s">
        <v>38</v>
      </c>
      <c r="D37" s="75">
        <v>212.78</v>
      </c>
      <c r="E37" s="6" t="s">
        <v>39</v>
      </c>
      <c r="F37" s="76">
        <v>65.186954999999998</v>
      </c>
      <c r="G37" s="76" t="s">
        <v>40</v>
      </c>
      <c r="H37" s="76">
        <f t="shared" si="0"/>
        <v>0.83504500000000803</v>
      </c>
      <c r="I37" s="77">
        <v>-0.53713979829755198</v>
      </c>
      <c r="J37" s="78">
        <v>11.79511316149808</v>
      </c>
      <c r="K37" s="79">
        <v>2.3991565056697368</v>
      </c>
    </row>
    <row r="38" spans="1:11" x14ac:dyDescent="0.35">
      <c r="A38" t="s">
        <v>1383</v>
      </c>
      <c r="B38" s="73" t="s">
        <v>37</v>
      </c>
      <c r="C38" s="74" t="s">
        <v>38</v>
      </c>
      <c r="D38" s="75">
        <v>212.81</v>
      </c>
      <c r="E38" s="6" t="s">
        <v>39</v>
      </c>
      <c r="F38" s="76">
        <v>65.191181999999998</v>
      </c>
      <c r="G38" s="76" t="s">
        <v>40</v>
      </c>
      <c r="H38" s="76">
        <f t="shared" si="0"/>
        <v>0.83081800000000783</v>
      </c>
      <c r="I38" s="77">
        <v>-0.52768272071255595</v>
      </c>
      <c r="J38" s="78">
        <v>11.752509198634243</v>
      </c>
      <c r="K38" s="79">
        <v>2.3565525428059004</v>
      </c>
    </row>
    <row r="39" spans="1:11" x14ac:dyDescent="0.35">
      <c r="A39" t="s">
        <v>1383</v>
      </c>
      <c r="B39" s="73" t="s">
        <v>37</v>
      </c>
      <c r="C39" s="74" t="s">
        <v>38</v>
      </c>
      <c r="D39" s="75">
        <v>212.84</v>
      </c>
      <c r="E39" s="6" t="s">
        <v>39</v>
      </c>
      <c r="F39" s="76">
        <v>65.195408999999998</v>
      </c>
      <c r="G39" s="76" t="s">
        <v>40</v>
      </c>
      <c r="H39" s="76">
        <f t="shared" si="0"/>
        <v>0.82659100000000763</v>
      </c>
      <c r="I39" s="77">
        <v>-0.77709843423073199</v>
      </c>
      <c r="J39" s="78">
        <v>12.880537993503538</v>
      </c>
      <c r="K39" s="79">
        <v>3.4845813376751948</v>
      </c>
    </row>
    <row r="40" spans="1:11" x14ac:dyDescent="0.35">
      <c r="A40" t="s">
        <v>1383</v>
      </c>
      <c r="B40" s="73" t="s">
        <v>37</v>
      </c>
      <c r="C40" s="74" t="s">
        <v>38</v>
      </c>
      <c r="D40" s="75">
        <v>212.87</v>
      </c>
      <c r="E40" s="6" t="s">
        <v>39</v>
      </c>
      <c r="F40" s="76">
        <v>65.199635999999998</v>
      </c>
      <c r="G40" s="76" t="s">
        <v>40</v>
      </c>
      <c r="H40" s="76">
        <f t="shared" si="0"/>
        <v>0.82236400000000742</v>
      </c>
      <c r="I40" s="77">
        <v>-0.54529614771610901</v>
      </c>
      <c r="J40" s="78">
        <v>11.831867926429311</v>
      </c>
      <c r="K40" s="79">
        <v>2.4359112706009682</v>
      </c>
    </row>
    <row r="41" spans="1:11" x14ac:dyDescent="0.35">
      <c r="A41" t="s">
        <v>1383</v>
      </c>
      <c r="B41" s="73" t="s">
        <v>37</v>
      </c>
      <c r="C41" s="74" t="s">
        <v>38</v>
      </c>
      <c r="D41" s="75">
        <v>212.91</v>
      </c>
      <c r="E41" s="6" t="s">
        <v>39</v>
      </c>
      <c r="F41" s="76">
        <v>65.205273000000005</v>
      </c>
      <c r="G41" s="76" t="s">
        <v>40</v>
      </c>
      <c r="H41" s="76">
        <f t="shared" si="0"/>
        <v>0.8167270000000002</v>
      </c>
      <c r="I41" s="77">
        <v>-0.46658904801669199</v>
      </c>
      <c r="J41" s="78">
        <v>11.477599698038887</v>
      </c>
      <c r="K41" s="79">
        <v>2.0816430422105441</v>
      </c>
    </row>
    <row r="42" spans="1:11" x14ac:dyDescent="0.35">
      <c r="A42" t="s">
        <v>1383</v>
      </c>
      <c r="B42" s="73" t="s">
        <v>37</v>
      </c>
      <c r="C42" s="74" t="s">
        <v>38</v>
      </c>
      <c r="D42" s="75">
        <v>212.94</v>
      </c>
      <c r="E42" s="6" t="s">
        <v>39</v>
      </c>
      <c r="F42" s="76">
        <v>65.209500000000006</v>
      </c>
      <c r="G42" s="76" t="s">
        <v>40</v>
      </c>
      <c r="H42" s="76">
        <f t="shared" si="0"/>
        <v>0.8125</v>
      </c>
      <c r="I42" s="77">
        <v>-0.428399641637354</v>
      </c>
      <c r="J42" s="78">
        <v>11.306032709668898</v>
      </c>
      <c r="K42" s="79">
        <v>1.9100760538405552</v>
      </c>
    </row>
    <row r="43" spans="1:11" x14ac:dyDescent="0.35">
      <c r="A43" t="s">
        <v>1383</v>
      </c>
      <c r="B43" s="73" t="s">
        <v>37</v>
      </c>
      <c r="C43" s="74" t="s">
        <v>38</v>
      </c>
      <c r="D43" s="75">
        <v>213.09</v>
      </c>
      <c r="E43" s="6" t="s">
        <v>39</v>
      </c>
      <c r="F43" s="76">
        <v>65.241</v>
      </c>
      <c r="G43" s="76" t="s">
        <v>40</v>
      </c>
      <c r="H43" s="76">
        <f t="shared" si="0"/>
        <v>0.78100000000000591</v>
      </c>
      <c r="I43" s="77">
        <v>-0.71497610435470704</v>
      </c>
      <c r="J43" s="78">
        <v>12.598717337028575</v>
      </c>
      <c r="K43" s="79">
        <v>3.2027606812002318</v>
      </c>
    </row>
    <row r="44" spans="1:11" x14ac:dyDescent="0.35">
      <c r="A44" t="s">
        <v>1383</v>
      </c>
      <c r="B44" s="73" t="s">
        <v>37</v>
      </c>
      <c r="C44" s="74" t="s">
        <v>38</v>
      </c>
      <c r="D44" s="75">
        <v>213.12</v>
      </c>
      <c r="E44" s="6" t="s">
        <v>39</v>
      </c>
      <c r="F44" s="76">
        <v>65.253</v>
      </c>
      <c r="G44" s="76" t="s">
        <v>40</v>
      </c>
      <c r="H44" s="76">
        <f t="shared" si="0"/>
        <v>0.76900000000000546</v>
      </c>
      <c r="I44" s="77">
        <v>-0.69419892446167497</v>
      </c>
      <c r="J44" s="78">
        <v>12.504588547485298</v>
      </c>
      <c r="K44" s="79">
        <v>3.1086318916569553</v>
      </c>
    </row>
    <row r="45" spans="1:11" x14ac:dyDescent="0.35">
      <c r="A45" t="s">
        <v>1383</v>
      </c>
      <c r="B45" s="73" t="s">
        <v>37</v>
      </c>
      <c r="C45" s="74" t="s">
        <v>38</v>
      </c>
      <c r="D45" s="75">
        <v>213.15</v>
      </c>
      <c r="E45" s="6" t="s">
        <v>39</v>
      </c>
      <c r="F45" s="76">
        <v>65.265000000000001</v>
      </c>
      <c r="G45" s="76" t="s">
        <v>40</v>
      </c>
      <c r="H45" s="76">
        <f t="shared" si="0"/>
        <v>0.757000000000005</v>
      </c>
      <c r="I45" s="77">
        <v>-0.58466481091227096</v>
      </c>
      <c r="J45" s="78">
        <v>12.009411647328477</v>
      </c>
      <c r="K45" s="79">
        <v>2.6134549915001344</v>
      </c>
    </row>
    <row r="46" spans="1:11" x14ac:dyDescent="0.35">
      <c r="A46" t="s">
        <v>1383</v>
      </c>
      <c r="B46" s="73" t="s">
        <v>37</v>
      </c>
      <c r="C46" s="74" t="s">
        <v>38</v>
      </c>
      <c r="D46" s="75">
        <v>213.18</v>
      </c>
      <c r="E46" s="6" t="s">
        <v>39</v>
      </c>
      <c r="F46" s="76">
        <v>65.277000000000001</v>
      </c>
      <c r="G46" s="76" t="s">
        <v>40</v>
      </c>
      <c r="H46" s="76">
        <f t="shared" si="0"/>
        <v>0.74500000000000455</v>
      </c>
      <c r="I46" s="77">
        <v>-0.55400963533912895</v>
      </c>
      <c r="J46" s="78">
        <v>11.871144118628081</v>
      </c>
      <c r="K46" s="79">
        <v>2.4751874627997381</v>
      </c>
    </row>
    <row r="47" spans="1:11" x14ac:dyDescent="0.35">
      <c r="A47" t="s">
        <v>1383</v>
      </c>
      <c r="B47" s="73" t="s">
        <v>37</v>
      </c>
      <c r="C47" s="74" t="s">
        <v>38</v>
      </c>
      <c r="D47" s="75">
        <v>213.21</v>
      </c>
      <c r="E47" s="6" t="s">
        <v>39</v>
      </c>
      <c r="F47" s="76">
        <v>65.289000000000001</v>
      </c>
      <c r="G47" s="76" t="s">
        <v>40</v>
      </c>
      <c r="H47" s="76">
        <f t="shared" si="0"/>
        <v>0.73300000000000409</v>
      </c>
      <c r="I47" s="77">
        <v>-0.42602861232224098</v>
      </c>
      <c r="J47" s="78">
        <v>11.29538782849005</v>
      </c>
      <c r="K47" s="79">
        <v>1.899431172661707</v>
      </c>
    </row>
    <row r="48" spans="1:11" x14ac:dyDescent="0.35">
      <c r="A48" t="s">
        <v>1383</v>
      </c>
      <c r="B48" s="73" t="s">
        <v>37</v>
      </c>
      <c r="C48" s="74" t="s">
        <v>38</v>
      </c>
      <c r="D48" s="75">
        <v>213.24</v>
      </c>
      <c r="E48" s="6" t="s">
        <v>39</v>
      </c>
      <c r="F48" s="76">
        <v>65.301000000000002</v>
      </c>
      <c r="G48" s="76" t="s">
        <v>40</v>
      </c>
      <c r="H48" s="76">
        <f t="shared" si="0"/>
        <v>0.72100000000000364</v>
      </c>
      <c r="I48" s="77">
        <v>-0.49942947442721303</v>
      </c>
      <c r="J48" s="78">
        <v>11.625307086254793</v>
      </c>
      <c r="K48" s="79">
        <v>2.2293504304264502</v>
      </c>
    </row>
    <row r="49" spans="1:11" x14ac:dyDescent="0.35">
      <c r="A49" t="s">
        <v>1383</v>
      </c>
      <c r="B49" s="73" t="s">
        <v>37</v>
      </c>
      <c r="C49" s="74" t="s">
        <v>38</v>
      </c>
      <c r="D49" s="75">
        <v>213.27</v>
      </c>
      <c r="E49" s="6" t="s">
        <v>39</v>
      </c>
      <c r="F49" s="76">
        <v>65.313000000000002</v>
      </c>
      <c r="G49" s="76" t="s">
        <v>40</v>
      </c>
      <c r="H49" s="76">
        <f t="shared" si="0"/>
        <v>0.70900000000000318</v>
      </c>
      <c r="I49" s="77">
        <v>-0.64502845380222995</v>
      </c>
      <c r="J49" s="78">
        <v>12.282081620848544</v>
      </c>
      <c r="K49" s="79">
        <v>2.8861249650202012</v>
      </c>
    </row>
    <row r="50" spans="1:11" x14ac:dyDescent="0.35">
      <c r="A50" t="s">
        <v>1383</v>
      </c>
      <c r="B50" s="73" t="s">
        <v>37</v>
      </c>
      <c r="C50" s="74" t="s">
        <v>38</v>
      </c>
      <c r="D50" s="75">
        <v>213.3</v>
      </c>
      <c r="E50" s="6" t="s">
        <v>39</v>
      </c>
      <c r="F50" s="76">
        <v>65.325000000000003</v>
      </c>
      <c r="G50" s="76" t="s">
        <v>40</v>
      </c>
      <c r="H50" s="76">
        <f t="shared" si="0"/>
        <v>0.69700000000000273</v>
      </c>
      <c r="I50" s="77">
        <v>-0.602421617558065</v>
      </c>
      <c r="J50" s="78">
        <v>12.089565511497767</v>
      </c>
      <c r="K50" s="79">
        <v>2.6936088556694244</v>
      </c>
    </row>
    <row r="51" spans="1:11" x14ac:dyDescent="0.35">
      <c r="A51" t="s">
        <v>1383</v>
      </c>
      <c r="B51" s="73" t="s">
        <v>37</v>
      </c>
      <c r="C51" s="74" t="s">
        <v>38</v>
      </c>
      <c r="D51" s="75">
        <v>213.36</v>
      </c>
      <c r="E51" s="6" t="s">
        <v>39</v>
      </c>
      <c r="F51" s="76">
        <v>65.33775</v>
      </c>
      <c r="G51" s="76" t="s">
        <v>40</v>
      </c>
      <c r="H51" s="76">
        <f t="shared" si="0"/>
        <v>0.6842500000000058</v>
      </c>
      <c r="I51" s="77">
        <v>-0.69117384701268003</v>
      </c>
      <c r="J51" s="78">
        <v>12.490889092605187</v>
      </c>
      <c r="K51" s="79">
        <v>3.094932436776844</v>
      </c>
    </row>
    <row r="52" spans="1:11" x14ac:dyDescent="0.35">
      <c r="A52" t="s">
        <v>1383</v>
      </c>
      <c r="B52" s="73" t="s">
        <v>37</v>
      </c>
      <c r="C52" s="74" t="s">
        <v>38</v>
      </c>
      <c r="D52" s="75">
        <v>213.39</v>
      </c>
      <c r="E52" s="6" t="s">
        <v>39</v>
      </c>
      <c r="F52" s="76">
        <v>65.343000000000004</v>
      </c>
      <c r="G52" s="76" t="s">
        <v>40</v>
      </c>
      <c r="H52" s="76">
        <f t="shared" si="0"/>
        <v>0.67900000000000205</v>
      </c>
      <c r="I52" s="77">
        <v>-0.43601960468064299</v>
      </c>
      <c r="J52" s="78">
        <v>11.34024856638149</v>
      </c>
      <c r="K52" s="79">
        <v>1.9442919105531473</v>
      </c>
    </row>
    <row r="53" spans="1:11" x14ac:dyDescent="0.35">
      <c r="A53" t="s">
        <v>1383</v>
      </c>
      <c r="B53" s="73" t="s">
        <v>37</v>
      </c>
      <c r="C53" s="74" t="s">
        <v>38</v>
      </c>
      <c r="D53" s="75">
        <v>213.42</v>
      </c>
      <c r="E53" s="6" t="s">
        <v>39</v>
      </c>
      <c r="F53" s="76">
        <v>65.348249999999993</v>
      </c>
      <c r="G53" s="76" t="s">
        <v>40</v>
      </c>
      <c r="H53" s="76">
        <f t="shared" si="0"/>
        <v>0.67375000000001251</v>
      </c>
      <c r="I53" s="77">
        <v>-0.69436055018043696</v>
      </c>
      <c r="J53" s="78">
        <v>12.505320528624793</v>
      </c>
      <c r="K53" s="79">
        <v>3.1093638727964503</v>
      </c>
    </row>
    <row r="54" spans="1:11" x14ac:dyDescent="0.35">
      <c r="A54" t="s">
        <v>1383</v>
      </c>
      <c r="B54" s="73" t="s">
        <v>37</v>
      </c>
      <c r="C54" s="74" t="s">
        <v>38</v>
      </c>
      <c r="D54" s="75">
        <v>213.45</v>
      </c>
      <c r="E54" s="6" t="s">
        <v>39</v>
      </c>
      <c r="F54" s="76">
        <v>65.353499999999997</v>
      </c>
      <c r="G54" s="76" t="s">
        <v>40</v>
      </c>
      <c r="H54" s="76">
        <f t="shared" si="0"/>
        <v>0.66850000000000875</v>
      </c>
      <c r="I54" s="77">
        <v>-0.58821259336126797</v>
      </c>
      <c r="J54" s="78">
        <v>12.025422550081032</v>
      </c>
      <c r="K54" s="79">
        <v>2.6294658942526894</v>
      </c>
    </row>
    <row r="55" spans="1:11" x14ac:dyDescent="0.35">
      <c r="A55" t="s">
        <v>1383</v>
      </c>
      <c r="B55" s="73" t="s">
        <v>37</v>
      </c>
      <c r="C55" s="74" t="s">
        <v>38</v>
      </c>
      <c r="D55" s="75">
        <v>213.48</v>
      </c>
      <c r="E55" s="6" t="s">
        <v>39</v>
      </c>
      <c r="F55" s="76">
        <v>65.358750000000001</v>
      </c>
      <c r="G55" s="76" t="s">
        <v>40</v>
      </c>
      <c r="H55" s="76">
        <f t="shared" si="0"/>
        <v>0.663250000000005</v>
      </c>
      <c r="I55" s="77">
        <v>-0.61778079160573596</v>
      </c>
      <c r="J55" s="78">
        <v>12.158934013624958</v>
      </c>
      <c r="K55" s="79">
        <v>2.7629773577966148</v>
      </c>
    </row>
    <row r="56" spans="1:11" x14ac:dyDescent="0.35">
      <c r="A56" t="s">
        <v>1383</v>
      </c>
      <c r="B56" s="73" t="s">
        <v>37</v>
      </c>
      <c r="C56" s="74" t="s">
        <v>38</v>
      </c>
      <c r="D56" s="75">
        <v>213.51</v>
      </c>
      <c r="E56" s="6" t="s">
        <v>39</v>
      </c>
      <c r="F56" s="76">
        <v>65.364000000000004</v>
      </c>
      <c r="G56" s="76" t="s">
        <v>40</v>
      </c>
      <c r="H56" s="76">
        <f t="shared" si="0"/>
        <v>0.65800000000000125</v>
      </c>
      <c r="I56" s="77">
        <v>-0.91548645302893195</v>
      </c>
      <c r="J56" s="78">
        <v>13.510407492542129</v>
      </c>
      <c r="K56" s="79">
        <v>4.114450836713786</v>
      </c>
    </row>
    <row r="57" spans="1:11" x14ac:dyDescent="0.35">
      <c r="A57" t="s">
        <v>1383</v>
      </c>
      <c r="B57" s="73" t="s">
        <v>37</v>
      </c>
      <c r="C57" s="74" t="s">
        <v>38</v>
      </c>
      <c r="D57" s="75">
        <v>213.54</v>
      </c>
      <c r="E57" s="6" t="s">
        <v>39</v>
      </c>
      <c r="F57" s="76">
        <v>65.369249999999994</v>
      </c>
      <c r="G57" s="76" t="s">
        <v>40</v>
      </c>
      <c r="H57" s="76">
        <f t="shared" si="0"/>
        <v>0.65275000000001171</v>
      </c>
      <c r="I57" s="77">
        <v>-0.33499804388592602</v>
      </c>
      <c r="J57" s="78">
        <v>10.887321163344836</v>
      </c>
      <c r="K57" s="79">
        <v>1.4913645075164936</v>
      </c>
    </row>
    <row r="58" spans="1:11" x14ac:dyDescent="0.35">
      <c r="A58" t="s">
        <v>1383</v>
      </c>
      <c r="B58" s="73" t="s">
        <v>37</v>
      </c>
      <c r="C58" s="74" t="s">
        <v>38</v>
      </c>
      <c r="D58" s="75">
        <v>213.57</v>
      </c>
      <c r="E58" s="6" t="s">
        <v>39</v>
      </c>
      <c r="F58" s="76">
        <v>65.374499999999998</v>
      </c>
      <c r="G58" s="76" t="s">
        <v>40</v>
      </c>
      <c r="H58" s="76">
        <f t="shared" si="0"/>
        <v>0.64750000000000796</v>
      </c>
      <c r="I58" s="77">
        <v>-0.35629968716110499</v>
      </c>
      <c r="J58" s="78">
        <v>10.982702663913528</v>
      </c>
      <c r="K58" s="79">
        <v>1.5867460080851856</v>
      </c>
    </row>
    <row r="59" spans="1:11" x14ac:dyDescent="0.35">
      <c r="A59" t="s">
        <v>1383</v>
      </c>
      <c r="B59" s="73" t="s">
        <v>37</v>
      </c>
      <c r="C59" s="74" t="s">
        <v>38</v>
      </c>
      <c r="D59" s="75">
        <v>213.6</v>
      </c>
      <c r="E59" s="6" t="s">
        <v>39</v>
      </c>
      <c r="F59" s="76">
        <v>65.379750000000001</v>
      </c>
      <c r="G59" s="76" t="s">
        <v>40</v>
      </c>
      <c r="H59" s="76">
        <f t="shared" si="0"/>
        <v>0.64225000000000421</v>
      </c>
      <c r="I59" s="77">
        <v>-0.29520362893166902</v>
      </c>
      <c r="J59" s="78">
        <v>10.709312220972663</v>
      </c>
      <c r="K59" s="79">
        <v>1.3133555651443203</v>
      </c>
    </row>
    <row r="60" spans="1:11" x14ac:dyDescent="0.35">
      <c r="A60" t="s">
        <v>1383</v>
      </c>
      <c r="B60" s="73" t="s">
        <v>37</v>
      </c>
      <c r="C60" s="74" t="s">
        <v>38</v>
      </c>
      <c r="D60" s="75">
        <v>213.63</v>
      </c>
      <c r="E60" s="6" t="s">
        <v>39</v>
      </c>
      <c r="F60" s="76">
        <v>65.385000000000005</v>
      </c>
      <c r="G60" s="76" t="s">
        <v>40</v>
      </c>
      <c r="H60" s="76">
        <f t="shared" si="0"/>
        <v>0.63700000000000045</v>
      </c>
      <c r="I60" s="77">
        <v>-0.353958054969924</v>
      </c>
      <c r="J60" s="78">
        <v>10.972214399580309</v>
      </c>
      <c r="K60" s="79">
        <v>1.5762577437519667</v>
      </c>
    </row>
    <row r="61" spans="1:11" x14ac:dyDescent="0.35">
      <c r="A61" t="s">
        <v>1383</v>
      </c>
      <c r="B61" s="73" t="s">
        <v>37</v>
      </c>
      <c r="C61" s="74" t="s">
        <v>38</v>
      </c>
      <c r="D61" s="75">
        <v>213.67</v>
      </c>
      <c r="E61" s="6" t="s">
        <v>39</v>
      </c>
      <c r="F61" s="76">
        <v>65.391999999999996</v>
      </c>
      <c r="G61" s="76" t="s">
        <v>40</v>
      </c>
      <c r="H61" s="76">
        <f t="shared" si="0"/>
        <v>0.63000000000000966</v>
      </c>
      <c r="I61" s="77">
        <v>-0.38983472081709702</v>
      </c>
      <c r="J61" s="78">
        <v>11.13299511795185</v>
      </c>
      <c r="K61" s="79">
        <v>1.7370384621235075</v>
      </c>
    </row>
    <row r="62" spans="1:11" x14ac:dyDescent="0.35">
      <c r="A62" t="s">
        <v>1383</v>
      </c>
      <c r="B62" s="73" t="s">
        <v>37</v>
      </c>
      <c r="C62" s="74" t="s">
        <v>38</v>
      </c>
      <c r="D62" s="75">
        <v>213.7</v>
      </c>
      <c r="E62" s="6" t="s">
        <v>39</v>
      </c>
      <c r="F62" s="76">
        <v>65.39725</v>
      </c>
      <c r="G62" s="76" t="s">
        <v>40</v>
      </c>
      <c r="H62" s="76">
        <f t="shared" si="0"/>
        <v>0.62475000000000591</v>
      </c>
      <c r="I62" s="77">
        <v>-0.485369214813962</v>
      </c>
      <c r="J62" s="78">
        <v>11.562048470126228</v>
      </c>
      <c r="K62" s="79">
        <v>2.1660918142978858</v>
      </c>
    </row>
    <row r="63" spans="1:11" x14ac:dyDescent="0.35">
      <c r="A63" t="s">
        <v>1383</v>
      </c>
      <c r="B63" s="73" t="s">
        <v>37</v>
      </c>
      <c r="C63" s="74" t="s">
        <v>38</v>
      </c>
      <c r="D63" s="75">
        <v>213.73</v>
      </c>
      <c r="E63" s="6" t="s">
        <v>39</v>
      </c>
      <c r="F63" s="76">
        <v>65.402500000000003</v>
      </c>
      <c r="G63" s="76" t="s">
        <v>40</v>
      </c>
      <c r="H63" s="76">
        <f t="shared" si="0"/>
        <v>0.61950000000000216</v>
      </c>
      <c r="I63" s="77">
        <v>-0.47783219801697002</v>
      </c>
      <c r="J63" s="78">
        <v>11.528150558346056</v>
      </c>
      <c r="K63" s="79">
        <v>2.132193902517713</v>
      </c>
    </row>
    <row r="64" spans="1:11" x14ac:dyDescent="0.35">
      <c r="A64" t="s">
        <v>1383</v>
      </c>
      <c r="B64" s="73" t="s">
        <v>37</v>
      </c>
      <c r="C64" s="74" t="s">
        <v>38</v>
      </c>
      <c r="D64" s="75">
        <v>213.76</v>
      </c>
      <c r="E64" s="6" t="s">
        <v>39</v>
      </c>
      <c r="F64" s="76">
        <v>65.407749999999993</v>
      </c>
      <c r="G64" s="76" t="s">
        <v>40</v>
      </c>
      <c r="H64" s="76">
        <f t="shared" si="0"/>
        <v>0.61425000000001262</v>
      </c>
      <c r="I64" s="77">
        <v>-0.429084293728698</v>
      </c>
      <c r="J64" s="78">
        <v>11.309106650071044</v>
      </c>
      <c r="K64" s="79">
        <v>1.9131499942427013</v>
      </c>
    </row>
    <row r="65" spans="1:11" x14ac:dyDescent="0.35">
      <c r="A65" t="s">
        <v>1383</v>
      </c>
      <c r="B65" s="73" t="s">
        <v>37</v>
      </c>
      <c r="C65" s="74" t="s">
        <v>38</v>
      </c>
      <c r="D65" s="75">
        <v>213.79</v>
      </c>
      <c r="E65" s="6" t="s">
        <v>39</v>
      </c>
      <c r="F65" s="76">
        <v>65.412999999999997</v>
      </c>
      <c r="G65" s="76" t="s">
        <v>40</v>
      </c>
      <c r="H65" s="76">
        <f t="shared" si="0"/>
        <v>0.60900000000000887</v>
      </c>
      <c r="I65" s="77">
        <v>-0.39210808767797201</v>
      </c>
      <c r="J65" s="78">
        <v>11.143189501433994</v>
      </c>
      <c r="K65" s="79">
        <v>1.7472328456056516</v>
      </c>
    </row>
    <row r="66" spans="1:11" x14ac:dyDescent="0.35">
      <c r="A66" t="s">
        <v>1383</v>
      </c>
      <c r="B66" s="73" t="s">
        <v>37</v>
      </c>
      <c r="C66" s="74" t="s">
        <v>38</v>
      </c>
      <c r="D66" s="75">
        <v>213.82</v>
      </c>
      <c r="E66" s="6" t="s">
        <v>39</v>
      </c>
      <c r="F66" s="76">
        <v>65.41825</v>
      </c>
      <c r="G66" s="76" t="s">
        <v>40</v>
      </c>
      <c r="H66" s="76">
        <f t="shared" ref="H66:H129" si="1">66.022-F66</f>
        <v>0.60375000000000512</v>
      </c>
      <c r="I66" s="77">
        <v>-0.54111624900865296</v>
      </c>
      <c r="J66" s="78">
        <v>11.813030925616545</v>
      </c>
      <c r="K66" s="79">
        <v>2.4170742697882019</v>
      </c>
    </row>
    <row r="67" spans="1:11" x14ac:dyDescent="0.35">
      <c r="A67" t="s">
        <v>1383</v>
      </c>
      <c r="B67" s="73" t="s">
        <v>37</v>
      </c>
      <c r="C67" s="74" t="s">
        <v>38</v>
      </c>
      <c r="D67" s="75">
        <v>213.85</v>
      </c>
      <c r="E67" s="6" t="s">
        <v>39</v>
      </c>
      <c r="F67" s="76">
        <v>65.423500000000004</v>
      </c>
      <c r="G67" s="76" t="s">
        <v>40</v>
      </c>
      <c r="H67" s="76">
        <f t="shared" si="1"/>
        <v>0.59850000000000136</v>
      </c>
      <c r="I67" s="77">
        <v>-0.47105875120980401</v>
      </c>
      <c r="J67" s="78">
        <v>11.497693924566022</v>
      </c>
      <c r="K67" s="79">
        <v>2.1017372687376792</v>
      </c>
    </row>
    <row r="68" spans="1:11" x14ac:dyDescent="0.35">
      <c r="A68" t="s">
        <v>1383</v>
      </c>
      <c r="B68" s="73" t="s">
        <v>37</v>
      </c>
      <c r="C68" s="74" t="s">
        <v>38</v>
      </c>
      <c r="D68" s="75">
        <v>213.88</v>
      </c>
      <c r="E68" s="6" t="s">
        <v>39</v>
      </c>
      <c r="F68" s="76">
        <v>65.428749999999994</v>
      </c>
      <c r="G68" s="76" t="s">
        <v>40</v>
      </c>
      <c r="H68" s="76">
        <f t="shared" si="1"/>
        <v>0.59325000000001182</v>
      </c>
      <c r="I68" s="77">
        <v>-0.454993960272151</v>
      </c>
      <c r="J68" s="78">
        <v>11.42548587013755</v>
      </c>
      <c r="K68" s="79">
        <v>2.029529214309207</v>
      </c>
    </row>
    <row r="69" spans="1:11" x14ac:dyDescent="0.35">
      <c r="A69" t="s">
        <v>1383</v>
      </c>
      <c r="B69" s="73" t="s">
        <v>37</v>
      </c>
      <c r="C69" s="74" t="s">
        <v>38</v>
      </c>
      <c r="D69" s="75">
        <v>213.91</v>
      </c>
      <c r="E69" s="6" t="s">
        <v>39</v>
      </c>
      <c r="F69" s="76">
        <v>65.433999999999997</v>
      </c>
      <c r="G69" s="76" t="s">
        <v>40</v>
      </c>
      <c r="H69" s="76">
        <f t="shared" si="1"/>
        <v>0.58800000000000807</v>
      </c>
      <c r="I69" s="77">
        <v>-0.59559909456481896</v>
      </c>
      <c r="J69" s="78">
        <v>12.05876328302935</v>
      </c>
      <c r="K69" s="79">
        <v>2.6628066272010074</v>
      </c>
    </row>
    <row r="70" spans="1:11" x14ac:dyDescent="0.35">
      <c r="A70" t="s">
        <v>1383</v>
      </c>
      <c r="B70" s="73" t="s">
        <v>37</v>
      </c>
      <c r="C70" s="74" t="s">
        <v>38</v>
      </c>
      <c r="D70" s="75">
        <v>213.94</v>
      </c>
      <c r="E70" s="6" t="s">
        <v>39</v>
      </c>
      <c r="F70" s="76">
        <v>65.440065000000004</v>
      </c>
      <c r="G70" s="76" t="s">
        <v>40</v>
      </c>
      <c r="H70" s="76">
        <f t="shared" si="1"/>
        <v>0.58193500000000142</v>
      </c>
      <c r="I70" s="77">
        <v>-0.36082673900892698</v>
      </c>
      <c r="J70" s="78">
        <v>11.002981775815783</v>
      </c>
      <c r="K70" s="79">
        <v>1.6070251199874406</v>
      </c>
    </row>
    <row r="71" spans="1:11" x14ac:dyDescent="0.35">
      <c r="A71" t="s">
        <v>1383</v>
      </c>
      <c r="B71" s="73" t="s">
        <v>37</v>
      </c>
      <c r="C71" s="74" t="s">
        <v>38</v>
      </c>
      <c r="D71" s="75">
        <v>213.97</v>
      </c>
      <c r="E71" s="6" t="s">
        <v>39</v>
      </c>
      <c r="F71" s="76">
        <v>65.446129999999997</v>
      </c>
      <c r="G71" s="76" t="s">
        <v>40</v>
      </c>
      <c r="H71" s="76">
        <f t="shared" si="1"/>
        <v>0.57587000000000899</v>
      </c>
      <c r="I71" s="77">
        <v>-0.51950194587185905</v>
      </c>
      <c r="J71" s="78">
        <v>11.715665557159696</v>
      </c>
      <c r="K71" s="79">
        <v>2.319708901331353</v>
      </c>
    </row>
    <row r="72" spans="1:11" x14ac:dyDescent="0.35">
      <c r="A72" t="s">
        <v>1383</v>
      </c>
      <c r="B72" s="73" t="s">
        <v>37</v>
      </c>
      <c r="C72" s="74" t="s">
        <v>38</v>
      </c>
      <c r="D72" s="75">
        <v>214</v>
      </c>
      <c r="E72" s="6" t="s">
        <v>39</v>
      </c>
      <c r="F72" s="76">
        <v>65.452196000000001</v>
      </c>
      <c r="G72" s="76" t="s">
        <v>40</v>
      </c>
      <c r="H72" s="76">
        <f t="shared" si="1"/>
        <v>0.56980400000000486</v>
      </c>
      <c r="I72" s="77">
        <v>-0.41682813024659199</v>
      </c>
      <c r="J72" s="78">
        <v>11.254089483053178</v>
      </c>
      <c r="K72" s="79">
        <v>1.8581328272248356</v>
      </c>
    </row>
    <row r="73" spans="1:11" x14ac:dyDescent="0.35">
      <c r="A73" t="s">
        <v>1383</v>
      </c>
      <c r="B73" s="73" t="s">
        <v>37</v>
      </c>
      <c r="C73" s="74" t="s">
        <v>38</v>
      </c>
      <c r="D73" s="75">
        <v>214.03</v>
      </c>
      <c r="E73" s="6" t="s">
        <v>39</v>
      </c>
      <c r="F73" s="76">
        <v>65.458260999999993</v>
      </c>
      <c r="G73" s="76" t="s">
        <v>40</v>
      </c>
      <c r="H73" s="76">
        <f t="shared" si="1"/>
        <v>0.56373900000001242</v>
      </c>
      <c r="I73" s="77">
        <v>-0.34801460292244601</v>
      </c>
      <c r="J73" s="78">
        <v>10.945597026715234</v>
      </c>
      <c r="K73" s="79">
        <v>1.5496403708868911</v>
      </c>
    </row>
    <row r="74" spans="1:11" x14ac:dyDescent="0.35">
      <c r="A74" t="s">
        <v>1383</v>
      </c>
      <c r="B74" s="73" t="s">
        <v>37</v>
      </c>
      <c r="C74" s="74" t="s">
        <v>38</v>
      </c>
      <c r="D74" s="75">
        <v>214.06</v>
      </c>
      <c r="E74" s="6" t="s">
        <v>39</v>
      </c>
      <c r="F74" s="76">
        <v>65.464326</v>
      </c>
      <c r="G74" s="76" t="s">
        <v>40</v>
      </c>
      <c r="H74" s="76">
        <f t="shared" si="1"/>
        <v>0.55767400000000578</v>
      </c>
      <c r="I74" s="77">
        <v>-0.31226177266529698</v>
      </c>
      <c r="J74" s="78">
        <v>10.785588754748346</v>
      </c>
      <c r="K74" s="79">
        <v>1.3896320989200035</v>
      </c>
    </row>
    <row r="75" spans="1:11" x14ac:dyDescent="0.35">
      <c r="A75" t="s">
        <v>1383</v>
      </c>
      <c r="B75" s="73" t="s">
        <v>37</v>
      </c>
      <c r="C75" s="74" t="s">
        <v>38</v>
      </c>
      <c r="D75" s="75">
        <v>214.09</v>
      </c>
      <c r="E75" s="6" t="s">
        <v>39</v>
      </c>
      <c r="F75" s="76">
        <v>65.470391000000006</v>
      </c>
      <c r="G75" s="76" t="s">
        <v>40</v>
      </c>
      <c r="H75" s="76">
        <f t="shared" si="1"/>
        <v>0.55160899999999913</v>
      </c>
      <c r="I75" s="77">
        <v>-0.228362070299547</v>
      </c>
      <c r="J75" s="78">
        <v>10.410833113533897</v>
      </c>
      <c r="K75" s="79">
        <v>1.0148764577055545</v>
      </c>
    </row>
    <row r="76" spans="1:11" x14ac:dyDescent="0.35">
      <c r="A76" t="s">
        <v>1383</v>
      </c>
      <c r="B76" s="73" t="s">
        <v>37</v>
      </c>
      <c r="C76" s="74" t="s">
        <v>38</v>
      </c>
      <c r="D76" s="75">
        <v>214.12</v>
      </c>
      <c r="E76" s="6" t="s">
        <v>39</v>
      </c>
      <c r="F76" s="76">
        <v>65.476456999999996</v>
      </c>
      <c r="G76" s="76" t="s">
        <v>40</v>
      </c>
      <c r="H76" s="76">
        <f t="shared" si="1"/>
        <v>0.54554300000000922</v>
      </c>
      <c r="I76" s="77">
        <v>-0.26100058050722902</v>
      </c>
      <c r="J76" s="78">
        <v>10.556498513125462</v>
      </c>
      <c r="K76" s="79">
        <v>1.1605418572971189</v>
      </c>
    </row>
    <row r="77" spans="1:11" x14ac:dyDescent="0.35">
      <c r="A77" t="s">
        <v>1383</v>
      </c>
      <c r="B77" s="73" t="s">
        <v>37</v>
      </c>
      <c r="C77" s="74" t="s">
        <v>38</v>
      </c>
      <c r="D77" s="75">
        <v>214.15</v>
      </c>
      <c r="E77" s="6" t="s">
        <v>39</v>
      </c>
      <c r="F77" s="76">
        <v>65.482522000000003</v>
      </c>
      <c r="G77" s="76" t="s">
        <v>40</v>
      </c>
      <c r="H77" s="76">
        <f t="shared" si="1"/>
        <v>0.53947800000000257</v>
      </c>
      <c r="I77" s="77">
        <v>-0.252266561237936</v>
      </c>
      <c r="J77" s="78">
        <v>10.517503528071131</v>
      </c>
      <c r="K77" s="79">
        <v>1.1215468722427886</v>
      </c>
    </row>
    <row r="78" spans="1:11" x14ac:dyDescent="0.35">
      <c r="A78" t="s">
        <v>1383</v>
      </c>
      <c r="B78" s="73" t="s">
        <v>37</v>
      </c>
      <c r="C78" s="74" t="s">
        <v>38</v>
      </c>
      <c r="D78" s="75">
        <v>214.18</v>
      </c>
      <c r="E78" s="6" t="s">
        <v>39</v>
      </c>
      <c r="F78" s="76">
        <v>65.488586999999995</v>
      </c>
      <c r="G78" s="76" t="s">
        <v>40</v>
      </c>
      <c r="H78" s="76">
        <f t="shared" si="1"/>
        <v>0.53341300000001013</v>
      </c>
      <c r="I78" s="77">
        <v>-0.17593298090269099</v>
      </c>
      <c r="J78" s="78">
        <v>10.177165324739292</v>
      </c>
      <c r="K78" s="79">
        <v>0.7812086689109492</v>
      </c>
    </row>
    <row r="79" spans="1:11" x14ac:dyDescent="0.35">
      <c r="A79" t="s">
        <v>1383</v>
      </c>
      <c r="B79" s="73" t="s">
        <v>37</v>
      </c>
      <c r="C79" s="74" t="s">
        <v>38</v>
      </c>
      <c r="D79" s="75">
        <v>214.21</v>
      </c>
      <c r="E79" s="6" t="s">
        <v>39</v>
      </c>
      <c r="F79" s="76">
        <v>65.494652000000002</v>
      </c>
      <c r="G79" s="76" t="s">
        <v>40</v>
      </c>
      <c r="H79" s="76">
        <f t="shared" si="1"/>
        <v>0.52734800000000348</v>
      </c>
      <c r="I79" s="77">
        <v>-0.228506474337906</v>
      </c>
      <c r="J79" s="78">
        <v>10.411477247654943</v>
      </c>
      <c r="K79" s="79">
        <v>1.0155205918266006</v>
      </c>
    </row>
    <row r="80" spans="1:11" x14ac:dyDescent="0.35">
      <c r="A80" t="s">
        <v>1383</v>
      </c>
      <c r="B80" s="73" t="s">
        <v>37</v>
      </c>
      <c r="C80" s="74" t="s">
        <v>38</v>
      </c>
      <c r="D80" s="75">
        <v>214.24</v>
      </c>
      <c r="E80" s="6" t="s">
        <v>39</v>
      </c>
      <c r="F80" s="76">
        <v>65.500716999999995</v>
      </c>
      <c r="G80" s="76" t="s">
        <v>40</v>
      </c>
      <c r="H80" s="76">
        <f t="shared" si="1"/>
        <v>0.52128300000001104</v>
      </c>
      <c r="I80" s="77">
        <v>-0.13453820453622001</v>
      </c>
      <c r="J80" s="78">
        <v>9.9929561674462093</v>
      </c>
      <c r="K80" s="79">
        <v>0.59699951161786657</v>
      </c>
    </row>
    <row r="81" spans="1:11" x14ac:dyDescent="0.35">
      <c r="A81" t="s">
        <v>1383</v>
      </c>
      <c r="B81" s="73" t="s">
        <v>37</v>
      </c>
      <c r="C81" s="74" t="s">
        <v>38</v>
      </c>
      <c r="D81" s="75">
        <v>214.27</v>
      </c>
      <c r="E81" s="6" t="s">
        <v>39</v>
      </c>
      <c r="F81" s="76">
        <v>65.506782999999999</v>
      </c>
      <c r="G81" s="76" t="s">
        <v>40</v>
      </c>
      <c r="H81" s="76">
        <f t="shared" si="1"/>
        <v>0.51521700000000692</v>
      </c>
      <c r="I81" s="77">
        <v>-0.205452868603583</v>
      </c>
      <c r="J81" s="78">
        <v>10.308681684223245</v>
      </c>
      <c r="K81" s="79">
        <v>0.91272502839490244</v>
      </c>
    </row>
    <row r="82" spans="1:11" x14ac:dyDescent="0.35">
      <c r="A82" t="s">
        <v>1383</v>
      </c>
      <c r="B82" s="73" t="s">
        <v>37</v>
      </c>
      <c r="C82" s="74" t="s">
        <v>38</v>
      </c>
      <c r="D82" s="75">
        <v>214.3</v>
      </c>
      <c r="E82" s="6" t="s">
        <v>39</v>
      </c>
      <c r="F82" s="76">
        <v>65.512848000000005</v>
      </c>
      <c r="G82" s="76" t="s">
        <v>40</v>
      </c>
      <c r="H82" s="76">
        <f t="shared" si="1"/>
        <v>0.50915200000000027</v>
      </c>
      <c r="I82" s="77">
        <v>-0.11103958760388299</v>
      </c>
      <c r="J82" s="78">
        <v>9.8884958901476239</v>
      </c>
      <c r="K82" s="79">
        <v>0.49253923431928115</v>
      </c>
    </row>
    <row r="83" spans="1:11" x14ac:dyDescent="0.35">
      <c r="A83" t="s">
        <v>1383</v>
      </c>
      <c r="B83" s="73" t="s">
        <v>37</v>
      </c>
      <c r="C83" s="74" t="s">
        <v>38</v>
      </c>
      <c r="D83" s="75">
        <v>214.33</v>
      </c>
      <c r="E83" s="6" t="s">
        <v>39</v>
      </c>
      <c r="F83" s="76">
        <v>65.518912999999998</v>
      </c>
      <c r="G83" s="76" t="s">
        <v>40</v>
      </c>
      <c r="H83" s="76">
        <f t="shared" si="1"/>
        <v>0.50308700000000783</v>
      </c>
      <c r="I83" s="77">
        <v>-4.5073821879558502E-2</v>
      </c>
      <c r="J83" s="78">
        <v>9.5956775567405543</v>
      </c>
      <c r="K83" s="79">
        <v>0.19972090091221162</v>
      </c>
    </row>
    <row r="84" spans="1:11" x14ac:dyDescent="0.35">
      <c r="A84" t="s">
        <v>1383</v>
      </c>
      <c r="B84" s="73" t="s">
        <v>37</v>
      </c>
      <c r="C84" s="74" t="s">
        <v>38</v>
      </c>
      <c r="D84" s="75">
        <v>214.36</v>
      </c>
      <c r="E84" s="6" t="s">
        <v>39</v>
      </c>
      <c r="F84" s="76">
        <v>65.524978000000004</v>
      </c>
      <c r="G84" s="76" t="s">
        <v>40</v>
      </c>
      <c r="H84" s="76">
        <f t="shared" si="1"/>
        <v>0.49702200000000119</v>
      </c>
      <c r="I84" s="77">
        <v>-0.22540546012700499</v>
      </c>
      <c r="J84" s="78">
        <v>10.397645410026371</v>
      </c>
      <c r="K84" s="79">
        <v>1.0016887541980282</v>
      </c>
    </row>
    <row r="85" spans="1:11" x14ac:dyDescent="0.35">
      <c r="A85" t="s">
        <v>1383</v>
      </c>
      <c r="B85" s="73" t="s">
        <v>37</v>
      </c>
      <c r="C85" s="74" t="s">
        <v>38</v>
      </c>
      <c r="D85" s="75">
        <v>214.39</v>
      </c>
      <c r="E85" s="6" t="s">
        <v>39</v>
      </c>
      <c r="F85" s="76">
        <v>65.530524</v>
      </c>
      <c r="G85" s="76" t="s">
        <v>40</v>
      </c>
      <c r="H85" s="76">
        <f t="shared" si="1"/>
        <v>0.4914760000000058</v>
      </c>
      <c r="I85" s="77">
        <v>-5.5410025859343001E-2</v>
      </c>
      <c r="J85" s="78">
        <v>9.6415180749623346</v>
      </c>
      <c r="K85" s="79">
        <v>0.24556141913399188</v>
      </c>
    </row>
    <row r="86" spans="1:11" x14ac:dyDescent="0.35">
      <c r="A86" t="s">
        <v>1383</v>
      </c>
      <c r="B86" s="73" t="s">
        <v>37</v>
      </c>
      <c r="C86" s="74" t="s">
        <v>38</v>
      </c>
      <c r="D86" s="75">
        <v>214.42</v>
      </c>
      <c r="E86" s="6" t="s">
        <v>39</v>
      </c>
      <c r="F86" s="76">
        <v>65.535809999999998</v>
      </c>
      <c r="G86" s="76" t="s">
        <v>40</v>
      </c>
      <c r="H86" s="76">
        <f t="shared" si="1"/>
        <v>0.48619000000000767</v>
      </c>
      <c r="I86" s="77">
        <v>-4.6797120231412099E-4</v>
      </c>
      <c r="J86" s="78">
        <v>9.3980287280180619</v>
      </c>
      <c r="K86" s="79">
        <v>2.0720721897191652E-3</v>
      </c>
    </row>
    <row r="87" spans="1:11" x14ac:dyDescent="0.35">
      <c r="A87" t="s">
        <v>1383</v>
      </c>
      <c r="B87" s="73" t="s">
        <v>37</v>
      </c>
      <c r="C87" s="74" t="s">
        <v>38</v>
      </c>
      <c r="D87" s="75">
        <v>214.45</v>
      </c>
      <c r="E87" s="6" t="s">
        <v>39</v>
      </c>
      <c r="F87" s="76">
        <v>65.541094999999999</v>
      </c>
      <c r="G87" s="76" t="s">
        <v>40</v>
      </c>
      <c r="H87" s="76">
        <f t="shared" si="1"/>
        <v>0.48090500000000702</v>
      </c>
      <c r="I87" s="77">
        <v>1.0849418197269801E-2</v>
      </c>
      <c r="J87" s="78">
        <v>9.3479266401403152</v>
      </c>
      <c r="K87" s="79">
        <v>-4.8030015688027561E-2</v>
      </c>
    </row>
    <row r="88" spans="1:11" x14ac:dyDescent="0.35">
      <c r="A88" t="s">
        <v>1383</v>
      </c>
      <c r="B88" s="73" t="s">
        <v>37</v>
      </c>
      <c r="C88" s="74" t="s">
        <v>38</v>
      </c>
      <c r="D88" s="75">
        <v>214.48</v>
      </c>
      <c r="E88" s="6" t="s">
        <v>39</v>
      </c>
      <c r="F88" s="76">
        <v>65.546380999999997</v>
      </c>
      <c r="G88" s="76" t="s">
        <v>40</v>
      </c>
      <c r="H88" s="76">
        <f t="shared" si="1"/>
        <v>0.4756190000000089</v>
      </c>
      <c r="I88" s="77">
        <v>-7.9241404616406906E-3</v>
      </c>
      <c r="J88" s="78">
        <v>9.4310472147847122</v>
      </c>
      <c r="K88" s="79">
        <v>3.5090558956369478E-2</v>
      </c>
    </row>
    <row r="89" spans="1:11" x14ac:dyDescent="0.35">
      <c r="A89" t="s">
        <v>1383</v>
      </c>
      <c r="B89" s="73" t="s">
        <v>37</v>
      </c>
      <c r="C89" s="74" t="s">
        <v>38</v>
      </c>
      <c r="D89" s="75">
        <v>214.51</v>
      </c>
      <c r="E89" s="6" t="s">
        <v>39</v>
      </c>
      <c r="F89" s="76">
        <v>65.551666999999995</v>
      </c>
      <c r="G89" s="76" t="s">
        <v>40</v>
      </c>
      <c r="H89" s="76">
        <f t="shared" si="1"/>
        <v>0.47033300000001077</v>
      </c>
      <c r="I89" s="77">
        <v>4.7133690925041799E-2</v>
      </c>
      <c r="J89" s="78">
        <v>9.1874197015621348</v>
      </c>
      <c r="K89" s="79">
        <v>-0.20853695426620789</v>
      </c>
    </row>
    <row r="90" spans="1:11" x14ac:dyDescent="0.35">
      <c r="A90" t="s">
        <v>1383</v>
      </c>
      <c r="B90" s="73" t="s">
        <v>37</v>
      </c>
      <c r="C90" s="74" t="s">
        <v>38</v>
      </c>
      <c r="D90" s="75">
        <v>214.54</v>
      </c>
      <c r="E90" s="6" t="s">
        <v>39</v>
      </c>
      <c r="F90" s="76">
        <v>65.556951999999995</v>
      </c>
      <c r="G90" s="76" t="s">
        <v>40</v>
      </c>
      <c r="H90" s="76">
        <f t="shared" si="1"/>
        <v>0.46504800000001012</v>
      </c>
      <c r="I90" s="77">
        <v>5.4912239071663198E-2</v>
      </c>
      <c r="J90" s="78">
        <v>9.153035048423078</v>
      </c>
      <c r="K90" s="79">
        <v>-0.24292160740526469</v>
      </c>
    </row>
    <row r="91" spans="1:11" x14ac:dyDescent="0.35">
      <c r="A91" t="s">
        <v>1383</v>
      </c>
      <c r="B91" s="73" t="s">
        <v>37</v>
      </c>
      <c r="C91" s="74" t="s">
        <v>38</v>
      </c>
      <c r="D91" s="75">
        <v>214.57</v>
      </c>
      <c r="E91" s="6" t="s">
        <v>39</v>
      </c>
      <c r="F91" s="76">
        <v>65.562237999999994</v>
      </c>
      <c r="G91" s="76" t="s">
        <v>40</v>
      </c>
      <c r="H91" s="76">
        <f t="shared" si="1"/>
        <v>0.45976200000001199</v>
      </c>
      <c r="I91" s="77">
        <v>1.29329678700744E-2</v>
      </c>
      <c r="J91" s="78">
        <v>9.3387047632580789</v>
      </c>
      <c r="K91" s="79">
        <v>-5.7251892570263863E-2</v>
      </c>
    </row>
    <row r="92" spans="1:11" x14ac:dyDescent="0.35">
      <c r="A92" t="s">
        <v>1383</v>
      </c>
      <c r="B92" s="73" t="s">
        <v>37</v>
      </c>
      <c r="C92" s="74" t="s">
        <v>38</v>
      </c>
      <c r="D92" s="75">
        <v>214.6</v>
      </c>
      <c r="E92" s="6" t="s">
        <v>39</v>
      </c>
      <c r="F92" s="76">
        <v>65.567524000000006</v>
      </c>
      <c r="G92" s="76" t="s">
        <v>40</v>
      </c>
      <c r="H92" s="76">
        <f t="shared" si="1"/>
        <v>0.45447599999999966</v>
      </c>
      <c r="I92" s="77">
        <v>1.34562072096184E-3</v>
      </c>
      <c r="J92" s="78">
        <v>9.3899987218981664</v>
      </c>
      <c r="K92" s="79">
        <v>-5.9579339301762957E-3</v>
      </c>
    </row>
    <row r="93" spans="1:11" x14ac:dyDescent="0.35">
      <c r="A93" t="s">
        <v>1383</v>
      </c>
      <c r="B93" s="73" t="s">
        <v>37</v>
      </c>
      <c r="C93" s="74" t="s">
        <v>38</v>
      </c>
      <c r="D93" s="75">
        <v>214.63</v>
      </c>
      <c r="E93" s="6" t="s">
        <v>39</v>
      </c>
      <c r="F93" s="76">
        <v>65.572810000000004</v>
      </c>
      <c r="G93" s="76" t="s">
        <v>40</v>
      </c>
      <c r="H93" s="76">
        <f t="shared" si="1"/>
        <v>0.44919000000000153</v>
      </c>
      <c r="I93" s="77">
        <v>-5.9889672419002803E-2</v>
      </c>
      <c r="J93" s="78">
        <v>9.6613898350955196</v>
      </c>
      <c r="K93" s="79">
        <v>0.26543317926717691</v>
      </c>
    </row>
    <row r="94" spans="1:11" x14ac:dyDescent="0.35">
      <c r="A94" t="s">
        <v>1383</v>
      </c>
      <c r="B94" s="73" t="s">
        <v>37</v>
      </c>
      <c r="C94" s="74" t="s">
        <v>38</v>
      </c>
      <c r="D94" s="75">
        <v>214.63499999999999</v>
      </c>
      <c r="E94" s="6" t="s">
        <v>39</v>
      </c>
      <c r="F94" s="76">
        <v>65.573689999999999</v>
      </c>
      <c r="G94" s="76" t="s">
        <v>40</v>
      </c>
      <c r="H94" s="76">
        <f t="shared" si="1"/>
        <v>0.44831000000000643</v>
      </c>
      <c r="I94" s="77">
        <v>-0.425208111030424</v>
      </c>
      <c r="J94" s="78">
        <v>11.291704329169818</v>
      </c>
      <c r="K94" s="79">
        <v>1.8957476733414751</v>
      </c>
    </row>
    <row r="95" spans="1:11" x14ac:dyDescent="0.35">
      <c r="A95" t="s">
        <v>1383</v>
      </c>
      <c r="B95" s="73" t="s">
        <v>37</v>
      </c>
      <c r="C95" s="74" t="s">
        <v>38</v>
      </c>
      <c r="D95" s="143">
        <v>214.64333300000001</v>
      </c>
      <c r="E95" s="6" t="s">
        <v>39</v>
      </c>
      <c r="F95" s="76">
        <v>65.575158999999999</v>
      </c>
      <c r="G95" s="76" t="s">
        <v>40</v>
      </c>
      <c r="H95" s="76">
        <f t="shared" si="1"/>
        <v>0.44684100000000626</v>
      </c>
      <c r="I95" s="77">
        <v>-0.44445614954169199</v>
      </c>
      <c r="J95" s="78">
        <v>11.378141021038118</v>
      </c>
      <c r="K95" s="79">
        <v>1.9821843652097755</v>
      </c>
    </row>
    <row r="96" spans="1:11" x14ac:dyDescent="0.35">
      <c r="A96" t="s">
        <v>1383</v>
      </c>
      <c r="B96" s="73" t="s">
        <v>37</v>
      </c>
      <c r="C96" s="74" t="s">
        <v>38</v>
      </c>
      <c r="D96" s="143">
        <v>214.651667</v>
      </c>
      <c r="E96" s="6" t="s">
        <v>39</v>
      </c>
      <c r="F96" s="76">
        <v>65.576627000000002</v>
      </c>
      <c r="G96" s="76" t="s">
        <v>40</v>
      </c>
      <c r="H96" s="76">
        <f t="shared" si="1"/>
        <v>0.44537300000000357</v>
      </c>
      <c r="I96" s="77">
        <v>-0.37998499308007999</v>
      </c>
      <c r="J96" s="78">
        <v>11.088835023601803</v>
      </c>
      <c r="K96" s="79">
        <v>1.69287836777346</v>
      </c>
    </row>
    <row r="97" spans="1:11" x14ac:dyDescent="0.35">
      <c r="A97" t="s">
        <v>1383</v>
      </c>
      <c r="B97" s="73" t="s">
        <v>37</v>
      </c>
      <c r="C97" s="74" t="s">
        <v>38</v>
      </c>
      <c r="D97" s="143">
        <v>214.66</v>
      </c>
      <c r="E97" s="6" t="s">
        <v>39</v>
      </c>
      <c r="F97" s="76">
        <v>65.578095000000005</v>
      </c>
      <c r="G97" s="76" t="s">
        <v>40</v>
      </c>
      <c r="H97" s="76">
        <f t="shared" si="1"/>
        <v>0.44390500000000088</v>
      </c>
      <c r="I97" s="77">
        <v>-0.21138725276688</v>
      </c>
      <c r="J97" s="78">
        <v>10.335135633119251</v>
      </c>
      <c r="K97" s="79">
        <v>0.93917897729090782</v>
      </c>
    </row>
    <row r="98" spans="1:11" x14ac:dyDescent="0.35">
      <c r="A98" t="s">
        <v>1383</v>
      </c>
      <c r="B98" s="73" t="s">
        <v>37</v>
      </c>
      <c r="C98" s="74" t="s">
        <v>38</v>
      </c>
      <c r="D98" s="143">
        <v>214.66833299999999</v>
      </c>
      <c r="E98" s="6" t="s">
        <v>39</v>
      </c>
      <c r="F98" s="76">
        <v>65.579562999999993</v>
      </c>
      <c r="G98" s="76" t="s">
        <v>40</v>
      </c>
      <c r="H98" s="76">
        <f t="shared" si="1"/>
        <v>0.4424370000000124</v>
      </c>
      <c r="I98" s="77">
        <v>-0.27127515928711998</v>
      </c>
      <c r="J98" s="78">
        <v>10.602385834073061</v>
      </c>
      <c r="K98" s="79">
        <v>1.2064291782447185</v>
      </c>
    </row>
    <row r="99" spans="1:11" x14ac:dyDescent="0.35">
      <c r="A99" t="s">
        <v>1383</v>
      </c>
      <c r="B99" s="73" t="s">
        <v>37</v>
      </c>
      <c r="C99" s="74" t="s">
        <v>38</v>
      </c>
      <c r="D99" s="143">
        <v>214.67666700000001</v>
      </c>
      <c r="E99" s="6" t="s">
        <v>39</v>
      </c>
      <c r="F99" s="76">
        <v>65.581031999999993</v>
      </c>
      <c r="G99" s="76" t="s">
        <v>40</v>
      </c>
      <c r="H99" s="76">
        <f t="shared" si="1"/>
        <v>0.44096800000001224</v>
      </c>
      <c r="I99" s="77">
        <v>-0.15003633640610101</v>
      </c>
      <c r="J99" s="78">
        <v>10.061894801771302</v>
      </c>
      <c r="K99" s="79">
        <v>0.66593814594295964</v>
      </c>
    </row>
    <row r="100" spans="1:11" x14ac:dyDescent="0.35">
      <c r="A100" t="s">
        <v>1383</v>
      </c>
      <c r="B100" s="73" t="s">
        <v>37</v>
      </c>
      <c r="C100" s="74" t="s">
        <v>38</v>
      </c>
      <c r="D100" s="143">
        <v>214.685</v>
      </c>
      <c r="E100" s="6" t="s">
        <v>39</v>
      </c>
      <c r="F100" s="76">
        <v>65.582499999999996</v>
      </c>
      <c r="G100" s="76" t="s">
        <v>40</v>
      </c>
      <c r="H100" s="76">
        <f t="shared" si="1"/>
        <v>0.43950000000000955</v>
      </c>
      <c r="I100" s="77">
        <v>-0.13159201410611901</v>
      </c>
      <c r="J100" s="78">
        <v>9.9798548699203593</v>
      </c>
      <c r="K100" s="79">
        <v>0.58389821409201659</v>
      </c>
    </row>
    <row r="101" spans="1:11" x14ac:dyDescent="0.35">
      <c r="A101" t="s">
        <v>1383</v>
      </c>
      <c r="B101" s="73" t="s">
        <v>37</v>
      </c>
      <c r="C101" s="74" t="s">
        <v>38</v>
      </c>
      <c r="D101" s="143">
        <v>214.693333</v>
      </c>
      <c r="E101" s="6" t="s">
        <v>39</v>
      </c>
      <c r="F101" s="76">
        <v>65.583967999999999</v>
      </c>
      <c r="G101" s="76" t="s">
        <v>40</v>
      </c>
      <c r="H101" s="76">
        <f t="shared" si="1"/>
        <v>0.43803200000000686</v>
      </c>
      <c r="I101" s="77">
        <v>-7.4707175495375103E-2</v>
      </c>
      <c r="J101" s="78">
        <v>9.7271409736800933</v>
      </c>
      <c r="K101" s="79">
        <v>0.33118431785175062</v>
      </c>
    </row>
    <row r="102" spans="1:11" x14ac:dyDescent="0.35">
      <c r="A102" t="s">
        <v>1383</v>
      </c>
      <c r="B102" s="73" t="s">
        <v>37</v>
      </c>
      <c r="C102" s="74" t="s">
        <v>38</v>
      </c>
      <c r="D102" s="143">
        <v>214.70166699999999</v>
      </c>
      <c r="E102" s="6" t="s">
        <v>39</v>
      </c>
      <c r="F102" s="76">
        <v>65.585436999999999</v>
      </c>
      <c r="G102" s="76" t="s">
        <v>40</v>
      </c>
      <c r="H102" s="76">
        <f t="shared" si="1"/>
        <v>0.4365630000000067</v>
      </c>
      <c r="I102" s="77">
        <v>-0.17373520051152799</v>
      </c>
      <c r="J102" s="78">
        <v>10.167378857752283</v>
      </c>
      <c r="K102" s="79">
        <v>0.77142220192394007</v>
      </c>
    </row>
    <row r="103" spans="1:11" x14ac:dyDescent="0.35">
      <c r="A103" t="s">
        <v>1383</v>
      </c>
      <c r="B103" s="73" t="s">
        <v>37</v>
      </c>
      <c r="C103" s="74" t="s">
        <v>38</v>
      </c>
      <c r="D103" s="143">
        <v>214.71</v>
      </c>
      <c r="E103" s="6" t="s">
        <v>39</v>
      </c>
      <c r="F103" s="76">
        <v>65.586905000000002</v>
      </c>
      <c r="G103" s="76" t="s">
        <v>40</v>
      </c>
      <c r="H103" s="76">
        <f t="shared" si="1"/>
        <v>0.43509500000000401</v>
      </c>
      <c r="I103" s="77">
        <v>-0.18721178823979101</v>
      </c>
      <c r="J103" s="78">
        <v>10.227399553808596</v>
      </c>
      <c r="K103" s="79">
        <v>0.83144289798025284</v>
      </c>
    </row>
    <row r="104" spans="1:11" x14ac:dyDescent="0.35">
      <c r="A104" t="s">
        <v>1383</v>
      </c>
      <c r="B104" s="73" t="s">
        <v>37</v>
      </c>
      <c r="C104" s="74" t="s">
        <v>38</v>
      </c>
      <c r="D104" s="143">
        <v>214.718333</v>
      </c>
      <c r="E104" s="6" t="s">
        <v>39</v>
      </c>
      <c r="F104" s="76">
        <v>65.588373000000004</v>
      </c>
      <c r="G104" s="76" t="s">
        <v>40</v>
      </c>
      <c r="H104" s="76">
        <f t="shared" si="1"/>
        <v>0.43362700000000132</v>
      </c>
      <c r="I104" s="77">
        <v>-0.14007809238338001</v>
      </c>
      <c r="J104" s="78">
        <v>10.017594663572368</v>
      </c>
      <c r="K104" s="79">
        <v>0.62163800774402489</v>
      </c>
    </row>
    <row r="105" spans="1:11" x14ac:dyDescent="0.35">
      <c r="A105" t="s">
        <v>1383</v>
      </c>
      <c r="B105" s="73" t="s">
        <v>37</v>
      </c>
      <c r="C105" s="74" t="s">
        <v>38</v>
      </c>
      <c r="D105" s="143">
        <v>214.72666699999999</v>
      </c>
      <c r="E105" s="6" t="s">
        <v>39</v>
      </c>
      <c r="F105" s="76">
        <v>65.589841000000007</v>
      </c>
      <c r="G105" s="76" t="s">
        <v>40</v>
      </c>
      <c r="H105" s="76">
        <f t="shared" si="1"/>
        <v>0.43215899999999863</v>
      </c>
      <c r="I105" s="77">
        <v>-0.236792101382925</v>
      </c>
      <c r="J105" s="78">
        <v>10.448441487045386</v>
      </c>
      <c r="K105" s="79">
        <v>1.0524848312170434</v>
      </c>
    </row>
    <row r="106" spans="1:11" x14ac:dyDescent="0.35">
      <c r="A106" t="s">
        <v>1383</v>
      </c>
      <c r="B106" s="73" t="s">
        <v>37</v>
      </c>
      <c r="C106" s="74" t="s">
        <v>38</v>
      </c>
      <c r="D106" s="143">
        <v>214.73500000000001</v>
      </c>
      <c r="E106" s="6" t="s">
        <v>39</v>
      </c>
      <c r="F106" s="76">
        <v>65.591309999999993</v>
      </c>
      <c r="G106" s="76" t="s">
        <v>40</v>
      </c>
      <c r="H106" s="76">
        <f t="shared" si="1"/>
        <v>0.43069000000001267</v>
      </c>
      <c r="I106" s="77">
        <v>-0.33174419339845501</v>
      </c>
      <c r="J106" s="78">
        <v>10.872757346134335</v>
      </c>
      <c r="K106" s="79">
        <v>1.4768006903059927</v>
      </c>
    </row>
    <row r="107" spans="1:11" x14ac:dyDescent="0.35">
      <c r="A107" t="s">
        <v>1383</v>
      </c>
      <c r="B107" s="73" t="s">
        <v>37</v>
      </c>
      <c r="C107" s="74" t="s">
        <v>38</v>
      </c>
      <c r="D107" s="143">
        <v>214.74333300000001</v>
      </c>
      <c r="E107" s="6" t="s">
        <v>39</v>
      </c>
      <c r="F107" s="76">
        <v>65.592777999999996</v>
      </c>
      <c r="G107" s="76" t="s">
        <v>40</v>
      </c>
      <c r="H107" s="76">
        <f t="shared" si="1"/>
        <v>0.42922200000000998</v>
      </c>
      <c r="I107" s="77">
        <v>-0.252511263442809</v>
      </c>
      <c r="J107" s="78">
        <v>10.518595905269251</v>
      </c>
      <c r="K107" s="79">
        <v>1.1226392494409083</v>
      </c>
    </row>
    <row r="108" spans="1:11" x14ac:dyDescent="0.35">
      <c r="A108" t="s">
        <v>1383</v>
      </c>
      <c r="B108" s="73" t="s">
        <v>37</v>
      </c>
      <c r="C108" s="74" t="s">
        <v>38</v>
      </c>
      <c r="D108" s="143">
        <v>214.751667</v>
      </c>
      <c r="E108" s="6" t="s">
        <v>39</v>
      </c>
      <c r="F108" s="76">
        <v>65.594245999999998</v>
      </c>
      <c r="G108" s="76" t="s">
        <v>40</v>
      </c>
      <c r="H108" s="76">
        <f t="shared" si="1"/>
        <v>0.4277540000000073</v>
      </c>
      <c r="I108" s="77">
        <v>-0.21147169588815901</v>
      </c>
      <c r="J108" s="78">
        <v>10.335512095464992</v>
      </c>
      <c r="K108" s="79">
        <v>0.93955543963664923</v>
      </c>
    </row>
    <row r="109" spans="1:11" x14ac:dyDescent="0.35">
      <c r="A109" t="s">
        <v>1383</v>
      </c>
      <c r="B109" s="73" t="s">
        <v>37</v>
      </c>
      <c r="C109" s="74" t="s">
        <v>38</v>
      </c>
      <c r="D109" s="143">
        <v>214.76</v>
      </c>
      <c r="E109" s="6" t="s">
        <v>39</v>
      </c>
      <c r="F109" s="76">
        <v>65.595714000000001</v>
      </c>
      <c r="G109" s="76" t="s">
        <v>40</v>
      </c>
      <c r="H109" s="76">
        <f t="shared" si="1"/>
        <v>0.42628600000000461</v>
      </c>
      <c r="I109" s="77">
        <v>-0.13261118408016401</v>
      </c>
      <c r="J109" s="78">
        <v>9.9843868349778404</v>
      </c>
      <c r="K109" s="79">
        <v>0.58843017914949769</v>
      </c>
    </row>
    <row r="110" spans="1:11" x14ac:dyDescent="0.35">
      <c r="A110" t="s">
        <v>1383</v>
      </c>
      <c r="B110" s="73" t="s">
        <v>37</v>
      </c>
      <c r="C110" s="74" t="s">
        <v>38</v>
      </c>
      <c r="D110" s="143">
        <v>214.76833300000001</v>
      </c>
      <c r="E110" s="6" t="s">
        <v>39</v>
      </c>
      <c r="F110" s="76">
        <v>65.597182000000004</v>
      </c>
      <c r="G110" s="76" t="s">
        <v>40</v>
      </c>
      <c r="H110" s="76">
        <f t="shared" si="1"/>
        <v>0.42481800000000192</v>
      </c>
      <c r="I110" s="77">
        <v>6.0228044806434101E-2</v>
      </c>
      <c r="J110" s="78">
        <v>9.12954178631486</v>
      </c>
      <c r="K110" s="79">
        <v>-0.2664148695134827</v>
      </c>
    </row>
    <row r="111" spans="1:11" x14ac:dyDescent="0.35">
      <c r="A111" t="s">
        <v>1383</v>
      </c>
      <c r="B111" s="73" t="s">
        <v>37</v>
      </c>
      <c r="C111" s="74" t="s">
        <v>38</v>
      </c>
      <c r="D111" s="143">
        <v>214.776667</v>
      </c>
      <c r="E111" s="6" t="s">
        <v>39</v>
      </c>
      <c r="F111" s="76">
        <v>65.598651000000004</v>
      </c>
      <c r="G111" s="76" t="s">
        <v>40</v>
      </c>
      <c r="H111" s="76">
        <f t="shared" si="1"/>
        <v>0.42334900000000175</v>
      </c>
      <c r="I111" s="77">
        <v>1.30053901044959E-2</v>
      </c>
      <c r="J111" s="78">
        <v>9.3383842306315614</v>
      </c>
      <c r="K111" s="79">
        <v>-5.7572425196781296E-2</v>
      </c>
    </row>
    <row r="112" spans="1:11" x14ac:dyDescent="0.35">
      <c r="A112" t="s">
        <v>1383</v>
      </c>
      <c r="B112" s="73" t="s">
        <v>37</v>
      </c>
      <c r="C112" s="74" t="s">
        <v>38</v>
      </c>
      <c r="D112" s="143">
        <v>214.785</v>
      </c>
      <c r="E112" s="6" t="s">
        <v>39</v>
      </c>
      <c r="F112" s="76">
        <v>65.600119000000007</v>
      </c>
      <c r="G112" s="76" t="s">
        <v>40</v>
      </c>
      <c r="H112" s="76">
        <f t="shared" si="1"/>
        <v>0.42188099999999906</v>
      </c>
      <c r="I112" s="77">
        <v>-0.15111449190809501</v>
      </c>
      <c r="J112" s="78">
        <v>10.066691930925913</v>
      </c>
      <c r="K112" s="79">
        <v>0.67073527509757014</v>
      </c>
    </row>
    <row r="113" spans="1:11" x14ac:dyDescent="0.35">
      <c r="A113" t="s">
        <v>1383</v>
      </c>
      <c r="B113" s="73" t="s">
        <v>37</v>
      </c>
      <c r="C113" s="74" t="s">
        <v>38</v>
      </c>
      <c r="D113" s="143">
        <v>214.79333299999999</v>
      </c>
      <c r="E113" s="6" t="s">
        <v>39</v>
      </c>
      <c r="F113" s="76">
        <v>65.601840999999993</v>
      </c>
      <c r="G113" s="76" t="s">
        <v>40</v>
      </c>
      <c r="H113" s="76">
        <f t="shared" si="1"/>
        <v>0.42015900000001238</v>
      </c>
      <c r="I113" s="77">
        <v>0.16537159620308201</v>
      </c>
      <c r="J113" s="78">
        <v>8.6656865141773665</v>
      </c>
      <c r="K113" s="79">
        <v>-0.73027014165097626</v>
      </c>
    </row>
    <row r="114" spans="1:11" x14ac:dyDescent="0.35">
      <c r="A114" t="s">
        <v>1383</v>
      </c>
      <c r="B114" s="73" t="s">
        <v>37</v>
      </c>
      <c r="C114" s="74" t="s">
        <v>38</v>
      </c>
      <c r="D114" s="143">
        <v>214.80166700000001</v>
      </c>
      <c r="E114" s="6" t="s">
        <v>39</v>
      </c>
      <c r="F114" s="76">
        <v>65.603944999999996</v>
      </c>
      <c r="G114" s="76" t="s">
        <v>40</v>
      </c>
      <c r="H114" s="76">
        <f t="shared" si="1"/>
        <v>0.41805500000000961</v>
      </c>
      <c r="I114" s="77">
        <v>3.3164098587316899E-2</v>
      </c>
      <c r="J114" s="78">
        <v>9.2491932377392914</v>
      </c>
      <c r="K114" s="79">
        <v>-0.14676341808905136</v>
      </c>
    </row>
    <row r="115" spans="1:11" x14ac:dyDescent="0.35">
      <c r="A115" t="s">
        <v>1383</v>
      </c>
      <c r="B115" s="73" t="s">
        <v>37</v>
      </c>
      <c r="C115" s="74" t="s">
        <v>38</v>
      </c>
      <c r="D115" s="143">
        <v>214.81</v>
      </c>
      <c r="E115" s="6" t="s">
        <v>39</v>
      </c>
      <c r="F115" s="76">
        <v>65.606048000000001</v>
      </c>
      <c r="G115" s="76" t="s">
        <v>40</v>
      </c>
      <c r="H115" s="76">
        <f t="shared" si="1"/>
        <v>0.41595200000000432</v>
      </c>
      <c r="I115" s="77">
        <v>-0.148086059300507</v>
      </c>
      <c r="J115" s="78">
        <v>10.053217693626948</v>
      </c>
      <c r="K115" s="79">
        <v>0.65726103779860523</v>
      </c>
    </row>
    <row r="116" spans="1:11" x14ac:dyDescent="0.35">
      <c r="A116" t="s">
        <v>1383</v>
      </c>
      <c r="B116" s="73" t="s">
        <v>37</v>
      </c>
      <c r="C116" s="74" t="s">
        <v>38</v>
      </c>
      <c r="D116" s="143">
        <v>214.821538</v>
      </c>
      <c r="E116" s="6" t="s">
        <v>39</v>
      </c>
      <c r="F116" s="76">
        <v>65.608959999999996</v>
      </c>
      <c r="G116" s="76" t="s">
        <v>40</v>
      </c>
      <c r="H116" s="76">
        <f t="shared" si="1"/>
        <v>0.4130400000000094</v>
      </c>
      <c r="I116" s="77">
        <v>-9.1506728204111508E-3</v>
      </c>
      <c r="J116" s="78">
        <v>9.4364794854487286</v>
      </c>
      <c r="K116" s="79">
        <v>4.0522829620385892E-2</v>
      </c>
    </row>
    <row r="117" spans="1:11" x14ac:dyDescent="0.35">
      <c r="A117" t="s">
        <v>1383</v>
      </c>
      <c r="B117" s="73" t="s">
        <v>37</v>
      </c>
      <c r="C117" s="74" t="s">
        <v>38</v>
      </c>
      <c r="D117" s="143">
        <v>214.833077</v>
      </c>
      <c r="E117" s="6" t="s">
        <v>39</v>
      </c>
      <c r="F117" s="76">
        <v>65.611872000000005</v>
      </c>
      <c r="G117" s="76" t="s">
        <v>40</v>
      </c>
      <c r="H117" s="76">
        <f t="shared" si="1"/>
        <v>0.41012800000000027</v>
      </c>
      <c r="I117" s="77">
        <v>-0.235817221226889</v>
      </c>
      <c r="J117" s="78">
        <v>10.444091788492756</v>
      </c>
      <c r="K117" s="79">
        <v>1.048135132664413</v>
      </c>
    </row>
    <row r="118" spans="1:11" x14ac:dyDescent="0.35">
      <c r="A118" t="s">
        <v>1383</v>
      </c>
      <c r="B118" s="73" t="s">
        <v>37</v>
      </c>
      <c r="C118" s="74" t="s">
        <v>38</v>
      </c>
      <c r="D118" s="143">
        <v>214.844615</v>
      </c>
      <c r="E118" s="6" t="s">
        <v>39</v>
      </c>
      <c r="F118" s="76">
        <v>65.614784</v>
      </c>
      <c r="G118" s="76" t="s">
        <v>40</v>
      </c>
      <c r="H118" s="76">
        <f t="shared" si="1"/>
        <v>0.40721600000000535</v>
      </c>
      <c r="I118" s="77">
        <v>9.3048427242883106E-2</v>
      </c>
      <c r="J118" s="78">
        <v>8.9845810611934667</v>
      </c>
      <c r="K118" s="79">
        <v>-0.41137559463487605</v>
      </c>
    </row>
    <row r="119" spans="1:11" x14ac:dyDescent="0.35">
      <c r="A119" t="s">
        <v>1383</v>
      </c>
      <c r="B119" s="73" t="s">
        <v>37</v>
      </c>
      <c r="C119" s="74" t="s">
        <v>38</v>
      </c>
      <c r="D119" s="143">
        <v>214.856154</v>
      </c>
      <c r="E119" s="6" t="s">
        <v>39</v>
      </c>
      <c r="F119" s="76">
        <v>65.617695999999995</v>
      </c>
      <c r="G119" s="76" t="s">
        <v>40</v>
      </c>
      <c r="H119" s="76">
        <f t="shared" si="1"/>
        <v>0.40430400000001043</v>
      </c>
      <c r="I119" s="77">
        <v>8.1483590798151498E-2</v>
      </c>
      <c r="J119" s="78">
        <v>9.0356429770413342</v>
      </c>
      <c r="K119" s="79">
        <v>-0.36031367878700848</v>
      </c>
    </row>
    <row r="120" spans="1:11" x14ac:dyDescent="0.35">
      <c r="A120" t="s">
        <v>1383</v>
      </c>
      <c r="B120" s="73" t="s">
        <v>37</v>
      </c>
      <c r="C120" s="74" t="s">
        <v>38</v>
      </c>
      <c r="D120" s="143">
        <v>214.86769200000001</v>
      </c>
      <c r="E120" s="6" t="s">
        <v>39</v>
      </c>
      <c r="F120" s="76">
        <v>65.620608000000004</v>
      </c>
      <c r="G120" s="76" t="s">
        <v>40</v>
      </c>
      <c r="H120" s="76">
        <f t="shared" si="1"/>
        <v>0.4013920000000013</v>
      </c>
      <c r="I120" s="77">
        <v>-0.155715259788691</v>
      </c>
      <c r="J120" s="78">
        <v>10.087164404154976</v>
      </c>
      <c r="K120" s="79">
        <v>0.69120774832663301</v>
      </c>
    </row>
    <row r="121" spans="1:11" x14ac:dyDescent="0.35">
      <c r="A121" t="s">
        <v>1383</v>
      </c>
      <c r="B121" s="73" t="s">
        <v>37</v>
      </c>
      <c r="C121" s="74" t="s">
        <v>38</v>
      </c>
      <c r="D121" s="143">
        <v>214.879231</v>
      </c>
      <c r="E121" s="6" t="s">
        <v>39</v>
      </c>
      <c r="F121" s="76">
        <v>65.623519999999999</v>
      </c>
      <c r="G121" s="76" t="s">
        <v>40</v>
      </c>
      <c r="H121" s="76">
        <f t="shared" si="1"/>
        <v>0.39848000000000638</v>
      </c>
      <c r="I121" s="77">
        <v>-0.11161947361310499</v>
      </c>
      <c r="J121" s="78">
        <v>9.8910727465977857</v>
      </c>
      <c r="K121" s="79">
        <v>0.49511609076944296</v>
      </c>
    </row>
    <row r="122" spans="1:11" x14ac:dyDescent="0.35">
      <c r="A122" t="s">
        <v>1383</v>
      </c>
      <c r="B122" s="73" t="s">
        <v>37</v>
      </c>
      <c r="C122" s="74" t="s">
        <v>38</v>
      </c>
      <c r="D122" s="143">
        <v>214.89076900000001</v>
      </c>
      <c r="E122" s="6" t="s">
        <v>39</v>
      </c>
      <c r="F122" s="76">
        <v>65.626431999999994</v>
      </c>
      <c r="G122" s="76" t="s">
        <v>40</v>
      </c>
      <c r="H122" s="76">
        <f t="shared" si="1"/>
        <v>0.39556800000001147</v>
      </c>
      <c r="I122" s="77">
        <v>9.6311704103535303E-2</v>
      </c>
      <c r="J122" s="78">
        <v>8.9701762508458955</v>
      </c>
      <c r="K122" s="79">
        <v>-0.42578040498244718</v>
      </c>
    </row>
    <row r="123" spans="1:11" x14ac:dyDescent="0.35">
      <c r="A123" t="s">
        <v>1383</v>
      </c>
      <c r="B123" s="73" t="s">
        <v>37</v>
      </c>
      <c r="C123" s="74" t="s">
        <v>38</v>
      </c>
      <c r="D123" s="143">
        <v>214.902308</v>
      </c>
      <c r="E123" s="6" t="s">
        <v>39</v>
      </c>
      <c r="F123" s="76">
        <v>65.629344000000003</v>
      </c>
      <c r="G123" s="76" t="s">
        <v>40</v>
      </c>
      <c r="H123" s="76">
        <f t="shared" si="1"/>
        <v>0.39265600000000234</v>
      </c>
      <c r="I123" s="77">
        <v>-8.4527543205752398E-3</v>
      </c>
      <c r="J123" s="78">
        <v>9.4333884014031923</v>
      </c>
      <c r="K123" s="79">
        <v>3.7431745574849629E-2</v>
      </c>
    </row>
    <row r="124" spans="1:11" x14ac:dyDescent="0.35">
      <c r="A124" t="s">
        <v>1383</v>
      </c>
      <c r="B124" s="73" t="s">
        <v>37</v>
      </c>
      <c r="C124" s="74" t="s">
        <v>38</v>
      </c>
      <c r="D124" s="143">
        <v>214.91384600000001</v>
      </c>
      <c r="E124" s="6" t="s">
        <v>39</v>
      </c>
      <c r="F124" s="76">
        <v>65.632255999999998</v>
      </c>
      <c r="G124" s="76" t="s">
        <v>40</v>
      </c>
      <c r="H124" s="76">
        <f t="shared" si="1"/>
        <v>0.38974400000000742</v>
      </c>
      <c r="I124" s="77">
        <v>4.0362699015573197E-2</v>
      </c>
      <c r="J124" s="78">
        <v>9.2173575441087223</v>
      </c>
      <c r="K124" s="79">
        <v>-0.1785991117196204</v>
      </c>
    </row>
    <row r="125" spans="1:11" x14ac:dyDescent="0.35">
      <c r="A125" t="s">
        <v>1383</v>
      </c>
      <c r="B125" s="73" t="s">
        <v>37</v>
      </c>
      <c r="C125" s="74" t="s">
        <v>38</v>
      </c>
      <c r="D125" s="143">
        <v>214.92538500000001</v>
      </c>
      <c r="E125" s="6" t="s">
        <v>39</v>
      </c>
      <c r="F125" s="76">
        <v>65.635169000000005</v>
      </c>
      <c r="G125" s="76" t="s">
        <v>40</v>
      </c>
      <c r="H125" s="76">
        <f t="shared" si="1"/>
        <v>0.38683100000000081</v>
      </c>
      <c r="I125" s="77">
        <v>-2.5476829965846499E-2</v>
      </c>
      <c r="J125" s="78">
        <v>9.5088080202068568</v>
      </c>
      <c r="K125" s="79">
        <v>0.11285136437851406</v>
      </c>
    </row>
    <row r="126" spans="1:11" x14ac:dyDescent="0.35">
      <c r="A126" t="s">
        <v>1383</v>
      </c>
      <c r="B126" s="73" t="s">
        <v>37</v>
      </c>
      <c r="C126" s="74" t="s">
        <v>38</v>
      </c>
      <c r="D126" s="143">
        <v>214.93692300000001</v>
      </c>
      <c r="E126" s="6" t="s">
        <v>39</v>
      </c>
      <c r="F126" s="76">
        <v>65.638081</v>
      </c>
      <c r="G126" s="76" t="s">
        <v>40</v>
      </c>
      <c r="H126" s="76">
        <f t="shared" si="1"/>
        <v>0.38391900000000589</v>
      </c>
      <c r="I126" s="77">
        <v>-0.168497945078944</v>
      </c>
      <c r="J126" s="78">
        <v>10.144060764463859</v>
      </c>
      <c r="K126" s="79">
        <v>0.74810410863551624</v>
      </c>
    </row>
    <row r="127" spans="1:11" x14ac:dyDescent="0.35">
      <c r="A127" t="s">
        <v>1383</v>
      </c>
      <c r="B127" s="73" t="s">
        <v>37</v>
      </c>
      <c r="C127" s="74" t="s">
        <v>38</v>
      </c>
      <c r="D127" s="143">
        <v>214.94846200000001</v>
      </c>
      <c r="E127" s="6" t="s">
        <v>39</v>
      </c>
      <c r="F127" s="76">
        <v>65.640992999999995</v>
      </c>
      <c r="G127" s="76" t="s">
        <v>40</v>
      </c>
      <c r="H127" s="76">
        <f t="shared" si="1"/>
        <v>0.38100700000001098</v>
      </c>
      <c r="I127" s="77">
        <v>-2.7428818224188901E-2</v>
      </c>
      <c r="J127" s="78">
        <v>9.5174583228016445</v>
      </c>
      <c r="K127" s="79">
        <v>0.12150166697330178</v>
      </c>
    </row>
    <row r="128" spans="1:11" x14ac:dyDescent="0.35">
      <c r="A128" t="s">
        <v>1383</v>
      </c>
      <c r="B128" s="73" t="s">
        <v>37</v>
      </c>
      <c r="C128" s="74" t="s">
        <v>38</v>
      </c>
      <c r="D128" s="143">
        <v>214.96</v>
      </c>
      <c r="E128" s="6" t="s">
        <v>39</v>
      </c>
      <c r="F128" s="76">
        <v>65.643905000000004</v>
      </c>
      <c r="G128" s="76" t="s">
        <v>40</v>
      </c>
      <c r="H128" s="76">
        <f t="shared" si="1"/>
        <v>0.37809500000000185</v>
      </c>
      <c r="I128" s="77">
        <v>0.17418904468052501</v>
      </c>
      <c r="J128" s="78">
        <v>8.6268586088604025</v>
      </c>
      <c r="K128" s="79">
        <v>-0.76909804696794026</v>
      </c>
    </row>
    <row r="129" spans="1:11" x14ac:dyDescent="0.35">
      <c r="A129" t="s">
        <v>1383</v>
      </c>
      <c r="B129" s="73" t="s">
        <v>37</v>
      </c>
      <c r="C129" s="74" t="s">
        <v>38</v>
      </c>
      <c r="D129" s="143">
        <v>214.96805599999999</v>
      </c>
      <c r="E129" s="6" t="s">
        <v>39</v>
      </c>
      <c r="F129" s="76">
        <v>65.645938000000001</v>
      </c>
      <c r="G129" s="76" t="s">
        <v>40</v>
      </c>
      <c r="H129" s="76">
        <f t="shared" si="1"/>
        <v>0.37606200000000456</v>
      </c>
      <c r="I129" s="77">
        <v>0.368282958807788</v>
      </c>
      <c r="J129" s="78">
        <v>7.7749479644909911</v>
      </c>
      <c r="K129" s="79">
        <v>-1.6210086913373516</v>
      </c>
    </row>
    <row r="130" spans="1:11" x14ac:dyDescent="0.35">
      <c r="A130" t="s">
        <v>1383</v>
      </c>
      <c r="B130" s="73" t="s">
        <v>37</v>
      </c>
      <c r="C130" s="74" t="s">
        <v>38</v>
      </c>
      <c r="D130" s="143">
        <v>214.976111</v>
      </c>
      <c r="E130" s="6" t="s">
        <v>39</v>
      </c>
      <c r="F130" s="76">
        <v>65.647970999999998</v>
      </c>
      <c r="G130" s="76" t="s">
        <v>40</v>
      </c>
      <c r="H130" s="76">
        <f t="shared" ref="H130:H193" si="2">66.022-F130</f>
        <v>0.37402900000000727</v>
      </c>
      <c r="I130" s="77">
        <v>6.2670006647182905E-2</v>
      </c>
      <c r="J130" s="78">
        <v>9.1187508615309412</v>
      </c>
      <c r="K130" s="79">
        <v>-0.27720579429740155</v>
      </c>
    </row>
    <row r="131" spans="1:11" x14ac:dyDescent="0.35">
      <c r="A131" t="s">
        <v>1383</v>
      </c>
      <c r="B131" s="73" t="s">
        <v>37</v>
      </c>
      <c r="C131" s="74" t="s">
        <v>38</v>
      </c>
      <c r="D131" s="143">
        <v>214.98416700000001</v>
      </c>
      <c r="E131" s="6" t="s">
        <v>39</v>
      </c>
      <c r="F131" s="76">
        <v>65.650003999999996</v>
      </c>
      <c r="G131" s="76" t="s">
        <v>40</v>
      </c>
      <c r="H131" s="76">
        <f t="shared" si="2"/>
        <v>0.37199600000000999</v>
      </c>
      <c r="I131" s="77">
        <v>-0.10190625061396701</v>
      </c>
      <c r="J131" s="78">
        <v>9.8479161984033681</v>
      </c>
      <c r="K131" s="79">
        <v>0.45195954257502535</v>
      </c>
    </row>
    <row r="132" spans="1:11" x14ac:dyDescent="0.35">
      <c r="A132" t="s">
        <v>1383</v>
      </c>
      <c r="B132" s="73" t="s">
        <v>37</v>
      </c>
      <c r="C132" s="74" t="s">
        <v>38</v>
      </c>
      <c r="D132" s="143">
        <v>214.992222</v>
      </c>
      <c r="E132" s="6" t="s">
        <v>39</v>
      </c>
      <c r="F132" s="76">
        <v>65.652037000000007</v>
      </c>
      <c r="G132" s="76" t="s">
        <v>40</v>
      </c>
      <c r="H132" s="76">
        <f t="shared" si="2"/>
        <v>0.36996299999999849</v>
      </c>
      <c r="I132" s="77">
        <v>-0.136546288066168</v>
      </c>
      <c r="J132" s="78">
        <v>10.001886551540167</v>
      </c>
      <c r="K132" s="79">
        <v>0.60592989571182443</v>
      </c>
    </row>
    <row r="133" spans="1:11" x14ac:dyDescent="0.35">
      <c r="A133" t="s">
        <v>1383</v>
      </c>
      <c r="B133" s="73" t="s">
        <v>37</v>
      </c>
      <c r="C133" s="74" t="s">
        <v>38</v>
      </c>
      <c r="D133" s="143">
        <v>215.00027800000001</v>
      </c>
      <c r="E133" s="6" t="s">
        <v>39</v>
      </c>
      <c r="F133" s="76">
        <v>65.654070000000004</v>
      </c>
      <c r="G133" s="76" t="s">
        <v>40</v>
      </c>
      <c r="H133" s="76">
        <f t="shared" si="2"/>
        <v>0.3679300000000012</v>
      </c>
      <c r="I133" s="77">
        <v>-4.26467756538167E-2</v>
      </c>
      <c r="J133" s="78">
        <v>9.584915958148315</v>
      </c>
      <c r="K133" s="79">
        <v>0.18895930231997227</v>
      </c>
    </row>
    <row r="134" spans="1:11" x14ac:dyDescent="0.35">
      <c r="A134" t="s">
        <v>1383</v>
      </c>
      <c r="B134" s="73" t="s">
        <v>37</v>
      </c>
      <c r="C134" s="74" t="s">
        <v>38</v>
      </c>
      <c r="D134" s="143">
        <v>215.00833299999999</v>
      </c>
      <c r="E134" s="6" t="s">
        <v>39</v>
      </c>
      <c r="F134" s="76">
        <v>65.656103000000002</v>
      </c>
      <c r="G134" s="76" t="s">
        <v>40</v>
      </c>
      <c r="H134" s="76">
        <f t="shared" si="2"/>
        <v>0.36589700000000391</v>
      </c>
      <c r="I134" s="77">
        <v>-0.179420294625972</v>
      </c>
      <c r="J134" s="78">
        <v>10.19269536924736</v>
      </c>
      <c r="K134" s="79">
        <v>0.79673871341901759</v>
      </c>
    </row>
    <row r="135" spans="1:11" x14ac:dyDescent="0.35">
      <c r="A135" t="s">
        <v>1383</v>
      </c>
      <c r="B135" s="73" t="s">
        <v>37</v>
      </c>
      <c r="C135" s="74" t="s">
        <v>38</v>
      </c>
      <c r="D135" s="143">
        <v>215.016389</v>
      </c>
      <c r="E135" s="6" t="s">
        <v>39</v>
      </c>
      <c r="F135" s="76">
        <v>65.658135999999999</v>
      </c>
      <c r="G135" s="76" t="s">
        <v>40</v>
      </c>
      <c r="H135" s="76">
        <f t="shared" si="2"/>
        <v>0.36386400000000663</v>
      </c>
      <c r="I135" s="77">
        <v>-2.4851113359941599E-3</v>
      </c>
      <c r="J135" s="78">
        <v>9.4069605339195164</v>
      </c>
      <c r="K135" s="79">
        <v>1.1003878091173647E-2</v>
      </c>
    </row>
    <row r="136" spans="1:11" x14ac:dyDescent="0.35">
      <c r="A136" t="s">
        <v>1383</v>
      </c>
      <c r="B136" s="73" t="s">
        <v>37</v>
      </c>
      <c r="C136" s="74" t="s">
        <v>38</v>
      </c>
      <c r="D136" s="143">
        <v>215.02444399999999</v>
      </c>
      <c r="E136" s="6" t="s">
        <v>39</v>
      </c>
      <c r="F136" s="76">
        <v>65.660168999999996</v>
      </c>
      <c r="G136" s="76" t="s">
        <v>40</v>
      </c>
      <c r="H136" s="76">
        <f t="shared" si="2"/>
        <v>0.36183100000000934</v>
      </c>
      <c r="I136" s="77">
        <v>-1.10169514701787E-2</v>
      </c>
      <c r="J136" s="78">
        <v>9.444745584439147</v>
      </c>
      <c r="K136" s="79">
        <v>4.8788928610804305E-2</v>
      </c>
    </row>
    <row r="137" spans="1:11" x14ac:dyDescent="0.35">
      <c r="A137" t="s">
        <v>1383</v>
      </c>
      <c r="B137" s="73" t="s">
        <v>37</v>
      </c>
      <c r="C137" s="74" t="s">
        <v>38</v>
      </c>
      <c r="D137" s="143">
        <v>215.0325</v>
      </c>
      <c r="E137" s="6" t="s">
        <v>39</v>
      </c>
      <c r="F137" s="76">
        <v>65.662201999999994</v>
      </c>
      <c r="G137" s="76" t="s">
        <v>40</v>
      </c>
      <c r="H137" s="76">
        <f t="shared" si="2"/>
        <v>0.35979800000001205</v>
      </c>
      <c r="I137" s="77">
        <v>0.187063646957598</v>
      </c>
      <c r="J137" s="78">
        <v>8.5701847290795286</v>
      </c>
      <c r="K137" s="79">
        <v>-0.82577192674881417</v>
      </c>
    </row>
    <row r="138" spans="1:11" x14ac:dyDescent="0.35">
      <c r="A138" t="s">
        <v>1383</v>
      </c>
      <c r="B138" s="73" t="s">
        <v>37</v>
      </c>
      <c r="C138" s="74" t="s">
        <v>38</v>
      </c>
      <c r="D138" s="143">
        <v>215.04055600000001</v>
      </c>
      <c r="E138" s="6" t="s">
        <v>39</v>
      </c>
      <c r="F138" s="76">
        <v>65.664236000000002</v>
      </c>
      <c r="G138" s="76" t="s">
        <v>40</v>
      </c>
      <c r="H138" s="76">
        <f t="shared" si="2"/>
        <v>0.35776400000000308</v>
      </c>
      <c r="I138" s="77">
        <v>-0.231331833001062</v>
      </c>
      <c r="J138" s="78">
        <v>10.424080756989156</v>
      </c>
      <c r="K138" s="79">
        <v>1.0281241011608131</v>
      </c>
    </row>
    <row r="139" spans="1:11" x14ac:dyDescent="0.35">
      <c r="A139" t="s">
        <v>1383</v>
      </c>
      <c r="B139" s="73" t="s">
        <v>37</v>
      </c>
      <c r="C139" s="74" t="s">
        <v>38</v>
      </c>
      <c r="D139" s="143">
        <v>215.04861099999999</v>
      </c>
      <c r="E139" s="6" t="s">
        <v>39</v>
      </c>
      <c r="F139" s="76">
        <v>65.666268000000002</v>
      </c>
      <c r="G139" s="76" t="s">
        <v>40</v>
      </c>
      <c r="H139" s="76">
        <f t="shared" si="2"/>
        <v>0.35573200000000327</v>
      </c>
      <c r="I139" s="77">
        <v>-0.24815209185173601</v>
      </c>
      <c r="J139" s="78">
        <v>10.499137390187457</v>
      </c>
      <c r="K139" s="79">
        <v>1.103180734359114</v>
      </c>
    </row>
    <row r="140" spans="1:11" x14ac:dyDescent="0.35">
      <c r="A140" t="s">
        <v>1383</v>
      </c>
      <c r="B140" s="73" t="s">
        <v>37</v>
      </c>
      <c r="C140" s="74" t="s">
        <v>38</v>
      </c>
      <c r="D140" s="143">
        <v>215.056667</v>
      </c>
      <c r="E140" s="6" t="s">
        <v>39</v>
      </c>
      <c r="F140" s="76">
        <v>65.668301999999997</v>
      </c>
      <c r="G140" s="76" t="s">
        <v>40</v>
      </c>
      <c r="H140" s="76">
        <f t="shared" si="2"/>
        <v>0.35369800000000851</v>
      </c>
      <c r="I140" s="77">
        <v>-0.46465070186330698</v>
      </c>
      <c r="J140" s="78">
        <v>11.46888647966091</v>
      </c>
      <c r="K140" s="79">
        <v>2.0729298238325669</v>
      </c>
    </row>
    <row r="141" spans="1:11" x14ac:dyDescent="0.35">
      <c r="A141" t="s">
        <v>1383</v>
      </c>
      <c r="B141" s="73" t="s">
        <v>37</v>
      </c>
      <c r="C141" s="74" t="s">
        <v>38</v>
      </c>
      <c r="D141" s="143">
        <v>215.06472199999999</v>
      </c>
      <c r="E141" s="6" t="s">
        <v>39</v>
      </c>
      <c r="F141" s="76">
        <v>65.670334999999994</v>
      </c>
      <c r="G141" s="76" t="s">
        <v>40</v>
      </c>
      <c r="H141" s="76">
        <f t="shared" si="2"/>
        <v>0.35166500000001122</v>
      </c>
      <c r="I141" s="77">
        <v>-0.3013320568226</v>
      </c>
      <c r="J141" s="78">
        <v>10.736710994242912</v>
      </c>
      <c r="K141" s="79">
        <v>1.3407543384145697</v>
      </c>
    </row>
    <row r="142" spans="1:11" x14ac:dyDescent="0.35">
      <c r="A142" t="s">
        <v>1383</v>
      </c>
      <c r="B142" s="73" t="s">
        <v>37</v>
      </c>
      <c r="C142" s="74" t="s">
        <v>38</v>
      </c>
      <c r="D142" s="143">
        <v>215.072778</v>
      </c>
      <c r="E142" s="6" t="s">
        <v>39</v>
      </c>
      <c r="F142" s="76">
        <v>65.672368000000006</v>
      </c>
      <c r="G142" s="76" t="s">
        <v>40</v>
      </c>
      <c r="H142" s="76">
        <f t="shared" si="2"/>
        <v>0.34963199999999972</v>
      </c>
      <c r="I142" s="77">
        <v>-0.40344409103373502</v>
      </c>
      <c r="J142" s="78">
        <v>11.19403442542631</v>
      </c>
      <c r="K142" s="79">
        <v>1.7980777695979668</v>
      </c>
    </row>
    <row r="143" spans="1:11" x14ac:dyDescent="0.35">
      <c r="A143" t="s">
        <v>1383</v>
      </c>
      <c r="B143" s="73" t="s">
        <v>37</v>
      </c>
      <c r="C143" s="74" t="s">
        <v>38</v>
      </c>
      <c r="D143" s="143">
        <v>215.08083300000001</v>
      </c>
      <c r="E143" s="6" t="s">
        <v>39</v>
      </c>
      <c r="F143" s="76">
        <v>65.674401000000003</v>
      </c>
      <c r="G143" s="76" t="s">
        <v>40</v>
      </c>
      <c r="H143" s="76">
        <f t="shared" si="2"/>
        <v>0.34759900000000243</v>
      </c>
      <c r="I143" s="77">
        <v>-0.22691034224308099</v>
      </c>
      <c r="J143" s="78">
        <v>10.404357648160214</v>
      </c>
      <c r="K143" s="79">
        <v>1.0084009923318717</v>
      </c>
    </row>
    <row r="144" spans="1:11" x14ac:dyDescent="0.35">
      <c r="A144" t="s">
        <v>1383</v>
      </c>
      <c r="B144" s="73" t="s">
        <v>37</v>
      </c>
      <c r="C144" s="74" t="s">
        <v>38</v>
      </c>
      <c r="D144" s="143">
        <v>215.08888899999999</v>
      </c>
      <c r="E144" s="6" t="s">
        <v>39</v>
      </c>
      <c r="F144" s="76">
        <v>65.676434</v>
      </c>
      <c r="G144" s="76" t="s">
        <v>40</v>
      </c>
      <c r="H144" s="76">
        <f t="shared" si="2"/>
        <v>0.34556600000000515</v>
      </c>
      <c r="I144" s="77">
        <v>-0.42088413868274399</v>
      </c>
      <c r="J144" s="78">
        <v>11.272294225538928</v>
      </c>
      <c r="K144" s="79">
        <v>1.8763375697105857</v>
      </c>
    </row>
    <row r="145" spans="1:11" x14ac:dyDescent="0.35">
      <c r="A145" t="s">
        <v>1383</v>
      </c>
      <c r="B145" s="73" t="s">
        <v>37</v>
      </c>
      <c r="C145" s="74" t="s">
        <v>38</v>
      </c>
      <c r="D145" s="143">
        <v>215.09694400000001</v>
      </c>
      <c r="E145" s="6" t="s">
        <v>39</v>
      </c>
      <c r="F145" s="76">
        <v>65.678466999999998</v>
      </c>
      <c r="G145" s="76" t="s">
        <v>40</v>
      </c>
      <c r="H145" s="76">
        <f t="shared" si="2"/>
        <v>0.34353300000000786</v>
      </c>
      <c r="I145" s="77">
        <v>-0.35449999999999998</v>
      </c>
      <c r="J145" s="78">
        <v>10.974641722017054</v>
      </c>
      <c r="K145" s="79">
        <v>1.5786850661887115</v>
      </c>
    </row>
    <row r="146" spans="1:11" x14ac:dyDescent="0.35">
      <c r="A146" t="s">
        <v>1383</v>
      </c>
      <c r="B146" s="73" t="s">
        <v>37</v>
      </c>
      <c r="C146" s="74" t="s">
        <v>38</v>
      </c>
      <c r="D146" s="143">
        <v>215.10499999999999</v>
      </c>
      <c r="E146" s="6" t="s">
        <v>39</v>
      </c>
      <c r="F146" s="76">
        <v>65.680499999999995</v>
      </c>
      <c r="G146" s="76" t="s">
        <v>40</v>
      </c>
      <c r="H146" s="76">
        <f t="shared" si="2"/>
        <v>0.34150000000001057</v>
      </c>
      <c r="I146" s="77">
        <v>-0.32087813597204501</v>
      </c>
      <c r="J146" s="78">
        <v>10.824133430442032</v>
      </c>
      <c r="K146" s="79">
        <v>1.4281767746136893</v>
      </c>
    </row>
    <row r="147" spans="1:11" x14ac:dyDescent="0.35">
      <c r="A147" t="s">
        <v>1383</v>
      </c>
      <c r="B147" s="73" t="s">
        <v>37</v>
      </c>
      <c r="C147" s="74" t="s">
        <v>38</v>
      </c>
      <c r="D147" s="143">
        <v>215.113056</v>
      </c>
      <c r="E147" s="6" t="s">
        <v>39</v>
      </c>
      <c r="F147" s="76">
        <v>65.682533000000006</v>
      </c>
      <c r="G147" s="76" t="s">
        <v>40</v>
      </c>
      <c r="H147" s="76">
        <f t="shared" si="2"/>
        <v>0.33946699999999908</v>
      </c>
      <c r="I147" s="77">
        <v>-0.29274424871122801</v>
      </c>
      <c r="J147" s="78">
        <v>10.698318439221055</v>
      </c>
      <c r="K147" s="79">
        <v>1.3023617833927119</v>
      </c>
    </row>
    <row r="148" spans="1:11" x14ac:dyDescent="0.35">
      <c r="A148" t="s">
        <v>1383</v>
      </c>
      <c r="B148" s="73" t="s">
        <v>37</v>
      </c>
      <c r="C148" s="74" t="s">
        <v>38</v>
      </c>
      <c r="D148" s="143">
        <v>215.12111100000001</v>
      </c>
      <c r="E148" s="6" t="s">
        <v>39</v>
      </c>
      <c r="F148" s="76">
        <v>65.684566000000004</v>
      </c>
      <c r="G148" s="76" t="s">
        <v>40</v>
      </c>
      <c r="H148" s="76">
        <f t="shared" si="2"/>
        <v>0.33743400000000179</v>
      </c>
      <c r="I148" s="77">
        <v>-0.31349332369750699</v>
      </c>
      <c r="J148" s="78">
        <v>10.791097347614368</v>
      </c>
      <c r="K148" s="79">
        <v>1.3951406917860254</v>
      </c>
    </row>
    <row r="149" spans="1:11" x14ac:dyDescent="0.35">
      <c r="A149" t="s">
        <v>1383</v>
      </c>
      <c r="B149" s="73" t="s">
        <v>37</v>
      </c>
      <c r="C149" s="74" t="s">
        <v>38</v>
      </c>
      <c r="D149" s="143">
        <v>215.129167</v>
      </c>
      <c r="E149" s="6" t="s">
        <v>39</v>
      </c>
      <c r="F149" s="76">
        <v>65.686599000000001</v>
      </c>
      <c r="G149" s="76" t="s">
        <v>40</v>
      </c>
      <c r="H149" s="76">
        <f t="shared" si="2"/>
        <v>0.3354010000000045</v>
      </c>
      <c r="I149" s="77">
        <v>-0.358461180201948</v>
      </c>
      <c r="J149" s="78">
        <v>10.99238478688909</v>
      </c>
      <c r="K149" s="79">
        <v>1.5964281310607475</v>
      </c>
    </row>
    <row r="150" spans="1:11" x14ac:dyDescent="0.35">
      <c r="A150" t="s">
        <v>1383</v>
      </c>
      <c r="B150" s="73" t="s">
        <v>37</v>
      </c>
      <c r="C150" s="74" t="s">
        <v>38</v>
      </c>
      <c r="D150" s="143">
        <v>215.13722200000001</v>
      </c>
      <c r="E150" s="6" t="s">
        <v>39</v>
      </c>
      <c r="F150" s="76">
        <v>65.688631999999998</v>
      </c>
      <c r="G150" s="76" t="s">
        <v>40</v>
      </c>
      <c r="H150" s="76">
        <f t="shared" si="2"/>
        <v>0.33336800000000721</v>
      </c>
      <c r="I150" s="77">
        <v>-0.349500388293086</v>
      </c>
      <c r="J150" s="78">
        <v>10.952250539842339</v>
      </c>
      <c r="K150" s="79">
        <v>1.5562938840139964</v>
      </c>
    </row>
    <row r="151" spans="1:11" x14ac:dyDescent="0.35">
      <c r="A151" t="s">
        <v>1383</v>
      </c>
      <c r="B151" s="73" t="s">
        <v>37</v>
      </c>
      <c r="C151" s="74" t="s">
        <v>38</v>
      </c>
      <c r="D151" s="143">
        <v>215.14527799999999</v>
      </c>
      <c r="E151" s="6" t="s">
        <v>39</v>
      </c>
      <c r="F151" s="76">
        <v>65.690664999999996</v>
      </c>
      <c r="G151" s="76" t="s">
        <v>40</v>
      </c>
      <c r="H151" s="76">
        <f t="shared" si="2"/>
        <v>0.33133500000000993</v>
      </c>
      <c r="I151" s="77">
        <v>-0.45112887899709198</v>
      </c>
      <c r="J151" s="78">
        <v>11.408118735239952</v>
      </c>
      <c r="K151" s="79">
        <v>2.0121620794116097</v>
      </c>
    </row>
    <row r="152" spans="1:11" x14ac:dyDescent="0.35">
      <c r="A152" t="s">
        <v>1383</v>
      </c>
      <c r="B152" s="73" t="s">
        <v>37</v>
      </c>
      <c r="C152" s="74" t="s">
        <v>38</v>
      </c>
      <c r="D152" s="143">
        <v>215.153333</v>
      </c>
      <c r="E152" s="6" t="s">
        <v>39</v>
      </c>
      <c r="F152" s="76">
        <v>65.692697999999993</v>
      </c>
      <c r="G152" s="76" t="s">
        <v>40</v>
      </c>
      <c r="H152" s="76">
        <f t="shared" si="2"/>
        <v>0.32930200000001264</v>
      </c>
      <c r="I152" s="77">
        <v>-0.42787500000000001</v>
      </c>
      <c r="J152" s="78">
        <v>11.303677228121387</v>
      </c>
      <c r="K152" s="79">
        <v>1.9077205722930444</v>
      </c>
    </row>
    <row r="153" spans="1:11" x14ac:dyDescent="0.35">
      <c r="A153" t="s">
        <v>1383</v>
      </c>
      <c r="B153" s="73" t="s">
        <v>37</v>
      </c>
      <c r="C153" s="74" t="s">
        <v>38</v>
      </c>
      <c r="D153" s="143">
        <v>215.16138900000001</v>
      </c>
      <c r="E153" s="6" t="s">
        <v>39</v>
      </c>
      <c r="F153" s="76">
        <v>65.694732000000002</v>
      </c>
      <c r="G153" s="76" t="s">
        <v>40</v>
      </c>
      <c r="H153" s="76">
        <f t="shared" si="2"/>
        <v>0.32726800000000367</v>
      </c>
      <c r="I153" s="77">
        <v>-0.46250000000000002</v>
      </c>
      <c r="J153" s="78">
        <v>11.459219327848075</v>
      </c>
      <c r="K153" s="79">
        <v>2.0632626720197322</v>
      </c>
    </row>
    <row r="154" spans="1:11" x14ac:dyDescent="0.35">
      <c r="A154" t="s">
        <v>1383</v>
      </c>
      <c r="B154" s="73" t="s">
        <v>37</v>
      </c>
      <c r="C154" s="74" t="s">
        <v>38</v>
      </c>
      <c r="D154" s="143">
        <v>215.169444</v>
      </c>
      <c r="E154" s="6" t="s">
        <v>39</v>
      </c>
      <c r="F154" s="76">
        <v>65.696764000000002</v>
      </c>
      <c r="G154" s="76" t="s">
        <v>40</v>
      </c>
      <c r="H154" s="76">
        <f t="shared" si="2"/>
        <v>0.32523600000000386</v>
      </c>
      <c r="I154" s="77">
        <v>-0.28954312210816302</v>
      </c>
      <c r="J154" s="78">
        <v>10.684010260918626</v>
      </c>
      <c r="K154" s="79">
        <v>1.2880536050902833</v>
      </c>
    </row>
    <row r="155" spans="1:11" x14ac:dyDescent="0.35">
      <c r="A155" t="s">
        <v>1383</v>
      </c>
      <c r="B155" s="73" t="s">
        <v>37</v>
      </c>
      <c r="C155" s="74" t="s">
        <v>38</v>
      </c>
      <c r="D155" s="143">
        <v>215.17750000000001</v>
      </c>
      <c r="E155" s="6" t="s">
        <v>39</v>
      </c>
      <c r="F155" s="76">
        <v>65.698797999999996</v>
      </c>
      <c r="G155" s="76" t="s">
        <v>40</v>
      </c>
      <c r="H155" s="76">
        <f t="shared" si="2"/>
        <v>0.32320200000000909</v>
      </c>
      <c r="I155" s="77">
        <v>-0.52319968480833501</v>
      </c>
      <c r="J155" s="78">
        <v>11.732317794802611</v>
      </c>
      <c r="K155" s="79">
        <v>2.3363611389742687</v>
      </c>
    </row>
    <row r="156" spans="1:11" x14ac:dyDescent="0.35">
      <c r="A156" t="s">
        <v>1383</v>
      </c>
      <c r="B156" s="73" t="s">
        <v>37</v>
      </c>
      <c r="C156" s="74" t="s">
        <v>38</v>
      </c>
      <c r="D156" s="143">
        <v>215.18555599999999</v>
      </c>
      <c r="E156" s="6" t="s">
        <v>39</v>
      </c>
      <c r="F156" s="76">
        <v>65.700830999999994</v>
      </c>
      <c r="G156" s="76" t="s">
        <v>40</v>
      </c>
      <c r="H156" s="76">
        <f t="shared" si="2"/>
        <v>0.32116900000001181</v>
      </c>
      <c r="I156" s="77">
        <v>-0.49533269432702998</v>
      </c>
      <c r="J156" s="78">
        <v>11.606872239446318</v>
      </c>
      <c r="K156" s="79">
        <v>2.2109155836179752</v>
      </c>
    </row>
    <row r="157" spans="1:11" x14ac:dyDescent="0.35">
      <c r="A157" t="s">
        <v>1383</v>
      </c>
      <c r="B157" s="73" t="s">
        <v>37</v>
      </c>
      <c r="C157" s="74" t="s">
        <v>38</v>
      </c>
      <c r="D157" s="143">
        <v>215.193611</v>
      </c>
      <c r="E157" s="6" t="s">
        <v>39</v>
      </c>
      <c r="F157" s="76">
        <v>65.702864000000005</v>
      </c>
      <c r="G157" s="76" t="s">
        <v>40</v>
      </c>
      <c r="H157" s="76">
        <f t="shared" si="2"/>
        <v>0.31913600000000031</v>
      </c>
      <c r="I157" s="77">
        <v>-0.26875028385238298</v>
      </c>
      <c r="J157" s="78">
        <v>10.591108062512546</v>
      </c>
      <c r="K157" s="79">
        <v>1.1951514066842037</v>
      </c>
    </row>
    <row r="158" spans="1:11" x14ac:dyDescent="0.35">
      <c r="A158" t="s">
        <v>1383</v>
      </c>
      <c r="B158" s="73" t="s">
        <v>37</v>
      </c>
      <c r="C158" s="74" t="s">
        <v>38</v>
      </c>
      <c r="D158" s="143">
        <v>215.20166699999999</v>
      </c>
      <c r="E158" s="6" t="s">
        <v>39</v>
      </c>
      <c r="F158" s="76">
        <v>65.704897000000003</v>
      </c>
      <c r="G158" s="76" t="s">
        <v>40</v>
      </c>
      <c r="H158" s="76">
        <f t="shared" si="2"/>
        <v>0.31710300000000302</v>
      </c>
      <c r="I158" s="77">
        <v>-8.6167646191437103E-2</v>
      </c>
      <c r="J158" s="78">
        <v>9.7780172682614648</v>
      </c>
      <c r="K158" s="79">
        <v>0.38206061243312206</v>
      </c>
    </row>
    <row r="159" spans="1:11" x14ac:dyDescent="0.35">
      <c r="A159" t="s">
        <v>1383</v>
      </c>
      <c r="B159" s="73" t="s">
        <v>37</v>
      </c>
      <c r="C159" s="74" t="s">
        <v>38</v>
      </c>
      <c r="D159" s="143">
        <v>215.209722</v>
      </c>
      <c r="E159" s="6" t="s">
        <v>39</v>
      </c>
      <c r="F159" s="76">
        <v>65.70693</v>
      </c>
      <c r="G159" s="76" t="s">
        <v>40</v>
      </c>
      <c r="H159" s="76">
        <f t="shared" si="2"/>
        <v>0.31507000000000573</v>
      </c>
      <c r="I159" s="77">
        <v>-0.64078534224308104</v>
      </c>
      <c r="J159" s="78">
        <v>12.262897389484806</v>
      </c>
      <c r="K159" s="79">
        <v>2.8669407336564632</v>
      </c>
    </row>
    <row r="160" spans="1:11" x14ac:dyDescent="0.35">
      <c r="A160" t="s">
        <v>1383</v>
      </c>
      <c r="B160" s="73" t="s">
        <v>37</v>
      </c>
      <c r="C160" s="74" t="s">
        <v>38</v>
      </c>
      <c r="D160" s="143">
        <v>215.21777800000001</v>
      </c>
      <c r="E160" s="6" t="s">
        <v>39</v>
      </c>
      <c r="F160" s="76">
        <v>65.710267000000002</v>
      </c>
      <c r="G160" s="76" t="s">
        <v>40</v>
      </c>
      <c r="H160" s="76">
        <f t="shared" si="2"/>
        <v>0.31173300000000381</v>
      </c>
      <c r="I160" s="77">
        <v>-0.48012750858758102</v>
      </c>
      <c r="J160" s="78">
        <v>11.538472890189666</v>
      </c>
      <c r="K160" s="79">
        <v>2.1425162343613238</v>
      </c>
    </row>
    <row r="161" spans="1:11" x14ac:dyDescent="0.35">
      <c r="A161" t="s">
        <v>1383</v>
      </c>
      <c r="B161" s="73" t="s">
        <v>37</v>
      </c>
      <c r="C161" s="74" t="s">
        <v>38</v>
      </c>
      <c r="D161" s="143">
        <v>215.22583299999999</v>
      </c>
      <c r="E161" s="6" t="s">
        <v>39</v>
      </c>
      <c r="F161" s="76">
        <v>65.713650000000001</v>
      </c>
      <c r="G161" s="76" t="s">
        <v>40</v>
      </c>
      <c r="H161" s="76">
        <f t="shared" si="2"/>
        <v>0.30835000000000434</v>
      </c>
      <c r="I161" s="77">
        <v>-0.64094845575331905</v>
      </c>
      <c r="J161" s="78">
        <v>12.263634819706226</v>
      </c>
      <c r="K161" s="79">
        <v>2.8676781638778834</v>
      </c>
    </row>
    <row r="162" spans="1:11" x14ac:dyDescent="0.35">
      <c r="A162" t="s">
        <v>1383</v>
      </c>
      <c r="B162" s="73" t="s">
        <v>37</v>
      </c>
      <c r="C162" s="74" t="s">
        <v>38</v>
      </c>
      <c r="D162" s="143">
        <v>215.233889</v>
      </c>
      <c r="E162" s="6" t="s">
        <v>39</v>
      </c>
      <c r="F162" s="76">
        <v>65.717033000000001</v>
      </c>
      <c r="G162" s="76" t="s">
        <v>40</v>
      </c>
      <c r="H162" s="76">
        <f t="shared" si="2"/>
        <v>0.30496700000000487</v>
      </c>
      <c r="I162" s="77">
        <v>-0.27574225376717199</v>
      </c>
      <c r="J162" s="78">
        <v>10.622341112687366</v>
      </c>
      <c r="K162" s="79">
        <v>1.226384456859023</v>
      </c>
    </row>
    <row r="163" spans="1:11" x14ac:dyDescent="0.35">
      <c r="A163" t="s">
        <v>1383</v>
      </c>
      <c r="B163" s="73" t="s">
        <v>37</v>
      </c>
      <c r="C163" s="74" t="s">
        <v>38</v>
      </c>
      <c r="D163" s="143">
        <v>215.24194399999999</v>
      </c>
      <c r="E163" s="6" t="s">
        <v>39</v>
      </c>
      <c r="F163" s="76">
        <v>65.720416</v>
      </c>
      <c r="G163" s="76" t="s">
        <v>40</v>
      </c>
      <c r="H163" s="76">
        <f t="shared" si="2"/>
        <v>0.3015840000000054</v>
      </c>
      <c r="I163" s="77">
        <v>-7.9741758109108905E-3</v>
      </c>
      <c r="J163" s="78">
        <v>9.431268815451574</v>
      </c>
      <c r="K163" s="79">
        <v>3.531215962323131E-2</v>
      </c>
    </row>
    <row r="164" spans="1:11" x14ac:dyDescent="0.35">
      <c r="A164" t="s">
        <v>1383</v>
      </c>
      <c r="B164" s="73" t="s">
        <v>37</v>
      </c>
      <c r="C164" s="74" t="s">
        <v>38</v>
      </c>
      <c r="D164" s="75">
        <v>215.25</v>
      </c>
      <c r="E164" s="6" t="s">
        <v>39</v>
      </c>
      <c r="F164" s="76">
        <v>65.723799999999997</v>
      </c>
      <c r="G164" s="76" t="s">
        <v>40</v>
      </c>
      <c r="H164" s="76">
        <f t="shared" si="2"/>
        <v>0.29820000000000846</v>
      </c>
      <c r="I164" s="77">
        <v>-0.51456400736544605</v>
      </c>
      <c r="J164" s="78">
        <v>11.693431389839816</v>
      </c>
      <c r="K164" s="79">
        <v>2.2974747340114732</v>
      </c>
    </row>
    <row r="165" spans="1:11" x14ac:dyDescent="0.35">
      <c r="A165" t="s">
        <v>1383</v>
      </c>
      <c r="B165" s="73" t="s">
        <v>37</v>
      </c>
      <c r="C165" s="74" t="s">
        <v>38</v>
      </c>
      <c r="D165" s="75">
        <v>215.26</v>
      </c>
      <c r="E165" s="6" t="s">
        <v>39</v>
      </c>
      <c r="F165" s="76">
        <v>65.727999999999994</v>
      </c>
      <c r="G165" s="76" t="s">
        <v>40</v>
      </c>
      <c r="H165" s="76">
        <f t="shared" si="2"/>
        <v>0.29400000000001114</v>
      </c>
      <c r="I165" s="77">
        <v>-0.27861350653927403</v>
      </c>
      <c r="J165" s="78">
        <v>10.635169021153274</v>
      </c>
      <c r="K165" s="79">
        <v>1.2392123653249314</v>
      </c>
    </row>
    <row r="166" spans="1:11" x14ac:dyDescent="0.35">
      <c r="A166" t="s">
        <v>1383</v>
      </c>
      <c r="B166" s="73" t="s">
        <v>37</v>
      </c>
      <c r="C166" s="74" t="s">
        <v>38</v>
      </c>
      <c r="D166" s="75">
        <v>215.27</v>
      </c>
      <c r="E166" s="6" t="s">
        <v>39</v>
      </c>
      <c r="F166" s="76">
        <v>65.732200000000006</v>
      </c>
      <c r="G166" s="76" t="s">
        <v>40</v>
      </c>
      <c r="H166" s="76">
        <f t="shared" si="2"/>
        <v>0.28979999999999961</v>
      </c>
      <c r="I166" s="77">
        <v>-9.3291159870528204E-2</v>
      </c>
      <c r="J166" s="78">
        <v>9.809650092804759</v>
      </c>
      <c r="K166" s="79">
        <v>0.41369343697641625</v>
      </c>
    </row>
    <row r="167" spans="1:11" x14ac:dyDescent="0.35">
      <c r="A167" t="s">
        <v>1383</v>
      </c>
      <c r="B167" s="73" t="s">
        <v>37</v>
      </c>
      <c r="C167" s="74" t="s">
        <v>38</v>
      </c>
      <c r="D167" s="75">
        <v>215.28</v>
      </c>
      <c r="E167" s="6" t="s">
        <v>39</v>
      </c>
      <c r="F167" s="76">
        <v>65.736400000000003</v>
      </c>
      <c r="G167" s="76" t="s">
        <v>40</v>
      </c>
      <c r="H167" s="76">
        <f t="shared" si="2"/>
        <v>0.2856000000000023</v>
      </c>
      <c r="I167" s="77">
        <v>-0.27300451374878298</v>
      </c>
      <c r="J167" s="78">
        <v>10.610110814073664</v>
      </c>
      <c r="K167" s="79">
        <v>1.2141541582453215</v>
      </c>
    </row>
    <row r="168" spans="1:11" x14ac:dyDescent="0.35">
      <c r="A168" t="s">
        <v>1383</v>
      </c>
      <c r="B168" s="73" t="s">
        <v>37</v>
      </c>
      <c r="C168" s="74" t="s">
        <v>38</v>
      </c>
      <c r="D168" s="75">
        <v>215.29</v>
      </c>
      <c r="E168" s="6" t="s">
        <v>39</v>
      </c>
      <c r="F168" s="76">
        <v>65.740600000000001</v>
      </c>
      <c r="G168" s="76" t="s">
        <v>40</v>
      </c>
      <c r="H168" s="76">
        <f t="shared" si="2"/>
        <v>0.28140000000000498</v>
      </c>
      <c r="I168" s="77">
        <v>-0.33694936003606002</v>
      </c>
      <c r="J168" s="78">
        <v>10.896055743195234</v>
      </c>
      <c r="K168" s="79">
        <v>1.5000990873668911</v>
      </c>
    </row>
    <row r="169" spans="1:11" x14ac:dyDescent="0.35">
      <c r="A169" t="s">
        <v>1383</v>
      </c>
      <c r="B169" s="73" t="s">
        <v>37</v>
      </c>
      <c r="C169" s="74" t="s">
        <v>38</v>
      </c>
      <c r="D169" s="75">
        <v>215.3</v>
      </c>
      <c r="E169" s="6" t="s">
        <v>39</v>
      </c>
      <c r="F169" s="76">
        <v>65.744799999999998</v>
      </c>
      <c r="G169" s="76" t="s">
        <v>40</v>
      </c>
      <c r="H169" s="76">
        <f t="shared" si="2"/>
        <v>0.27720000000000766</v>
      </c>
      <c r="I169" s="77">
        <v>-0.32723862512868102</v>
      </c>
      <c r="J169" s="78">
        <v>10.85259354464489</v>
      </c>
      <c r="K169" s="79">
        <v>1.4566368888165471</v>
      </c>
    </row>
    <row r="170" spans="1:11" x14ac:dyDescent="0.35">
      <c r="A170" t="s">
        <v>1383</v>
      </c>
      <c r="B170" s="73" t="s">
        <v>37</v>
      </c>
      <c r="C170" s="74" t="s">
        <v>38</v>
      </c>
      <c r="D170" s="75">
        <v>215.31</v>
      </c>
      <c r="E170" s="6" t="s">
        <v>39</v>
      </c>
      <c r="F170" s="76">
        <v>65.748999999999995</v>
      </c>
      <c r="G170" s="76" t="s">
        <v>40</v>
      </c>
      <c r="H170" s="76">
        <f t="shared" si="2"/>
        <v>0.27300000000001035</v>
      </c>
      <c r="I170" s="77">
        <v>-0.64202816037659205</v>
      </c>
      <c r="J170" s="78">
        <v>12.268516224003235</v>
      </c>
      <c r="K170" s="79">
        <v>2.8725595681748928</v>
      </c>
    </row>
    <row r="171" spans="1:11" x14ac:dyDescent="0.35">
      <c r="A171" t="s">
        <v>1383</v>
      </c>
      <c r="B171" s="73" t="s">
        <v>37</v>
      </c>
      <c r="C171" s="74" t="s">
        <v>38</v>
      </c>
      <c r="D171" s="75">
        <v>215.32</v>
      </c>
      <c r="E171" s="6" t="s">
        <v>39</v>
      </c>
      <c r="F171" s="76">
        <v>65.753200000000007</v>
      </c>
      <c r="G171" s="76" t="s">
        <v>40</v>
      </c>
      <c r="H171" s="76">
        <f t="shared" si="2"/>
        <v>0.26879999999999882</v>
      </c>
      <c r="I171" s="77">
        <v>9.5350100878009297E-2</v>
      </c>
      <c r="J171" s="78">
        <v>8.9744208178613007</v>
      </c>
      <c r="K171" s="79">
        <v>-0.42153583796704197</v>
      </c>
    </row>
    <row r="172" spans="1:11" x14ac:dyDescent="0.35">
      <c r="A172" t="s">
        <v>1383</v>
      </c>
      <c r="B172" s="73" t="s">
        <v>37</v>
      </c>
      <c r="C172" s="74" t="s">
        <v>38</v>
      </c>
      <c r="D172" s="75">
        <v>215.33</v>
      </c>
      <c r="E172" s="6" t="s">
        <v>39</v>
      </c>
      <c r="F172" s="76">
        <v>65.757400000000004</v>
      </c>
      <c r="G172" s="76" t="s">
        <v>40</v>
      </c>
      <c r="H172" s="76">
        <f t="shared" si="2"/>
        <v>0.2646000000000015</v>
      </c>
      <c r="I172" s="77">
        <v>-0.64697350861419201</v>
      </c>
      <c r="J172" s="78">
        <v>12.290876618224559</v>
      </c>
      <c r="K172" s="79">
        <v>2.8949199623962159</v>
      </c>
    </row>
    <row r="173" spans="1:11" x14ac:dyDescent="0.35">
      <c r="A173" t="s">
        <v>1383</v>
      </c>
      <c r="B173" s="73" t="s">
        <v>37</v>
      </c>
      <c r="C173" s="74" t="s">
        <v>38</v>
      </c>
      <c r="D173" s="75">
        <v>215.34</v>
      </c>
      <c r="E173" s="6" t="s">
        <v>39</v>
      </c>
      <c r="F173" s="76">
        <v>65.761600000000001</v>
      </c>
      <c r="G173" s="76" t="s">
        <v>40</v>
      </c>
      <c r="H173" s="76">
        <f t="shared" si="2"/>
        <v>0.26040000000000418</v>
      </c>
      <c r="I173" s="77">
        <v>-0.32865715711266502</v>
      </c>
      <c r="J173" s="78">
        <v>10.858941592242104</v>
      </c>
      <c r="K173" s="79">
        <v>1.4629849364137613</v>
      </c>
    </row>
    <row r="174" spans="1:11" x14ac:dyDescent="0.35">
      <c r="A174" t="s">
        <v>1383</v>
      </c>
      <c r="B174" s="73" t="s">
        <v>37</v>
      </c>
      <c r="C174" s="74" t="s">
        <v>38</v>
      </c>
      <c r="D174" s="75">
        <v>215.35</v>
      </c>
      <c r="E174" s="6" t="s">
        <v>39</v>
      </c>
      <c r="F174" s="76">
        <v>65.765799999999999</v>
      </c>
      <c r="G174" s="76" t="s">
        <v>40</v>
      </c>
      <c r="H174" s="76">
        <f t="shared" si="2"/>
        <v>0.25620000000000687</v>
      </c>
      <c r="I174" s="77">
        <v>-0.45832682299326799</v>
      </c>
      <c r="J174" s="78">
        <v>11.440463320813819</v>
      </c>
      <c r="K174" s="79">
        <v>2.0445066649854766</v>
      </c>
    </row>
    <row r="175" spans="1:11" x14ac:dyDescent="0.35">
      <c r="A175" t="s">
        <v>1383</v>
      </c>
      <c r="B175" s="73" t="s">
        <v>37</v>
      </c>
      <c r="C175" s="74" t="s">
        <v>38</v>
      </c>
      <c r="D175" s="75">
        <v>215.36</v>
      </c>
      <c r="E175" s="6" t="s">
        <v>39</v>
      </c>
      <c r="F175" s="76">
        <v>65.77</v>
      </c>
      <c r="G175" s="76" t="s">
        <v>40</v>
      </c>
      <c r="H175" s="76">
        <f t="shared" si="2"/>
        <v>0.25200000000000955</v>
      </c>
      <c r="I175" s="77">
        <v>-0.396991955322269</v>
      </c>
      <c r="J175" s="78">
        <v>11.165092617985238</v>
      </c>
      <c r="K175" s="79">
        <v>1.7691359621568949</v>
      </c>
    </row>
    <row r="176" spans="1:11" x14ac:dyDescent="0.35">
      <c r="A176" t="s">
        <v>1383</v>
      </c>
      <c r="B176" s="73" t="s">
        <v>37</v>
      </c>
      <c r="C176" s="74" t="s">
        <v>38</v>
      </c>
      <c r="D176" s="75">
        <v>215.37</v>
      </c>
      <c r="E176" s="6" t="s">
        <v>39</v>
      </c>
      <c r="F176" s="76">
        <v>65.774199999999993</v>
      </c>
      <c r="G176" s="76" t="s">
        <v>40</v>
      </c>
      <c r="H176" s="76">
        <f t="shared" si="2"/>
        <v>0.24780000000001223</v>
      </c>
      <c r="I176" s="77">
        <v>-0.54710114603582505</v>
      </c>
      <c r="J176" s="78">
        <v>11.840003069699492</v>
      </c>
      <c r="K176" s="79">
        <v>2.4440464138711491</v>
      </c>
    </row>
    <row r="177" spans="1:11" x14ac:dyDescent="0.35">
      <c r="A177" t="s">
        <v>1383</v>
      </c>
      <c r="B177" s="73" t="s">
        <v>37</v>
      </c>
      <c r="C177" s="74" t="s">
        <v>38</v>
      </c>
      <c r="D177" s="75">
        <v>215.38</v>
      </c>
      <c r="E177" s="6" t="s">
        <v>39</v>
      </c>
      <c r="F177" s="76">
        <v>65.778400000000005</v>
      </c>
      <c r="G177" s="76" t="s">
        <v>40</v>
      </c>
      <c r="H177" s="76">
        <f t="shared" si="2"/>
        <v>0.2436000000000007</v>
      </c>
      <c r="I177" s="77">
        <v>-0.353819150635452</v>
      </c>
      <c r="J177" s="78">
        <v>10.971592266605455</v>
      </c>
      <c r="K177" s="79">
        <v>1.5756356107771126</v>
      </c>
    </row>
    <row r="178" spans="1:11" x14ac:dyDescent="0.35">
      <c r="A178" t="s">
        <v>1383</v>
      </c>
      <c r="B178" s="73" t="s">
        <v>37</v>
      </c>
      <c r="C178" s="74" t="s">
        <v>38</v>
      </c>
      <c r="D178" s="75">
        <v>215.39</v>
      </c>
      <c r="E178" s="6" t="s">
        <v>39</v>
      </c>
      <c r="F178" s="76">
        <v>65.782600000000002</v>
      </c>
      <c r="G178" s="76" t="s">
        <v>40</v>
      </c>
      <c r="H178" s="76">
        <f t="shared" si="2"/>
        <v>0.23940000000000339</v>
      </c>
      <c r="I178" s="77">
        <v>-0.31891139209101099</v>
      </c>
      <c r="J178" s="78">
        <v>10.815334393509886</v>
      </c>
      <c r="K178" s="79">
        <v>1.4193777376815433</v>
      </c>
    </row>
    <row r="179" spans="1:11" x14ac:dyDescent="0.35">
      <c r="A179" t="s">
        <v>1383</v>
      </c>
      <c r="B179" s="73" t="s">
        <v>37</v>
      </c>
      <c r="C179" s="74" t="s">
        <v>38</v>
      </c>
      <c r="D179" s="75">
        <v>215.4</v>
      </c>
      <c r="E179" s="6" t="s">
        <v>39</v>
      </c>
      <c r="F179" s="76">
        <v>65.786799999999999</v>
      </c>
      <c r="G179" s="76" t="s">
        <v>40</v>
      </c>
      <c r="H179" s="76">
        <f t="shared" si="2"/>
        <v>0.23520000000000607</v>
      </c>
      <c r="I179" s="77">
        <v>-0.34111535580774699</v>
      </c>
      <c r="J179" s="78">
        <v>10.914705638709677</v>
      </c>
      <c r="K179" s="79">
        <v>1.5187489828813341</v>
      </c>
    </row>
    <row r="180" spans="1:11" x14ac:dyDescent="0.35">
      <c r="A180" t="s">
        <v>1383</v>
      </c>
      <c r="B180" s="73" t="s">
        <v>37</v>
      </c>
      <c r="C180" s="74" t="s">
        <v>38</v>
      </c>
      <c r="D180" s="75">
        <v>215.41</v>
      </c>
      <c r="E180" s="6" t="s">
        <v>39</v>
      </c>
      <c r="F180" s="76">
        <v>65.790999999999997</v>
      </c>
      <c r="G180" s="76" t="s">
        <v>40</v>
      </c>
      <c r="H180" s="76">
        <f t="shared" si="2"/>
        <v>0.23100000000000875</v>
      </c>
      <c r="I180" s="77">
        <v>-0.460094756386701</v>
      </c>
      <c r="J180" s="78">
        <v>11.448408843301877</v>
      </c>
      <c r="K180" s="79">
        <v>2.0524521874735342</v>
      </c>
    </row>
    <row r="181" spans="1:11" x14ac:dyDescent="0.35">
      <c r="A181" t="s">
        <v>1383</v>
      </c>
      <c r="B181" s="73" t="s">
        <v>37</v>
      </c>
      <c r="C181" s="74" t="s">
        <v>38</v>
      </c>
      <c r="D181" s="75">
        <v>215.42</v>
      </c>
      <c r="E181" s="6" t="s">
        <v>39</v>
      </c>
      <c r="F181" s="76">
        <v>65.795199999999994</v>
      </c>
      <c r="G181" s="76" t="s">
        <v>40</v>
      </c>
      <c r="H181" s="76">
        <f t="shared" si="2"/>
        <v>0.22680000000001144</v>
      </c>
      <c r="I181" s="77">
        <v>-0.15657956282538801</v>
      </c>
      <c r="J181" s="78">
        <v>10.091010716109508</v>
      </c>
      <c r="K181" s="79">
        <v>0.69505406028116568</v>
      </c>
    </row>
    <row r="182" spans="1:11" x14ac:dyDescent="0.35">
      <c r="A182" t="s">
        <v>1383</v>
      </c>
      <c r="B182" s="73" t="s">
        <v>37</v>
      </c>
      <c r="C182" s="74" t="s">
        <v>38</v>
      </c>
      <c r="D182" s="75">
        <v>215.43</v>
      </c>
      <c r="E182" s="6" t="s">
        <v>39</v>
      </c>
      <c r="F182" s="76">
        <v>65.799400000000006</v>
      </c>
      <c r="G182" s="76" t="s">
        <v>40</v>
      </c>
      <c r="H182" s="76">
        <f t="shared" si="2"/>
        <v>0.22259999999999991</v>
      </c>
      <c r="I182" s="77">
        <v>-0.15674788659502001</v>
      </c>
      <c r="J182" s="78">
        <v>10.09175980125525</v>
      </c>
      <c r="K182" s="79">
        <v>0.69580314542690758</v>
      </c>
    </row>
    <row r="183" spans="1:11" x14ac:dyDescent="0.35">
      <c r="A183" t="s">
        <v>1383</v>
      </c>
      <c r="B183" s="73" t="s">
        <v>37</v>
      </c>
      <c r="C183" s="74" t="s">
        <v>38</v>
      </c>
      <c r="D183" s="75">
        <v>215.44</v>
      </c>
      <c r="E183" s="6" t="s">
        <v>39</v>
      </c>
      <c r="F183" s="76">
        <v>65.803600000000003</v>
      </c>
      <c r="G183" s="76" t="s">
        <v>40</v>
      </c>
      <c r="H183" s="76">
        <f t="shared" si="2"/>
        <v>0.21840000000000259</v>
      </c>
      <c r="I183" s="77">
        <v>0.32512685370781502</v>
      </c>
      <c r="J183" s="78">
        <v>7.9639074119617135</v>
      </c>
      <c r="K183" s="79">
        <v>-1.4320492438666292</v>
      </c>
    </row>
    <row r="184" spans="1:11" x14ac:dyDescent="0.35">
      <c r="A184" t="s">
        <v>1383</v>
      </c>
      <c r="B184" s="73" t="s">
        <v>37</v>
      </c>
      <c r="C184" s="74" t="s">
        <v>38</v>
      </c>
      <c r="D184" s="75">
        <v>215.45</v>
      </c>
      <c r="E184" s="6" t="s">
        <v>39</v>
      </c>
      <c r="F184" s="76">
        <v>65.8078</v>
      </c>
      <c r="G184" s="76" t="s">
        <v>40</v>
      </c>
      <c r="H184" s="76">
        <f t="shared" si="2"/>
        <v>0.21420000000000528</v>
      </c>
      <c r="I184" s="77">
        <v>0.265362876667259</v>
      </c>
      <c r="J184" s="78">
        <v>8.2260182450380057</v>
      </c>
      <c r="K184" s="79">
        <v>-1.169938410790337</v>
      </c>
    </row>
    <row r="185" spans="1:11" x14ac:dyDescent="0.35">
      <c r="A185" t="s">
        <v>1383</v>
      </c>
      <c r="B185" s="73" t="s">
        <v>37</v>
      </c>
      <c r="C185" s="74" t="s">
        <v>38</v>
      </c>
      <c r="D185" s="75">
        <v>215.46</v>
      </c>
      <c r="E185" s="6" t="s">
        <v>39</v>
      </c>
      <c r="F185" s="76">
        <v>65.811999999999998</v>
      </c>
      <c r="G185" s="76" t="s">
        <v>40</v>
      </c>
      <c r="H185" s="76">
        <f t="shared" si="2"/>
        <v>0.21000000000000796</v>
      </c>
      <c r="I185" s="77">
        <v>2.2304063949271799E-2</v>
      </c>
      <c r="J185" s="78">
        <v>9.2972355851352404</v>
      </c>
      <c r="K185" s="79">
        <v>-9.872107069310232E-2</v>
      </c>
    </row>
    <row r="186" spans="1:11" x14ac:dyDescent="0.35">
      <c r="A186" t="s">
        <v>1383</v>
      </c>
      <c r="B186" s="73" t="s">
        <v>37</v>
      </c>
      <c r="C186" s="74" t="s">
        <v>38</v>
      </c>
      <c r="D186" s="75">
        <v>215.47</v>
      </c>
      <c r="E186" s="6" t="s">
        <v>39</v>
      </c>
      <c r="F186" s="76">
        <v>65.814250000000001</v>
      </c>
      <c r="G186" s="76" t="s">
        <v>40</v>
      </c>
      <c r="H186" s="76">
        <f t="shared" si="2"/>
        <v>0.20775000000000432</v>
      </c>
      <c r="I186" s="77">
        <v>-6.81332722820579E-2</v>
      </c>
      <c r="J186" s="78">
        <v>9.6979660645790204</v>
      </c>
      <c r="K186" s="79">
        <v>0.30200940875067772</v>
      </c>
    </row>
    <row r="187" spans="1:11" x14ac:dyDescent="0.35">
      <c r="A187" t="s">
        <v>1383</v>
      </c>
      <c r="B187" s="73" t="s">
        <v>37</v>
      </c>
      <c r="C187" s="74" t="s">
        <v>38</v>
      </c>
      <c r="D187" s="75">
        <v>215.48</v>
      </c>
      <c r="E187" s="6" t="s">
        <v>39</v>
      </c>
      <c r="F187" s="76">
        <v>65.816500000000005</v>
      </c>
      <c r="G187" s="76" t="s">
        <v>40</v>
      </c>
      <c r="H187" s="76">
        <f t="shared" si="2"/>
        <v>0.20550000000000068</v>
      </c>
      <c r="I187" s="77">
        <v>-0.17118101163298099</v>
      </c>
      <c r="J187" s="78">
        <v>10.156006220575648</v>
      </c>
      <c r="K187" s="79">
        <v>0.76004956474730534</v>
      </c>
    </row>
    <row r="188" spans="1:11" x14ac:dyDescent="0.35">
      <c r="A188" t="s">
        <v>1383</v>
      </c>
      <c r="B188" s="73" t="s">
        <v>37</v>
      </c>
      <c r="C188" s="74" t="s">
        <v>38</v>
      </c>
      <c r="D188" s="75">
        <v>215.49</v>
      </c>
      <c r="E188" s="6" t="s">
        <v>39</v>
      </c>
      <c r="F188" s="76">
        <v>65.818749999999994</v>
      </c>
      <c r="G188" s="76" t="s">
        <v>40</v>
      </c>
      <c r="H188" s="76">
        <f t="shared" si="2"/>
        <v>0.20325000000001125</v>
      </c>
      <c r="I188" s="77">
        <v>-0.103542829786147</v>
      </c>
      <c r="J188" s="78">
        <v>9.8551866860489099</v>
      </c>
      <c r="K188" s="79">
        <v>0.45923003022056719</v>
      </c>
    </row>
    <row r="189" spans="1:11" x14ac:dyDescent="0.35">
      <c r="A189" t="s">
        <v>1383</v>
      </c>
      <c r="B189" s="73" t="s">
        <v>37</v>
      </c>
      <c r="C189" s="74" t="s">
        <v>38</v>
      </c>
      <c r="D189" s="75">
        <v>215.5</v>
      </c>
      <c r="E189" s="6" t="s">
        <v>39</v>
      </c>
      <c r="F189" s="76">
        <v>65.820999999999998</v>
      </c>
      <c r="G189" s="76" t="s">
        <v>40</v>
      </c>
      <c r="H189" s="76">
        <f t="shared" si="2"/>
        <v>0.20100000000000762</v>
      </c>
      <c r="I189" s="77">
        <v>-0.39957507008548998</v>
      </c>
      <c r="J189" s="78">
        <v>11.176678750944632</v>
      </c>
      <c r="K189" s="79">
        <v>1.780722095116289</v>
      </c>
    </row>
    <row r="190" spans="1:11" x14ac:dyDescent="0.35">
      <c r="A190" t="s">
        <v>1383</v>
      </c>
      <c r="B190" s="73" t="s">
        <v>37</v>
      </c>
      <c r="C190" s="74" t="s">
        <v>38</v>
      </c>
      <c r="D190" s="75">
        <v>215.51</v>
      </c>
      <c r="E190" s="6" t="s">
        <v>39</v>
      </c>
      <c r="F190" s="76">
        <v>65.823250000000002</v>
      </c>
      <c r="G190" s="76" t="s">
        <v>40</v>
      </c>
      <c r="H190" s="76">
        <f t="shared" si="2"/>
        <v>0.19875000000000398</v>
      </c>
      <c r="I190" s="77">
        <v>-0.126189036773691</v>
      </c>
      <c r="J190" s="78">
        <v>9.9558318345419821</v>
      </c>
      <c r="K190" s="79">
        <v>0.55987517871363934</v>
      </c>
    </row>
    <row r="191" spans="1:11" x14ac:dyDescent="0.35">
      <c r="A191" t="s">
        <v>1383</v>
      </c>
      <c r="B191" s="73" t="s">
        <v>37</v>
      </c>
      <c r="C191" s="74" t="s">
        <v>38</v>
      </c>
      <c r="D191" s="75">
        <v>215.52</v>
      </c>
      <c r="E191" s="6" t="s">
        <v>39</v>
      </c>
      <c r="F191" s="76">
        <v>65.825500000000005</v>
      </c>
      <c r="G191" s="76" t="s">
        <v>40</v>
      </c>
      <c r="H191" s="76">
        <f t="shared" si="2"/>
        <v>0.19650000000000034</v>
      </c>
      <c r="I191" s="77">
        <v>-0.21786434533764101</v>
      </c>
      <c r="J191" s="78">
        <v>10.364014651141872</v>
      </c>
      <c r="K191" s="79">
        <v>0.96805799531352932</v>
      </c>
    </row>
    <row r="192" spans="1:11" x14ac:dyDescent="0.35">
      <c r="A192" t="s">
        <v>1383</v>
      </c>
      <c r="B192" s="73" t="s">
        <v>37</v>
      </c>
      <c r="C192" s="74" t="s">
        <v>38</v>
      </c>
      <c r="D192" s="75">
        <v>215.53</v>
      </c>
      <c r="E192" s="6" t="s">
        <v>39</v>
      </c>
      <c r="F192" s="76">
        <v>65.827749999999995</v>
      </c>
      <c r="G192" s="76" t="s">
        <v>40</v>
      </c>
      <c r="H192" s="76">
        <f t="shared" si="2"/>
        <v>0.19425000000001091</v>
      </c>
      <c r="I192" s="77">
        <v>-0.28410539904514698</v>
      </c>
      <c r="J192" s="78">
        <v>10.659708506710729</v>
      </c>
      <c r="K192" s="79">
        <v>1.263751850882386</v>
      </c>
    </row>
    <row r="193" spans="1:11" x14ac:dyDescent="0.35">
      <c r="A193" t="s">
        <v>1383</v>
      </c>
      <c r="B193" s="73" t="s">
        <v>37</v>
      </c>
      <c r="C193" s="74" t="s">
        <v>38</v>
      </c>
      <c r="D193" s="75">
        <v>215.54</v>
      </c>
      <c r="E193" s="6" t="s">
        <v>39</v>
      </c>
      <c r="F193" s="76">
        <v>65.83</v>
      </c>
      <c r="G193" s="76" t="s">
        <v>40</v>
      </c>
      <c r="H193" s="76">
        <f t="shared" si="2"/>
        <v>0.19200000000000728</v>
      </c>
      <c r="I193" s="77">
        <v>-0.75449143371483396</v>
      </c>
      <c r="J193" s="78">
        <v>12.777914006256538</v>
      </c>
      <c r="K193" s="79">
        <v>3.3819573504281948</v>
      </c>
    </row>
    <row r="194" spans="1:11" x14ac:dyDescent="0.35">
      <c r="A194" t="s">
        <v>1383</v>
      </c>
      <c r="B194" s="73" t="s">
        <v>37</v>
      </c>
      <c r="C194" s="74" t="s">
        <v>38</v>
      </c>
      <c r="D194" s="75">
        <v>215.55</v>
      </c>
      <c r="E194" s="6" t="s">
        <v>39</v>
      </c>
      <c r="F194" s="76">
        <v>65.832250000000002</v>
      </c>
      <c r="G194" s="76" t="s">
        <v>40</v>
      </c>
      <c r="H194" s="76">
        <f t="shared" ref="H194:H257" si="3">66.022-F194</f>
        <v>0.18975000000000364</v>
      </c>
      <c r="I194" s="77">
        <v>-0.392153113245299</v>
      </c>
      <c r="J194" s="78">
        <v>11.143391415707924</v>
      </c>
      <c r="K194" s="79">
        <v>1.7474347598795816</v>
      </c>
    </row>
    <row r="195" spans="1:11" x14ac:dyDescent="0.35">
      <c r="A195" t="s">
        <v>1383</v>
      </c>
      <c r="B195" s="73" t="s">
        <v>37</v>
      </c>
      <c r="C195" s="74" t="s">
        <v>38</v>
      </c>
      <c r="D195" s="75">
        <v>215.56</v>
      </c>
      <c r="E195" s="6" t="s">
        <v>39</v>
      </c>
      <c r="F195" s="76">
        <v>65.834500000000006</v>
      </c>
      <c r="G195" s="76" t="s">
        <v>40</v>
      </c>
      <c r="H195" s="76">
        <f t="shared" si="3"/>
        <v>0.1875</v>
      </c>
      <c r="I195" s="77">
        <v>-0.57918436035205301</v>
      </c>
      <c r="J195" s="78">
        <v>11.984682388864428</v>
      </c>
      <c r="K195" s="79">
        <v>2.5887257330360853</v>
      </c>
    </row>
    <row r="196" spans="1:11" x14ac:dyDescent="0.35">
      <c r="A196" t="s">
        <v>1383</v>
      </c>
      <c r="B196" s="73" t="s">
        <v>37</v>
      </c>
      <c r="C196" s="74" t="s">
        <v>38</v>
      </c>
      <c r="D196" s="75">
        <v>215.57</v>
      </c>
      <c r="E196" s="6" t="s">
        <v>39</v>
      </c>
      <c r="F196" s="76">
        <v>65.836749999999995</v>
      </c>
      <c r="G196" s="76" t="s">
        <v>40</v>
      </c>
      <c r="H196" s="76">
        <f t="shared" si="3"/>
        <v>0.18525000000001057</v>
      </c>
      <c r="I196" s="77">
        <v>-0.86854778908200103</v>
      </c>
      <c r="J196" s="78">
        <v>13.296446934629955</v>
      </c>
      <c r="K196" s="79">
        <v>3.9004902788016125</v>
      </c>
    </row>
    <row r="197" spans="1:11" x14ac:dyDescent="0.35">
      <c r="A197" t="s">
        <v>1383</v>
      </c>
      <c r="B197" s="73" t="s">
        <v>37</v>
      </c>
      <c r="C197" s="74" t="s">
        <v>38</v>
      </c>
      <c r="D197" s="75">
        <v>215.58</v>
      </c>
      <c r="E197" s="6" t="s">
        <v>39</v>
      </c>
      <c r="F197" s="76">
        <v>65.838999999999999</v>
      </c>
      <c r="G197" s="76" t="s">
        <v>40</v>
      </c>
      <c r="H197" s="76">
        <f t="shared" si="3"/>
        <v>0.18300000000000693</v>
      </c>
      <c r="I197" s="77">
        <v>-0.68891263674414105</v>
      </c>
      <c r="J197" s="78">
        <v>12.480649794392093</v>
      </c>
      <c r="K197" s="79">
        <v>3.0846931385637504</v>
      </c>
    </row>
    <row r="198" spans="1:11" x14ac:dyDescent="0.35">
      <c r="A198" t="s">
        <v>1383</v>
      </c>
      <c r="B198" s="73" t="s">
        <v>37</v>
      </c>
      <c r="C198" s="74" t="s">
        <v>38</v>
      </c>
      <c r="D198" s="75">
        <v>215.59</v>
      </c>
      <c r="E198" s="6" t="s">
        <v>39</v>
      </c>
      <c r="F198" s="76">
        <v>65.841250000000002</v>
      </c>
      <c r="G198" s="76" t="s">
        <v>40</v>
      </c>
      <c r="H198" s="76">
        <f t="shared" si="3"/>
        <v>0.1807500000000033</v>
      </c>
      <c r="I198" s="77">
        <v>-0.70859022654168302</v>
      </c>
      <c r="J198" s="78">
        <v>12.569779990303402</v>
      </c>
      <c r="K198" s="79">
        <v>3.1738233344750597</v>
      </c>
    </row>
    <row r="199" spans="1:11" x14ac:dyDescent="0.35">
      <c r="A199" t="s">
        <v>1383</v>
      </c>
      <c r="B199" s="73" t="s">
        <v>37</v>
      </c>
      <c r="C199" s="74" t="s">
        <v>38</v>
      </c>
      <c r="D199" s="75">
        <v>215.6</v>
      </c>
      <c r="E199" s="6" t="s">
        <v>39</v>
      </c>
      <c r="F199" s="76">
        <v>65.843500000000006</v>
      </c>
      <c r="G199" s="76" t="s">
        <v>40</v>
      </c>
      <c r="H199" s="76">
        <f t="shared" si="3"/>
        <v>0.17849999999999966</v>
      </c>
      <c r="I199" s="77">
        <v>-0.41233821629157102</v>
      </c>
      <c r="J199" s="78">
        <v>11.233940028984648</v>
      </c>
      <c r="K199" s="79">
        <v>1.8379833731563053</v>
      </c>
    </row>
    <row r="200" spans="1:11" x14ac:dyDescent="0.35">
      <c r="A200" t="s">
        <v>1383</v>
      </c>
      <c r="B200" s="73" t="s">
        <v>37</v>
      </c>
      <c r="C200" s="74" t="s">
        <v>38</v>
      </c>
      <c r="D200" s="75">
        <v>215.61</v>
      </c>
      <c r="E200" s="6" t="s">
        <v>39</v>
      </c>
      <c r="F200" s="76">
        <v>65.845749999999995</v>
      </c>
      <c r="G200" s="76" t="s">
        <v>40</v>
      </c>
      <c r="H200" s="76">
        <f t="shared" si="3"/>
        <v>0.17625000000001023</v>
      </c>
      <c r="I200" s="77">
        <v>-0.503182585545775</v>
      </c>
      <c r="J200" s="78">
        <v>11.642197639728693</v>
      </c>
      <c r="K200" s="79">
        <v>2.2462409839003499</v>
      </c>
    </row>
    <row r="201" spans="1:11" x14ac:dyDescent="0.35">
      <c r="A201" t="s">
        <v>1383</v>
      </c>
      <c r="B201" s="73" t="s">
        <v>37</v>
      </c>
      <c r="C201" s="74" t="s">
        <v>38</v>
      </c>
      <c r="D201" s="75">
        <v>215.62</v>
      </c>
      <c r="E201" s="6" t="s">
        <v>39</v>
      </c>
      <c r="F201" s="76">
        <v>65.847999999999999</v>
      </c>
      <c r="G201" s="76" t="s">
        <v>40</v>
      </c>
      <c r="H201" s="76">
        <f t="shared" si="3"/>
        <v>0.17400000000000659</v>
      </c>
      <c r="I201" s="77">
        <v>-0.38501624618316299</v>
      </c>
      <c r="J201" s="78">
        <v>11.111390285739049</v>
      </c>
      <c r="K201" s="79">
        <v>1.7154336299107058</v>
      </c>
    </row>
    <row r="202" spans="1:11" x14ac:dyDescent="0.35">
      <c r="A202" t="s">
        <v>1383</v>
      </c>
      <c r="B202" s="73" t="s">
        <v>37</v>
      </c>
      <c r="C202" s="74" t="s">
        <v>38</v>
      </c>
      <c r="D202" s="75">
        <v>215.63</v>
      </c>
      <c r="E202" s="6" t="s">
        <v>39</v>
      </c>
      <c r="F202" s="76">
        <v>65.850250000000003</v>
      </c>
      <c r="G202" s="76" t="s">
        <v>40</v>
      </c>
      <c r="H202" s="76">
        <f t="shared" si="3"/>
        <v>0.17175000000000296</v>
      </c>
      <c r="I202" s="77">
        <v>-0.46611789403808301</v>
      </c>
      <c r="J202" s="78">
        <v>11.475481724610631</v>
      </c>
      <c r="K202" s="79">
        <v>2.0795250687822886</v>
      </c>
    </row>
    <row r="203" spans="1:11" x14ac:dyDescent="0.35">
      <c r="A203" t="s">
        <v>1383</v>
      </c>
      <c r="B203" s="73" t="s">
        <v>37</v>
      </c>
      <c r="C203" s="74" t="s">
        <v>38</v>
      </c>
      <c r="D203" s="75">
        <v>215.64</v>
      </c>
      <c r="E203" s="6" t="s">
        <v>39</v>
      </c>
      <c r="F203" s="76">
        <v>65.852500000000006</v>
      </c>
      <c r="G203" s="76" t="s">
        <v>40</v>
      </c>
      <c r="H203" s="76">
        <f t="shared" si="3"/>
        <v>0.16949999999999932</v>
      </c>
      <c r="I203" s="77">
        <v>-0.48375620910192602</v>
      </c>
      <c r="J203" s="78">
        <v>11.554793238241984</v>
      </c>
      <c r="K203" s="79">
        <v>2.1588365824136417</v>
      </c>
    </row>
    <row r="204" spans="1:11" x14ac:dyDescent="0.35">
      <c r="A204" t="s">
        <v>1383</v>
      </c>
      <c r="B204" s="73" t="s">
        <v>37</v>
      </c>
      <c r="C204" s="74" t="s">
        <v>38</v>
      </c>
      <c r="D204" s="75">
        <v>215.65</v>
      </c>
      <c r="E204" s="6" t="s">
        <v>39</v>
      </c>
      <c r="F204" s="76">
        <v>65.854749999999996</v>
      </c>
      <c r="G204" s="76" t="s">
        <v>40</v>
      </c>
      <c r="H204" s="76">
        <f t="shared" si="3"/>
        <v>0.16725000000000989</v>
      </c>
      <c r="I204" s="77">
        <v>-0.51844997754356403</v>
      </c>
      <c r="J204" s="78">
        <v>11.710928535418816</v>
      </c>
      <c r="K204" s="79">
        <v>2.3149718795904732</v>
      </c>
    </row>
    <row r="205" spans="1:11" x14ac:dyDescent="0.35">
      <c r="A205" t="s">
        <v>1383</v>
      </c>
      <c r="B205" s="73" t="s">
        <v>37</v>
      </c>
      <c r="C205" s="74" t="s">
        <v>38</v>
      </c>
      <c r="D205" s="75">
        <v>215.66</v>
      </c>
      <c r="E205" s="6" t="s">
        <v>39</v>
      </c>
      <c r="F205" s="76">
        <v>65.856999999999999</v>
      </c>
      <c r="G205" s="76" t="s">
        <v>40</v>
      </c>
      <c r="H205" s="76">
        <f t="shared" si="3"/>
        <v>0.16500000000000625</v>
      </c>
      <c r="I205" s="77">
        <v>-0.52157827818951896</v>
      </c>
      <c r="J205" s="78">
        <v>11.725015775089048</v>
      </c>
      <c r="K205" s="79">
        <v>2.3290591192607053</v>
      </c>
    </row>
    <row r="206" spans="1:11" x14ac:dyDescent="0.35">
      <c r="A206" t="s">
        <v>1383</v>
      </c>
      <c r="B206" s="73" t="s">
        <v>37</v>
      </c>
      <c r="C206" s="74" t="s">
        <v>38</v>
      </c>
      <c r="D206" s="75">
        <v>215.67</v>
      </c>
      <c r="E206" s="6" t="s">
        <v>39</v>
      </c>
      <c r="F206" s="76">
        <v>65.859250000000003</v>
      </c>
      <c r="G206" s="76" t="s">
        <v>40</v>
      </c>
      <c r="H206" s="76">
        <f t="shared" si="3"/>
        <v>0.16275000000000261</v>
      </c>
      <c r="I206" s="77">
        <v>-0.38032145530290301</v>
      </c>
      <c r="J206" s="78">
        <v>11.090343278854789</v>
      </c>
      <c r="K206" s="79">
        <v>1.6943866230264462</v>
      </c>
    </row>
    <row r="207" spans="1:11" x14ac:dyDescent="0.35">
      <c r="A207" t="s">
        <v>1383</v>
      </c>
      <c r="B207" s="73" t="s">
        <v>37</v>
      </c>
      <c r="C207" s="74" t="s">
        <v>38</v>
      </c>
      <c r="D207" s="75">
        <v>215.69</v>
      </c>
      <c r="E207" s="6" t="s">
        <v>39</v>
      </c>
      <c r="F207" s="76">
        <v>65.863749999999996</v>
      </c>
      <c r="G207" s="76" t="s">
        <v>40</v>
      </c>
      <c r="H207" s="76">
        <f t="shared" si="3"/>
        <v>0.15825000000000955</v>
      </c>
      <c r="I207" s="77">
        <v>-0.43325341470228801</v>
      </c>
      <c r="J207" s="78">
        <v>11.327826584709101</v>
      </c>
      <c r="K207" s="79">
        <v>1.9318699288807579</v>
      </c>
    </row>
    <row r="208" spans="1:11" x14ac:dyDescent="0.35">
      <c r="A208" t="s">
        <v>1383</v>
      </c>
      <c r="B208" s="73" t="s">
        <v>37</v>
      </c>
      <c r="C208" s="74" t="s">
        <v>38</v>
      </c>
      <c r="D208" s="75">
        <v>215.7</v>
      </c>
      <c r="E208" s="6" t="s">
        <v>39</v>
      </c>
      <c r="F208" s="76">
        <v>65.866</v>
      </c>
      <c r="G208" s="76" t="s">
        <v>40</v>
      </c>
      <c r="H208" s="76">
        <f t="shared" si="3"/>
        <v>0.15600000000000591</v>
      </c>
      <c r="I208" s="77">
        <v>-0.32559191819563199</v>
      </c>
      <c r="J208" s="78">
        <v>10.845224762540795</v>
      </c>
      <c r="K208" s="79">
        <v>1.4492681067124522</v>
      </c>
    </row>
    <row r="209" spans="1:11" x14ac:dyDescent="0.35">
      <c r="A209" t="s">
        <v>1383</v>
      </c>
      <c r="B209" s="73" t="s">
        <v>37</v>
      </c>
      <c r="C209" s="74" t="s">
        <v>38</v>
      </c>
      <c r="D209" s="75">
        <v>215.71</v>
      </c>
      <c r="E209" s="6" t="s">
        <v>39</v>
      </c>
      <c r="F209" s="76">
        <v>65.868250000000003</v>
      </c>
      <c r="G209" s="76" t="s">
        <v>40</v>
      </c>
      <c r="H209" s="76">
        <f t="shared" si="3"/>
        <v>0.15375000000000227</v>
      </c>
      <c r="I209" s="77">
        <v>-0.40029676791976498</v>
      </c>
      <c r="J209" s="78">
        <v>11.179915981037084</v>
      </c>
      <c r="K209" s="79">
        <v>1.7839593252087411</v>
      </c>
    </row>
    <row r="210" spans="1:11" x14ac:dyDescent="0.35">
      <c r="A210" t="s">
        <v>1383</v>
      </c>
      <c r="B210" s="73" t="s">
        <v>37</v>
      </c>
      <c r="C210" s="74" t="s">
        <v>38</v>
      </c>
      <c r="D210" s="75">
        <v>215.72</v>
      </c>
      <c r="E210" s="6" t="s">
        <v>39</v>
      </c>
      <c r="F210" s="76">
        <v>65.870500000000007</v>
      </c>
      <c r="G210" s="76" t="s">
        <v>40</v>
      </c>
      <c r="H210" s="76">
        <f t="shared" si="3"/>
        <v>0.15149999999999864</v>
      </c>
      <c r="I210" s="77">
        <v>-0.132063517253206</v>
      </c>
      <c r="J210" s="78">
        <v>9.9819514945039032</v>
      </c>
      <c r="K210" s="79">
        <v>0.58599483867556046</v>
      </c>
    </row>
    <row r="211" spans="1:11" x14ac:dyDescent="0.35">
      <c r="A211" t="s">
        <v>1383</v>
      </c>
      <c r="B211" s="73" t="s">
        <v>37</v>
      </c>
      <c r="C211" s="74" t="s">
        <v>38</v>
      </c>
      <c r="D211" s="75">
        <v>215.73</v>
      </c>
      <c r="E211" s="6" t="s">
        <v>39</v>
      </c>
      <c r="F211" s="76">
        <v>65.872749999999996</v>
      </c>
      <c r="G211" s="76" t="s">
        <v>40</v>
      </c>
      <c r="H211" s="76">
        <f t="shared" si="3"/>
        <v>0.14925000000000921</v>
      </c>
      <c r="I211" s="77">
        <v>-0.34992817061888898</v>
      </c>
      <c r="J211" s="78">
        <v>10.954166256575206</v>
      </c>
      <c r="K211" s="79">
        <v>1.5582096007468635</v>
      </c>
    </row>
    <row r="212" spans="1:11" x14ac:dyDescent="0.35">
      <c r="A212" t="s">
        <v>1383</v>
      </c>
      <c r="B212" s="73" t="s">
        <v>37</v>
      </c>
      <c r="C212" s="74" t="s">
        <v>38</v>
      </c>
      <c r="D212" s="75">
        <v>215.74</v>
      </c>
      <c r="E212" s="6" t="s">
        <v>39</v>
      </c>
      <c r="F212" s="76">
        <v>65.875</v>
      </c>
      <c r="G212" s="76" t="s">
        <v>40</v>
      </c>
      <c r="H212" s="76">
        <f t="shared" si="3"/>
        <v>0.14700000000000557</v>
      </c>
      <c r="I212" s="77">
        <v>-0.22038461098208401</v>
      </c>
      <c r="J212" s="78">
        <v>10.375253246797399</v>
      </c>
      <c r="K212" s="79">
        <v>0.97929659096905652</v>
      </c>
    </row>
    <row r="213" spans="1:11" x14ac:dyDescent="0.35">
      <c r="A213" t="s">
        <v>1383</v>
      </c>
      <c r="B213" s="73" t="s">
        <v>37</v>
      </c>
      <c r="C213" s="74" t="s">
        <v>38</v>
      </c>
      <c r="D213" s="75">
        <v>215.75</v>
      </c>
      <c r="E213" s="6" t="s">
        <v>39</v>
      </c>
      <c r="F213" s="76">
        <v>65.877250000000004</v>
      </c>
      <c r="G213" s="76" t="s">
        <v>40</v>
      </c>
      <c r="H213" s="76">
        <f t="shared" si="3"/>
        <v>0.14475000000000193</v>
      </c>
      <c r="I213" s="77">
        <v>-0.19596703166405199</v>
      </c>
      <c r="J213" s="78">
        <v>10.26640685567844</v>
      </c>
      <c r="K213" s="79">
        <v>0.87045019985009731</v>
      </c>
    </row>
    <row r="214" spans="1:11" x14ac:dyDescent="0.35">
      <c r="A214" t="s">
        <v>1383</v>
      </c>
      <c r="B214" s="73" t="s">
        <v>37</v>
      </c>
      <c r="C214" s="74" t="s">
        <v>38</v>
      </c>
      <c r="D214" s="75">
        <v>215.76</v>
      </c>
      <c r="E214" s="6" t="s">
        <v>39</v>
      </c>
      <c r="F214" s="76">
        <v>65.879499999999993</v>
      </c>
      <c r="G214" s="76" t="s">
        <v>40</v>
      </c>
      <c r="H214" s="76">
        <f t="shared" si="3"/>
        <v>0.14250000000001251</v>
      </c>
      <c r="I214" s="77">
        <v>-0.19495402107575599</v>
      </c>
      <c r="J214" s="78">
        <v>10.261893015141084</v>
      </c>
      <c r="K214" s="79">
        <v>0.86593635931274093</v>
      </c>
    </row>
    <row r="215" spans="1:11" x14ac:dyDescent="0.35">
      <c r="A215" t="s">
        <v>1383</v>
      </c>
      <c r="B215" s="73" t="s">
        <v>37</v>
      </c>
      <c r="C215" s="74" t="s">
        <v>38</v>
      </c>
      <c r="D215" s="75">
        <v>215.77</v>
      </c>
      <c r="E215" s="6" t="s">
        <v>39</v>
      </c>
      <c r="F215" s="76">
        <v>65.881749999999997</v>
      </c>
      <c r="G215" s="76" t="s">
        <v>40</v>
      </c>
      <c r="H215" s="76">
        <f t="shared" si="3"/>
        <v>0.14025000000000887</v>
      </c>
      <c r="I215" s="77">
        <v>-0.427847177116981</v>
      </c>
      <c r="J215" s="78">
        <v>11.303552312953798</v>
      </c>
      <c r="K215" s="79">
        <v>1.9075956571254551</v>
      </c>
    </row>
    <row r="216" spans="1:11" x14ac:dyDescent="0.35">
      <c r="A216" t="s">
        <v>1383</v>
      </c>
      <c r="B216" s="73" t="s">
        <v>37</v>
      </c>
      <c r="C216" s="74" t="s">
        <v>38</v>
      </c>
      <c r="D216" s="75">
        <v>215.78</v>
      </c>
      <c r="E216" s="6" t="s">
        <v>39</v>
      </c>
      <c r="F216" s="76">
        <v>65.884</v>
      </c>
      <c r="G216" s="76" t="s">
        <v>40</v>
      </c>
      <c r="H216" s="76">
        <f t="shared" si="3"/>
        <v>0.13800000000000523</v>
      </c>
      <c r="I216" s="77">
        <v>-0.14535026028473</v>
      </c>
      <c r="J216" s="78">
        <v>10.041046592028351</v>
      </c>
      <c r="K216" s="79">
        <v>0.64508993620000865</v>
      </c>
    </row>
    <row r="217" spans="1:11" x14ac:dyDescent="0.35">
      <c r="A217" t="s">
        <v>1383</v>
      </c>
      <c r="B217" s="73" t="s">
        <v>37</v>
      </c>
      <c r="C217" s="74" t="s">
        <v>38</v>
      </c>
      <c r="D217" s="75">
        <v>215.79</v>
      </c>
      <c r="E217" s="6" t="s">
        <v>39</v>
      </c>
      <c r="F217" s="76">
        <v>65.886250000000004</v>
      </c>
      <c r="G217" s="76" t="s">
        <v>40</v>
      </c>
      <c r="H217" s="76">
        <f t="shared" si="3"/>
        <v>0.13575000000000159</v>
      </c>
      <c r="I217" s="77">
        <v>-0.32420421920409498</v>
      </c>
      <c r="J217" s="78">
        <v>10.839015310890147</v>
      </c>
      <c r="K217" s="79">
        <v>1.4430586550618045</v>
      </c>
    </row>
    <row r="218" spans="1:11" x14ac:dyDescent="0.35">
      <c r="A218" t="s">
        <v>1383</v>
      </c>
      <c r="B218" s="73" t="s">
        <v>37</v>
      </c>
      <c r="C218" s="74" t="s">
        <v>38</v>
      </c>
      <c r="D218" s="75">
        <v>215.8</v>
      </c>
      <c r="E218" s="6" t="s">
        <v>39</v>
      </c>
      <c r="F218" s="76">
        <v>65.888499999999993</v>
      </c>
      <c r="G218" s="76" t="s">
        <v>40</v>
      </c>
      <c r="H218" s="76">
        <f t="shared" si="3"/>
        <v>0.13350000000001216</v>
      </c>
      <c r="I218" s="77">
        <v>-0.349059815138617</v>
      </c>
      <c r="J218" s="78">
        <v>10.950277570426238</v>
      </c>
      <c r="K218" s="79">
        <v>1.5543209145978949</v>
      </c>
    </row>
    <row r="219" spans="1:11" x14ac:dyDescent="0.35">
      <c r="A219" t="s">
        <v>1383</v>
      </c>
      <c r="B219" s="73" t="s">
        <v>37</v>
      </c>
      <c r="C219" s="74" t="s">
        <v>38</v>
      </c>
      <c r="D219" s="75">
        <v>215.81</v>
      </c>
      <c r="E219" s="6" t="s">
        <v>39</v>
      </c>
      <c r="F219" s="76">
        <v>65.890749999999997</v>
      </c>
      <c r="G219" s="76" t="s">
        <v>40</v>
      </c>
      <c r="H219" s="76">
        <f t="shared" si="3"/>
        <v>0.13125000000000853</v>
      </c>
      <c r="I219" s="77">
        <v>-0.24628614892794201</v>
      </c>
      <c r="J219" s="78">
        <v>10.490809016751712</v>
      </c>
      <c r="K219" s="79">
        <v>1.0948523609233689</v>
      </c>
    </row>
    <row r="220" spans="1:11" x14ac:dyDescent="0.35">
      <c r="A220" t="s">
        <v>1383</v>
      </c>
      <c r="B220" s="73" t="s">
        <v>37</v>
      </c>
      <c r="C220" s="74" t="s">
        <v>38</v>
      </c>
      <c r="D220" s="75">
        <v>215.82</v>
      </c>
      <c r="E220" s="6" t="s">
        <v>39</v>
      </c>
      <c r="F220" s="76">
        <v>65.893000000000001</v>
      </c>
      <c r="G220" s="76" t="s">
        <v>40</v>
      </c>
      <c r="H220" s="76">
        <f t="shared" si="3"/>
        <v>0.12900000000000489</v>
      </c>
      <c r="I220" s="77">
        <v>-0.228139587419284</v>
      </c>
      <c r="J220" s="78">
        <v>10.409840703883958</v>
      </c>
      <c r="K220" s="79">
        <v>1.0138840480556155</v>
      </c>
    </row>
    <row r="221" spans="1:11" x14ac:dyDescent="0.35">
      <c r="A221" t="s">
        <v>1383</v>
      </c>
      <c r="B221" s="73" t="s">
        <v>37</v>
      </c>
      <c r="C221" s="74" t="s">
        <v>38</v>
      </c>
      <c r="D221" s="75">
        <v>215.83</v>
      </c>
      <c r="E221" s="6" t="s">
        <v>39</v>
      </c>
      <c r="F221" s="76">
        <v>65.895250000000004</v>
      </c>
      <c r="G221" s="76" t="s">
        <v>40</v>
      </c>
      <c r="H221" s="76">
        <f t="shared" si="3"/>
        <v>0.12675000000000125</v>
      </c>
      <c r="I221" s="77">
        <v>-0.31403561225610599</v>
      </c>
      <c r="J221" s="78">
        <v>10.793523014867219</v>
      </c>
      <c r="K221" s="79">
        <v>1.3975663590388763</v>
      </c>
    </row>
    <row r="222" spans="1:11" x14ac:dyDescent="0.35">
      <c r="A222" t="s">
        <v>1383</v>
      </c>
      <c r="B222" s="73" t="s">
        <v>37</v>
      </c>
      <c r="C222" s="74" t="s">
        <v>38</v>
      </c>
      <c r="D222" s="75">
        <v>215.84</v>
      </c>
      <c r="E222" s="6" t="s">
        <v>39</v>
      </c>
      <c r="F222" s="76">
        <v>65.897499999999994</v>
      </c>
      <c r="G222" s="76" t="s">
        <v>40</v>
      </c>
      <c r="H222" s="76">
        <f t="shared" si="3"/>
        <v>0.12450000000001182</v>
      </c>
      <c r="I222" s="77">
        <v>-0.36476229083459699</v>
      </c>
      <c r="J222" s="78">
        <v>11.02061366632023</v>
      </c>
      <c r="K222" s="79">
        <v>1.6246570104918874</v>
      </c>
    </row>
    <row r="223" spans="1:11" x14ac:dyDescent="0.35">
      <c r="A223" t="s">
        <v>1383</v>
      </c>
      <c r="B223" s="73" t="s">
        <v>37</v>
      </c>
      <c r="C223" s="74" t="s">
        <v>38</v>
      </c>
      <c r="D223" s="75">
        <v>215.85</v>
      </c>
      <c r="E223" s="6" t="s">
        <v>39</v>
      </c>
      <c r="F223" s="76">
        <v>65.899749999999997</v>
      </c>
      <c r="G223" s="76" t="s">
        <v>40</v>
      </c>
      <c r="H223" s="76">
        <f t="shared" si="3"/>
        <v>0.12225000000000819</v>
      </c>
      <c r="I223" s="77">
        <v>-0.34312826433874799</v>
      </c>
      <c r="J223" s="78">
        <v>10.923717723161474</v>
      </c>
      <c r="K223" s="79">
        <v>1.527761067333131</v>
      </c>
    </row>
    <row r="224" spans="1:11" x14ac:dyDescent="0.35">
      <c r="A224" t="s">
        <v>1383</v>
      </c>
      <c r="B224" s="73" t="s">
        <v>37</v>
      </c>
      <c r="C224" s="74" t="s">
        <v>38</v>
      </c>
      <c r="D224" s="75">
        <v>215.86</v>
      </c>
      <c r="E224" s="6" t="s">
        <v>39</v>
      </c>
      <c r="F224" s="76">
        <v>65.902000000000001</v>
      </c>
      <c r="G224" s="76" t="s">
        <v>40</v>
      </c>
      <c r="H224" s="76">
        <f t="shared" si="3"/>
        <v>0.12000000000000455</v>
      </c>
      <c r="I224" s="77">
        <v>-0.328693964371646</v>
      </c>
      <c r="J224" s="78">
        <v>10.859106311658252</v>
      </c>
      <c r="K224" s="79">
        <v>1.4631496558299091</v>
      </c>
    </row>
    <row r="225" spans="1:11" x14ac:dyDescent="0.35">
      <c r="A225" t="s">
        <v>1383</v>
      </c>
      <c r="B225" s="73" t="s">
        <v>37</v>
      </c>
      <c r="C225" s="74" t="s">
        <v>38</v>
      </c>
      <c r="D225" s="75">
        <v>215.87</v>
      </c>
      <c r="E225" s="6" t="s">
        <v>39</v>
      </c>
      <c r="F225" s="76">
        <v>65.904250000000005</v>
      </c>
      <c r="G225" s="76" t="s">
        <v>40</v>
      </c>
      <c r="H225" s="76">
        <f t="shared" si="3"/>
        <v>0.11775000000000091</v>
      </c>
      <c r="I225" s="77">
        <v>-0.39121843089607999</v>
      </c>
      <c r="J225" s="78">
        <v>11.139199953249488</v>
      </c>
      <c r="K225" s="79">
        <v>1.7432432974211451</v>
      </c>
    </row>
    <row r="226" spans="1:11" x14ac:dyDescent="0.35">
      <c r="A226" t="s">
        <v>1383</v>
      </c>
      <c r="B226" s="73" t="s">
        <v>37</v>
      </c>
      <c r="C226" s="74" t="s">
        <v>38</v>
      </c>
      <c r="D226" s="75">
        <v>215.88</v>
      </c>
      <c r="E226" s="6" t="s">
        <v>39</v>
      </c>
      <c r="F226" s="76">
        <v>65.906499999999994</v>
      </c>
      <c r="G226" s="76" t="s">
        <v>40</v>
      </c>
      <c r="H226" s="76">
        <f t="shared" si="3"/>
        <v>0.11550000000001148</v>
      </c>
      <c r="I226" s="77">
        <v>-0.40829113563153602</v>
      </c>
      <c r="J226" s="78">
        <v>11.215780408500279</v>
      </c>
      <c r="K226" s="79">
        <v>1.8198237526719367</v>
      </c>
    </row>
    <row r="227" spans="1:11" x14ac:dyDescent="0.35">
      <c r="A227" t="s">
        <v>1383</v>
      </c>
      <c r="B227" s="73" t="s">
        <v>37</v>
      </c>
      <c r="C227" s="74" t="s">
        <v>38</v>
      </c>
      <c r="D227" s="75">
        <v>215.89</v>
      </c>
      <c r="E227" s="6" t="s">
        <v>39</v>
      </c>
      <c r="F227" s="76">
        <v>65.908749999999998</v>
      </c>
      <c r="G227" s="76" t="s">
        <v>40</v>
      </c>
      <c r="H227" s="76">
        <f t="shared" si="3"/>
        <v>0.11325000000000784</v>
      </c>
      <c r="I227" s="77">
        <v>-0.35220471057811598</v>
      </c>
      <c r="J227" s="78">
        <v>10.964361622876027</v>
      </c>
      <c r="K227" s="79">
        <v>1.5684049670476838</v>
      </c>
    </row>
    <row r="228" spans="1:11" x14ac:dyDescent="0.35">
      <c r="A228" t="s">
        <v>1383</v>
      </c>
      <c r="B228" s="73" t="s">
        <v>37</v>
      </c>
      <c r="C228" s="74" t="s">
        <v>38</v>
      </c>
      <c r="D228" s="75">
        <v>215.9</v>
      </c>
      <c r="E228" s="6" t="s">
        <v>39</v>
      </c>
      <c r="F228" s="76">
        <v>65.911000000000001</v>
      </c>
      <c r="G228" s="76" t="s">
        <v>40</v>
      </c>
      <c r="H228" s="76">
        <f t="shared" si="3"/>
        <v>0.11100000000000421</v>
      </c>
      <c r="I228" s="77">
        <v>-0.22693015788705601</v>
      </c>
      <c r="J228" s="78">
        <v>10.404446034227476</v>
      </c>
      <c r="K228" s="79">
        <v>1.0084893783991333</v>
      </c>
    </row>
    <row r="229" spans="1:11" x14ac:dyDescent="0.35">
      <c r="A229" t="s">
        <v>1383</v>
      </c>
      <c r="B229" s="73" t="s">
        <v>37</v>
      </c>
      <c r="C229" s="74" t="s">
        <v>38</v>
      </c>
      <c r="D229" s="75">
        <v>215.91</v>
      </c>
      <c r="E229" s="6" t="s">
        <v>39</v>
      </c>
      <c r="F229" s="76">
        <v>65.913184000000001</v>
      </c>
      <c r="G229" s="76" t="s">
        <v>40</v>
      </c>
      <c r="H229" s="76">
        <f t="shared" si="3"/>
        <v>0.10881600000000446</v>
      </c>
      <c r="I229" s="77">
        <v>-0.40350736930986097</v>
      </c>
      <c r="J229" s="78">
        <v>11.194318297617826</v>
      </c>
      <c r="K229" s="79">
        <v>1.7983616417894837</v>
      </c>
    </row>
    <row r="230" spans="1:11" x14ac:dyDescent="0.35">
      <c r="A230" t="s">
        <v>1383</v>
      </c>
      <c r="B230" s="73" t="s">
        <v>37</v>
      </c>
      <c r="C230" s="74" t="s">
        <v>38</v>
      </c>
      <c r="D230" s="75">
        <v>215.92</v>
      </c>
      <c r="E230" s="6" t="s">
        <v>39</v>
      </c>
      <c r="F230" s="76">
        <v>65.915368000000001</v>
      </c>
      <c r="G230" s="76" t="s">
        <v>40</v>
      </c>
      <c r="H230" s="76">
        <f t="shared" si="3"/>
        <v>0.10663200000000472</v>
      </c>
      <c r="I230" s="77">
        <v>-0.32043617569924299</v>
      </c>
      <c r="J230" s="78">
        <v>10.822156090541228</v>
      </c>
      <c r="K230" s="79">
        <v>1.4261994347128848</v>
      </c>
    </row>
    <row r="231" spans="1:11" x14ac:dyDescent="0.35">
      <c r="A231" t="s">
        <v>1383</v>
      </c>
      <c r="B231" s="73" t="s">
        <v>37</v>
      </c>
      <c r="C231" s="74" t="s">
        <v>38</v>
      </c>
      <c r="D231" s="75">
        <v>215.93</v>
      </c>
      <c r="E231" s="6" t="s">
        <v>39</v>
      </c>
      <c r="F231" s="76">
        <v>65.917552999999998</v>
      </c>
      <c r="G231" s="76" t="s">
        <v>40</v>
      </c>
      <c r="H231" s="76">
        <f t="shared" si="3"/>
        <v>0.10444700000000751</v>
      </c>
      <c r="I231" s="77">
        <v>-0.29015281740903998</v>
      </c>
      <c r="J231" s="78">
        <v>10.686735320830337</v>
      </c>
      <c r="K231" s="79">
        <v>1.2907786650019943</v>
      </c>
    </row>
    <row r="232" spans="1:11" x14ac:dyDescent="0.35">
      <c r="A232" t="s">
        <v>1383</v>
      </c>
      <c r="B232" s="73" t="s">
        <v>37</v>
      </c>
      <c r="C232" s="74" t="s">
        <v>38</v>
      </c>
      <c r="D232" s="75">
        <v>215.94</v>
      </c>
      <c r="E232" s="6" t="s">
        <v>39</v>
      </c>
      <c r="F232" s="76">
        <v>65.919736999999998</v>
      </c>
      <c r="G232" s="76" t="s">
        <v>40</v>
      </c>
      <c r="H232" s="76">
        <f t="shared" si="3"/>
        <v>0.10226300000000776</v>
      </c>
      <c r="I232" s="77">
        <v>-0.37351037545995103</v>
      </c>
      <c r="J232" s="78">
        <v>11.059814547432268</v>
      </c>
      <c r="K232" s="79">
        <v>1.6638578916039251</v>
      </c>
    </row>
    <row r="233" spans="1:11" x14ac:dyDescent="0.35">
      <c r="A233" t="s">
        <v>1383</v>
      </c>
      <c r="B233" s="73" t="s">
        <v>37</v>
      </c>
      <c r="C233" s="74" t="s">
        <v>38</v>
      </c>
      <c r="D233" s="75">
        <v>215.95</v>
      </c>
      <c r="E233" s="6" t="s">
        <v>39</v>
      </c>
      <c r="F233" s="76">
        <v>65.921920999999998</v>
      </c>
      <c r="G233" s="76" t="s">
        <v>40</v>
      </c>
      <c r="H233" s="76">
        <f t="shared" si="3"/>
        <v>0.10007900000000802</v>
      </c>
      <c r="I233" s="77">
        <v>-0.36093300902407499</v>
      </c>
      <c r="J233" s="78">
        <v>11.003457852525855</v>
      </c>
      <c r="K233" s="79">
        <v>1.6075011966975126</v>
      </c>
    </row>
    <row r="234" spans="1:11" x14ac:dyDescent="0.35">
      <c r="A234" t="s">
        <v>1383</v>
      </c>
      <c r="B234" s="73" t="s">
        <v>37</v>
      </c>
      <c r="C234" s="74" t="s">
        <v>38</v>
      </c>
      <c r="D234" s="75">
        <v>215.96</v>
      </c>
      <c r="E234" s="6" t="s">
        <v>39</v>
      </c>
      <c r="F234" s="76">
        <v>65.924104999999997</v>
      </c>
      <c r="G234" s="76" t="s">
        <v>40</v>
      </c>
      <c r="H234" s="76">
        <f t="shared" si="3"/>
        <v>9.7895000000008281E-2</v>
      </c>
      <c r="I234" s="77">
        <v>-0.133467281380974</v>
      </c>
      <c r="J234" s="78">
        <v>9.9881937769591786</v>
      </c>
      <c r="K234" s="79">
        <v>0.59223712113083593</v>
      </c>
    </row>
    <row r="235" spans="1:11" x14ac:dyDescent="0.35">
      <c r="A235" t="s">
        <v>1383</v>
      </c>
      <c r="B235" s="73" t="s">
        <v>37</v>
      </c>
      <c r="C235" s="74" t="s">
        <v>38</v>
      </c>
      <c r="D235" s="75">
        <v>215.97</v>
      </c>
      <c r="E235" s="6" t="s">
        <v>39</v>
      </c>
      <c r="F235" s="76">
        <v>65.926288999999997</v>
      </c>
      <c r="G235" s="76" t="s">
        <v>40</v>
      </c>
      <c r="H235" s="76">
        <f t="shared" si="3"/>
        <v>9.5711000000008539E-2</v>
      </c>
      <c r="I235" s="77">
        <v>-0.52457077607581404</v>
      </c>
      <c r="J235" s="78">
        <v>11.73849281837596</v>
      </c>
      <c r="K235" s="79">
        <v>2.3425361625476171</v>
      </c>
    </row>
    <row r="236" spans="1:11" x14ac:dyDescent="0.35">
      <c r="A236" t="s">
        <v>1383</v>
      </c>
      <c r="B236" s="73" t="s">
        <v>37</v>
      </c>
      <c r="C236" s="74" t="s">
        <v>38</v>
      </c>
      <c r="D236" s="75">
        <v>215.98</v>
      </c>
      <c r="E236" s="6" t="s">
        <v>39</v>
      </c>
      <c r="F236" s="76">
        <v>65.928473999999994</v>
      </c>
      <c r="G236" s="76" t="s">
        <v>40</v>
      </c>
      <c r="H236" s="76">
        <f t="shared" si="3"/>
        <v>9.3526000000011322E-2</v>
      </c>
      <c r="I236" s="77">
        <v>-0.41392909970039199</v>
      </c>
      <c r="J236" s="78">
        <v>11.241079123319196</v>
      </c>
      <c r="K236" s="79">
        <v>1.8451224674908531</v>
      </c>
    </row>
    <row r="237" spans="1:11" x14ac:dyDescent="0.35">
      <c r="A237" t="s">
        <v>1383</v>
      </c>
      <c r="B237" s="73" t="s">
        <v>37</v>
      </c>
      <c r="C237" s="74" t="s">
        <v>38</v>
      </c>
      <c r="D237" s="75">
        <v>215.99</v>
      </c>
      <c r="E237" s="6" t="s">
        <v>39</v>
      </c>
      <c r="F237" s="76">
        <v>65.930657999999994</v>
      </c>
      <c r="G237" s="76" t="s">
        <v>40</v>
      </c>
      <c r="H237" s="76">
        <f t="shared" si="3"/>
        <v>9.1342000000011581E-2</v>
      </c>
      <c r="I237" s="77">
        <v>-0.41644852922713899</v>
      </c>
      <c r="J237" s="78">
        <v>11.252385827877504</v>
      </c>
      <c r="K237" s="79">
        <v>1.856429172049161</v>
      </c>
    </row>
    <row r="238" spans="1:11" x14ac:dyDescent="0.35">
      <c r="A238" t="s">
        <v>1383</v>
      </c>
      <c r="B238" s="73" t="s">
        <v>37</v>
      </c>
      <c r="C238" s="74" t="s">
        <v>38</v>
      </c>
      <c r="D238" s="75">
        <v>216</v>
      </c>
      <c r="E238" s="6" t="s">
        <v>39</v>
      </c>
      <c r="F238" s="76">
        <v>65.932841999999994</v>
      </c>
      <c r="G238" s="76" t="s">
        <v>40</v>
      </c>
      <c r="H238" s="76">
        <f t="shared" si="3"/>
        <v>8.9158000000011839E-2</v>
      </c>
      <c r="I238" s="77">
        <v>0.122432406263382</v>
      </c>
      <c r="J238" s="78">
        <v>8.8549284974115494</v>
      </c>
      <c r="K238" s="79">
        <v>-0.5410281584167933</v>
      </c>
    </row>
    <row r="239" spans="1:11" x14ac:dyDescent="0.35">
      <c r="A239" t="s">
        <v>1383</v>
      </c>
      <c r="B239" s="73" t="s">
        <v>37</v>
      </c>
      <c r="C239" s="74" t="s">
        <v>38</v>
      </c>
      <c r="D239" s="75">
        <v>216.01</v>
      </c>
      <c r="E239" s="6" t="s">
        <v>39</v>
      </c>
      <c r="F239" s="76">
        <v>65.935025999999993</v>
      </c>
      <c r="G239" s="76" t="s">
        <v>40</v>
      </c>
      <c r="H239" s="76">
        <f t="shared" si="3"/>
        <v>8.6974000000012097E-2</v>
      </c>
      <c r="I239" s="77">
        <v>-0.12372992363912801</v>
      </c>
      <c r="J239" s="78">
        <v>9.9448993740736</v>
      </c>
      <c r="K239" s="79">
        <v>0.54894271824525731</v>
      </c>
    </row>
    <row r="240" spans="1:11" x14ac:dyDescent="0.35">
      <c r="A240" t="s">
        <v>1383</v>
      </c>
      <c r="B240" s="73" t="s">
        <v>37</v>
      </c>
      <c r="C240" s="74" t="s">
        <v>38</v>
      </c>
      <c r="D240" s="75">
        <v>216.02</v>
      </c>
      <c r="E240" s="6" t="s">
        <v>39</v>
      </c>
      <c r="F240" s="76">
        <v>65.937211000000005</v>
      </c>
      <c r="G240" s="76" t="s">
        <v>40</v>
      </c>
      <c r="H240" s="76">
        <f t="shared" si="3"/>
        <v>8.4789000000000669E-2</v>
      </c>
      <c r="I240" s="77">
        <v>-3.40012240093392E-2</v>
      </c>
      <c r="J240" s="78">
        <v>9.546588180498361</v>
      </c>
      <c r="K240" s="79">
        <v>0.15063152467001828</v>
      </c>
    </row>
    <row r="241" spans="1:11" x14ac:dyDescent="0.35">
      <c r="A241" t="s">
        <v>1383</v>
      </c>
      <c r="B241" s="73" t="s">
        <v>37</v>
      </c>
      <c r="C241" s="74" t="s">
        <v>38</v>
      </c>
      <c r="D241" s="75">
        <v>216.04</v>
      </c>
      <c r="E241" s="6" t="s">
        <v>39</v>
      </c>
      <c r="F241" s="76">
        <v>65.941579000000004</v>
      </c>
      <c r="G241" s="76" t="s">
        <v>40</v>
      </c>
      <c r="H241" s="76">
        <f t="shared" si="3"/>
        <v>8.0421000000001186E-2</v>
      </c>
      <c r="I241" s="77">
        <v>0.54154400339361397</v>
      </c>
      <c r="J241" s="78">
        <v>7.018954571542281</v>
      </c>
      <c r="K241" s="79">
        <v>-2.3770020842860617</v>
      </c>
    </row>
    <row r="242" spans="1:11" x14ac:dyDescent="0.35">
      <c r="A242" t="s">
        <v>1383</v>
      </c>
      <c r="B242" s="73" t="s">
        <v>37</v>
      </c>
      <c r="C242" s="74" t="s">
        <v>38</v>
      </c>
      <c r="D242" s="75">
        <v>216.05</v>
      </c>
      <c r="E242" s="6" t="s">
        <v>39</v>
      </c>
      <c r="F242" s="76">
        <v>65.943763000000004</v>
      </c>
      <c r="G242" s="76" t="s">
        <v>40</v>
      </c>
      <c r="H242" s="76">
        <f t="shared" si="3"/>
        <v>7.8237000000001444E-2</v>
      </c>
      <c r="I242" s="77">
        <v>0.36384092450430899</v>
      </c>
      <c r="J242" s="78">
        <v>7.7943853522259019</v>
      </c>
      <c r="K242" s="79">
        <v>-1.6015713036024408</v>
      </c>
    </row>
    <row r="243" spans="1:11" x14ac:dyDescent="0.35">
      <c r="A243" t="s">
        <v>1383</v>
      </c>
      <c r="B243" s="73" t="s">
        <v>37</v>
      </c>
      <c r="C243" s="74" t="s">
        <v>38</v>
      </c>
      <c r="D243" s="75">
        <v>216.06</v>
      </c>
      <c r="E243" s="6" t="s">
        <v>39</v>
      </c>
      <c r="F243" s="76">
        <v>65.945947000000004</v>
      </c>
      <c r="G243" s="76" t="s">
        <v>40</v>
      </c>
      <c r="H243" s="76">
        <f t="shared" si="3"/>
        <v>7.6053000000001703E-2</v>
      </c>
      <c r="I243" s="77">
        <v>0.210914262605014</v>
      </c>
      <c r="J243" s="78">
        <v>8.4652566796268616</v>
      </c>
      <c r="K243" s="79">
        <v>-0.93069997620148115</v>
      </c>
    </row>
    <row r="244" spans="1:11" x14ac:dyDescent="0.35">
      <c r="A244" t="s">
        <v>1383</v>
      </c>
      <c r="B244" s="73" t="s">
        <v>37</v>
      </c>
      <c r="C244" s="74" t="s">
        <v>38</v>
      </c>
      <c r="D244" s="75">
        <v>216.09</v>
      </c>
      <c r="E244" s="6" t="s">
        <v>39</v>
      </c>
      <c r="F244" s="76">
        <v>65.952500000000001</v>
      </c>
      <c r="G244" s="76" t="s">
        <v>40</v>
      </c>
      <c r="H244" s="76">
        <f t="shared" si="3"/>
        <v>6.9500000000005002E-2</v>
      </c>
      <c r="I244" s="77">
        <v>0.49416549168884899</v>
      </c>
      <c r="J244" s="78">
        <v>7.2252647004747814</v>
      </c>
      <c r="K244" s="79">
        <v>-2.1706919553535613</v>
      </c>
    </row>
    <row r="245" spans="1:11" x14ac:dyDescent="0.35">
      <c r="A245" t="s">
        <v>1383</v>
      </c>
      <c r="B245" s="73" t="s">
        <v>37</v>
      </c>
      <c r="C245" s="74" t="s">
        <v>38</v>
      </c>
      <c r="D245" s="75">
        <v>216.1</v>
      </c>
      <c r="E245" s="6" t="s">
        <v>39</v>
      </c>
      <c r="F245" s="76">
        <v>65.954684</v>
      </c>
      <c r="G245" s="76" t="s">
        <v>40</v>
      </c>
      <c r="H245" s="76">
        <f t="shared" si="3"/>
        <v>6.7316000000005261E-2</v>
      </c>
      <c r="I245" s="77">
        <v>0.215085343492984</v>
      </c>
      <c r="J245" s="78">
        <v>8.4469147736840569</v>
      </c>
      <c r="K245" s="79">
        <v>-0.94904188214428586</v>
      </c>
    </row>
    <row r="246" spans="1:11" x14ac:dyDescent="0.35">
      <c r="A246" t="s">
        <v>1383</v>
      </c>
      <c r="B246" s="73" t="s">
        <v>37</v>
      </c>
      <c r="C246" s="74" t="s">
        <v>38</v>
      </c>
      <c r="D246" s="75">
        <v>216.11</v>
      </c>
      <c r="E246" s="6" t="s">
        <v>39</v>
      </c>
      <c r="F246" s="76">
        <v>65.956868</v>
      </c>
      <c r="G246" s="76" t="s">
        <v>40</v>
      </c>
      <c r="H246" s="76">
        <f t="shared" si="3"/>
        <v>6.5132000000005519E-2</v>
      </c>
      <c r="I246" s="77">
        <v>0.136706077779323</v>
      </c>
      <c r="J246" s="78">
        <v>8.7919923482469926</v>
      </c>
      <c r="K246" s="79">
        <v>-0.60396430758135011</v>
      </c>
    </row>
    <row r="247" spans="1:11" x14ac:dyDescent="0.35">
      <c r="A247" t="s">
        <v>1383</v>
      </c>
      <c r="B247" s="73" t="s">
        <v>37</v>
      </c>
      <c r="C247" s="74" t="s">
        <v>38</v>
      </c>
      <c r="D247" s="75">
        <v>216.14</v>
      </c>
      <c r="E247" s="6" t="s">
        <v>39</v>
      </c>
      <c r="F247" s="76">
        <v>65.963420999999997</v>
      </c>
      <c r="G247" s="76" t="s">
        <v>40</v>
      </c>
      <c r="H247" s="76">
        <f t="shared" si="3"/>
        <v>5.8579000000008818E-2</v>
      </c>
      <c r="I247" s="77">
        <v>0.186308207526555</v>
      </c>
      <c r="J247" s="78">
        <v>8.573509516695367</v>
      </c>
      <c r="K247" s="79">
        <v>-0.82244713913297574</v>
      </c>
    </row>
    <row r="248" spans="1:11" x14ac:dyDescent="0.35">
      <c r="A248" t="s">
        <v>1383</v>
      </c>
      <c r="B248" s="73" t="s">
        <v>37</v>
      </c>
      <c r="C248" s="74" t="s">
        <v>38</v>
      </c>
      <c r="D248" s="75">
        <v>216.15</v>
      </c>
      <c r="E248" s="6" t="s">
        <v>39</v>
      </c>
      <c r="F248" s="76">
        <v>65.965604999999996</v>
      </c>
      <c r="G248" s="76" t="s">
        <v>40</v>
      </c>
      <c r="H248" s="76">
        <f t="shared" si="3"/>
        <v>5.6395000000009077E-2</v>
      </c>
      <c r="I248" s="77">
        <v>0.11911933839378</v>
      </c>
      <c r="J248" s="78">
        <v>8.8695407797910661</v>
      </c>
      <c r="K248" s="79">
        <v>-0.52641587603727658</v>
      </c>
    </row>
    <row r="249" spans="1:11" x14ac:dyDescent="0.35">
      <c r="A249" t="s">
        <v>1383</v>
      </c>
      <c r="B249" s="73" t="s">
        <v>37</v>
      </c>
      <c r="C249" s="74" t="s">
        <v>38</v>
      </c>
      <c r="D249" s="75">
        <v>216.16</v>
      </c>
      <c r="E249" s="6" t="s">
        <v>39</v>
      </c>
      <c r="F249" s="76">
        <v>65.967788999999996</v>
      </c>
      <c r="G249" s="76" t="s">
        <v>40</v>
      </c>
      <c r="H249" s="76">
        <f t="shared" si="3"/>
        <v>5.4211000000009335E-2</v>
      </c>
      <c r="I249" s="77">
        <v>0.45305347610059299</v>
      </c>
      <c r="J249" s="78">
        <v>7.4045416300168085</v>
      </c>
      <c r="K249" s="79">
        <v>-1.9914150258115342</v>
      </c>
    </row>
    <row r="250" spans="1:11" x14ac:dyDescent="0.35">
      <c r="A250" t="s">
        <v>1383</v>
      </c>
      <c r="B250" s="73" t="s">
        <v>37</v>
      </c>
      <c r="C250" s="74" t="s">
        <v>38</v>
      </c>
      <c r="D250" s="75">
        <v>216.17</v>
      </c>
      <c r="E250" s="6" t="s">
        <v>39</v>
      </c>
      <c r="F250" s="76">
        <v>65.969973999999993</v>
      </c>
      <c r="G250" s="76" t="s">
        <v>40</v>
      </c>
      <c r="H250" s="76">
        <f t="shared" si="3"/>
        <v>5.2026000000012118E-2</v>
      </c>
      <c r="I250" s="77">
        <v>0.27251993307531502</v>
      </c>
      <c r="J250" s="78">
        <v>8.1946024831416366</v>
      </c>
      <c r="K250" s="79">
        <v>-1.2013541726867061</v>
      </c>
    </row>
    <row r="251" spans="1:11" x14ac:dyDescent="0.35">
      <c r="A251" t="s">
        <v>1383</v>
      </c>
      <c r="B251" s="73" t="s">
        <v>37</v>
      </c>
      <c r="C251" s="74" t="s">
        <v>38</v>
      </c>
      <c r="D251" s="75">
        <v>216.18</v>
      </c>
      <c r="E251" s="6" t="s">
        <v>39</v>
      </c>
      <c r="F251" s="76">
        <v>65.972157999999993</v>
      </c>
      <c r="G251" s="76" t="s">
        <v>40</v>
      </c>
      <c r="H251" s="76">
        <f t="shared" si="3"/>
        <v>4.9842000000012376E-2</v>
      </c>
      <c r="I251" s="77">
        <v>0.49564451552467598</v>
      </c>
      <c r="J251" s="78">
        <v>7.2188195364436751</v>
      </c>
      <c r="K251" s="79">
        <v>-2.1771371193846676</v>
      </c>
    </row>
    <row r="252" spans="1:11" x14ac:dyDescent="0.35">
      <c r="A252" t="s">
        <v>1383</v>
      </c>
      <c r="B252" s="73" t="s">
        <v>37</v>
      </c>
      <c r="C252" s="74" t="s">
        <v>38</v>
      </c>
      <c r="D252" s="75">
        <v>216.19</v>
      </c>
      <c r="E252" s="6" t="s">
        <v>39</v>
      </c>
      <c r="F252" s="76">
        <v>65.974341999999993</v>
      </c>
      <c r="G252" s="76" t="s">
        <v>40</v>
      </c>
      <c r="H252" s="76">
        <f t="shared" si="3"/>
        <v>4.7658000000012635E-2</v>
      </c>
      <c r="I252" s="77">
        <v>0.61372394616983394</v>
      </c>
      <c r="J252" s="78">
        <v>6.7052480976357174</v>
      </c>
      <c r="K252" s="79">
        <v>-2.6907085581926253</v>
      </c>
    </row>
    <row r="253" spans="1:11" x14ac:dyDescent="0.35">
      <c r="A253" t="s">
        <v>1383</v>
      </c>
      <c r="B253" s="73" t="s">
        <v>37</v>
      </c>
      <c r="C253" s="74" t="s">
        <v>38</v>
      </c>
      <c r="D253" s="75">
        <v>216.2</v>
      </c>
      <c r="E253" s="6" t="s">
        <v>39</v>
      </c>
      <c r="F253" s="76">
        <v>65.976526000000007</v>
      </c>
      <c r="G253" s="76" t="s">
        <v>40</v>
      </c>
      <c r="H253" s="76">
        <f t="shared" si="3"/>
        <v>4.5473999999998682E-2</v>
      </c>
      <c r="I253" s="77">
        <v>0.59538855389379397</v>
      </c>
      <c r="J253" s="78">
        <v>6.7848681493633762</v>
      </c>
      <c r="K253" s="79">
        <v>-2.6110885064649665</v>
      </c>
    </row>
    <row r="254" spans="1:11" x14ac:dyDescent="0.35">
      <c r="A254" t="s">
        <v>1383</v>
      </c>
      <c r="B254" s="73" t="s">
        <v>37</v>
      </c>
      <c r="C254" s="74" t="s">
        <v>38</v>
      </c>
      <c r="D254" s="75">
        <v>216.21</v>
      </c>
      <c r="E254" s="6" t="s">
        <v>39</v>
      </c>
      <c r="F254" s="76">
        <v>65.978711000000004</v>
      </c>
      <c r="G254" s="76" t="s">
        <v>40</v>
      </c>
      <c r="H254" s="76">
        <f t="shared" si="3"/>
        <v>4.3289000000001465E-2</v>
      </c>
      <c r="I254" s="77">
        <v>0.59575946061896501</v>
      </c>
      <c r="J254" s="78">
        <v>6.7832570515885209</v>
      </c>
      <c r="K254" s="79">
        <v>-2.6126996042398218</v>
      </c>
    </row>
    <row r="255" spans="1:11" x14ac:dyDescent="0.35">
      <c r="A255" t="s">
        <v>1383</v>
      </c>
      <c r="B255" s="73" t="s">
        <v>37</v>
      </c>
      <c r="C255" s="74" t="s">
        <v>38</v>
      </c>
      <c r="D255" s="75">
        <v>216.22</v>
      </c>
      <c r="E255" s="6" t="s">
        <v>39</v>
      </c>
      <c r="F255" s="76">
        <v>65.980895000000004</v>
      </c>
      <c r="G255" s="76" t="s">
        <v>40</v>
      </c>
      <c r="H255" s="76">
        <f t="shared" si="3"/>
        <v>4.1105000000001723E-2</v>
      </c>
      <c r="I255" s="77">
        <v>0.50672916477367203</v>
      </c>
      <c r="J255" s="78">
        <v>7.1705255303908189</v>
      </c>
      <c r="K255" s="79">
        <v>-2.2254311254375239</v>
      </c>
    </row>
    <row r="256" spans="1:11" x14ac:dyDescent="0.35">
      <c r="A256" t="s">
        <v>1383</v>
      </c>
      <c r="B256" s="73" t="s">
        <v>37</v>
      </c>
      <c r="C256" s="74" t="s">
        <v>38</v>
      </c>
      <c r="D256" s="75">
        <v>216.23</v>
      </c>
      <c r="E256" s="6" t="s">
        <v>39</v>
      </c>
      <c r="F256" s="76">
        <v>65.983079000000004</v>
      </c>
      <c r="G256" s="76" t="s">
        <v>40</v>
      </c>
      <c r="H256" s="76">
        <f t="shared" si="3"/>
        <v>3.8921000000001982E-2</v>
      </c>
      <c r="I256" s="77">
        <v>0.68784363802074999</v>
      </c>
      <c r="J256" s="78">
        <v>6.3838648586072964</v>
      </c>
      <c r="K256" s="79">
        <v>-3.0120917972210464</v>
      </c>
    </row>
    <row r="257" spans="1:11" x14ac:dyDescent="0.35">
      <c r="A257" t="s">
        <v>1383</v>
      </c>
      <c r="B257" s="73" t="s">
        <v>37</v>
      </c>
      <c r="C257" s="74" t="s">
        <v>38</v>
      </c>
      <c r="D257" s="75">
        <v>216.24</v>
      </c>
      <c r="E257" s="6" t="s">
        <v>39</v>
      </c>
      <c r="F257" s="76">
        <v>65.985263000000003</v>
      </c>
      <c r="G257" s="76" t="s">
        <v>40</v>
      </c>
      <c r="H257" s="76">
        <f t="shared" si="3"/>
        <v>3.673700000000224E-2</v>
      </c>
      <c r="I257" s="77">
        <v>0.70466987593010799</v>
      </c>
      <c r="J257" s="78">
        <v>6.3110123215822682</v>
      </c>
      <c r="K257" s="79">
        <v>-3.0849443342460745</v>
      </c>
    </row>
    <row r="258" spans="1:11" x14ac:dyDescent="0.35">
      <c r="A258" t="s">
        <v>1383</v>
      </c>
      <c r="B258" s="73" t="s">
        <v>37</v>
      </c>
      <c r="C258" s="74" t="s">
        <v>38</v>
      </c>
      <c r="D258" s="75">
        <v>216.25</v>
      </c>
      <c r="E258" s="6" t="s">
        <v>39</v>
      </c>
      <c r="F258" s="76">
        <v>65.987447000000003</v>
      </c>
      <c r="G258" s="76" t="s">
        <v>40</v>
      </c>
      <c r="H258" s="76">
        <f t="shared" ref="H258:H321" si="4">66.022-F258</f>
        <v>3.4553000000002498E-2</v>
      </c>
      <c r="I258" s="77">
        <v>0.205146024886703</v>
      </c>
      <c r="J258" s="78">
        <v>8.4906259844423175</v>
      </c>
      <c r="K258" s="79">
        <v>-0.90533067138602519</v>
      </c>
    </row>
    <row r="259" spans="1:11" x14ac:dyDescent="0.35">
      <c r="A259" t="s">
        <v>1383</v>
      </c>
      <c r="B259" s="73" t="s">
        <v>37</v>
      </c>
      <c r="C259" s="74" t="s">
        <v>38</v>
      </c>
      <c r="D259" s="75">
        <v>216.26</v>
      </c>
      <c r="E259" s="6" t="s">
        <v>39</v>
      </c>
      <c r="F259" s="76">
        <v>65.989632</v>
      </c>
      <c r="G259" s="76" t="s">
        <v>40</v>
      </c>
      <c r="H259" s="76">
        <f t="shared" si="4"/>
        <v>3.2368000000005281E-2</v>
      </c>
      <c r="I259" s="77">
        <v>0.62062346362434995</v>
      </c>
      <c r="J259" s="78">
        <v>6.6752995703103011</v>
      </c>
      <c r="K259" s="79">
        <v>-2.7206570855180416</v>
      </c>
    </row>
    <row r="260" spans="1:11" x14ac:dyDescent="0.35">
      <c r="A260" t="s">
        <v>1383</v>
      </c>
      <c r="B260" s="73" t="s">
        <v>37</v>
      </c>
      <c r="C260" s="74" t="s">
        <v>38</v>
      </c>
      <c r="D260" s="75">
        <v>216.27</v>
      </c>
      <c r="E260" s="6" t="s">
        <v>39</v>
      </c>
      <c r="F260" s="76">
        <v>65.991816</v>
      </c>
      <c r="G260" s="76" t="s">
        <v>40</v>
      </c>
      <c r="H260" s="76">
        <f t="shared" si="4"/>
        <v>3.018400000000554E-2</v>
      </c>
      <c r="I260" s="77">
        <v>0.373175657934187</v>
      </c>
      <c r="J260" s="78">
        <v>7.7535417766793557</v>
      </c>
      <c r="K260" s="79">
        <v>-1.642414879148987</v>
      </c>
    </row>
    <row r="261" spans="1:11" x14ac:dyDescent="0.35">
      <c r="A261" t="s">
        <v>1383</v>
      </c>
      <c r="B261" s="73" t="s">
        <v>37</v>
      </c>
      <c r="C261" s="74" t="s">
        <v>38</v>
      </c>
      <c r="D261" s="75">
        <v>216.28</v>
      </c>
      <c r="E261" s="6" t="s">
        <v>39</v>
      </c>
      <c r="F261" s="76">
        <v>65.994</v>
      </c>
      <c r="G261" s="76" t="s">
        <v>40</v>
      </c>
      <c r="H261" s="76">
        <f t="shared" si="4"/>
        <v>2.8000000000005798E-2</v>
      </c>
      <c r="I261" s="77">
        <v>0.67527854658984998</v>
      </c>
      <c r="J261" s="78">
        <v>6.4382934934280343</v>
      </c>
      <c r="K261" s="79">
        <v>-2.9576631624003085</v>
      </c>
    </row>
    <row r="262" spans="1:11" x14ac:dyDescent="0.35">
      <c r="A262" t="s">
        <v>1383</v>
      </c>
      <c r="B262" s="73" t="s">
        <v>37</v>
      </c>
      <c r="C262" s="74" t="s">
        <v>38</v>
      </c>
      <c r="D262" s="75">
        <v>216.29</v>
      </c>
      <c r="E262" s="6" t="s">
        <v>39</v>
      </c>
      <c r="F262" s="76">
        <v>65.994651000000005</v>
      </c>
      <c r="G262" s="76" t="s">
        <v>40</v>
      </c>
      <c r="H262" s="76">
        <f t="shared" si="4"/>
        <v>2.7349000000000956E-2</v>
      </c>
      <c r="I262" s="77">
        <v>0.51652053064922299</v>
      </c>
      <c r="J262" s="78">
        <v>7.1278804304348569</v>
      </c>
      <c r="K262" s="79">
        <v>-2.2680762253934859</v>
      </c>
    </row>
    <row r="263" spans="1:11" x14ac:dyDescent="0.35">
      <c r="A263" t="s">
        <v>1383</v>
      </c>
      <c r="B263" s="73" t="s">
        <v>37</v>
      </c>
      <c r="C263" s="74" t="s">
        <v>38</v>
      </c>
      <c r="D263" s="75">
        <v>216.3</v>
      </c>
      <c r="E263" s="6" t="s">
        <v>39</v>
      </c>
      <c r="F263" s="76">
        <v>65.995301999999995</v>
      </c>
      <c r="G263" s="76" t="s">
        <v>40</v>
      </c>
      <c r="H263" s="76">
        <f t="shared" si="4"/>
        <v>2.6698000000010325E-2</v>
      </c>
      <c r="I263" s="77">
        <v>0.32194670787940699</v>
      </c>
      <c r="J263" s="78">
        <v>7.9778420923488511</v>
      </c>
      <c r="K263" s="79">
        <v>-1.4181145634794916</v>
      </c>
    </row>
    <row r="264" spans="1:11" x14ac:dyDescent="0.35">
      <c r="A264" t="s">
        <v>1383</v>
      </c>
      <c r="B264" s="73" t="s">
        <v>37</v>
      </c>
      <c r="C264" s="74" t="s">
        <v>38</v>
      </c>
      <c r="D264" s="75">
        <v>216.31</v>
      </c>
      <c r="E264" s="6" t="s">
        <v>39</v>
      </c>
      <c r="F264" s="76">
        <v>65.995953</v>
      </c>
      <c r="G264" s="76" t="s">
        <v>40</v>
      </c>
      <c r="H264" s="76">
        <f t="shared" si="4"/>
        <v>2.6047000000005482E-2</v>
      </c>
      <c r="I264" s="77">
        <v>0.63447864385295005</v>
      </c>
      <c r="J264" s="78">
        <v>6.6151787867264602</v>
      </c>
      <c r="K264" s="79">
        <v>-2.7807778691018825</v>
      </c>
    </row>
    <row r="265" spans="1:11" x14ac:dyDescent="0.35">
      <c r="A265" t="s">
        <v>1383</v>
      </c>
      <c r="B265" s="73" t="s">
        <v>37</v>
      </c>
      <c r="C265" s="74" t="s">
        <v>38</v>
      </c>
      <c r="D265" s="75">
        <v>216.32</v>
      </c>
      <c r="E265" s="6" t="s">
        <v>39</v>
      </c>
      <c r="F265" s="76">
        <v>65.996605000000002</v>
      </c>
      <c r="G265" s="76" t="s">
        <v>40</v>
      </c>
      <c r="H265" s="76">
        <f t="shared" si="4"/>
        <v>2.5395000000003165E-2</v>
      </c>
      <c r="I265" s="77">
        <v>0.28911149952554099</v>
      </c>
      <c r="J265" s="78">
        <v>8.121801958735773</v>
      </c>
      <c r="K265" s="79">
        <v>-1.2741546970925697</v>
      </c>
    </row>
    <row r="266" spans="1:11" x14ac:dyDescent="0.35">
      <c r="A266" t="s">
        <v>1383</v>
      </c>
      <c r="B266" s="73" t="s">
        <v>37</v>
      </c>
      <c r="C266" s="74" t="s">
        <v>38</v>
      </c>
      <c r="D266" s="75">
        <v>216.33</v>
      </c>
      <c r="E266" s="6" t="s">
        <v>39</v>
      </c>
      <c r="F266" s="76">
        <v>65.997255999999993</v>
      </c>
      <c r="G266" s="76" t="s">
        <v>40</v>
      </c>
      <c r="H266" s="76">
        <f t="shared" si="4"/>
        <v>2.4744000000012534E-2</v>
      </c>
      <c r="I266" s="77">
        <v>0.34514894289513298</v>
      </c>
      <c r="J266" s="78">
        <v>7.8762078759584142</v>
      </c>
      <c r="K266" s="79">
        <v>-1.5197487798699285</v>
      </c>
    </row>
    <row r="267" spans="1:11" x14ac:dyDescent="0.35">
      <c r="A267" t="s">
        <v>1383</v>
      </c>
      <c r="B267" s="73" t="s">
        <v>37</v>
      </c>
      <c r="C267" s="74" t="s">
        <v>38</v>
      </c>
      <c r="D267" s="75">
        <v>216.34</v>
      </c>
      <c r="E267" s="6" t="s">
        <v>39</v>
      </c>
      <c r="F267" s="76">
        <v>65.997906999999998</v>
      </c>
      <c r="G267" s="76" t="s">
        <v>40</v>
      </c>
      <c r="H267" s="76">
        <f t="shared" si="4"/>
        <v>2.4093000000007692E-2</v>
      </c>
      <c r="I267" s="77">
        <v>0.66116494937789505</v>
      </c>
      <c r="J267" s="78">
        <v>6.4994559395480564</v>
      </c>
      <c r="K267" s="79">
        <v>-2.8965007162802863</v>
      </c>
    </row>
    <row r="268" spans="1:11" x14ac:dyDescent="0.35">
      <c r="A268" t="s">
        <v>1383</v>
      </c>
      <c r="B268" s="73" t="s">
        <v>37</v>
      </c>
      <c r="C268" s="74" t="s">
        <v>38</v>
      </c>
      <c r="D268" s="75">
        <v>216.35</v>
      </c>
      <c r="E268" s="6" t="s">
        <v>39</v>
      </c>
      <c r="F268" s="76">
        <v>65.998558000000003</v>
      </c>
      <c r="G268" s="76" t="s">
        <v>40</v>
      </c>
      <c r="H268" s="76">
        <f t="shared" si="4"/>
        <v>2.3442000000002849E-2</v>
      </c>
      <c r="I268" s="77">
        <v>0.48618091431377602</v>
      </c>
      <c r="J268" s="78">
        <v>7.260064494515575</v>
      </c>
      <c r="K268" s="79">
        <v>-2.1358921613127677</v>
      </c>
    </row>
    <row r="269" spans="1:11" x14ac:dyDescent="0.35">
      <c r="A269" t="s">
        <v>1383</v>
      </c>
      <c r="B269" s="73" t="s">
        <v>37</v>
      </c>
      <c r="C269" s="74" t="s">
        <v>38</v>
      </c>
      <c r="D269" s="75">
        <v>216.36</v>
      </c>
      <c r="E269" s="6" t="s">
        <v>39</v>
      </c>
      <c r="F269" s="76">
        <v>65.999208999999993</v>
      </c>
      <c r="G269" s="76" t="s">
        <v>40</v>
      </c>
      <c r="H269" s="76">
        <f t="shared" si="4"/>
        <v>2.2791000000012218E-2</v>
      </c>
      <c r="I269" s="77">
        <v>0.88998238424677101</v>
      </c>
      <c r="J269" s="78">
        <v>5.5112504742665465</v>
      </c>
      <c r="K269" s="79">
        <v>-3.8847061815617963</v>
      </c>
    </row>
    <row r="270" spans="1:11" x14ac:dyDescent="0.35">
      <c r="A270" t="s">
        <v>1383</v>
      </c>
      <c r="B270" s="73" t="s">
        <v>37</v>
      </c>
      <c r="C270" s="74" t="s">
        <v>38</v>
      </c>
      <c r="D270" s="75">
        <v>216.37</v>
      </c>
      <c r="E270" s="6" t="s">
        <v>39</v>
      </c>
      <c r="F270" s="76">
        <v>65.999859999999998</v>
      </c>
      <c r="G270" s="76" t="s">
        <v>40</v>
      </c>
      <c r="H270" s="76">
        <f t="shared" si="4"/>
        <v>2.2140000000007376E-2</v>
      </c>
      <c r="I270" s="77">
        <v>0.65625387604804897</v>
      </c>
      <c r="J270" s="78">
        <v>6.520744962513163</v>
      </c>
      <c r="K270" s="79">
        <v>-2.8752116933151797</v>
      </c>
    </row>
    <row r="271" spans="1:11" x14ac:dyDescent="0.35">
      <c r="A271" t="s">
        <v>1383</v>
      </c>
      <c r="B271" s="73" t="s">
        <v>37</v>
      </c>
      <c r="C271" s="74" t="s">
        <v>38</v>
      </c>
      <c r="D271" s="75">
        <v>216.38</v>
      </c>
      <c r="E271" s="6" t="s">
        <v>39</v>
      </c>
      <c r="F271" s="76">
        <v>66.000512000000001</v>
      </c>
      <c r="G271" s="76" t="s">
        <v>40</v>
      </c>
      <c r="H271" s="76">
        <f t="shared" si="4"/>
        <v>2.1488000000005059E-2</v>
      </c>
      <c r="I271" s="77">
        <v>0.88612587054478198</v>
      </c>
      <c r="J271" s="78">
        <v>5.5278460633516602</v>
      </c>
      <c r="K271" s="79">
        <v>-3.8681105924766825</v>
      </c>
    </row>
    <row r="272" spans="1:11" x14ac:dyDescent="0.35">
      <c r="A272" t="s">
        <v>1383</v>
      </c>
      <c r="B272" s="73" t="s">
        <v>37</v>
      </c>
      <c r="C272" s="74" t="s">
        <v>38</v>
      </c>
      <c r="D272" s="75">
        <v>216.39</v>
      </c>
      <c r="E272" s="6" t="s">
        <v>39</v>
      </c>
      <c r="F272" s="76">
        <v>66.001163000000005</v>
      </c>
      <c r="G272" s="76" t="s">
        <v>40</v>
      </c>
      <c r="H272" s="76">
        <f t="shared" si="4"/>
        <v>2.0837000000000216E-2</v>
      </c>
      <c r="I272" s="77">
        <v>0.48750255199068199</v>
      </c>
      <c r="J272" s="78">
        <v>7.2543036842053539</v>
      </c>
      <c r="K272" s="79">
        <v>-2.1416529716229888</v>
      </c>
    </row>
    <row r="273" spans="1:11" x14ac:dyDescent="0.35">
      <c r="A273" t="s">
        <v>1383</v>
      </c>
      <c r="B273" s="73" t="s">
        <v>37</v>
      </c>
      <c r="C273" s="74" t="s">
        <v>38</v>
      </c>
      <c r="D273" s="75">
        <v>216.4</v>
      </c>
      <c r="E273" s="6" t="s">
        <v>39</v>
      </c>
      <c r="F273" s="76">
        <v>66.001813999999996</v>
      </c>
      <c r="G273" s="76" t="s">
        <v>40</v>
      </c>
      <c r="H273" s="76">
        <f t="shared" si="4"/>
        <v>2.0186000000009585E-2</v>
      </c>
      <c r="I273" s="77">
        <v>0.80642812384708695</v>
      </c>
      <c r="J273" s="78">
        <v>5.8712637709107298</v>
      </c>
      <c r="K273" s="79">
        <v>-3.5246928849176129</v>
      </c>
    </row>
    <row r="274" spans="1:11" x14ac:dyDescent="0.35">
      <c r="A274" t="s">
        <v>1383</v>
      </c>
      <c r="B274" s="73" t="s">
        <v>37</v>
      </c>
      <c r="C274" s="74" t="s">
        <v>38</v>
      </c>
      <c r="D274" s="75">
        <v>216.41</v>
      </c>
      <c r="E274" s="6" t="s">
        <v>39</v>
      </c>
      <c r="F274" s="76">
        <v>66.002465000000001</v>
      </c>
      <c r="G274" s="76" t="s">
        <v>40</v>
      </c>
      <c r="H274" s="76">
        <f t="shared" si="4"/>
        <v>1.9535000000004743E-2</v>
      </c>
      <c r="I274" s="77">
        <v>0.66079432360271495</v>
      </c>
      <c r="J274" s="78">
        <v>6.5010624493503428</v>
      </c>
      <c r="K274" s="79">
        <v>-2.8948942064779999</v>
      </c>
    </row>
    <row r="275" spans="1:11" x14ac:dyDescent="0.35">
      <c r="A275" t="s">
        <v>1383</v>
      </c>
      <c r="B275" s="73" t="s">
        <v>37</v>
      </c>
      <c r="C275" s="74" t="s">
        <v>38</v>
      </c>
      <c r="D275" s="75">
        <v>216.42</v>
      </c>
      <c r="E275" s="6" t="s">
        <v>39</v>
      </c>
      <c r="F275" s="76">
        <v>66.003116000000006</v>
      </c>
      <c r="G275" s="76" t="s">
        <v>40</v>
      </c>
      <c r="H275" s="76">
        <f t="shared" si="4"/>
        <v>1.8883999999999901E-2</v>
      </c>
      <c r="I275" s="77">
        <v>0.85633883324948501</v>
      </c>
      <c r="J275" s="78">
        <v>5.6560962738603848</v>
      </c>
      <c r="K275" s="79">
        <v>-3.7398603819679579</v>
      </c>
    </row>
    <row r="276" spans="1:11" x14ac:dyDescent="0.35">
      <c r="A276" t="s">
        <v>1383</v>
      </c>
      <c r="B276" s="73" t="s">
        <v>37</v>
      </c>
      <c r="C276" s="74" t="s">
        <v>38</v>
      </c>
      <c r="D276" s="75">
        <v>216.43</v>
      </c>
      <c r="E276" s="6" t="s">
        <v>39</v>
      </c>
      <c r="F276" s="76">
        <v>66.003766999999996</v>
      </c>
      <c r="G276" s="76" t="s">
        <v>40</v>
      </c>
      <c r="H276" s="76">
        <f t="shared" si="4"/>
        <v>1.823300000000927E-2</v>
      </c>
      <c r="I276" s="77">
        <v>0.69457913170151697</v>
      </c>
      <c r="J276" s="78">
        <v>6.35469749597911</v>
      </c>
      <c r="K276" s="79">
        <v>-3.0412591598492327</v>
      </c>
    </row>
    <row r="277" spans="1:11" x14ac:dyDescent="0.35">
      <c r="A277" t="s">
        <v>1383</v>
      </c>
      <c r="B277" s="73" t="s">
        <v>37</v>
      </c>
      <c r="C277" s="74" t="s">
        <v>38</v>
      </c>
      <c r="D277" s="75">
        <v>216.44</v>
      </c>
      <c r="E277" s="6" t="s">
        <v>39</v>
      </c>
      <c r="F277" s="76">
        <v>66.004418999999999</v>
      </c>
      <c r="G277" s="76" t="s">
        <v>40</v>
      </c>
      <c r="H277" s="76">
        <f t="shared" si="4"/>
        <v>1.7581000000006952E-2</v>
      </c>
      <c r="I277" s="77">
        <v>1.0910911044771201</v>
      </c>
      <c r="J277" s="78">
        <v>4.6486455937248365</v>
      </c>
      <c r="K277" s="79">
        <v>-4.7473110621035062</v>
      </c>
    </row>
    <row r="278" spans="1:11" x14ac:dyDescent="0.35">
      <c r="A278" t="s">
        <v>1383</v>
      </c>
      <c r="B278" s="73" t="s">
        <v>37</v>
      </c>
      <c r="C278" s="74" t="s">
        <v>38</v>
      </c>
      <c r="D278" s="75">
        <v>216.46</v>
      </c>
      <c r="E278" s="6" t="s">
        <v>39</v>
      </c>
      <c r="F278" s="76">
        <v>66.005720999999994</v>
      </c>
      <c r="G278" s="76" t="s">
        <v>40</v>
      </c>
      <c r="H278" s="76">
        <f t="shared" si="4"/>
        <v>1.6279000000011479E-2</v>
      </c>
      <c r="I278" s="77">
        <v>0.69220294865038101</v>
      </c>
      <c r="J278" s="78">
        <v>6.364986594956406</v>
      </c>
      <c r="K278" s="79">
        <v>-3.0309700608719368</v>
      </c>
    </row>
    <row r="279" spans="1:11" x14ac:dyDescent="0.35">
      <c r="A279" t="s">
        <v>1383</v>
      </c>
      <c r="B279" s="73" t="s">
        <v>37</v>
      </c>
      <c r="C279" s="74" t="s">
        <v>38</v>
      </c>
      <c r="D279" s="75">
        <v>216.47</v>
      </c>
      <c r="E279" s="6" t="s">
        <v>39</v>
      </c>
      <c r="F279" s="76">
        <v>66.006371999999999</v>
      </c>
      <c r="G279" s="76" t="s">
        <v>40</v>
      </c>
      <c r="H279" s="76">
        <f t="shared" si="4"/>
        <v>1.5628000000006637E-2</v>
      </c>
      <c r="I279" s="77">
        <v>0.70501478962573105</v>
      </c>
      <c r="J279" s="78">
        <v>6.3095193592616283</v>
      </c>
      <c r="K279" s="79">
        <v>-3.0864372965667144</v>
      </c>
    </row>
    <row r="280" spans="1:11" x14ac:dyDescent="0.35">
      <c r="A280" t="s">
        <v>1383</v>
      </c>
      <c r="B280" s="73" t="s">
        <v>37</v>
      </c>
      <c r="C280" s="74" t="s">
        <v>38</v>
      </c>
      <c r="D280" s="75">
        <v>216.48</v>
      </c>
      <c r="E280" s="6" t="s">
        <v>39</v>
      </c>
      <c r="F280" s="76">
        <v>66.007023000000004</v>
      </c>
      <c r="G280" s="76" t="s">
        <v>40</v>
      </c>
      <c r="H280" s="76">
        <f t="shared" si="4"/>
        <v>1.4977000000001794E-2</v>
      </c>
      <c r="I280" s="77">
        <v>0.575665116524123</v>
      </c>
      <c r="J280" s="78">
        <v>6.8705679064194101</v>
      </c>
      <c r="K280" s="79">
        <v>-2.5253887494089327</v>
      </c>
    </row>
    <row r="281" spans="1:11" x14ac:dyDescent="0.35">
      <c r="A281" t="s">
        <v>1383</v>
      </c>
      <c r="B281" s="73" t="s">
        <v>37</v>
      </c>
      <c r="C281" s="74" t="s">
        <v>38</v>
      </c>
      <c r="D281" s="75">
        <v>216.49</v>
      </c>
      <c r="E281" s="6" t="s">
        <v>39</v>
      </c>
      <c r="F281" s="76">
        <v>66.007673999999994</v>
      </c>
      <c r="G281" s="76" t="s">
        <v>40</v>
      </c>
      <c r="H281" s="76">
        <f t="shared" si="4"/>
        <v>1.4326000000011163E-2</v>
      </c>
      <c r="I281" s="77">
        <v>0.88412761926394601</v>
      </c>
      <c r="J281" s="78">
        <v>5.5364458649075914</v>
      </c>
      <c r="K281" s="79">
        <v>-3.8595107909207513</v>
      </c>
    </row>
    <row r="282" spans="1:11" x14ac:dyDescent="0.35">
      <c r="A282" t="s">
        <v>1383</v>
      </c>
      <c r="B282" s="73" t="s">
        <v>37</v>
      </c>
      <c r="C282" s="74" t="s">
        <v>38</v>
      </c>
      <c r="D282" s="75">
        <v>216.5</v>
      </c>
      <c r="E282" s="6" t="s">
        <v>39</v>
      </c>
      <c r="F282" s="76">
        <v>66.008325999999997</v>
      </c>
      <c r="G282" s="76" t="s">
        <v>40</v>
      </c>
      <c r="H282" s="76">
        <f t="shared" si="4"/>
        <v>1.3674000000008846E-2</v>
      </c>
      <c r="I282" s="77">
        <v>0.71059661375527206</v>
      </c>
      <c r="J282" s="78">
        <v>6.2853606679445306</v>
      </c>
      <c r="K282" s="79">
        <v>-3.1105959878838121</v>
      </c>
    </row>
    <row r="283" spans="1:11" x14ac:dyDescent="0.35">
      <c r="A283" t="s">
        <v>1383</v>
      </c>
      <c r="B283" s="73" t="s">
        <v>37</v>
      </c>
      <c r="C283" s="74" t="s">
        <v>38</v>
      </c>
      <c r="D283" s="75">
        <v>216.51</v>
      </c>
      <c r="E283" s="6" t="s">
        <v>39</v>
      </c>
      <c r="F283" s="76">
        <v>66.008977000000002</v>
      </c>
      <c r="G283" s="76" t="s">
        <v>40</v>
      </c>
      <c r="H283" s="76">
        <f t="shared" si="4"/>
        <v>1.3023000000004004E-2</v>
      </c>
      <c r="I283" s="77">
        <v>0.738840801989878</v>
      </c>
      <c r="J283" s="78">
        <v>6.1631830820717255</v>
      </c>
      <c r="K283" s="79">
        <v>-3.2327735737566172</v>
      </c>
    </row>
    <row r="284" spans="1:11" x14ac:dyDescent="0.35">
      <c r="A284" t="s">
        <v>1383</v>
      </c>
      <c r="B284" s="73" t="s">
        <v>37</v>
      </c>
      <c r="C284" s="74" t="s">
        <v>38</v>
      </c>
      <c r="D284" s="75">
        <v>216.52</v>
      </c>
      <c r="E284" s="6" t="s">
        <v>39</v>
      </c>
      <c r="F284" s="76">
        <v>66.009628000000006</v>
      </c>
      <c r="G284" s="76" t="s">
        <v>40</v>
      </c>
      <c r="H284" s="76">
        <f t="shared" si="4"/>
        <v>1.2371999999999161E-2</v>
      </c>
      <c r="I284" s="77">
        <v>0.59755420275534599</v>
      </c>
      <c r="J284" s="78">
        <v>6.7754615478332312</v>
      </c>
      <c r="K284" s="79">
        <v>-2.6204951079951115</v>
      </c>
    </row>
    <row r="285" spans="1:11" x14ac:dyDescent="0.35">
      <c r="A285" t="s">
        <v>1383</v>
      </c>
      <c r="B285" s="73" t="s">
        <v>37</v>
      </c>
      <c r="C285" s="74" t="s">
        <v>38</v>
      </c>
      <c r="D285" s="75">
        <v>216.53</v>
      </c>
      <c r="E285" s="6" t="s">
        <v>39</v>
      </c>
      <c r="F285" s="76">
        <v>66.010278999999997</v>
      </c>
      <c r="G285" s="76" t="s">
        <v>40</v>
      </c>
      <c r="H285" s="76">
        <f t="shared" si="4"/>
        <v>1.172100000000853E-2</v>
      </c>
      <c r="I285" s="77">
        <v>0.82018169336846902</v>
      </c>
      <c r="J285" s="78">
        <v>5.8119372498484267</v>
      </c>
      <c r="K285" s="79">
        <v>-3.584019405979916</v>
      </c>
    </row>
    <row r="286" spans="1:11" x14ac:dyDescent="0.35">
      <c r="A286" t="s">
        <v>1383</v>
      </c>
      <c r="B286" s="73" t="s">
        <v>37</v>
      </c>
      <c r="C286" s="74" t="s">
        <v>38</v>
      </c>
      <c r="D286" s="75">
        <v>216.54</v>
      </c>
      <c r="E286" s="6" t="s">
        <v>39</v>
      </c>
      <c r="F286" s="76">
        <v>66.010930000000002</v>
      </c>
      <c r="G286" s="76" t="s">
        <v>40</v>
      </c>
      <c r="H286" s="76">
        <f t="shared" si="4"/>
        <v>1.1070000000003688E-2</v>
      </c>
      <c r="I286" s="77">
        <v>0.78651780882255995</v>
      </c>
      <c r="J286" s="78">
        <v>5.957193802300651</v>
      </c>
      <c r="K286" s="79">
        <v>-3.4387628535276917</v>
      </c>
    </row>
    <row r="287" spans="1:11" x14ac:dyDescent="0.35">
      <c r="A287" t="s">
        <v>1383</v>
      </c>
      <c r="B287" s="73" t="s">
        <v>37</v>
      </c>
      <c r="C287" s="74" t="s">
        <v>38</v>
      </c>
      <c r="D287" s="75">
        <v>216.55</v>
      </c>
      <c r="E287" s="6" t="s">
        <v>39</v>
      </c>
      <c r="F287" s="76">
        <v>66.011581000000007</v>
      </c>
      <c r="G287" s="76" t="s">
        <v>40</v>
      </c>
      <c r="H287" s="76">
        <f t="shared" si="4"/>
        <v>1.0418999999998846E-2</v>
      </c>
      <c r="I287" s="77">
        <v>0.59463589895327296</v>
      </c>
      <c r="J287" s="78">
        <v>6.7881374956409104</v>
      </c>
      <c r="K287" s="79">
        <v>-2.6078191601874323</v>
      </c>
    </row>
    <row r="288" spans="1:11" x14ac:dyDescent="0.35">
      <c r="A288" t="s">
        <v>1383</v>
      </c>
      <c r="B288" s="73" t="s">
        <v>37</v>
      </c>
      <c r="C288" s="74" t="s">
        <v>38</v>
      </c>
      <c r="D288" s="75">
        <v>216.56</v>
      </c>
      <c r="E288" s="6" t="s">
        <v>39</v>
      </c>
      <c r="F288" s="76">
        <v>66.012232999999995</v>
      </c>
      <c r="G288" s="76" t="s">
        <v>40</v>
      </c>
      <c r="H288" s="76">
        <f t="shared" si="4"/>
        <v>9.7670000000107393E-3</v>
      </c>
      <c r="I288" s="77">
        <v>0.66072661113125997</v>
      </c>
      <c r="J288" s="78">
        <v>6.5013559570322741</v>
      </c>
      <c r="K288" s="79">
        <v>-2.8946006987960686</v>
      </c>
    </row>
    <row r="289" spans="1:11" x14ac:dyDescent="0.35">
      <c r="A289" t="s">
        <v>1383</v>
      </c>
      <c r="B289" s="73" t="s">
        <v>37</v>
      </c>
      <c r="C289" s="74" t="s">
        <v>38</v>
      </c>
      <c r="D289" s="75">
        <v>216.57</v>
      </c>
      <c r="E289" s="6" t="s">
        <v>39</v>
      </c>
      <c r="F289" s="76">
        <v>66.012884</v>
      </c>
      <c r="G289" s="76" t="s">
        <v>40</v>
      </c>
      <c r="H289" s="76">
        <f t="shared" si="4"/>
        <v>9.1160000000058972E-3</v>
      </c>
      <c r="I289" s="77">
        <v>0.57971560152845703</v>
      </c>
      <c r="J289" s="78">
        <v>6.8529638380293818</v>
      </c>
      <c r="K289" s="79">
        <v>-2.5429928177989609</v>
      </c>
    </row>
    <row r="290" spans="1:11" x14ac:dyDescent="0.35">
      <c r="A290" t="s">
        <v>1383</v>
      </c>
      <c r="B290" s="73" t="s">
        <v>37</v>
      </c>
      <c r="C290" s="74" t="s">
        <v>38</v>
      </c>
      <c r="D290" s="75">
        <v>216.58</v>
      </c>
      <c r="E290" s="6" t="s">
        <v>39</v>
      </c>
      <c r="F290" s="76">
        <v>66.013535000000005</v>
      </c>
      <c r="G290" s="76" t="s">
        <v>40</v>
      </c>
      <c r="H290" s="76">
        <f t="shared" si="4"/>
        <v>8.465000000001055E-3</v>
      </c>
      <c r="I290" s="77">
        <v>0.82903061271847001</v>
      </c>
      <c r="J290" s="78">
        <v>5.773780881757034</v>
      </c>
      <c r="K290" s="79">
        <v>-3.6221757740713088</v>
      </c>
    </row>
    <row r="291" spans="1:11" x14ac:dyDescent="0.35">
      <c r="A291" t="s">
        <v>1383</v>
      </c>
      <c r="B291" s="73" t="s">
        <v>37</v>
      </c>
      <c r="C291" s="74" t="s">
        <v>38</v>
      </c>
      <c r="D291" s="75">
        <v>216.6</v>
      </c>
      <c r="E291" s="6" t="s">
        <v>39</v>
      </c>
      <c r="F291" s="76">
        <v>66.014837</v>
      </c>
      <c r="G291" s="76" t="s">
        <v>40</v>
      </c>
      <c r="H291" s="76">
        <f t="shared" si="4"/>
        <v>7.1630000000055816E-3</v>
      </c>
      <c r="I291" s="77">
        <v>0.42004918088544202</v>
      </c>
      <c r="J291" s="78">
        <v>7.5486345988737753</v>
      </c>
      <c r="K291" s="79">
        <v>-1.8473220569545674</v>
      </c>
    </row>
    <row r="292" spans="1:11" x14ac:dyDescent="0.35">
      <c r="A292" t="s">
        <v>1383</v>
      </c>
      <c r="B292" s="73" t="s">
        <v>37</v>
      </c>
      <c r="C292" s="74" t="s">
        <v>38</v>
      </c>
      <c r="D292" s="75">
        <v>216.61</v>
      </c>
      <c r="E292" s="6" t="s">
        <v>39</v>
      </c>
      <c r="F292" s="76">
        <v>66.015488000000005</v>
      </c>
      <c r="G292" s="76" t="s">
        <v>40</v>
      </c>
      <c r="H292" s="76">
        <f t="shared" si="4"/>
        <v>6.5120000000007394E-3</v>
      </c>
      <c r="I292" s="77">
        <v>0.76646226654235605</v>
      </c>
      <c r="J292" s="78">
        <v>6.0438058681342568</v>
      </c>
      <c r="K292" s="79">
        <v>-3.3521507876940859</v>
      </c>
    </row>
    <row r="293" spans="1:11" x14ac:dyDescent="0.35">
      <c r="A293" t="s">
        <v>1383</v>
      </c>
      <c r="B293" s="73" t="s">
        <v>37</v>
      </c>
      <c r="C293" s="74" t="s">
        <v>38</v>
      </c>
      <c r="D293" s="75">
        <v>216.62</v>
      </c>
      <c r="E293" s="6" t="s">
        <v>39</v>
      </c>
      <c r="F293" s="76">
        <v>66.016139999999993</v>
      </c>
      <c r="G293" s="76" t="s">
        <v>40</v>
      </c>
      <c r="H293" s="76">
        <f t="shared" si="4"/>
        <v>5.8600000000126329E-3</v>
      </c>
      <c r="I293" s="77">
        <v>0.67262241442469595</v>
      </c>
      <c r="J293" s="78">
        <v>6.4498019531678779</v>
      </c>
      <c r="K293" s="79">
        <v>-2.9461547026604649</v>
      </c>
    </row>
    <row r="294" spans="1:11" x14ac:dyDescent="0.35">
      <c r="A294" t="s">
        <v>1383</v>
      </c>
      <c r="B294" s="73" t="s">
        <v>37</v>
      </c>
      <c r="C294" s="74" t="s">
        <v>38</v>
      </c>
      <c r="D294" s="75">
        <v>216.63</v>
      </c>
      <c r="E294" s="6" t="s">
        <v>39</v>
      </c>
      <c r="F294" s="76">
        <v>66.016790999999998</v>
      </c>
      <c r="G294" s="76" t="s">
        <v>40</v>
      </c>
      <c r="H294" s="76">
        <f t="shared" si="4"/>
        <v>5.2090000000077907E-3</v>
      </c>
      <c r="I294" s="77">
        <v>0.15957720280643101</v>
      </c>
      <c r="J294" s="78">
        <v>8.6912083170507799</v>
      </c>
      <c r="K294" s="79">
        <v>-0.70474833877756282</v>
      </c>
    </row>
    <row r="295" spans="1:11" x14ac:dyDescent="0.35">
      <c r="A295" t="s">
        <v>1383</v>
      </c>
      <c r="B295" s="73" t="s">
        <v>37</v>
      </c>
      <c r="C295" s="74" t="s">
        <v>38</v>
      </c>
      <c r="D295" s="75">
        <v>216.64</v>
      </c>
      <c r="E295" s="6" t="s">
        <v>39</v>
      </c>
      <c r="F295" s="76">
        <v>66.017442000000003</v>
      </c>
      <c r="G295" s="76" t="s">
        <v>40</v>
      </c>
      <c r="H295" s="76">
        <f t="shared" si="4"/>
        <v>4.5580000000029486E-3</v>
      </c>
      <c r="I295" s="77">
        <v>0.41205197142573902</v>
      </c>
      <c r="J295" s="78">
        <v>7.5835724947245922</v>
      </c>
      <c r="K295" s="79">
        <v>-1.8123841611037506</v>
      </c>
    </row>
    <row r="296" spans="1:11" x14ac:dyDescent="0.35">
      <c r="A296" t="s">
        <v>1383</v>
      </c>
      <c r="B296" s="73" t="s">
        <v>37</v>
      </c>
      <c r="C296" s="74" t="s">
        <v>38</v>
      </c>
      <c r="D296" s="75">
        <v>216.65</v>
      </c>
      <c r="E296" s="6" t="s">
        <v>39</v>
      </c>
      <c r="F296" s="76">
        <v>66.018092999999993</v>
      </c>
      <c r="G296" s="76" t="s">
        <v>40</v>
      </c>
      <c r="H296" s="76">
        <f t="shared" si="4"/>
        <v>3.9070000000123173E-3</v>
      </c>
      <c r="I296" s="77">
        <v>-9.3522668071510204E-2</v>
      </c>
      <c r="J296" s="78">
        <v>9.8106782554443726</v>
      </c>
      <c r="K296" s="79">
        <v>0.41472159961602983</v>
      </c>
    </row>
    <row r="297" spans="1:11" x14ac:dyDescent="0.35">
      <c r="A297" t="s">
        <v>1383</v>
      </c>
      <c r="B297" s="73" t="s">
        <v>37</v>
      </c>
      <c r="C297" s="74" t="s">
        <v>38</v>
      </c>
      <c r="D297" s="75">
        <v>216.66</v>
      </c>
      <c r="E297" s="6" t="s">
        <v>39</v>
      </c>
      <c r="F297" s="76">
        <v>66.018743999999998</v>
      </c>
      <c r="G297" s="76" t="s">
        <v>40</v>
      </c>
      <c r="H297" s="76">
        <f t="shared" si="4"/>
        <v>3.2560000000074751E-3</v>
      </c>
      <c r="I297" s="77">
        <v>0.12601214201065</v>
      </c>
      <c r="J297" s="78">
        <v>8.8391418328730538</v>
      </c>
      <c r="K297" s="79">
        <v>-0.55681482295528895</v>
      </c>
    </row>
    <row r="298" spans="1:11" x14ac:dyDescent="0.35">
      <c r="A298" t="s">
        <v>1383</v>
      </c>
      <c r="B298" s="149" t="s">
        <v>37</v>
      </c>
      <c r="C298" s="6" t="s">
        <v>38</v>
      </c>
      <c r="D298" s="75">
        <v>216.67</v>
      </c>
      <c r="E298" s="6" t="s">
        <v>39</v>
      </c>
      <c r="F298" s="76">
        <v>66.019395000000003</v>
      </c>
      <c r="G298" s="76" t="s">
        <v>40</v>
      </c>
      <c r="H298" s="76">
        <f t="shared" si="4"/>
        <v>2.605000000002633E-3</v>
      </c>
      <c r="I298" s="77">
        <v>-0.245362154520155</v>
      </c>
      <c r="J298" s="78">
        <v>10.486685084654368</v>
      </c>
      <c r="K298" s="79">
        <v>1.0907284288260257</v>
      </c>
    </row>
    <row r="299" spans="1:11" x14ac:dyDescent="0.35">
      <c r="A299" t="s">
        <v>1383</v>
      </c>
      <c r="B299" s="149" t="s">
        <v>37</v>
      </c>
      <c r="C299" s="6" t="s">
        <v>38</v>
      </c>
      <c r="D299" s="75">
        <v>216.68</v>
      </c>
      <c r="E299" s="6" t="s">
        <v>39</v>
      </c>
      <c r="F299" s="76">
        <v>66.020047000000005</v>
      </c>
      <c r="G299" s="76" t="s">
        <v>40</v>
      </c>
      <c r="H299" s="76">
        <f t="shared" si="4"/>
        <v>1.9530000000003156E-3</v>
      </c>
      <c r="I299" s="77">
        <v>-0.49378982452715098</v>
      </c>
      <c r="J299" s="78">
        <v>11.599930213538016</v>
      </c>
      <c r="K299" s="79">
        <v>2.2039735577096735</v>
      </c>
    </row>
    <row r="300" spans="1:11" x14ac:dyDescent="0.35">
      <c r="A300" t="s">
        <v>1383</v>
      </c>
      <c r="B300" s="149" t="s">
        <v>37</v>
      </c>
      <c r="C300" s="6" t="s">
        <v>38</v>
      </c>
      <c r="D300" s="75">
        <v>216.69</v>
      </c>
      <c r="E300" s="6" t="s">
        <v>39</v>
      </c>
      <c r="F300" s="76">
        <v>66.020697999999996</v>
      </c>
      <c r="G300" s="76" t="s">
        <v>40</v>
      </c>
      <c r="H300" s="76">
        <f t="shared" si="4"/>
        <v>1.3020000000096843E-3</v>
      </c>
      <c r="I300" s="77">
        <v>-0.30131687789617001</v>
      </c>
      <c r="J300" s="78">
        <v>10.736643126057857</v>
      </c>
      <c r="K300" s="79">
        <v>1.3406864702295138</v>
      </c>
    </row>
    <row r="301" spans="1:11" x14ac:dyDescent="0.35">
      <c r="A301" t="s">
        <v>1383</v>
      </c>
      <c r="B301" s="149" t="s">
        <v>37</v>
      </c>
      <c r="C301" s="6" t="s">
        <v>38</v>
      </c>
      <c r="D301" s="75">
        <v>216.7</v>
      </c>
      <c r="E301" s="6" t="s">
        <v>39</v>
      </c>
      <c r="F301" s="76">
        <v>66.021349000000001</v>
      </c>
      <c r="G301" s="76" t="s">
        <v>40</v>
      </c>
      <c r="H301" s="76">
        <f t="shared" si="4"/>
        <v>6.5100000000484215E-4</v>
      </c>
      <c r="I301" s="77">
        <v>-0.42932723296750402</v>
      </c>
      <c r="J301" s="78">
        <v>11.310197411395563</v>
      </c>
      <c r="K301" s="79">
        <v>1.9142407555672207</v>
      </c>
    </row>
    <row r="302" spans="1:11" x14ac:dyDescent="0.35">
      <c r="A302" t="s">
        <v>1383</v>
      </c>
      <c r="B302" s="149" t="s">
        <v>37</v>
      </c>
      <c r="C302" s="6" t="s">
        <v>38</v>
      </c>
      <c r="D302" s="75">
        <v>216.71</v>
      </c>
      <c r="E302" s="6" t="s">
        <v>39</v>
      </c>
      <c r="F302" s="76">
        <v>66.022000000000006</v>
      </c>
      <c r="G302" s="76" t="s">
        <v>40</v>
      </c>
      <c r="H302" s="76">
        <f t="shared" si="4"/>
        <v>0</v>
      </c>
      <c r="I302" s="77"/>
      <c r="J302" s="78">
        <v>9.3959566558283427</v>
      </c>
      <c r="K302" s="79">
        <v>0</v>
      </c>
    </row>
    <row r="303" spans="1:11" x14ac:dyDescent="0.35">
      <c r="A303" t="s">
        <v>1383</v>
      </c>
      <c r="B303" s="149" t="s">
        <v>37</v>
      </c>
      <c r="C303" s="6" t="s">
        <v>38</v>
      </c>
      <c r="D303" s="75">
        <v>216.72</v>
      </c>
      <c r="E303" s="6" t="s">
        <v>39</v>
      </c>
      <c r="F303" s="76">
        <v>66.022437999999994</v>
      </c>
      <c r="G303" s="76" t="s">
        <v>40</v>
      </c>
      <c r="H303" s="76">
        <f t="shared" si="4"/>
        <v>-4.3799999998839212E-4</v>
      </c>
      <c r="I303" s="77">
        <v>-0.157603368283214</v>
      </c>
      <c r="J303" s="78">
        <v>10.095566983465631</v>
      </c>
      <c r="K303" s="79">
        <v>0.69961032763728781</v>
      </c>
    </row>
    <row r="304" spans="1:11" x14ac:dyDescent="0.35">
      <c r="A304" t="s">
        <v>1383</v>
      </c>
      <c r="B304" s="149" t="s">
        <v>37</v>
      </c>
      <c r="C304" s="6" t="s">
        <v>38</v>
      </c>
      <c r="D304" s="75">
        <v>216.73</v>
      </c>
      <c r="E304" s="6" t="s">
        <v>39</v>
      </c>
      <c r="F304" s="76">
        <v>66.022875999999997</v>
      </c>
      <c r="G304" s="76" t="s">
        <v>40</v>
      </c>
      <c r="H304" s="76">
        <f t="shared" si="4"/>
        <v>-8.7599999999099509E-4</v>
      </c>
      <c r="I304" s="77">
        <v>2.0347071477403701E-2</v>
      </c>
      <c r="J304" s="78">
        <v>9.3058946728305045</v>
      </c>
      <c r="K304" s="79">
        <v>-9.0061982997838186E-2</v>
      </c>
    </row>
    <row r="305" spans="1:11" x14ac:dyDescent="0.35">
      <c r="A305" t="s">
        <v>1383</v>
      </c>
      <c r="B305" s="149" t="s">
        <v>37</v>
      </c>
      <c r="C305" s="6" t="s">
        <v>38</v>
      </c>
      <c r="D305" s="75">
        <v>216.75</v>
      </c>
      <c r="E305" s="6" t="s">
        <v>39</v>
      </c>
      <c r="F305" s="76">
        <v>66.023751000000004</v>
      </c>
      <c r="G305" s="76" t="s">
        <v>40</v>
      </c>
      <c r="H305" s="76">
        <f t="shared" si="4"/>
        <v>-1.7509999999987258E-3</v>
      </c>
      <c r="I305" s="77">
        <v>-6.8886708712981207E-2</v>
      </c>
      <c r="J305" s="78">
        <v>9.701309491981533</v>
      </c>
      <c r="K305" s="79">
        <v>0.30535283615319031</v>
      </c>
    </row>
    <row r="306" spans="1:11" x14ac:dyDescent="0.35">
      <c r="A306" t="s">
        <v>1383</v>
      </c>
      <c r="B306" s="149" t="s">
        <v>37</v>
      </c>
      <c r="C306" s="6" t="s">
        <v>38</v>
      </c>
      <c r="D306" s="75">
        <v>216.76</v>
      </c>
      <c r="E306" s="6" t="s">
        <v>39</v>
      </c>
      <c r="F306" s="76">
        <v>66.024189000000007</v>
      </c>
      <c r="G306" s="76" t="s">
        <v>40</v>
      </c>
      <c r="H306" s="76">
        <f t="shared" si="4"/>
        <v>-2.1890000000013288E-3</v>
      </c>
      <c r="I306" s="77">
        <v>-3.0303309820482498E-2</v>
      </c>
      <c r="J306" s="78">
        <v>9.5301977251281755</v>
      </c>
      <c r="K306" s="79">
        <v>0.13424106929983282</v>
      </c>
    </row>
    <row r="307" spans="1:11" x14ac:dyDescent="0.35">
      <c r="A307" t="s">
        <v>1383</v>
      </c>
      <c r="B307" s="149" t="s">
        <v>37</v>
      </c>
      <c r="C307" s="6" t="s">
        <v>38</v>
      </c>
      <c r="D307" s="75">
        <v>216.77</v>
      </c>
      <c r="E307" s="6" t="s">
        <v>39</v>
      </c>
      <c r="F307" s="76">
        <v>66.024626999999995</v>
      </c>
      <c r="G307" s="76" t="s">
        <v>40</v>
      </c>
      <c r="H307" s="76">
        <f t="shared" si="4"/>
        <v>-2.6269999999897209E-3</v>
      </c>
      <c r="I307" s="77">
        <v>2.80027804680575E-2</v>
      </c>
      <c r="J307" s="78">
        <v>9.2720236435560537</v>
      </c>
      <c r="K307" s="79">
        <v>-0.12393301227228903</v>
      </c>
    </row>
    <row r="308" spans="1:11" x14ac:dyDescent="0.35">
      <c r="A308" t="s">
        <v>1383</v>
      </c>
      <c r="B308" s="149" t="s">
        <v>37</v>
      </c>
      <c r="C308" s="6" t="s">
        <v>38</v>
      </c>
      <c r="D308" s="75">
        <v>216.78</v>
      </c>
      <c r="E308" s="6" t="s">
        <v>39</v>
      </c>
      <c r="F308" s="76">
        <v>66.025064999999998</v>
      </c>
      <c r="G308" s="76" t="s">
        <v>40</v>
      </c>
      <c r="H308" s="76">
        <f t="shared" si="4"/>
        <v>-3.0649999999923239E-3</v>
      </c>
      <c r="I308" s="77">
        <v>-4.47463688961168E-2</v>
      </c>
      <c r="J308" s="78">
        <v>9.5942255706756896</v>
      </c>
      <c r="K308" s="79">
        <v>0.19826891484734688</v>
      </c>
    </row>
    <row r="309" spans="1:11" x14ac:dyDescent="0.35">
      <c r="A309" t="s">
        <v>1383</v>
      </c>
      <c r="B309" s="149" t="s">
        <v>37</v>
      </c>
      <c r="C309" s="6" t="s">
        <v>38</v>
      </c>
      <c r="D309" s="75">
        <v>216.79</v>
      </c>
      <c r="E309" s="6" t="s">
        <v>39</v>
      </c>
      <c r="F309" s="76">
        <v>66.025503</v>
      </c>
      <c r="G309" s="76" t="s">
        <v>40</v>
      </c>
      <c r="H309" s="76">
        <f t="shared" si="4"/>
        <v>-3.5029999999949268E-3</v>
      </c>
      <c r="I309" s="77">
        <v>-0.19681609237238601</v>
      </c>
      <c r="J309" s="78">
        <v>10.270190271625552</v>
      </c>
      <c r="K309" s="79">
        <v>0.87423361579720904</v>
      </c>
    </row>
    <row r="310" spans="1:11" x14ac:dyDescent="0.35">
      <c r="A310" t="s">
        <v>1383</v>
      </c>
      <c r="B310" s="149" t="s">
        <v>37</v>
      </c>
      <c r="C310" s="6" t="s">
        <v>38</v>
      </c>
      <c r="D310" s="75">
        <v>216.8</v>
      </c>
      <c r="E310" s="6" t="s">
        <v>39</v>
      </c>
      <c r="F310" s="76">
        <v>66.025941000000003</v>
      </c>
      <c r="G310" s="76" t="s">
        <v>40</v>
      </c>
      <c r="H310" s="76">
        <f t="shared" si="4"/>
        <v>-3.9409999999975298E-3</v>
      </c>
      <c r="I310" s="77">
        <v>0.10295343035610501</v>
      </c>
      <c r="J310" s="78">
        <v>8.9408629218018518</v>
      </c>
      <c r="K310" s="79">
        <v>-0.45509373402649089</v>
      </c>
    </row>
    <row r="311" spans="1:11" x14ac:dyDescent="0.35">
      <c r="A311" t="s">
        <v>1383</v>
      </c>
      <c r="B311" s="73" t="s">
        <v>37</v>
      </c>
      <c r="C311" s="74" t="s">
        <v>38</v>
      </c>
      <c r="D311" s="75">
        <v>216.81</v>
      </c>
      <c r="E311" s="6" t="s">
        <v>39</v>
      </c>
      <c r="F311" s="76">
        <v>66.026379000000006</v>
      </c>
      <c r="G311" s="76" t="s">
        <v>40</v>
      </c>
      <c r="H311" s="76">
        <f t="shared" si="4"/>
        <v>-4.3790000000001328E-3</v>
      </c>
      <c r="I311" s="77">
        <v>3.2683505402174599E-3</v>
      </c>
      <c r="J311" s="78">
        <v>9.3814860023530855</v>
      </c>
      <c r="K311" s="79">
        <v>-1.4470653475257222E-2</v>
      </c>
    </row>
    <row r="312" spans="1:11" x14ac:dyDescent="0.35">
      <c r="A312" t="s">
        <v>1383</v>
      </c>
      <c r="B312" s="73" t="s">
        <v>37</v>
      </c>
      <c r="C312" s="74" t="s">
        <v>38</v>
      </c>
      <c r="D312" s="75">
        <v>216.82</v>
      </c>
      <c r="E312" s="6" t="s">
        <v>39</v>
      </c>
      <c r="F312" s="76">
        <v>66.026816999999994</v>
      </c>
      <c r="G312" s="76" t="s">
        <v>40</v>
      </c>
      <c r="H312" s="76">
        <f t="shared" si="4"/>
        <v>-4.8169999999885249E-3</v>
      </c>
      <c r="I312" s="77">
        <v>0.14443544143357401</v>
      </c>
      <c r="J312" s="78">
        <v>8.7579237694835115</v>
      </c>
      <c r="K312" s="79">
        <v>-0.63803288634483124</v>
      </c>
    </row>
    <row r="313" spans="1:11" x14ac:dyDescent="0.35">
      <c r="A313" t="s">
        <v>1383</v>
      </c>
      <c r="B313" s="73" t="s">
        <v>37</v>
      </c>
      <c r="C313" s="74" t="s">
        <v>38</v>
      </c>
      <c r="D313" s="75">
        <v>216.83</v>
      </c>
      <c r="E313" s="6" t="s">
        <v>39</v>
      </c>
      <c r="F313" s="76">
        <v>66.027253999999999</v>
      </c>
      <c r="G313" s="76" t="s">
        <v>40</v>
      </c>
      <c r="H313" s="76">
        <f t="shared" si="4"/>
        <v>-5.2539999999936526E-3</v>
      </c>
      <c r="I313" s="77">
        <v>7.95612581074263E-2</v>
      </c>
      <c r="J313" s="78">
        <v>9.0441324503871101</v>
      </c>
      <c r="K313" s="79">
        <v>-0.35182420544123261</v>
      </c>
    </row>
    <row r="314" spans="1:11" x14ac:dyDescent="0.35">
      <c r="A314" t="s">
        <v>1383</v>
      </c>
      <c r="B314" s="73" t="s">
        <v>37</v>
      </c>
      <c r="C314" s="74" t="s">
        <v>38</v>
      </c>
      <c r="D314" s="75">
        <v>216.84</v>
      </c>
      <c r="E314" s="6" t="s">
        <v>39</v>
      </c>
      <c r="F314" s="76">
        <v>66.027692000000002</v>
      </c>
      <c r="G314" s="76" t="s">
        <v>40</v>
      </c>
      <c r="H314" s="76">
        <f t="shared" si="4"/>
        <v>-5.6919999999962556E-3</v>
      </c>
      <c r="I314" s="77">
        <v>-0.194620946959461</v>
      </c>
      <c r="J314" s="78">
        <v>10.260408913557512</v>
      </c>
      <c r="K314" s="79">
        <v>0.86445225772916956</v>
      </c>
    </row>
    <row r="315" spans="1:11" x14ac:dyDescent="0.35">
      <c r="A315" t="s">
        <v>1383</v>
      </c>
      <c r="B315" s="73" t="s">
        <v>37</v>
      </c>
      <c r="C315" s="74" t="s">
        <v>38</v>
      </c>
      <c r="D315" s="75">
        <v>216.87</v>
      </c>
      <c r="E315" s="6" t="s">
        <v>39</v>
      </c>
      <c r="F315" s="76">
        <v>66.029005999999995</v>
      </c>
      <c r="G315" s="76" t="s">
        <v>40</v>
      </c>
      <c r="H315" s="76">
        <f t="shared" si="4"/>
        <v>-7.0059999999898537E-3</v>
      </c>
      <c r="I315" s="77">
        <v>-0.16011047043030899</v>
      </c>
      <c r="J315" s="78">
        <v>10.10672504236112</v>
      </c>
      <c r="K315" s="79">
        <v>0.71076838653277719</v>
      </c>
    </row>
    <row r="316" spans="1:11" x14ac:dyDescent="0.35">
      <c r="A316" t="s">
        <v>1383</v>
      </c>
      <c r="B316" s="73" t="s">
        <v>37</v>
      </c>
      <c r="C316" s="74" t="s">
        <v>38</v>
      </c>
      <c r="D316" s="75">
        <v>216.9</v>
      </c>
      <c r="E316" s="6" t="s">
        <v>39</v>
      </c>
      <c r="F316" s="76">
        <v>66.030320000000003</v>
      </c>
      <c r="G316" s="76" t="s">
        <v>40</v>
      </c>
      <c r="H316" s="76">
        <f t="shared" si="4"/>
        <v>-8.3199999999976626E-3</v>
      </c>
      <c r="I316" s="77">
        <v>0.189811873847298</v>
      </c>
      <c r="J316" s="78">
        <v>8.5580901067399395</v>
      </c>
      <c r="K316" s="79">
        <v>-0.83786654908840319</v>
      </c>
    </row>
    <row r="317" spans="1:11" x14ac:dyDescent="0.35">
      <c r="A317" t="s">
        <v>1383</v>
      </c>
      <c r="B317" s="73" t="s">
        <v>37</v>
      </c>
      <c r="C317" s="74" t="s">
        <v>38</v>
      </c>
      <c r="D317" s="75">
        <v>216.93</v>
      </c>
      <c r="E317" s="6" t="s">
        <v>39</v>
      </c>
      <c r="F317" s="76">
        <v>66.031632999999999</v>
      </c>
      <c r="G317" s="76" t="s">
        <v>40</v>
      </c>
      <c r="H317" s="76">
        <f t="shared" si="4"/>
        <v>-9.6329999999937854E-3</v>
      </c>
      <c r="I317" s="77">
        <v>-6.7335307799205296E-2</v>
      </c>
      <c r="J317" s="78">
        <v>9.6944251297340429</v>
      </c>
      <c r="K317" s="79">
        <v>0.29846847390570019</v>
      </c>
    </row>
    <row r="318" spans="1:11" x14ac:dyDescent="0.35">
      <c r="A318" t="s">
        <v>1383</v>
      </c>
      <c r="B318" s="73" t="s">
        <v>37</v>
      </c>
      <c r="C318" s="74" t="s">
        <v>38</v>
      </c>
      <c r="D318" s="75">
        <v>216.96</v>
      </c>
      <c r="E318" s="6" t="s">
        <v>39</v>
      </c>
      <c r="F318" s="76">
        <v>66.032946999999993</v>
      </c>
      <c r="G318" s="76" t="s">
        <v>40</v>
      </c>
      <c r="H318" s="76">
        <f t="shared" si="4"/>
        <v>-1.0946999999987383E-2</v>
      </c>
      <c r="I318" s="77">
        <v>4.1472203168270702E-2</v>
      </c>
      <c r="J318" s="78">
        <v>9.2124514387669478</v>
      </c>
      <c r="K318" s="79">
        <v>-0.18350521706139489</v>
      </c>
    </row>
    <row r="319" spans="1:11" x14ac:dyDescent="0.35">
      <c r="A319" t="s">
        <v>1383</v>
      </c>
      <c r="B319" s="73" t="s">
        <v>37</v>
      </c>
      <c r="C319" s="74" t="s">
        <v>38</v>
      </c>
      <c r="D319" s="75">
        <v>216.99</v>
      </c>
      <c r="E319" s="6" t="s">
        <v>39</v>
      </c>
      <c r="F319" s="76">
        <v>66.034260000000003</v>
      </c>
      <c r="G319" s="76" t="s">
        <v>40</v>
      </c>
      <c r="H319" s="76">
        <f t="shared" si="4"/>
        <v>-1.2259999999997717E-2</v>
      </c>
      <c r="I319" s="77">
        <v>6.9973479439917399E-2</v>
      </c>
      <c r="J319" s="78">
        <v>9.0864822084035382</v>
      </c>
      <c r="K319" s="79">
        <v>-0.30947444742480457</v>
      </c>
    </row>
    <row r="320" spans="1:11" x14ac:dyDescent="0.35">
      <c r="A320" t="s">
        <v>1383</v>
      </c>
      <c r="B320" s="73" t="s">
        <v>37</v>
      </c>
      <c r="C320" s="74" t="s">
        <v>38</v>
      </c>
      <c r="D320" s="75">
        <v>217.02</v>
      </c>
      <c r="E320" s="6" t="s">
        <v>39</v>
      </c>
      <c r="F320" s="76">
        <v>66.035573999999997</v>
      </c>
      <c r="G320" s="76" t="s">
        <v>40</v>
      </c>
      <c r="H320" s="76">
        <f t="shared" si="4"/>
        <v>-1.3573999999991315E-2</v>
      </c>
      <c r="I320" s="77">
        <v>2.2341071740590999E-2</v>
      </c>
      <c r="J320" s="78">
        <v>9.2970718423599124</v>
      </c>
      <c r="K320" s="79">
        <v>-9.8884813468430366E-2</v>
      </c>
    </row>
    <row r="321" spans="1:11" x14ac:dyDescent="0.35">
      <c r="A321" t="s">
        <v>1383</v>
      </c>
      <c r="B321" s="73" t="s">
        <v>37</v>
      </c>
      <c r="C321" s="74" t="s">
        <v>38</v>
      </c>
      <c r="D321" s="75">
        <v>217.05</v>
      </c>
      <c r="E321" s="6" t="s">
        <v>39</v>
      </c>
      <c r="F321" s="76">
        <v>66.036888000000005</v>
      </c>
      <c r="G321" s="76" t="s">
        <v>40</v>
      </c>
      <c r="H321" s="76">
        <f t="shared" si="4"/>
        <v>-1.4887999999999124E-2</v>
      </c>
      <c r="I321" s="77">
        <v>0.12030334257197001</v>
      </c>
      <c r="J321" s="78">
        <v>8.8643185511601814</v>
      </c>
      <c r="K321" s="79">
        <v>-0.5316381046681613</v>
      </c>
    </row>
    <row r="322" spans="1:11" x14ac:dyDescent="0.35">
      <c r="A322" t="s">
        <v>1383</v>
      </c>
      <c r="B322" s="73" t="s">
        <v>37</v>
      </c>
      <c r="C322" s="74" t="s">
        <v>38</v>
      </c>
      <c r="D322" s="75">
        <v>217.08</v>
      </c>
      <c r="E322" s="6" t="s">
        <v>39</v>
      </c>
      <c r="F322" s="76">
        <v>66.038201000000001</v>
      </c>
      <c r="G322" s="76" t="s">
        <v>40</v>
      </c>
      <c r="H322" s="76">
        <f t="shared" ref="H322:H385" si="5">66.022-F322</f>
        <v>-1.6200999999995247E-2</v>
      </c>
      <c r="I322" s="77">
        <v>0.23489019512781201</v>
      </c>
      <c r="J322" s="78">
        <v>8.359858581454489</v>
      </c>
      <c r="K322" s="79">
        <v>-1.0360980743738537</v>
      </c>
    </row>
    <row r="323" spans="1:11" x14ac:dyDescent="0.35">
      <c r="A323" t="s">
        <v>1383</v>
      </c>
      <c r="B323" s="73" t="s">
        <v>37</v>
      </c>
      <c r="C323" s="74" t="s">
        <v>38</v>
      </c>
      <c r="D323" s="75">
        <v>217.11</v>
      </c>
      <c r="E323" s="6" t="s">
        <v>39</v>
      </c>
      <c r="F323" s="76">
        <v>66.039514999999994</v>
      </c>
      <c r="G323" s="76" t="s">
        <v>40</v>
      </c>
      <c r="H323" s="76">
        <f t="shared" si="5"/>
        <v>-1.7514999999988845E-2</v>
      </c>
      <c r="I323" s="77">
        <v>0.12068889317970299</v>
      </c>
      <c r="J323" s="78">
        <v>8.8626180652528319</v>
      </c>
      <c r="K323" s="79">
        <v>-0.53333859057551081</v>
      </c>
    </row>
    <row r="324" spans="1:11" x14ac:dyDescent="0.35">
      <c r="A324" t="s">
        <v>1383</v>
      </c>
      <c r="B324" s="73" t="s">
        <v>37</v>
      </c>
      <c r="C324" s="74" t="s">
        <v>38</v>
      </c>
      <c r="D324" s="75">
        <v>217.14</v>
      </c>
      <c r="E324" s="6" t="s">
        <v>39</v>
      </c>
      <c r="F324" s="76">
        <v>66.040828000000005</v>
      </c>
      <c r="G324" s="76" t="s">
        <v>40</v>
      </c>
      <c r="H324" s="76">
        <f t="shared" si="5"/>
        <v>-1.8827999999999179E-2</v>
      </c>
      <c r="I324" s="77">
        <v>9.0384717180285096E-2</v>
      </c>
      <c r="J324" s="78">
        <v>8.9963403792401095</v>
      </c>
      <c r="K324" s="79">
        <v>-0.39961627658823318</v>
      </c>
    </row>
    <row r="325" spans="1:11" x14ac:dyDescent="0.35">
      <c r="A325" t="s">
        <v>1383</v>
      </c>
      <c r="B325" s="73" t="s">
        <v>37</v>
      </c>
      <c r="C325" s="74" t="s">
        <v>38</v>
      </c>
      <c r="D325" s="75">
        <v>217.17</v>
      </c>
      <c r="E325" s="6" t="s">
        <v>39</v>
      </c>
      <c r="F325" s="76">
        <v>66.042141999999998</v>
      </c>
      <c r="G325" s="76" t="s">
        <v>40</v>
      </c>
      <c r="H325" s="76">
        <f t="shared" si="5"/>
        <v>-2.0141999999992777E-2</v>
      </c>
      <c r="I325" s="77">
        <v>0.149120915524036</v>
      </c>
      <c r="J325" s="78">
        <v>8.7372758247391289</v>
      </c>
      <c r="K325" s="79">
        <v>-0.65868083108921383</v>
      </c>
    </row>
    <row r="326" spans="1:11" x14ac:dyDescent="0.35">
      <c r="A326" t="s">
        <v>1383</v>
      </c>
      <c r="B326" s="73" t="s">
        <v>37</v>
      </c>
      <c r="C326" s="74" t="s">
        <v>38</v>
      </c>
      <c r="D326" s="75">
        <v>217.2</v>
      </c>
      <c r="E326" s="6" t="s">
        <v>39</v>
      </c>
      <c r="F326" s="76">
        <v>66.043456000000006</v>
      </c>
      <c r="G326" s="76" t="s">
        <v>40</v>
      </c>
      <c r="H326" s="76">
        <f t="shared" si="5"/>
        <v>-2.1456000000000586E-2</v>
      </c>
      <c r="I326" s="77">
        <v>-0.111836469646362</v>
      </c>
      <c r="J326" s="78">
        <v>9.8920370306773293</v>
      </c>
      <c r="K326" s="79">
        <v>0.49608037484898659</v>
      </c>
    </row>
    <row r="327" spans="1:11" x14ac:dyDescent="0.35">
      <c r="A327" t="s">
        <v>1383</v>
      </c>
      <c r="B327" s="73" t="s">
        <v>37</v>
      </c>
      <c r="C327" s="74" t="s">
        <v>38</v>
      </c>
      <c r="D327" s="75">
        <v>217.26</v>
      </c>
      <c r="E327" s="6" t="s">
        <v>39</v>
      </c>
      <c r="F327" s="76">
        <v>66.046082999999996</v>
      </c>
      <c r="G327" s="76" t="s">
        <v>40</v>
      </c>
      <c r="H327" s="76">
        <f t="shared" si="5"/>
        <v>-2.4082999999990307E-2</v>
      </c>
      <c r="I327" s="77">
        <v>0.11370271835283299</v>
      </c>
      <c r="J327" s="78">
        <v>8.8934341431047983</v>
      </c>
      <c r="K327" s="79">
        <v>-0.50252251272354442</v>
      </c>
    </row>
    <row r="328" spans="1:11" x14ac:dyDescent="0.35">
      <c r="A328" t="s">
        <v>1383</v>
      </c>
      <c r="B328" s="73" t="s">
        <v>37</v>
      </c>
      <c r="C328" s="74" t="s">
        <v>38</v>
      </c>
      <c r="D328" s="75">
        <v>217.29</v>
      </c>
      <c r="E328" s="6" t="s">
        <v>39</v>
      </c>
      <c r="F328" s="76">
        <v>66.047396000000006</v>
      </c>
      <c r="G328" s="76" t="s">
        <v>40</v>
      </c>
      <c r="H328" s="76">
        <f t="shared" si="5"/>
        <v>-2.539600000000064E-2</v>
      </c>
      <c r="I328" s="77">
        <v>0.152813601997834</v>
      </c>
      <c r="J328" s="78">
        <v>8.7210050951929929</v>
      </c>
      <c r="K328" s="79">
        <v>-0.67495156063534978</v>
      </c>
    </row>
    <row r="329" spans="1:11" x14ac:dyDescent="0.35">
      <c r="A329" t="s">
        <v>1383</v>
      </c>
      <c r="B329" s="73" t="s">
        <v>37</v>
      </c>
      <c r="C329" s="74" t="s">
        <v>38</v>
      </c>
      <c r="D329" s="75">
        <v>217.32</v>
      </c>
      <c r="E329" s="6" t="s">
        <v>39</v>
      </c>
      <c r="F329" s="76">
        <v>66.04871</v>
      </c>
      <c r="G329" s="76" t="s">
        <v>40</v>
      </c>
      <c r="H329" s="76">
        <f t="shared" si="5"/>
        <v>-2.6709999999994238E-2</v>
      </c>
      <c r="I329" s="77">
        <v>6.3880200544911905E-2</v>
      </c>
      <c r="J329" s="78">
        <v>9.1134033820350169</v>
      </c>
      <c r="K329" s="79">
        <v>-0.28255327379332584</v>
      </c>
    </row>
    <row r="330" spans="1:11" x14ac:dyDescent="0.35">
      <c r="A330" t="s">
        <v>1383</v>
      </c>
      <c r="B330" s="73" t="s">
        <v>37</v>
      </c>
      <c r="C330" s="74" t="s">
        <v>38</v>
      </c>
      <c r="D330" s="75">
        <v>217.35</v>
      </c>
      <c r="E330" s="6" t="s">
        <v>39</v>
      </c>
      <c r="F330" s="76">
        <v>66.050023999999993</v>
      </c>
      <c r="G330" s="76" t="s">
        <v>40</v>
      </c>
      <c r="H330" s="76">
        <f t="shared" si="5"/>
        <v>-2.8023999999987836E-2</v>
      </c>
      <c r="I330" s="77">
        <v>0.19693079332792299</v>
      </c>
      <c r="J330" s="78">
        <v>8.526765564976472</v>
      </c>
      <c r="K330" s="79">
        <v>-0.86919109085187074</v>
      </c>
    </row>
    <row r="331" spans="1:11" x14ac:dyDescent="0.35">
      <c r="A331" t="s">
        <v>1383</v>
      </c>
      <c r="B331" s="73" t="s">
        <v>37</v>
      </c>
      <c r="C331" s="74" t="s">
        <v>38</v>
      </c>
      <c r="D331" s="75">
        <v>217.38</v>
      </c>
      <c r="E331" s="6" t="s">
        <v>39</v>
      </c>
      <c r="F331" s="76">
        <v>66.051337000000004</v>
      </c>
      <c r="G331" s="76" t="s">
        <v>40</v>
      </c>
      <c r="H331" s="76">
        <f t="shared" si="5"/>
        <v>-2.933699999999817E-2</v>
      </c>
      <c r="I331" s="77">
        <v>0.117063601997834</v>
      </c>
      <c r="J331" s="78">
        <v>8.8786083886969891</v>
      </c>
      <c r="K331" s="79">
        <v>-0.51734826713135362</v>
      </c>
    </row>
    <row r="332" spans="1:11" x14ac:dyDescent="0.35">
      <c r="A332" t="s">
        <v>1383</v>
      </c>
      <c r="B332" s="73" t="s">
        <v>37</v>
      </c>
      <c r="C332" s="74" t="s">
        <v>38</v>
      </c>
      <c r="D332" s="75">
        <v>217.41</v>
      </c>
      <c r="E332" s="6" t="s">
        <v>39</v>
      </c>
      <c r="F332" s="76">
        <v>66.052650999999997</v>
      </c>
      <c r="G332" s="76" t="s">
        <v>40</v>
      </c>
      <c r="H332" s="76">
        <f t="shared" si="5"/>
        <v>-3.0650999999991768E-2</v>
      </c>
      <c r="I332" s="77">
        <v>-0.143640115686926</v>
      </c>
      <c r="J332" s="78">
        <v>10.033438999658472</v>
      </c>
      <c r="K332" s="79">
        <v>0.63748234383012914</v>
      </c>
    </row>
    <row r="333" spans="1:11" x14ac:dyDescent="0.35">
      <c r="A333" t="s">
        <v>1383</v>
      </c>
      <c r="B333" s="73" t="s">
        <v>37</v>
      </c>
      <c r="C333" s="74" t="s">
        <v>38</v>
      </c>
      <c r="D333" s="75">
        <v>217.44</v>
      </c>
      <c r="E333" s="6" t="s">
        <v>39</v>
      </c>
      <c r="F333" s="76">
        <v>66.053963999999993</v>
      </c>
      <c r="G333" s="76" t="s">
        <v>40</v>
      </c>
      <c r="H333" s="76">
        <f t="shared" si="5"/>
        <v>-3.1963999999987891E-2</v>
      </c>
      <c r="I333" s="77">
        <v>-4.2089921038678597E-2</v>
      </c>
      <c r="J333" s="78">
        <v>9.5824469666545156</v>
      </c>
      <c r="K333" s="79">
        <v>0.18649031082617284</v>
      </c>
    </row>
    <row r="334" spans="1:11" x14ac:dyDescent="0.35">
      <c r="A334" t="s">
        <v>1383</v>
      </c>
      <c r="B334" s="73" t="s">
        <v>37</v>
      </c>
      <c r="C334" s="74" t="s">
        <v>38</v>
      </c>
      <c r="D334" s="75">
        <v>217.47</v>
      </c>
      <c r="E334" s="6" t="s">
        <v>39</v>
      </c>
      <c r="F334" s="76">
        <v>66.055278000000001</v>
      </c>
      <c r="G334" s="76" t="s">
        <v>40</v>
      </c>
      <c r="H334" s="76">
        <f t="shared" si="5"/>
        <v>-3.32779999999957E-2</v>
      </c>
      <c r="I334" s="77">
        <v>0.33161341346879802</v>
      </c>
      <c r="J334" s="78">
        <v>7.935489192171076</v>
      </c>
      <c r="K334" s="79">
        <v>-1.4604674636572668</v>
      </c>
    </row>
    <row r="335" spans="1:11" x14ac:dyDescent="0.35">
      <c r="A335" t="s">
        <v>1383</v>
      </c>
      <c r="B335" s="73" t="s">
        <v>37</v>
      </c>
      <c r="C335" s="74" t="s">
        <v>38</v>
      </c>
      <c r="D335" s="75">
        <v>217.5</v>
      </c>
      <c r="E335" s="6" t="s">
        <v>39</v>
      </c>
      <c r="F335" s="76">
        <v>66.056591999999995</v>
      </c>
      <c r="G335" s="76" t="s">
        <v>40</v>
      </c>
      <c r="H335" s="76">
        <f t="shared" si="5"/>
        <v>-3.4591999999989298E-2</v>
      </c>
      <c r="I335" s="77">
        <v>5.7769458593019601E-2</v>
      </c>
      <c r="J335" s="78">
        <v>9.1404070336481027</v>
      </c>
      <c r="K335" s="79">
        <v>-0.25554962218024002</v>
      </c>
    </row>
    <row r="336" spans="1:11" x14ac:dyDescent="0.35">
      <c r="A336" t="s">
        <v>1383</v>
      </c>
      <c r="B336" s="73" t="s">
        <v>37</v>
      </c>
      <c r="C336" s="74" t="s">
        <v>38</v>
      </c>
      <c r="D336" s="75">
        <v>217.54</v>
      </c>
      <c r="E336" s="6" t="s">
        <v>39</v>
      </c>
      <c r="F336" s="76">
        <v>66.058342999999994</v>
      </c>
      <c r="G336" s="76" t="s">
        <v>40</v>
      </c>
      <c r="H336" s="76">
        <f t="shared" si="5"/>
        <v>-3.6342999999988024E-2</v>
      </c>
      <c r="I336" s="77">
        <v>-0.16994941075045999</v>
      </c>
      <c r="J336" s="78">
        <v>10.150522800668853</v>
      </c>
      <c r="K336" s="79">
        <v>0.75456614484050988</v>
      </c>
    </row>
    <row r="337" spans="1:11" x14ac:dyDescent="0.35">
      <c r="A337" t="s">
        <v>1383</v>
      </c>
      <c r="B337" s="73" t="s">
        <v>37</v>
      </c>
      <c r="C337" s="74" t="s">
        <v>38</v>
      </c>
      <c r="D337" s="75">
        <v>217.57</v>
      </c>
      <c r="E337" s="6" t="s">
        <v>39</v>
      </c>
      <c r="F337" s="76">
        <v>66.059657000000001</v>
      </c>
      <c r="G337" s="76" t="s">
        <v>40</v>
      </c>
      <c r="H337" s="76">
        <f t="shared" si="5"/>
        <v>-3.7656999999995833E-2</v>
      </c>
      <c r="I337" s="77">
        <v>0.321049602547749</v>
      </c>
      <c r="J337" s="78">
        <v>7.9817732630243654</v>
      </c>
      <c r="K337" s="79">
        <v>-1.4141833928039773</v>
      </c>
    </row>
    <row r="338" spans="1:11" x14ac:dyDescent="0.35">
      <c r="A338" t="s">
        <v>1383</v>
      </c>
      <c r="B338" s="73" t="s">
        <v>37</v>
      </c>
      <c r="C338" s="74" t="s">
        <v>38</v>
      </c>
      <c r="D338" s="75">
        <v>217.6</v>
      </c>
      <c r="E338" s="6" t="s">
        <v>39</v>
      </c>
      <c r="F338" s="76">
        <v>66.060969999999998</v>
      </c>
      <c r="G338" s="76" t="s">
        <v>40</v>
      </c>
      <c r="H338" s="76">
        <f t="shared" si="5"/>
        <v>-3.8969999999991956E-2</v>
      </c>
      <c r="I338" s="77">
        <v>4.5171448549394699E-2</v>
      </c>
      <c r="J338" s="78">
        <v>9.1960950536039832</v>
      </c>
      <c r="K338" s="79">
        <v>-0.19986160222435956</v>
      </c>
    </row>
    <row r="339" spans="1:11" x14ac:dyDescent="0.35">
      <c r="A339" t="s">
        <v>1383</v>
      </c>
      <c r="B339" s="73" t="s">
        <v>37</v>
      </c>
      <c r="C339" s="74" t="s">
        <v>38</v>
      </c>
      <c r="D339" s="75">
        <v>217.63</v>
      </c>
      <c r="E339" s="6" t="s">
        <v>39</v>
      </c>
      <c r="F339" s="76">
        <v>66.062284000000005</v>
      </c>
      <c r="G339" s="76" t="s">
        <v>40</v>
      </c>
      <c r="H339" s="76">
        <f t="shared" si="5"/>
        <v>-4.0283999999999764E-2</v>
      </c>
      <c r="I339" s="77">
        <v>-0.13689369578449601</v>
      </c>
      <c r="J339" s="78">
        <v>10.003431608183973</v>
      </c>
      <c r="K339" s="79">
        <v>0.60747495235563065</v>
      </c>
    </row>
    <row r="340" spans="1:11" x14ac:dyDescent="0.35">
      <c r="A340" t="s">
        <v>1383</v>
      </c>
      <c r="B340" s="73" t="s">
        <v>37</v>
      </c>
      <c r="C340" s="74" t="s">
        <v>38</v>
      </c>
      <c r="D340" s="75">
        <v>217.66</v>
      </c>
      <c r="E340" s="6" t="s">
        <v>39</v>
      </c>
      <c r="F340" s="76">
        <v>66.063597999999999</v>
      </c>
      <c r="G340" s="76" t="s">
        <v>40</v>
      </c>
      <c r="H340" s="76">
        <f t="shared" si="5"/>
        <v>-4.1597999999993363E-2</v>
      </c>
      <c r="I340" s="77">
        <v>-0.17104177989448599</v>
      </c>
      <c r="J340" s="78">
        <v>10.1553863122748</v>
      </c>
      <c r="K340" s="79">
        <v>0.7594296564464571</v>
      </c>
    </row>
    <row r="341" spans="1:11" x14ac:dyDescent="0.35">
      <c r="A341" t="s">
        <v>1383</v>
      </c>
      <c r="B341" s="73" t="s">
        <v>37</v>
      </c>
      <c r="C341" s="74" t="s">
        <v>38</v>
      </c>
      <c r="D341" s="75">
        <v>217.69</v>
      </c>
      <c r="E341" s="6" t="s">
        <v>39</v>
      </c>
      <c r="F341" s="76">
        <v>66.064910999999995</v>
      </c>
      <c r="G341" s="76" t="s">
        <v>40</v>
      </c>
      <c r="H341" s="76">
        <f t="shared" si="5"/>
        <v>-4.2910999999989485E-2</v>
      </c>
      <c r="I341" s="77">
        <v>0.120925086045753</v>
      </c>
      <c r="J341" s="78">
        <v>8.8615763379100372</v>
      </c>
      <c r="K341" s="79">
        <v>-0.53438031791830554</v>
      </c>
    </row>
    <row r="342" spans="1:11" x14ac:dyDescent="0.35">
      <c r="A342" t="s">
        <v>1383</v>
      </c>
      <c r="B342" s="73" t="s">
        <v>37</v>
      </c>
      <c r="C342" s="74" t="s">
        <v>38</v>
      </c>
      <c r="D342" s="75">
        <v>217.72</v>
      </c>
      <c r="E342" s="6" t="s">
        <v>39</v>
      </c>
      <c r="F342" s="76">
        <v>66.066225000000003</v>
      </c>
      <c r="G342" s="76" t="s">
        <v>40</v>
      </c>
      <c r="H342" s="76">
        <f t="shared" si="5"/>
        <v>-4.4224999999997294E-2</v>
      </c>
      <c r="I342" s="77">
        <v>0.42290208927746598</v>
      </c>
      <c r="J342" s="78">
        <v>7.5361730962494562</v>
      </c>
      <c r="K342" s="79">
        <v>-1.8597835595788865</v>
      </c>
    </row>
    <row r="343" spans="1:11" x14ac:dyDescent="0.35">
      <c r="A343" t="s">
        <v>1383</v>
      </c>
      <c r="B343" s="73" t="s">
        <v>37</v>
      </c>
      <c r="C343" s="74" t="s">
        <v>38</v>
      </c>
      <c r="D343" s="75">
        <v>217.75</v>
      </c>
      <c r="E343" s="6" t="s">
        <v>39</v>
      </c>
      <c r="F343" s="76">
        <v>66.067537999999999</v>
      </c>
      <c r="G343" s="76" t="s">
        <v>40</v>
      </c>
      <c r="H343" s="76">
        <f t="shared" si="5"/>
        <v>-4.5537999999993417E-2</v>
      </c>
      <c r="I343" s="77">
        <v>2.63898015956508E-2</v>
      </c>
      <c r="J343" s="78">
        <v>9.2791592228208515</v>
      </c>
      <c r="K343" s="79">
        <v>-0.11679743300749124</v>
      </c>
    </row>
    <row r="344" spans="1:11" x14ac:dyDescent="0.35">
      <c r="A344" t="s">
        <v>1383</v>
      </c>
      <c r="B344" s="73" t="s">
        <v>37</v>
      </c>
      <c r="C344" s="74" t="s">
        <v>38</v>
      </c>
      <c r="D344" s="75">
        <v>217.78</v>
      </c>
      <c r="E344" s="6" t="s">
        <v>39</v>
      </c>
      <c r="F344" s="76">
        <v>66.068852000000007</v>
      </c>
      <c r="G344" s="76" t="s">
        <v>40</v>
      </c>
      <c r="H344" s="76">
        <f t="shared" si="5"/>
        <v>-4.6852000000001226E-2</v>
      </c>
      <c r="I344" s="77">
        <v>9.1638979240411103E-2</v>
      </c>
      <c r="J344" s="78">
        <v>8.9908031391497047</v>
      </c>
      <c r="K344" s="79">
        <v>-0.40515351667863797</v>
      </c>
    </row>
    <row r="345" spans="1:11" x14ac:dyDescent="0.35">
      <c r="A345" t="s">
        <v>1383</v>
      </c>
      <c r="B345" s="73" t="s">
        <v>37</v>
      </c>
      <c r="C345" s="74" t="s">
        <v>38</v>
      </c>
      <c r="D345" s="75">
        <v>217.81</v>
      </c>
      <c r="E345" s="6" t="s">
        <v>39</v>
      </c>
      <c r="F345" s="76">
        <v>66.070166</v>
      </c>
      <c r="G345" s="76" t="s">
        <v>40</v>
      </c>
      <c r="H345" s="76">
        <f t="shared" si="5"/>
        <v>-4.8165999999994824E-2</v>
      </c>
      <c r="I345" s="77">
        <v>0.26742735409395002</v>
      </c>
      <c r="J345" s="78">
        <v>8.2169555178996916</v>
      </c>
      <c r="K345" s="79">
        <v>-1.1790011379286511</v>
      </c>
    </row>
    <row r="346" spans="1:11" x14ac:dyDescent="0.35">
      <c r="A346" t="s">
        <v>1383</v>
      </c>
      <c r="B346" s="73" t="s">
        <v>37</v>
      </c>
      <c r="C346" s="74" t="s">
        <v>38</v>
      </c>
      <c r="D346" s="75">
        <v>217.84</v>
      </c>
      <c r="E346" s="6" t="s">
        <v>39</v>
      </c>
      <c r="F346" s="76">
        <v>66.071478999999997</v>
      </c>
      <c r="G346" s="76" t="s">
        <v>40</v>
      </c>
      <c r="H346" s="76">
        <f t="shared" si="5"/>
        <v>-4.9478999999990947E-2</v>
      </c>
      <c r="I346" s="77">
        <v>0.32845802801243301</v>
      </c>
      <c r="J346" s="78">
        <v>7.9493124877085393</v>
      </c>
      <c r="K346" s="79">
        <v>-1.4466441681198035</v>
      </c>
    </row>
    <row r="347" spans="1:11" x14ac:dyDescent="0.35">
      <c r="A347" t="s">
        <v>1383</v>
      </c>
      <c r="B347" s="73" t="s">
        <v>37</v>
      </c>
      <c r="C347" s="74" t="s">
        <v>38</v>
      </c>
      <c r="D347" s="75">
        <v>217.87</v>
      </c>
      <c r="E347" s="6" t="s">
        <v>39</v>
      </c>
      <c r="F347" s="76">
        <v>66.072793000000004</v>
      </c>
      <c r="G347" s="76" t="s">
        <v>40</v>
      </c>
      <c r="H347" s="76">
        <f t="shared" si="5"/>
        <v>-5.0792999999998756E-2</v>
      </c>
      <c r="I347" s="77">
        <v>0.33144168306698302</v>
      </c>
      <c r="J347" s="78">
        <v>7.9362414825655492</v>
      </c>
      <c r="K347" s="79">
        <v>-1.4597151732627935</v>
      </c>
    </row>
    <row r="348" spans="1:11" x14ac:dyDescent="0.35">
      <c r="A348" t="s">
        <v>1383</v>
      </c>
      <c r="B348" s="73" t="s">
        <v>37</v>
      </c>
      <c r="C348" s="74" t="s">
        <v>38</v>
      </c>
      <c r="D348" s="75">
        <v>217.9</v>
      </c>
      <c r="E348" s="6" t="s">
        <v>39</v>
      </c>
      <c r="F348" s="76">
        <v>66.074106999999998</v>
      </c>
      <c r="G348" s="76" t="s">
        <v>40</v>
      </c>
      <c r="H348" s="76">
        <f t="shared" si="5"/>
        <v>-5.2106999999992354E-2</v>
      </c>
      <c r="I348" s="77">
        <v>0.31429538812772201</v>
      </c>
      <c r="J348" s="78">
        <v>8.0113742890567323</v>
      </c>
      <c r="K348" s="79">
        <v>-1.3845823667716104</v>
      </c>
    </row>
    <row r="349" spans="1:11" x14ac:dyDescent="0.35">
      <c r="A349" t="s">
        <v>1383</v>
      </c>
      <c r="B349" s="73" t="s">
        <v>37</v>
      </c>
      <c r="C349" s="74" t="s">
        <v>38</v>
      </c>
      <c r="D349" s="75">
        <v>217.93</v>
      </c>
      <c r="E349" s="6" t="s">
        <v>39</v>
      </c>
      <c r="F349" s="76">
        <v>66.075419999999994</v>
      </c>
      <c r="G349" s="76" t="s">
        <v>40</v>
      </c>
      <c r="H349" s="76">
        <f t="shared" si="5"/>
        <v>-5.3419999999988477E-2</v>
      </c>
      <c r="I349" s="77">
        <v>0.60787415931295197</v>
      </c>
      <c r="J349" s="78">
        <v>6.7306452750116819</v>
      </c>
      <c r="K349" s="79">
        <v>-2.6653113808166609</v>
      </c>
    </row>
    <row r="350" spans="1:11" x14ac:dyDescent="0.35">
      <c r="A350" t="s">
        <v>1383</v>
      </c>
      <c r="B350" s="73" t="s">
        <v>37</v>
      </c>
      <c r="C350" s="74" t="s">
        <v>38</v>
      </c>
      <c r="D350" s="75">
        <v>217.96</v>
      </c>
      <c r="E350" s="6" t="s">
        <v>39</v>
      </c>
      <c r="F350" s="76">
        <v>66.076734000000002</v>
      </c>
      <c r="G350" s="76" t="s">
        <v>40</v>
      </c>
      <c r="H350" s="76">
        <f t="shared" si="5"/>
        <v>-5.4733999999996286E-2</v>
      </c>
      <c r="I350" s="77">
        <v>0.61070666239756799</v>
      </c>
      <c r="J350" s="78">
        <v>6.7183472100305153</v>
      </c>
      <c r="K350" s="79">
        <v>-2.6776094457978274</v>
      </c>
    </row>
    <row r="351" spans="1:11" x14ac:dyDescent="0.35">
      <c r="A351" t="s">
        <v>1383</v>
      </c>
      <c r="B351" s="73" t="s">
        <v>37</v>
      </c>
      <c r="C351" s="74" t="s">
        <v>38</v>
      </c>
      <c r="D351" s="75">
        <v>217.99</v>
      </c>
      <c r="E351" s="6" t="s">
        <v>39</v>
      </c>
      <c r="F351" s="76">
        <v>66.078046999999998</v>
      </c>
      <c r="G351" s="76" t="s">
        <v>40</v>
      </c>
      <c r="H351" s="76">
        <f t="shared" si="5"/>
        <v>-5.6046999999992408E-2</v>
      </c>
      <c r="I351" s="77">
        <v>0.328801466275782</v>
      </c>
      <c r="J351" s="78">
        <v>7.9478078654005913</v>
      </c>
      <c r="K351" s="79">
        <v>-1.4481487904277515</v>
      </c>
    </row>
    <row r="352" spans="1:11" x14ac:dyDescent="0.35">
      <c r="A352" t="s">
        <v>1383</v>
      </c>
      <c r="B352" s="73" t="s">
        <v>37</v>
      </c>
      <c r="C352" s="74" t="s">
        <v>38</v>
      </c>
      <c r="D352" s="75">
        <v>218.02</v>
      </c>
      <c r="E352" s="6" t="s">
        <v>39</v>
      </c>
      <c r="F352" s="76">
        <v>66.079361000000006</v>
      </c>
      <c r="G352" s="76" t="s">
        <v>40</v>
      </c>
      <c r="H352" s="76">
        <f t="shared" si="5"/>
        <v>-5.7361000000000217E-2</v>
      </c>
      <c r="I352" s="77">
        <v>0.24396383324948501</v>
      </c>
      <c r="J352" s="78">
        <v>8.3199921403177086</v>
      </c>
      <c r="K352" s="79">
        <v>-1.0759645155106341</v>
      </c>
    </row>
    <row r="353" spans="1:11" x14ac:dyDescent="0.35">
      <c r="A353" t="s">
        <v>1383</v>
      </c>
      <c r="B353" s="73" t="s">
        <v>37</v>
      </c>
      <c r="C353" s="74" t="s">
        <v>38</v>
      </c>
      <c r="D353" s="75">
        <v>218.05</v>
      </c>
      <c r="E353" s="6" t="s">
        <v>39</v>
      </c>
      <c r="F353" s="76">
        <v>66.080674999999999</v>
      </c>
      <c r="G353" s="76" t="s">
        <v>40</v>
      </c>
      <c r="H353" s="76">
        <f t="shared" si="5"/>
        <v>-5.8674999999993815E-2</v>
      </c>
      <c r="I353" s="77">
        <v>-2.0075640662468398E-2</v>
      </c>
      <c r="J353" s="78">
        <v>9.4848753124846326</v>
      </c>
      <c r="K353" s="79">
        <v>8.8918656656289841E-2</v>
      </c>
    </row>
    <row r="354" spans="1:11" x14ac:dyDescent="0.35">
      <c r="A354" t="s">
        <v>1383</v>
      </c>
      <c r="B354" s="73" t="s">
        <v>37</v>
      </c>
      <c r="C354" s="74" t="s">
        <v>38</v>
      </c>
      <c r="D354" s="75">
        <v>218.08</v>
      </c>
      <c r="E354" s="6" t="s">
        <v>39</v>
      </c>
      <c r="F354" s="76">
        <v>66.081987999999996</v>
      </c>
      <c r="G354" s="76" t="s">
        <v>40</v>
      </c>
      <c r="H354" s="76">
        <f t="shared" si="5"/>
        <v>-5.9987999999989938E-2</v>
      </c>
      <c r="I354" s="77">
        <v>6.3185588743681395E-2</v>
      </c>
      <c r="J354" s="78">
        <v>9.1164726351800596</v>
      </c>
      <c r="K354" s="79">
        <v>-0.27948402064828315</v>
      </c>
    </row>
    <row r="355" spans="1:11" x14ac:dyDescent="0.35">
      <c r="A355" t="s">
        <v>1383</v>
      </c>
      <c r="B355" s="73" t="s">
        <v>37</v>
      </c>
      <c r="C355" s="74" t="s">
        <v>38</v>
      </c>
      <c r="D355" s="75">
        <v>218.11</v>
      </c>
      <c r="E355" s="6" t="s">
        <v>39</v>
      </c>
      <c r="F355" s="76">
        <v>66.083302000000003</v>
      </c>
      <c r="G355" s="76" t="s">
        <v>40</v>
      </c>
      <c r="H355" s="76">
        <f t="shared" si="5"/>
        <v>-6.1301999999997747E-2</v>
      </c>
      <c r="I355" s="77">
        <v>-9.3607729001466106E-2</v>
      </c>
      <c r="J355" s="78">
        <v>9.8110560257279076</v>
      </c>
      <c r="K355" s="79">
        <v>0.41509936989956486</v>
      </c>
    </row>
    <row r="356" spans="1:11" x14ac:dyDescent="0.35">
      <c r="A356" t="s">
        <v>1383</v>
      </c>
      <c r="B356" s="73" t="s">
        <v>37</v>
      </c>
      <c r="C356" s="74" t="s">
        <v>38</v>
      </c>
      <c r="D356" s="75">
        <v>218.14</v>
      </c>
      <c r="E356" s="6" t="s">
        <v>39</v>
      </c>
      <c r="F356" s="76">
        <v>66.084614999999999</v>
      </c>
      <c r="G356" s="76" t="s">
        <v>40</v>
      </c>
      <c r="H356" s="76">
        <f t="shared" si="5"/>
        <v>-6.261499999999387E-2</v>
      </c>
      <c r="I356" s="77">
        <v>0.23845371386932401</v>
      </c>
      <c r="J356" s="78">
        <v>8.3442003175870809</v>
      </c>
      <c r="K356" s="79">
        <v>-1.0517563382412618</v>
      </c>
    </row>
    <row r="357" spans="1:11" x14ac:dyDescent="0.35">
      <c r="A357" t="s">
        <v>1383</v>
      </c>
      <c r="B357" s="73" t="s">
        <v>37</v>
      </c>
      <c r="C357" s="74" t="s">
        <v>38</v>
      </c>
      <c r="D357" s="75">
        <v>218.17</v>
      </c>
      <c r="E357" s="6" t="s">
        <v>39</v>
      </c>
      <c r="F357" s="76">
        <v>66.085928999999993</v>
      </c>
      <c r="G357" s="76" t="s">
        <v>40</v>
      </c>
      <c r="H357" s="76">
        <f t="shared" si="5"/>
        <v>-6.3928999999987468E-2</v>
      </c>
      <c r="I357" s="77">
        <v>-0.27610255202424999</v>
      </c>
      <c r="J357" s="78">
        <v>10.62395075311963</v>
      </c>
      <c r="K357" s="79">
        <v>1.2279940972912868</v>
      </c>
    </row>
    <row r="358" spans="1:11" x14ac:dyDescent="0.35">
      <c r="A358" t="s">
        <v>1383</v>
      </c>
      <c r="B358" s="73" t="s">
        <v>37</v>
      </c>
      <c r="C358" s="74" t="s">
        <v>38</v>
      </c>
      <c r="D358" s="75">
        <v>218.2</v>
      </c>
      <c r="E358" s="6" t="s">
        <v>39</v>
      </c>
      <c r="F358" s="76">
        <v>66.087243000000001</v>
      </c>
      <c r="G358" s="76" t="s">
        <v>40</v>
      </c>
      <c r="H358" s="76">
        <f t="shared" si="5"/>
        <v>-6.5242999999995277E-2</v>
      </c>
      <c r="I358" s="77">
        <v>4.36357015582063E-2</v>
      </c>
      <c r="J358" s="78">
        <v>9.2028851928135396</v>
      </c>
      <c r="K358" s="79">
        <v>-0.19307146301480316</v>
      </c>
    </row>
    <row r="359" spans="1:11" x14ac:dyDescent="0.35">
      <c r="A359" t="s">
        <v>1383</v>
      </c>
      <c r="B359" s="73" t="s">
        <v>37</v>
      </c>
      <c r="C359" s="74" t="s">
        <v>38</v>
      </c>
      <c r="D359" s="75">
        <v>218.23</v>
      </c>
      <c r="E359" s="6" t="s">
        <v>39</v>
      </c>
      <c r="F359" s="76">
        <v>66.088555999999997</v>
      </c>
      <c r="G359" s="76" t="s">
        <v>40</v>
      </c>
      <c r="H359" s="76">
        <f t="shared" si="5"/>
        <v>-6.65559999999914E-2</v>
      </c>
      <c r="I359" s="77">
        <v>-9.5865972906674396E-2</v>
      </c>
      <c r="J359" s="78">
        <v>9.8210856576323522</v>
      </c>
      <c r="K359" s="79">
        <v>0.42512900180400948</v>
      </c>
    </row>
    <row r="360" spans="1:11" x14ac:dyDescent="0.35">
      <c r="A360" t="s">
        <v>1383</v>
      </c>
      <c r="B360" s="73" t="s">
        <v>37</v>
      </c>
      <c r="C360" s="74" t="s">
        <v>38</v>
      </c>
      <c r="D360" s="75">
        <v>218.26</v>
      </c>
      <c r="E360" s="6" t="s">
        <v>39</v>
      </c>
      <c r="F360" s="76">
        <v>66.089870000000005</v>
      </c>
      <c r="G360" s="76" t="s">
        <v>40</v>
      </c>
      <c r="H360" s="76">
        <f t="shared" si="5"/>
        <v>-6.7869999999999209E-2</v>
      </c>
      <c r="I360" s="77">
        <v>-0.19016914848758101</v>
      </c>
      <c r="J360" s="78">
        <v>10.240574264010604</v>
      </c>
      <c r="K360" s="79">
        <v>0.84461760818226139</v>
      </c>
    </row>
    <row r="361" spans="1:11" x14ac:dyDescent="0.35">
      <c r="A361" t="s">
        <v>1383</v>
      </c>
      <c r="B361" s="73" t="s">
        <v>37</v>
      </c>
      <c r="C361" s="74" t="s">
        <v>38</v>
      </c>
      <c r="D361" s="75">
        <v>218.29</v>
      </c>
      <c r="E361" s="6" t="s">
        <v>39</v>
      </c>
      <c r="F361" s="76">
        <v>66.091183000000001</v>
      </c>
      <c r="G361" s="76" t="s">
        <v>40</v>
      </c>
      <c r="H361" s="76">
        <f t="shared" si="5"/>
        <v>-6.9182999999995332E-2</v>
      </c>
      <c r="I361" s="77">
        <v>0.137559623598241</v>
      </c>
      <c r="J361" s="78">
        <v>8.7882297721383793</v>
      </c>
      <c r="K361" s="79">
        <v>-0.60772688368996342</v>
      </c>
    </row>
    <row r="362" spans="1:11" x14ac:dyDescent="0.35">
      <c r="A362" t="s">
        <v>1383</v>
      </c>
      <c r="B362" s="73" t="s">
        <v>37</v>
      </c>
      <c r="C362" s="74" t="s">
        <v>38</v>
      </c>
      <c r="D362" s="75">
        <v>218.32</v>
      </c>
      <c r="E362" s="6" t="s">
        <v>39</v>
      </c>
      <c r="F362" s="76">
        <v>66.092496999999995</v>
      </c>
      <c r="G362" s="76" t="s">
        <v>40</v>
      </c>
      <c r="H362" s="76">
        <f t="shared" si="5"/>
        <v>-7.049699999998893E-2</v>
      </c>
      <c r="I362" s="77">
        <v>-8.2158251671960794E-2</v>
      </c>
      <c r="J362" s="78">
        <v>9.7602162762407829</v>
      </c>
      <c r="K362" s="79">
        <v>0.3642596204124402</v>
      </c>
    </row>
    <row r="363" spans="1:11" x14ac:dyDescent="0.35">
      <c r="A363" t="s">
        <v>1383</v>
      </c>
      <c r="B363" s="73" t="s">
        <v>37</v>
      </c>
      <c r="C363" s="74" t="s">
        <v>38</v>
      </c>
      <c r="D363" s="75">
        <v>218.35</v>
      </c>
      <c r="E363" s="6" t="s">
        <v>39</v>
      </c>
      <c r="F363" s="76">
        <v>66.093811000000002</v>
      </c>
      <c r="G363" s="76" t="s">
        <v>40</v>
      </c>
      <c r="H363" s="76">
        <f t="shared" si="5"/>
        <v>-7.1810999999996739E-2</v>
      </c>
      <c r="I363" s="77">
        <v>-0.33790173838744803</v>
      </c>
      <c r="J363" s="78">
        <v>10.900319028521778</v>
      </c>
      <c r="K363" s="79">
        <v>1.5043623726934356</v>
      </c>
    </row>
    <row r="364" spans="1:11" x14ac:dyDescent="0.35">
      <c r="A364" t="s">
        <v>1383</v>
      </c>
      <c r="B364" s="73" t="s">
        <v>37</v>
      </c>
      <c r="C364" s="74" t="s">
        <v>38</v>
      </c>
      <c r="D364" s="75">
        <v>218.38</v>
      </c>
      <c r="E364" s="6" t="s">
        <v>39</v>
      </c>
      <c r="F364" s="76">
        <v>66.095123999999998</v>
      </c>
      <c r="G364" s="76" t="s">
        <v>40</v>
      </c>
      <c r="H364" s="76">
        <f t="shared" si="5"/>
        <v>-7.3123999999992861E-2</v>
      </c>
      <c r="I364" s="77">
        <v>-0.37883869754670402</v>
      </c>
      <c r="J364" s="78">
        <v>11.08369666205391</v>
      </c>
      <c r="K364" s="79">
        <v>1.6877400062255674</v>
      </c>
    </row>
    <row r="365" spans="1:11" x14ac:dyDescent="0.35">
      <c r="A365" t="s">
        <v>1383</v>
      </c>
      <c r="B365" s="73" t="s">
        <v>37</v>
      </c>
      <c r="C365" s="74" t="s">
        <v>38</v>
      </c>
      <c r="D365" s="75">
        <v>218.41</v>
      </c>
      <c r="E365" s="6" t="s">
        <v>39</v>
      </c>
      <c r="F365" s="76">
        <v>66.096485999999999</v>
      </c>
      <c r="G365" s="76" t="s">
        <v>40</v>
      </c>
      <c r="H365" s="76">
        <f t="shared" si="5"/>
        <v>-7.4485999999993169E-2</v>
      </c>
      <c r="I365" s="77">
        <v>-0.145319161138071</v>
      </c>
      <c r="J365" s="78">
        <v>10.040908243451668</v>
      </c>
      <c r="K365" s="79">
        <v>0.64495158762332494</v>
      </c>
    </row>
    <row r="366" spans="1:11" x14ac:dyDescent="0.35">
      <c r="A366" t="s">
        <v>1383</v>
      </c>
      <c r="B366" s="73" t="s">
        <v>37</v>
      </c>
      <c r="C366" s="74" t="s">
        <v>38</v>
      </c>
      <c r="D366" s="75">
        <v>218.44</v>
      </c>
      <c r="E366" s="6" t="s">
        <v>39</v>
      </c>
      <c r="F366" s="76">
        <v>66.097944999999996</v>
      </c>
      <c r="G366" s="76" t="s">
        <v>40</v>
      </c>
      <c r="H366" s="76">
        <f t="shared" si="5"/>
        <v>-7.5944999999990159E-2</v>
      </c>
      <c r="I366" s="77">
        <v>-0.228572274476085</v>
      </c>
      <c r="J366" s="78">
        <v>10.411770759243552</v>
      </c>
      <c r="K366" s="79">
        <v>1.0158141034152095</v>
      </c>
    </row>
    <row r="367" spans="1:11" x14ac:dyDescent="0.35">
      <c r="A367" t="s">
        <v>1383</v>
      </c>
      <c r="B367" s="73" t="s">
        <v>37</v>
      </c>
      <c r="C367" s="74" t="s">
        <v>38</v>
      </c>
      <c r="D367" s="75">
        <v>218.47</v>
      </c>
      <c r="E367" s="6" t="s">
        <v>39</v>
      </c>
      <c r="F367" s="76">
        <v>66.099405000000004</v>
      </c>
      <c r="G367" s="76" t="s">
        <v>40</v>
      </c>
      <c r="H367" s="76">
        <f t="shared" si="5"/>
        <v>-7.7404999999998836E-2</v>
      </c>
      <c r="I367" s="77">
        <v>-0.21633594927526401</v>
      </c>
      <c r="J367" s="78">
        <v>10.357199537487418</v>
      </c>
      <c r="K367" s="79">
        <v>0.96124288165907501</v>
      </c>
    </row>
    <row r="368" spans="1:11" x14ac:dyDescent="0.35">
      <c r="A368" t="s">
        <v>1383</v>
      </c>
      <c r="B368" s="73" t="s">
        <v>37</v>
      </c>
      <c r="C368" s="74" t="s">
        <v>38</v>
      </c>
      <c r="D368" s="75">
        <v>218.5</v>
      </c>
      <c r="E368" s="6" t="s">
        <v>39</v>
      </c>
      <c r="F368" s="76">
        <v>66.100864000000001</v>
      </c>
      <c r="G368" s="76" t="s">
        <v>40</v>
      </c>
      <c r="H368" s="76">
        <f t="shared" si="5"/>
        <v>-7.8863999999995826E-2</v>
      </c>
      <c r="I368" s="77">
        <v>-0.26249045576987801</v>
      </c>
      <c r="J368" s="78">
        <v>10.563151499344031</v>
      </c>
      <c r="K368" s="79">
        <v>1.1671948435156878</v>
      </c>
    </row>
    <row r="369" spans="1:11" x14ac:dyDescent="0.35">
      <c r="A369" t="s">
        <v>1383</v>
      </c>
      <c r="B369" s="73" t="s">
        <v>37</v>
      </c>
      <c r="C369" s="74" t="s">
        <v>38</v>
      </c>
      <c r="D369" s="75">
        <v>218.53</v>
      </c>
      <c r="E369" s="6" t="s">
        <v>39</v>
      </c>
      <c r="F369" s="76">
        <v>66.102322999999998</v>
      </c>
      <c r="G369" s="76" t="s">
        <v>40</v>
      </c>
      <c r="H369" s="76">
        <f t="shared" si="5"/>
        <v>-8.0322999999992817E-2</v>
      </c>
      <c r="I369" s="77">
        <v>-3.7512342811988397E-2</v>
      </c>
      <c r="J369" s="78">
        <v>9.5621525083885786</v>
      </c>
      <c r="K369" s="79">
        <v>0.16619585256023583</v>
      </c>
    </row>
    <row r="370" spans="1:11" x14ac:dyDescent="0.35">
      <c r="A370" t="s">
        <v>1383</v>
      </c>
      <c r="B370" s="73" t="s">
        <v>37</v>
      </c>
      <c r="C370" s="74" t="s">
        <v>38</v>
      </c>
      <c r="D370" s="75">
        <v>218.56</v>
      </c>
      <c r="E370" s="6" t="s">
        <v>39</v>
      </c>
      <c r="F370" s="76">
        <v>66.103781999999995</v>
      </c>
      <c r="G370" s="76" t="s">
        <v>40</v>
      </c>
      <c r="H370" s="76">
        <f t="shared" si="5"/>
        <v>-8.1781999999989807E-2</v>
      </c>
      <c r="I370" s="77">
        <v>-0.23814704498748901</v>
      </c>
      <c r="J370" s="78">
        <v>10.454487172870017</v>
      </c>
      <c r="K370" s="79">
        <v>1.0585305170416746</v>
      </c>
    </row>
    <row r="371" spans="1:11" x14ac:dyDescent="0.35">
      <c r="A371" t="s">
        <v>1383</v>
      </c>
      <c r="B371" s="73" t="s">
        <v>37</v>
      </c>
      <c r="C371" s="74" t="s">
        <v>38</v>
      </c>
      <c r="D371" s="75">
        <v>218.59</v>
      </c>
      <c r="E371" s="6" t="s">
        <v>39</v>
      </c>
      <c r="F371" s="76">
        <v>66.105241000000007</v>
      </c>
      <c r="G371" s="76" t="s">
        <v>40</v>
      </c>
      <c r="H371" s="76">
        <f t="shared" si="5"/>
        <v>-8.3241000000001009E-2</v>
      </c>
      <c r="I371" s="77">
        <v>-0.178171078280453</v>
      </c>
      <c r="J371" s="78">
        <v>10.1871320356463</v>
      </c>
      <c r="K371" s="79">
        <v>0.79117537981795749</v>
      </c>
    </row>
    <row r="372" spans="1:11" x14ac:dyDescent="0.35">
      <c r="A372" t="s">
        <v>1383</v>
      </c>
      <c r="B372" s="73" t="s">
        <v>37</v>
      </c>
      <c r="C372" s="74" t="s">
        <v>38</v>
      </c>
      <c r="D372" s="75">
        <v>218.62</v>
      </c>
      <c r="E372" s="6" t="s">
        <v>39</v>
      </c>
      <c r="F372" s="76">
        <v>66.106700000000004</v>
      </c>
      <c r="G372" s="76" t="s">
        <v>40</v>
      </c>
      <c r="H372" s="76">
        <f t="shared" si="5"/>
        <v>-8.4699999999997999E-2</v>
      </c>
      <c r="I372" s="77">
        <v>-0.20716338469406001</v>
      </c>
      <c r="J372" s="78">
        <v>10.316306199735209</v>
      </c>
      <c r="K372" s="79">
        <v>0.92034954390686607</v>
      </c>
    </row>
    <row r="373" spans="1:11" x14ac:dyDescent="0.35">
      <c r="A373" t="s">
        <v>1383</v>
      </c>
      <c r="B373" s="73" t="s">
        <v>37</v>
      </c>
      <c r="C373" s="74" t="s">
        <v>38</v>
      </c>
      <c r="D373" s="75">
        <v>218.65</v>
      </c>
      <c r="E373" s="6" t="s">
        <v>39</v>
      </c>
      <c r="F373" s="76">
        <v>66.108159000000001</v>
      </c>
      <c r="G373" s="76" t="s">
        <v>40</v>
      </c>
      <c r="H373" s="76">
        <f t="shared" si="5"/>
        <v>-8.615899999999499E-2</v>
      </c>
      <c r="I373" s="77">
        <v>-7.6791574664205303E-2</v>
      </c>
      <c r="J373" s="78">
        <v>9.7363928107336051</v>
      </c>
      <c r="K373" s="79">
        <v>0.34043615490526236</v>
      </c>
    </row>
    <row r="374" spans="1:11" x14ac:dyDescent="0.35">
      <c r="A374" t="s">
        <v>1383</v>
      </c>
      <c r="B374" s="73" t="s">
        <v>37</v>
      </c>
      <c r="C374" s="74" t="s">
        <v>38</v>
      </c>
      <c r="D374" s="75">
        <v>218.68</v>
      </c>
      <c r="E374" s="6" t="s">
        <v>39</v>
      </c>
      <c r="F374" s="76">
        <v>66.109617999999998</v>
      </c>
      <c r="G374" s="76" t="s">
        <v>40</v>
      </c>
      <c r="H374" s="76">
        <f t="shared" si="5"/>
        <v>-8.761799999999198E-2</v>
      </c>
      <c r="I374" s="77">
        <v>-0.14298452414925</v>
      </c>
      <c r="J374" s="78">
        <v>10.030522707116688</v>
      </c>
      <c r="K374" s="79">
        <v>0.63456605128834553</v>
      </c>
    </row>
    <row r="375" spans="1:11" x14ac:dyDescent="0.35">
      <c r="A375" t="s">
        <v>1383</v>
      </c>
      <c r="B375" s="73" t="s">
        <v>37</v>
      </c>
      <c r="C375" s="74" t="s">
        <v>38</v>
      </c>
      <c r="D375" s="75">
        <v>218.71</v>
      </c>
      <c r="E375" s="6" t="s">
        <v>39</v>
      </c>
      <c r="F375" s="76">
        <v>66.111076999999995</v>
      </c>
      <c r="G375" s="76" t="s">
        <v>40</v>
      </c>
      <c r="H375" s="76">
        <f t="shared" si="5"/>
        <v>-8.9076999999988971E-2</v>
      </c>
      <c r="I375" s="77">
        <v>-1.20992661330146E-2</v>
      </c>
      <c r="J375" s="78">
        <v>9.4495395881696709</v>
      </c>
      <c r="K375" s="79">
        <v>5.358293234132816E-2</v>
      </c>
    </row>
    <row r="376" spans="1:11" x14ac:dyDescent="0.35">
      <c r="A376" t="s">
        <v>1383</v>
      </c>
      <c r="B376" s="73" t="s">
        <v>37</v>
      </c>
      <c r="C376" s="74" t="s">
        <v>38</v>
      </c>
      <c r="D376" s="75">
        <v>218.74</v>
      </c>
      <c r="E376" s="6" t="s">
        <v>39</v>
      </c>
      <c r="F376" s="76">
        <v>66.112536000000006</v>
      </c>
      <c r="G376" s="76" t="s">
        <v>40</v>
      </c>
      <c r="H376" s="76">
        <f t="shared" si="5"/>
        <v>-9.0536000000000172E-2</v>
      </c>
      <c r="I376" s="77">
        <v>-0.26266009270405</v>
      </c>
      <c r="J376" s="78">
        <v>10.563909027593979</v>
      </c>
      <c r="K376" s="79">
        <v>1.1679523717656366</v>
      </c>
    </row>
    <row r="377" spans="1:11" x14ac:dyDescent="0.35">
      <c r="A377" t="s">
        <v>1383</v>
      </c>
      <c r="B377" s="73" t="s">
        <v>37</v>
      </c>
      <c r="C377" s="74" t="s">
        <v>38</v>
      </c>
      <c r="D377" s="75">
        <v>218.77</v>
      </c>
      <c r="E377" s="6" t="s">
        <v>39</v>
      </c>
      <c r="F377" s="76">
        <v>66.113995000000003</v>
      </c>
      <c r="G377" s="76" t="s">
        <v>40</v>
      </c>
      <c r="H377" s="76">
        <f t="shared" si="5"/>
        <v>-9.1994999999997162E-2</v>
      </c>
      <c r="I377" s="77">
        <v>-0.208002407158801</v>
      </c>
      <c r="J377" s="78">
        <v>10.320046243145214</v>
      </c>
      <c r="K377" s="79">
        <v>0.92408958731687108</v>
      </c>
    </row>
    <row r="378" spans="1:11" x14ac:dyDescent="0.35">
      <c r="A378" t="s">
        <v>1383</v>
      </c>
      <c r="B378" s="73" t="s">
        <v>37</v>
      </c>
      <c r="C378" s="74" t="s">
        <v>38</v>
      </c>
      <c r="D378" s="75">
        <v>218.8</v>
      </c>
      <c r="E378" s="6" t="s">
        <v>39</v>
      </c>
      <c r="F378" s="76">
        <v>66.115454999999997</v>
      </c>
      <c r="G378" s="76" t="s">
        <v>40</v>
      </c>
      <c r="H378" s="76">
        <f t="shared" si="5"/>
        <v>-9.3454999999991628E-2</v>
      </c>
      <c r="I378" s="77">
        <v>8.9551977144616504E-2</v>
      </c>
      <c r="J378" s="78">
        <v>9.0000168333479564</v>
      </c>
      <c r="K378" s="79">
        <v>-0.39593982248038628</v>
      </c>
    </row>
    <row r="379" spans="1:11" x14ac:dyDescent="0.35">
      <c r="A379" t="s">
        <v>1383</v>
      </c>
      <c r="B379" s="73" t="s">
        <v>37</v>
      </c>
      <c r="C379" s="74" t="s">
        <v>38</v>
      </c>
      <c r="D379" s="75">
        <v>218.83</v>
      </c>
      <c r="E379" s="6" t="s">
        <v>39</v>
      </c>
      <c r="F379" s="76">
        <v>66.116913999999994</v>
      </c>
      <c r="G379" s="76" t="s">
        <v>40</v>
      </c>
      <c r="H379" s="76">
        <f t="shared" si="5"/>
        <v>-9.4913999999988619E-2</v>
      </c>
      <c r="I379" s="77">
        <v>7.8780547989988098E-2</v>
      </c>
      <c r="J379" s="78">
        <v>9.0475804004223619</v>
      </c>
      <c r="K379" s="79">
        <v>-0.34837625540598083</v>
      </c>
    </row>
    <row r="380" spans="1:11" x14ac:dyDescent="0.35">
      <c r="A380" t="s">
        <v>1383</v>
      </c>
      <c r="B380" s="73" t="s">
        <v>37</v>
      </c>
      <c r="C380" s="74" t="s">
        <v>38</v>
      </c>
      <c r="D380" s="75">
        <v>218.86</v>
      </c>
      <c r="E380" s="6" t="s">
        <v>39</v>
      </c>
      <c r="F380" s="76">
        <v>66.118373000000005</v>
      </c>
      <c r="G380" s="76" t="s">
        <v>40</v>
      </c>
      <c r="H380" s="76">
        <f t="shared" si="5"/>
        <v>-9.637299999999982E-2</v>
      </c>
      <c r="I380" s="77">
        <v>-0.26317422596055401</v>
      </c>
      <c r="J380" s="78">
        <v>10.566204959156607</v>
      </c>
      <c r="K380" s="79">
        <v>1.1702483033282647</v>
      </c>
    </row>
    <row r="381" spans="1:11" x14ac:dyDescent="0.35">
      <c r="A381" t="s">
        <v>1383</v>
      </c>
      <c r="B381" s="73" t="s">
        <v>37</v>
      </c>
      <c r="C381" s="74" t="s">
        <v>38</v>
      </c>
      <c r="D381" s="75">
        <v>218.95</v>
      </c>
      <c r="E381" s="6" t="s">
        <v>39</v>
      </c>
      <c r="F381" s="76">
        <v>66.122749999999996</v>
      </c>
      <c r="G381" s="76" t="s">
        <v>40</v>
      </c>
      <c r="H381" s="76">
        <f t="shared" si="5"/>
        <v>-0.10074999999999079</v>
      </c>
      <c r="I381" s="77">
        <v>-0.29636653734129098</v>
      </c>
      <c r="J381" s="78">
        <v>10.714510894048658</v>
      </c>
      <c r="K381" s="79">
        <v>1.3185542382203153</v>
      </c>
    </row>
    <row r="382" spans="1:11" x14ac:dyDescent="0.35">
      <c r="A382" t="s">
        <v>1383</v>
      </c>
      <c r="B382" s="73" t="s">
        <v>37</v>
      </c>
      <c r="C382" s="74" t="s">
        <v>38</v>
      </c>
      <c r="D382" s="75">
        <v>218.98</v>
      </c>
      <c r="E382" s="6" t="s">
        <v>39</v>
      </c>
      <c r="F382" s="76">
        <v>66.124208999999993</v>
      </c>
      <c r="G382" s="76" t="s">
        <v>40</v>
      </c>
      <c r="H382" s="76">
        <f t="shared" si="5"/>
        <v>-0.10220899999998778</v>
      </c>
      <c r="I382" s="77">
        <v>9.1040064590004993E-2</v>
      </c>
      <c r="J382" s="78">
        <v>8.9934471632535633</v>
      </c>
      <c r="K382" s="79">
        <v>-0.40250949257477942</v>
      </c>
    </row>
    <row r="383" spans="1:11" x14ac:dyDescent="0.35">
      <c r="A383" t="s">
        <v>1383</v>
      </c>
      <c r="B383" s="73" t="s">
        <v>37</v>
      </c>
      <c r="C383" s="74" t="s">
        <v>38</v>
      </c>
      <c r="D383" s="75">
        <v>219.01</v>
      </c>
      <c r="E383" s="6" t="s">
        <v>39</v>
      </c>
      <c r="F383" s="76">
        <v>66.125668000000005</v>
      </c>
      <c r="G383" s="76" t="s">
        <v>40</v>
      </c>
      <c r="H383" s="76">
        <f t="shared" si="5"/>
        <v>-0.10366799999999898</v>
      </c>
      <c r="I383" s="77">
        <v>-0.18450913298664701</v>
      </c>
      <c r="J383" s="78">
        <v>10.215360631255976</v>
      </c>
      <c r="K383" s="79">
        <v>0.81940397542763321</v>
      </c>
    </row>
    <row r="384" spans="1:11" x14ac:dyDescent="0.35">
      <c r="A384" t="s">
        <v>1383</v>
      </c>
      <c r="B384" s="73" t="s">
        <v>37</v>
      </c>
      <c r="C384" s="74" t="s">
        <v>38</v>
      </c>
      <c r="D384" s="75">
        <v>219.04</v>
      </c>
      <c r="E384" s="6" t="s">
        <v>39</v>
      </c>
      <c r="F384" s="76">
        <v>66.127127000000002</v>
      </c>
      <c r="G384" s="76" t="s">
        <v>40</v>
      </c>
      <c r="H384" s="76">
        <f t="shared" si="5"/>
        <v>-0.10512699999999597</v>
      </c>
      <c r="I384" s="77">
        <v>3.11460920161808E-2</v>
      </c>
      <c r="J384" s="78">
        <v>9.2581191685252406</v>
      </c>
      <c r="K384" s="79">
        <v>-0.13783748730310208</v>
      </c>
    </row>
    <row r="385" spans="1:11" x14ac:dyDescent="0.35">
      <c r="A385" t="s">
        <v>1383</v>
      </c>
      <c r="B385" s="73" t="s">
        <v>37</v>
      </c>
      <c r="C385" s="74" t="s">
        <v>38</v>
      </c>
      <c r="D385" s="75">
        <v>219.07</v>
      </c>
      <c r="E385" s="6" t="s">
        <v>39</v>
      </c>
      <c r="F385" s="76">
        <v>66.128585999999999</v>
      </c>
      <c r="G385" s="76" t="s">
        <v>40</v>
      </c>
      <c r="H385" s="76">
        <f t="shared" si="5"/>
        <v>-0.10658599999999296</v>
      </c>
      <c r="I385" s="77">
        <v>-0.23396483441618501</v>
      </c>
      <c r="J385" s="78">
        <v>10.435827229608094</v>
      </c>
      <c r="K385" s="79">
        <v>1.0398705737797513</v>
      </c>
    </row>
    <row r="386" spans="1:11" x14ac:dyDescent="0.35">
      <c r="A386" t="s">
        <v>1383</v>
      </c>
      <c r="B386" s="73" t="s">
        <v>37</v>
      </c>
      <c r="C386" s="74" t="s">
        <v>38</v>
      </c>
      <c r="D386" s="75">
        <v>219.1</v>
      </c>
      <c r="E386" s="6" t="s">
        <v>39</v>
      </c>
      <c r="F386" s="76">
        <v>66.130044999999996</v>
      </c>
      <c r="G386" s="76" t="s">
        <v>40</v>
      </c>
      <c r="H386" s="76">
        <f t="shared" ref="H386:H449" si="6">66.022-F386</f>
        <v>-0.10804499999998995</v>
      </c>
      <c r="I386" s="77">
        <v>-0.190181236883081</v>
      </c>
      <c r="J386" s="78">
        <v>10.240628119059068</v>
      </c>
      <c r="K386" s="79">
        <v>0.84467146323072484</v>
      </c>
    </row>
    <row r="387" spans="1:11" x14ac:dyDescent="0.35">
      <c r="A387" t="s">
        <v>1383</v>
      </c>
      <c r="B387" s="73" t="s">
        <v>37</v>
      </c>
      <c r="C387" s="74" t="s">
        <v>38</v>
      </c>
      <c r="D387" s="75">
        <v>219.13</v>
      </c>
      <c r="E387" s="6" t="s">
        <v>39</v>
      </c>
      <c r="F387" s="76">
        <v>66.131505000000004</v>
      </c>
      <c r="G387" s="76" t="s">
        <v>40</v>
      </c>
      <c r="H387" s="76">
        <f t="shared" si="6"/>
        <v>-0.10950499999999863</v>
      </c>
      <c r="I387" s="77">
        <v>-0.10860206106339799</v>
      </c>
      <c r="J387" s="78">
        <v>9.8776647114958109</v>
      </c>
      <c r="K387" s="79">
        <v>0.48170805566746822</v>
      </c>
    </row>
    <row r="388" spans="1:11" x14ac:dyDescent="0.35">
      <c r="A388" t="s">
        <v>1383</v>
      </c>
      <c r="B388" s="73" t="s">
        <v>37</v>
      </c>
      <c r="C388" s="74" t="s">
        <v>38</v>
      </c>
      <c r="D388" s="75">
        <v>219.16</v>
      </c>
      <c r="E388" s="6" t="s">
        <v>39</v>
      </c>
      <c r="F388" s="76">
        <v>66.132964000000001</v>
      </c>
      <c r="G388" s="76" t="s">
        <v>40</v>
      </c>
      <c r="H388" s="76">
        <f t="shared" si="6"/>
        <v>-0.11096399999999562</v>
      </c>
      <c r="I388" s="77">
        <v>9.5280248908301696E-2</v>
      </c>
      <c r="J388" s="78">
        <v>8.9747291532499389</v>
      </c>
      <c r="K388" s="79">
        <v>-0.4212275025784038</v>
      </c>
    </row>
    <row r="389" spans="1:11" x14ac:dyDescent="0.35">
      <c r="A389" t="s">
        <v>1383</v>
      </c>
      <c r="B389" s="73" t="s">
        <v>37</v>
      </c>
      <c r="C389" s="74" t="s">
        <v>38</v>
      </c>
      <c r="D389" s="75">
        <v>219.19</v>
      </c>
      <c r="E389" s="6" t="s">
        <v>39</v>
      </c>
      <c r="F389" s="76">
        <v>66.134422999999998</v>
      </c>
      <c r="G389" s="76" t="s">
        <v>40</v>
      </c>
      <c r="H389" s="76">
        <f t="shared" si="6"/>
        <v>-0.11242299999999261</v>
      </c>
      <c r="I389" s="77">
        <v>-5.9134183483266899E-2</v>
      </c>
      <c r="J389" s="78">
        <v>9.6580382760609496</v>
      </c>
      <c r="K389" s="79">
        <v>0.26208162023260684</v>
      </c>
    </row>
    <row r="390" spans="1:11" x14ac:dyDescent="0.35">
      <c r="A390" t="s">
        <v>1383</v>
      </c>
      <c r="B390" s="73" t="s">
        <v>37</v>
      </c>
      <c r="C390" s="74" t="s">
        <v>38</v>
      </c>
      <c r="D390" s="75">
        <v>219.22</v>
      </c>
      <c r="E390" s="6" t="s">
        <v>39</v>
      </c>
      <c r="F390" s="76">
        <v>66.135881999999995</v>
      </c>
      <c r="G390" s="76" t="s">
        <v>40</v>
      </c>
      <c r="H390" s="76">
        <f t="shared" si="6"/>
        <v>-0.1138819999999896</v>
      </c>
      <c r="I390" s="77">
        <v>-0.22843504337470899</v>
      </c>
      <c r="J390" s="78">
        <v>10.411158619618732</v>
      </c>
      <c r="K390" s="79">
        <v>1.0152019637903891</v>
      </c>
    </row>
    <row r="391" spans="1:11" x14ac:dyDescent="0.35">
      <c r="A391" t="s">
        <v>1383</v>
      </c>
      <c r="B391" s="73" t="s">
        <v>37</v>
      </c>
      <c r="C391" s="74" t="s">
        <v>38</v>
      </c>
      <c r="D391" s="75">
        <v>219.25</v>
      </c>
      <c r="E391" s="6" t="s">
        <v>39</v>
      </c>
      <c r="F391" s="76">
        <v>66.137341000000006</v>
      </c>
      <c r="G391" s="76" t="s">
        <v>40</v>
      </c>
      <c r="H391" s="76">
        <f t="shared" si="6"/>
        <v>-0.1153410000000008</v>
      </c>
      <c r="I391" s="77">
        <v>-0.19947679976666099</v>
      </c>
      <c r="J391" s="78">
        <v>10.28204706334509</v>
      </c>
      <c r="K391" s="79">
        <v>0.88609040751674684</v>
      </c>
    </row>
    <row r="392" spans="1:11" x14ac:dyDescent="0.35">
      <c r="A392" t="s">
        <v>1383</v>
      </c>
      <c r="B392" s="73" t="s">
        <v>37</v>
      </c>
      <c r="C392" s="74" t="s">
        <v>38</v>
      </c>
      <c r="D392" s="75">
        <v>219.28</v>
      </c>
      <c r="E392" s="6" t="s">
        <v>39</v>
      </c>
      <c r="F392" s="76">
        <v>66.138800000000003</v>
      </c>
      <c r="G392" s="76" t="s">
        <v>40</v>
      </c>
      <c r="H392" s="76">
        <f t="shared" si="6"/>
        <v>-0.11679999999999779</v>
      </c>
      <c r="I392" s="77">
        <v>-0.25567005017773597</v>
      </c>
      <c r="J392" s="78">
        <v>10.532697851372859</v>
      </c>
      <c r="K392" s="79">
        <v>1.1367411955445164</v>
      </c>
    </row>
    <row r="393" spans="1:11" x14ac:dyDescent="0.35">
      <c r="A393" t="s">
        <v>1383</v>
      </c>
      <c r="B393" s="73" t="s">
        <v>37</v>
      </c>
      <c r="C393" s="74" t="s">
        <v>38</v>
      </c>
      <c r="D393" s="75">
        <v>219.31</v>
      </c>
      <c r="E393" s="6" t="s">
        <v>39</v>
      </c>
      <c r="F393" s="76">
        <v>66.140259</v>
      </c>
      <c r="G393" s="76" t="s">
        <v>40</v>
      </c>
      <c r="H393" s="76">
        <f t="shared" si="6"/>
        <v>-0.11825899999999478</v>
      </c>
      <c r="I393" s="77">
        <v>-2.44392609337248E-2</v>
      </c>
      <c r="J393" s="78">
        <v>9.5042102199982423</v>
      </c>
      <c r="K393" s="79">
        <v>0.10825356416989962</v>
      </c>
    </row>
    <row r="394" spans="1:11" x14ac:dyDescent="0.35">
      <c r="A394" t="s">
        <v>1383</v>
      </c>
      <c r="B394" s="73" t="s">
        <v>37</v>
      </c>
      <c r="C394" s="74" t="s">
        <v>38</v>
      </c>
      <c r="D394" s="75">
        <v>219.34</v>
      </c>
      <c r="E394" s="6" t="s">
        <v>39</v>
      </c>
      <c r="F394" s="76">
        <v>66.141717999999997</v>
      </c>
      <c r="G394" s="76" t="s">
        <v>40</v>
      </c>
      <c r="H394" s="76">
        <f t="shared" si="6"/>
        <v>-0.11971799999999178</v>
      </c>
      <c r="I394" s="77">
        <v>-2.2434580805449099E-2</v>
      </c>
      <c r="J394" s="78">
        <v>9.4953272784128444</v>
      </c>
      <c r="K394" s="79">
        <v>9.9370622584501689E-2</v>
      </c>
    </row>
    <row r="395" spans="1:11" x14ac:dyDescent="0.35">
      <c r="A395" t="s">
        <v>1383</v>
      </c>
      <c r="B395" s="73" t="s">
        <v>37</v>
      </c>
      <c r="C395" s="74" t="s">
        <v>38</v>
      </c>
      <c r="D395" s="75">
        <v>219.37</v>
      </c>
      <c r="E395" s="6" t="s">
        <v>39</v>
      </c>
      <c r="F395" s="76">
        <v>66.143176999999994</v>
      </c>
      <c r="G395" s="76" t="s">
        <v>40</v>
      </c>
      <c r="H395" s="76">
        <f t="shared" si="6"/>
        <v>-0.12117699999998877</v>
      </c>
      <c r="I395" s="77">
        <v>-0.29891166110142298</v>
      </c>
      <c r="J395" s="78">
        <v>10.725889316881705</v>
      </c>
      <c r="K395" s="79">
        <v>1.3299326610533626</v>
      </c>
    </row>
    <row r="396" spans="1:11" x14ac:dyDescent="0.35">
      <c r="A396" t="s">
        <v>1383</v>
      </c>
      <c r="B396" s="73" t="s">
        <v>37</v>
      </c>
      <c r="C396" s="74" t="s">
        <v>38</v>
      </c>
      <c r="D396" s="75">
        <v>219.4</v>
      </c>
      <c r="E396" s="6" t="s">
        <v>39</v>
      </c>
      <c r="F396" s="76">
        <v>66.144636000000006</v>
      </c>
      <c r="G396" s="76" t="s">
        <v>40</v>
      </c>
      <c r="H396" s="76">
        <f t="shared" si="6"/>
        <v>-0.12263599999999997</v>
      </c>
      <c r="I396" s="77">
        <v>-6.7382114878135101E-3</v>
      </c>
      <c r="J396" s="78">
        <v>9.4257949800797292</v>
      </c>
      <c r="K396" s="79">
        <v>2.9838324251386439E-2</v>
      </c>
    </row>
    <row r="397" spans="1:11" x14ac:dyDescent="0.35">
      <c r="A397" t="s">
        <v>1383</v>
      </c>
      <c r="B397" s="73" t="s">
        <v>37</v>
      </c>
      <c r="C397" s="74" t="s">
        <v>38</v>
      </c>
      <c r="D397" s="75">
        <v>219.43</v>
      </c>
      <c r="E397" s="6" t="s">
        <v>39</v>
      </c>
      <c r="F397" s="76">
        <v>66.146095000000003</v>
      </c>
      <c r="G397" s="76" t="s">
        <v>40</v>
      </c>
      <c r="H397" s="76">
        <f t="shared" si="6"/>
        <v>-0.12409499999999696</v>
      </c>
      <c r="I397" s="77">
        <v>-0.18405316944653499</v>
      </c>
      <c r="J397" s="78">
        <v>10.213329655044163</v>
      </c>
      <c r="K397" s="79">
        <v>0.81737299921582007</v>
      </c>
    </row>
    <row r="398" spans="1:11" x14ac:dyDescent="0.35">
      <c r="A398" t="s">
        <v>1383</v>
      </c>
      <c r="B398" s="73" t="s">
        <v>37</v>
      </c>
      <c r="C398" s="74" t="s">
        <v>38</v>
      </c>
      <c r="D398" s="75">
        <v>219.46</v>
      </c>
      <c r="E398" s="6" t="s">
        <v>39</v>
      </c>
      <c r="F398" s="76">
        <v>66.147554999999997</v>
      </c>
      <c r="G398" s="76" t="s">
        <v>40</v>
      </c>
      <c r="H398" s="76">
        <f t="shared" si="6"/>
        <v>-0.12555499999999142</v>
      </c>
      <c r="I398" s="77">
        <v>-0.10105429720495999</v>
      </c>
      <c r="J398" s="78">
        <v>9.8441315559196028</v>
      </c>
      <c r="K398" s="79">
        <v>0.44817490009126004</v>
      </c>
    </row>
    <row r="399" spans="1:11" x14ac:dyDescent="0.35">
      <c r="A399" t="s">
        <v>1383</v>
      </c>
      <c r="B399" s="73" t="s">
        <v>37</v>
      </c>
      <c r="C399" s="74" t="s">
        <v>38</v>
      </c>
      <c r="D399" s="75">
        <v>219.49</v>
      </c>
      <c r="E399" s="6" t="s">
        <v>39</v>
      </c>
      <c r="F399" s="76">
        <v>66.149013999999994</v>
      </c>
      <c r="G399" s="76" t="s">
        <v>40</v>
      </c>
      <c r="H399" s="76">
        <f t="shared" si="6"/>
        <v>-0.12701399999998841</v>
      </c>
      <c r="I399" s="77">
        <v>3.4333502346804198E-2</v>
      </c>
      <c r="J399" s="78">
        <v>9.2440210646373089</v>
      </c>
      <c r="K399" s="79">
        <v>-0.15193559119103384</v>
      </c>
    </row>
    <row r="400" spans="1:11" x14ac:dyDescent="0.35">
      <c r="A400" t="s">
        <v>1383</v>
      </c>
      <c r="B400" s="73" t="s">
        <v>37</v>
      </c>
      <c r="C400" s="74" t="s">
        <v>38</v>
      </c>
      <c r="D400" s="75">
        <v>219.52</v>
      </c>
      <c r="E400" s="6" t="s">
        <v>39</v>
      </c>
      <c r="F400" s="76">
        <v>66.150473000000005</v>
      </c>
      <c r="G400" s="76" t="s">
        <v>40</v>
      </c>
      <c r="H400" s="76">
        <f t="shared" si="6"/>
        <v>-0.12847299999999962</v>
      </c>
      <c r="I400" s="77">
        <v>-0.23276774024952401</v>
      </c>
      <c r="J400" s="78">
        <v>10.430486571029405</v>
      </c>
      <c r="K400" s="79">
        <v>1.0345299152010625</v>
      </c>
    </row>
    <row r="401" spans="1:11" x14ac:dyDescent="0.35">
      <c r="A401" t="s">
        <v>1383</v>
      </c>
      <c r="B401" s="73" t="s">
        <v>37</v>
      </c>
      <c r="C401" s="74" t="s">
        <v>38</v>
      </c>
      <c r="D401" s="75">
        <v>219.55</v>
      </c>
      <c r="E401" s="6" t="s">
        <v>39</v>
      </c>
      <c r="F401" s="76">
        <v>66.151932000000002</v>
      </c>
      <c r="G401" s="76" t="s">
        <v>40</v>
      </c>
      <c r="H401" s="76">
        <f t="shared" si="6"/>
        <v>-0.12993199999999661</v>
      </c>
      <c r="I401" s="77">
        <v>4.0633314917082997E-2</v>
      </c>
      <c r="J401" s="78">
        <v>9.2161608941310647</v>
      </c>
      <c r="K401" s="79">
        <v>-0.17979576169727807</v>
      </c>
    </row>
    <row r="402" spans="1:11" x14ac:dyDescent="0.35">
      <c r="A402" t="s">
        <v>1383</v>
      </c>
      <c r="B402" s="73" t="s">
        <v>37</v>
      </c>
      <c r="C402" s="74" t="s">
        <v>38</v>
      </c>
      <c r="D402" s="75">
        <v>219.58</v>
      </c>
      <c r="E402" s="6" t="s">
        <v>39</v>
      </c>
      <c r="F402" s="76">
        <v>66.153390999999999</v>
      </c>
      <c r="G402" s="76" t="s">
        <v>40</v>
      </c>
      <c r="H402" s="76">
        <f t="shared" si="6"/>
        <v>-0.1313909999999936</v>
      </c>
      <c r="I402" s="77">
        <v>-0.114521012144328</v>
      </c>
      <c r="J402" s="78">
        <v>9.9039671256141446</v>
      </c>
      <c r="K402" s="79">
        <v>0.50801046978580189</v>
      </c>
    </row>
    <row r="403" spans="1:11" x14ac:dyDescent="0.35">
      <c r="A403" t="s">
        <v>1383</v>
      </c>
      <c r="B403" s="73" t="s">
        <v>37</v>
      </c>
      <c r="C403" s="74" t="s">
        <v>38</v>
      </c>
      <c r="D403" s="75">
        <v>219.61</v>
      </c>
      <c r="E403" s="6" t="s">
        <v>39</v>
      </c>
      <c r="F403" s="76">
        <v>66.154849999999996</v>
      </c>
      <c r="G403" s="76" t="s">
        <v>40</v>
      </c>
      <c r="H403" s="76">
        <f t="shared" si="6"/>
        <v>-0.13284999999999059</v>
      </c>
      <c r="I403" s="77">
        <v>0.207798769781361</v>
      </c>
      <c r="J403" s="78">
        <v>8.4789583527916648</v>
      </c>
      <c r="K403" s="79">
        <v>-0.91699830303667795</v>
      </c>
    </row>
    <row r="404" spans="1:11" x14ac:dyDescent="0.35">
      <c r="A404" t="s">
        <v>1383</v>
      </c>
      <c r="B404" s="73" t="s">
        <v>37</v>
      </c>
      <c r="C404" s="74" t="s">
        <v>38</v>
      </c>
      <c r="D404" s="75">
        <v>219.64</v>
      </c>
      <c r="E404" s="6" t="s">
        <v>39</v>
      </c>
      <c r="F404" s="76">
        <v>66.156308999999993</v>
      </c>
      <c r="G404" s="76" t="s">
        <v>40</v>
      </c>
      <c r="H404" s="76">
        <f t="shared" si="6"/>
        <v>-0.13430899999998758</v>
      </c>
      <c r="I404" s="77">
        <v>0.22648275521730599</v>
      </c>
      <c r="J404" s="78">
        <v>8.3968083811243446</v>
      </c>
      <c r="K404" s="79">
        <v>-0.99914827470399814</v>
      </c>
    </row>
    <row r="405" spans="1:11" x14ac:dyDescent="0.35">
      <c r="A405" t="s">
        <v>1383</v>
      </c>
      <c r="B405" s="73" t="s">
        <v>37</v>
      </c>
      <c r="C405" s="74" t="s">
        <v>38</v>
      </c>
      <c r="D405" s="75">
        <v>219.67</v>
      </c>
      <c r="E405" s="6" t="s">
        <v>39</v>
      </c>
      <c r="F405" s="76">
        <v>66.157768000000004</v>
      </c>
      <c r="G405" s="76" t="s">
        <v>40</v>
      </c>
      <c r="H405" s="76">
        <f t="shared" si="6"/>
        <v>-0.13576799999999878</v>
      </c>
      <c r="I405" s="77">
        <v>-0.23107899184154099</v>
      </c>
      <c r="J405" s="78">
        <v>10.42295282267753</v>
      </c>
      <c r="K405" s="79">
        <v>1.0269961668491874</v>
      </c>
    </row>
    <row r="406" spans="1:11" x14ac:dyDescent="0.35">
      <c r="A406" t="s">
        <v>1383</v>
      </c>
      <c r="B406" s="73" t="s">
        <v>37</v>
      </c>
      <c r="C406" s="74" t="s">
        <v>38</v>
      </c>
      <c r="D406" s="75">
        <v>219.73</v>
      </c>
      <c r="E406" s="6" t="s">
        <v>39</v>
      </c>
      <c r="F406" s="76">
        <v>66.160685999999998</v>
      </c>
      <c r="G406" s="76" t="s">
        <v>40</v>
      </c>
      <c r="H406" s="76">
        <f t="shared" si="6"/>
        <v>-0.13868599999999276</v>
      </c>
      <c r="I406" s="77">
        <v>-0.14105781180250801</v>
      </c>
      <c r="J406" s="78">
        <v>10.021952398693486</v>
      </c>
      <c r="K406" s="79">
        <v>0.62599574286514326</v>
      </c>
    </row>
    <row r="407" spans="1:11" x14ac:dyDescent="0.35">
      <c r="A407" t="s">
        <v>1383</v>
      </c>
      <c r="B407" s="73" t="s">
        <v>37</v>
      </c>
      <c r="C407" s="74" t="s">
        <v>38</v>
      </c>
      <c r="D407" s="75">
        <v>219.76</v>
      </c>
      <c r="E407" s="6" t="s">
        <v>39</v>
      </c>
      <c r="F407" s="76">
        <v>66.162144999999995</v>
      </c>
      <c r="G407" s="76" t="s">
        <v>40</v>
      </c>
      <c r="H407" s="76">
        <f t="shared" si="6"/>
        <v>-0.14014499999998975</v>
      </c>
      <c r="I407" s="77">
        <v>-0.15644537187046201</v>
      </c>
      <c r="J407" s="78">
        <v>10.090413533916319</v>
      </c>
      <c r="K407" s="79">
        <v>0.69445687808797629</v>
      </c>
    </row>
    <row r="408" spans="1:11" x14ac:dyDescent="0.35">
      <c r="A408" t="s">
        <v>1383</v>
      </c>
      <c r="B408" s="73" t="s">
        <v>37</v>
      </c>
      <c r="C408" s="74" t="s">
        <v>38</v>
      </c>
      <c r="D408" s="75">
        <v>219.79</v>
      </c>
      <c r="E408" s="6" t="s">
        <v>39</v>
      </c>
      <c r="F408" s="76">
        <v>66.163605000000004</v>
      </c>
      <c r="G408" s="76" t="s">
        <v>40</v>
      </c>
      <c r="H408" s="76">
        <f t="shared" si="6"/>
        <v>-0.14160499999999843</v>
      </c>
      <c r="I408" s="77">
        <v>-0.289232229410264</v>
      </c>
      <c r="J408" s="78">
        <v>10.682620733140539</v>
      </c>
      <c r="K408" s="79">
        <v>1.2866640773121958</v>
      </c>
    </row>
    <row r="409" spans="1:11" x14ac:dyDescent="0.35">
      <c r="A409" t="s">
        <v>1383</v>
      </c>
      <c r="B409" s="73" t="s">
        <v>37</v>
      </c>
      <c r="C409" s="74" t="s">
        <v>38</v>
      </c>
      <c r="D409" s="75">
        <v>219.82</v>
      </c>
      <c r="E409" s="6" t="s">
        <v>39</v>
      </c>
      <c r="F409" s="76">
        <v>66.165064000000001</v>
      </c>
      <c r="G409" s="76" t="s">
        <v>40</v>
      </c>
      <c r="H409" s="76">
        <f t="shared" si="6"/>
        <v>-0.14306399999999542</v>
      </c>
      <c r="I409" s="77">
        <v>-0.27872019518526298</v>
      </c>
      <c r="J409" s="78">
        <v>10.635645697537541</v>
      </c>
      <c r="K409" s="79">
        <v>1.2396890417091981</v>
      </c>
    </row>
    <row r="410" spans="1:11" x14ac:dyDescent="0.35">
      <c r="A410" t="s">
        <v>1383</v>
      </c>
      <c r="B410" s="73" t="s">
        <v>37</v>
      </c>
      <c r="C410" s="74" t="s">
        <v>38</v>
      </c>
      <c r="D410" s="75">
        <v>219.85</v>
      </c>
      <c r="E410" s="6" t="s">
        <v>39</v>
      </c>
      <c r="F410" s="76">
        <v>66.166522999999998</v>
      </c>
      <c r="G410" s="76" t="s">
        <v>40</v>
      </c>
      <c r="H410" s="76">
        <f t="shared" si="6"/>
        <v>-0.14452299999999241</v>
      </c>
      <c r="I410" s="77">
        <v>-0.32726131754938897</v>
      </c>
      <c r="J410" s="78">
        <v>10.852695092794079</v>
      </c>
      <c r="K410" s="79">
        <v>1.4567384369657361</v>
      </c>
    </row>
    <row r="411" spans="1:11" x14ac:dyDescent="0.35">
      <c r="A411" t="s">
        <v>1383</v>
      </c>
      <c r="B411" s="73" t="s">
        <v>37</v>
      </c>
      <c r="C411" s="74" t="s">
        <v>38</v>
      </c>
      <c r="D411" s="75">
        <v>219.88</v>
      </c>
      <c r="E411" s="6" t="s">
        <v>39</v>
      </c>
      <c r="F411" s="76">
        <v>66.167981999999995</v>
      </c>
      <c r="G411" s="76" t="s">
        <v>40</v>
      </c>
      <c r="H411" s="76">
        <f t="shared" si="6"/>
        <v>-0.1459819999999894</v>
      </c>
      <c r="I411" s="77">
        <v>-0.374298868764531</v>
      </c>
      <c r="J411" s="78">
        <v>11.063348398486028</v>
      </c>
      <c r="K411" s="79">
        <v>1.667391742657685</v>
      </c>
    </row>
    <row r="412" spans="1:11" x14ac:dyDescent="0.35">
      <c r="A412" t="s">
        <v>1383</v>
      </c>
      <c r="B412" s="73" t="s">
        <v>37</v>
      </c>
      <c r="C412" s="74" t="s">
        <v>38</v>
      </c>
      <c r="D412" s="75">
        <v>219.91</v>
      </c>
      <c r="E412" s="6" t="s">
        <v>39</v>
      </c>
      <c r="F412" s="76">
        <v>66.169441000000006</v>
      </c>
      <c r="G412" s="76" t="s">
        <v>40</v>
      </c>
      <c r="H412" s="76">
        <f t="shared" si="6"/>
        <v>-0.1474410000000006</v>
      </c>
      <c r="I412" s="77">
        <v>-0.35841680989168301</v>
      </c>
      <c r="J412" s="78">
        <v>10.992186029092807</v>
      </c>
      <c r="K412" s="79">
        <v>1.5962293732644639</v>
      </c>
    </row>
    <row r="413" spans="1:11" x14ac:dyDescent="0.35">
      <c r="A413" t="s">
        <v>1383</v>
      </c>
      <c r="B413" s="73" t="s">
        <v>37</v>
      </c>
      <c r="C413" s="74" t="s">
        <v>38</v>
      </c>
      <c r="D413" s="75">
        <v>219.97</v>
      </c>
      <c r="E413" s="6" t="s">
        <v>39</v>
      </c>
      <c r="F413" s="76">
        <v>66.172359</v>
      </c>
      <c r="G413" s="76" t="s">
        <v>40</v>
      </c>
      <c r="H413" s="76">
        <f t="shared" si="6"/>
        <v>-0.15035899999999458</v>
      </c>
      <c r="I413" s="77">
        <v>-0.35169250910050698</v>
      </c>
      <c r="J413" s="78">
        <v>10.962067689265723</v>
      </c>
      <c r="K413" s="79">
        <v>1.5661110334373802</v>
      </c>
    </row>
    <row r="414" spans="1:11" x14ac:dyDescent="0.35">
      <c r="A414" t="s">
        <v>1383</v>
      </c>
      <c r="B414" s="73" t="s">
        <v>37</v>
      </c>
      <c r="C414" s="74" t="s">
        <v>38</v>
      </c>
      <c r="D414" s="75">
        <v>220</v>
      </c>
      <c r="E414" s="6" t="s">
        <v>39</v>
      </c>
      <c r="F414" s="76">
        <v>66.173817999999997</v>
      </c>
      <c r="G414" s="76" t="s">
        <v>40</v>
      </c>
      <c r="H414" s="76">
        <f t="shared" si="6"/>
        <v>-0.15181799999999157</v>
      </c>
      <c r="I414" s="77">
        <v>-0.49635128306194798</v>
      </c>
      <c r="J414" s="78">
        <v>11.611455493752089</v>
      </c>
      <c r="K414" s="79">
        <v>2.2154988379237466</v>
      </c>
    </row>
    <row r="415" spans="1:11" x14ac:dyDescent="0.35">
      <c r="A415" t="s">
        <v>1383</v>
      </c>
      <c r="B415" s="73" t="s">
        <v>37</v>
      </c>
      <c r="C415" s="74" t="s">
        <v>38</v>
      </c>
      <c r="D415" s="75">
        <v>220.03</v>
      </c>
      <c r="E415" s="6" t="s">
        <v>39</v>
      </c>
      <c r="F415" s="76">
        <v>66.175276999999994</v>
      </c>
      <c r="G415" s="76" t="s">
        <v>40</v>
      </c>
      <c r="H415" s="76">
        <f t="shared" si="6"/>
        <v>-0.15327699999998856</v>
      </c>
      <c r="I415" s="77">
        <v>-0.43155986584981798</v>
      </c>
      <c r="J415" s="78">
        <v>11.320222007605366</v>
      </c>
      <c r="K415" s="79">
        <v>1.9242653517770236</v>
      </c>
    </row>
    <row r="416" spans="1:11" x14ac:dyDescent="0.35">
      <c r="A416" t="s">
        <v>1383</v>
      </c>
      <c r="B416" s="73" t="s">
        <v>37</v>
      </c>
      <c r="C416" s="74" t="s">
        <v>38</v>
      </c>
      <c r="D416" s="75">
        <v>220.06</v>
      </c>
      <c r="E416" s="6" t="s">
        <v>39</v>
      </c>
      <c r="F416" s="76">
        <v>66.176736000000005</v>
      </c>
      <c r="G416" s="76" t="s">
        <v>40</v>
      </c>
      <c r="H416" s="76">
        <f t="shared" si="6"/>
        <v>-0.15473599999999976</v>
      </c>
      <c r="I416" s="77">
        <v>-0.31720600921036401</v>
      </c>
      <c r="J416" s="78">
        <v>10.807705117814464</v>
      </c>
      <c r="K416" s="79">
        <v>1.4117484619861216</v>
      </c>
    </row>
    <row r="417" spans="1:11" x14ac:dyDescent="0.35">
      <c r="A417" t="s">
        <v>1383</v>
      </c>
      <c r="B417" s="73" t="s">
        <v>37</v>
      </c>
      <c r="C417" s="74" t="s">
        <v>38</v>
      </c>
      <c r="D417" s="75">
        <v>220.12</v>
      </c>
      <c r="E417" s="6" t="s">
        <v>39</v>
      </c>
      <c r="F417" s="76">
        <v>66.179654999999997</v>
      </c>
      <c r="G417" s="76" t="s">
        <v>40</v>
      </c>
      <c r="H417" s="76">
        <f t="shared" si="6"/>
        <v>-0.15765499999999122</v>
      </c>
      <c r="I417" s="77">
        <v>-0.36066181222881899</v>
      </c>
      <c r="J417" s="78">
        <v>11.002242927211569</v>
      </c>
      <c r="K417" s="79">
        <v>1.606286271383226</v>
      </c>
    </row>
    <row r="418" spans="1:11" x14ac:dyDescent="0.35">
      <c r="A418" t="s">
        <v>1383</v>
      </c>
      <c r="B418" s="73" t="s">
        <v>37</v>
      </c>
      <c r="C418" s="74" t="s">
        <v>38</v>
      </c>
      <c r="D418" s="75">
        <v>220.15</v>
      </c>
      <c r="E418" s="6" t="s">
        <v>39</v>
      </c>
      <c r="F418" s="76">
        <v>66.181113999999994</v>
      </c>
      <c r="G418" s="76" t="s">
        <v>40</v>
      </c>
      <c r="H418" s="76">
        <f t="shared" si="6"/>
        <v>-0.15911399999998821</v>
      </c>
      <c r="I418" s="77">
        <v>-0.44330782524449203</v>
      </c>
      <c r="J418" s="78">
        <v>11.372982749206813</v>
      </c>
      <c r="K418" s="79">
        <v>1.9770260933784698</v>
      </c>
    </row>
    <row r="419" spans="1:11" x14ac:dyDescent="0.35">
      <c r="A419" t="s">
        <v>1383</v>
      </c>
      <c r="B419" s="73" t="s">
        <v>37</v>
      </c>
      <c r="C419" s="74" t="s">
        <v>38</v>
      </c>
      <c r="D419" s="75">
        <v>220.18</v>
      </c>
      <c r="E419" s="6" t="s">
        <v>39</v>
      </c>
      <c r="F419" s="76">
        <v>66.182573000000005</v>
      </c>
      <c r="G419" s="76" t="s">
        <v>40</v>
      </c>
      <c r="H419" s="76">
        <f t="shared" si="6"/>
        <v>-0.16057299999999941</v>
      </c>
      <c r="I419" s="77">
        <v>-0.31146535574198098</v>
      </c>
      <c r="J419" s="78">
        <v>10.782026586501502</v>
      </c>
      <c r="K419" s="79">
        <v>1.386069930673159</v>
      </c>
    </row>
    <row r="420" spans="1:11" x14ac:dyDescent="0.35">
      <c r="A420" t="s">
        <v>1383</v>
      </c>
      <c r="B420" s="73" t="s">
        <v>37</v>
      </c>
      <c r="C420" s="74" t="s">
        <v>38</v>
      </c>
      <c r="D420" s="75">
        <v>220.21</v>
      </c>
      <c r="E420" s="6" t="s">
        <v>39</v>
      </c>
      <c r="F420" s="76">
        <v>66.184032000000002</v>
      </c>
      <c r="G420" s="76" t="s">
        <v>40</v>
      </c>
      <c r="H420" s="76">
        <f t="shared" si="6"/>
        <v>-0.1620319999999964</v>
      </c>
      <c r="I420" s="77">
        <v>-0.33197635286361499</v>
      </c>
      <c r="J420" s="78">
        <v>10.873796411057697</v>
      </c>
      <c r="K420" s="79">
        <v>1.4778397552293541</v>
      </c>
    </row>
    <row r="421" spans="1:11" x14ac:dyDescent="0.35">
      <c r="A421" t="s">
        <v>1383</v>
      </c>
      <c r="B421" s="73" t="s">
        <v>37</v>
      </c>
      <c r="C421" s="74" t="s">
        <v>38</v>
      </c>
      <c r="D421" s="75">
        <v>220.24</v>
      </c>
      <c r="E421" s="6" t="s">
        <v>39</v>
      </c>
      <c r="F421" s="76">
        <v>66.185490999999999</v>
      </c>
      <c r="G421" s="76" t="s">
        <v>40</v>
      </c>
      <c r="H421" s="76">
        <f t="shared" si="6"/>
        <v>-0.16349099999999339</v>
      </c>
      <c r="I421" s="77">
        <v>-0.37825899292527598</v>
      </c>
      <c r="J421" s="78">
        <v>11.081098162629075</v>
      </c>
      <c r="K421" s="79">
        <v>1.6851415068007327</v>
      </c>
    </row>
    <row r="422" spans="1:11" x14ac:dyDescent="0.35">
      <c r="A422" t="s">
        <v>1383</v>
      </c>
      <c r="B422" s="73" t="s">
        <v>37</v>
      </c>
      <c r="C422" s="74" t="s">
        <v>38</v>
      </c>
      <c r="D422" s="75">
        <v>220.27</v>
      </c>
      <c r="E422" s="6" t="s">
        <v>39</v>
      </c>
      <c r="F422" s="76">
        <v>66.186949999999996</v>
      </c>
      <c r="G422" s="76" t="s">
        <v>40</v>
      </c>
      <c r="H422" s="76">
        <f t="shared" si="6"/>
        <v>-0.16494999999999038</v>
      </c>
      <c r="I422" s="77">
        <v>-0.28687626797329802</v>
      </c>
      <c r="J422" s="78">
        <v>10.67209127379391</v>
      </c>
      <c r="K422" s="79">
        <v>1.2761346179655675</v>
      </c>
    </row>
    <row r="423" spans="1:11" x14ac:dyDescent="0.35">
      <c r="A423" t="s">
        <v>1383</v>
      </c>
      <c r="B423" s="73" t="s">
        <v>37</v>
      </c>
      <c r="C423" s="74" t="s">
        <v>38</v>
      </c>
      <c r="D423" s="75">
        <v>220.3</v>
      </c>
      <c r="E423" s="6" t="s">
        <v>39</v>
      </c>
      <c r="F423" s="76">
        <v>66.188408999999993</v>
      </c>
      <c r="G423" s="76" t="s">
        <v>40</v>
      </c>
      <c r="H423" s="76">
        <f t="shared" si="6"/>
        <v>-0.16640899999998737</v>
      </c>
      <c r="I423" s="77">
        <v>-0.34687822720765199</v>
      </c>
      <c r="J423" s="78">
        <v>10.940508426117447</v>
      </c>
      <c r="K423" s="79">
        <v>1.5445517702891038</v>
      </c>
    </row>
    <row r="424" spans="1:11" x14ac:dyDescent="0.35">
      <c r="A424" t="s">
        <v>1383</v>
      </c>
      <c r="B424" s="73" t="s">
        <v>37</v>
      </c>
      <c r="C424" s="74" t="s">
        <v>38</v>
      </c>
      <c r="D424" s="75">
        <v>220.33</v>
      </c>
      <c r="E424" s="6" t="s">
        <v>39</v>
      </c>
      <c r="F424" s="76">
        <v>66.189868000000004</v>
      </c>
      <c r="G424" s="76" t="s">
        <v>40</v>
      </c>
      <c r="H424" s="76">
        <f t="shared" si="6"/>
        <v>-0.16786799999999857</v>
      </c>
      <c r="I424" s="77">
        <v>-0.43299603676832399</v>
      </c>
      <c r="J424" s="78">
        <v>11.326670848270226</v>
      </c>
      <c r="K424" s="79">
        <v>1.9307141924418829</v>
      </c>
    </row>
    <row r="425" spans="1:11" x14ac:dyDescent="0.35">
      <c r="A425" t="s">
        <v>1383</v>
      </c>
      <c r="B425" s="73" t="s">
        <v>37</v>
      </c>
      <c r="C425" s="74" t="s">
        <v>38</v>
      </c>
      <c r="D425" s="75">
        <v>220.36</v>
      </c>
      <c r="E425" s="6" t="s">
        <v>39</v>
      </c>
      <c r="F425" s="76">
        <v>66.191327000000001</v>
      </c>
      <c r="G425" s="76" t="s">
        <v>40</v>
      </c>
      <c r="H425" s="76">
        <f t="shared" si="6"/>
        <v>-0.16932699999999556</v>
      </c>
      <c r="I425" s="77">
        <v>-0.40620958092342402</v>
      </c>
      <c r="J425" s="78">
        <v>11.206441214229358</v>
      </c>
      <c r="K425" s="79">
        <v>1.810484558401015</v>
      </c>
    </row>
    <row r="426" spans="1:11" x14ac:dyDescent="0.35">
      <c r="A426" t="s">
        <v>1383</v>
      </c>
      <c r="B426" s="73" t="s">
        <v>37</v>
      </c>
      <c r="C426" s="74" t="s">
        <v>38</v>
      </c>
      <c r="D426" s="75">
        <v>220.39</v>
      </c>
      <c r="E426" s="6" t="s">
        <v>39</v>
      </c>
      <c r="F426" s="76">
        <v>66.192785999999998</v>
      </c>
      <c r="G426" s="76" t="s">
        <v>40</v>
      </c>
      <c r="H426" s="76">
        <f t="shared" si="6"/>
        <v>-0.17078599999999255</v>
      </c>
      <c r="I426" s="77">
        <v>-0.39018030768566297</v>
      </c>
      <c r="J426" s="78">
        <v>11.134544773047196</v>
      </c>
      <c r="K426" s="79">
        <v>1.7385881172188533</v>
      </c>
    </row>
    <row r="427" spans="1:11" x14ac:dyDescent="0.35">
      <c r="A427" t="s">
        <v>1383</v>
      </c>
      <c r="B427" s="73" t="s">
        <v>37</v>
      </c>
      <c r="C427" s="74" t="s">
        <v>38</v>
      </c>
      <c r="D427" s="75">
        <v>220.42</v>
      </c>
      <c r="E427" s="6" t="s">
        <v>39</v>
      </c>
      <c r="F427" s="76">
        <v>66.194244999999995</v>
      </c>
      <c r="G427" s="76" t="s">
        <v>40</v>
      </c>
      <c r="H427" s="76">
        <f t="shared" si="6"/>
        <v>-0.17224499999998955</v>
      </c>
      <c r="I427" s="77">
        <v>-0.273355992014222</v>
      </c>
      <c r="J427" s="78">
        <v>10.611680911124438</v>
      </c>
      <c r="K427" s="79">
        <v>1.2157242552960952</v>
      </c>
    </row>
    <row r="428" spans="1:11" x14ac:dyDescent="0.35">
      <c r="A428" t="s">
        <v>1383</v>
      </c>
      <c r="B428" s="73" t="s">
        <v>37</v>
      </c>
      <c r="C428" s="74" t="s">
        <v>38</v>
      </c>
      <c r="D428" s="75">
        <v>220.45</v>
      </c>
      <c r="E428" s="6" t="s">
        <v>39</v>
      </c>
      <c r="F428" s="76">
        <v>66.195705000000004</v>
      </c>
      <c r="G428" s="76" t="s">
        <v>40</v>
      </c>
      <c r="H428" s="76">
        <f t="shared" si="6"/>
        <v>-0.17370499999999822</v>
      </c>
      <c r="I428" s="77">
        <v>-0.49648778282476402</v>
      </c>
      <c r="J428" s="78">
        <v>11.612069701316329</v>
      </c>
      <c r="K428" s="79">
        <v>2.2161130454879867</v>
      </c>
    </row>
    <row r="429" spans="1:11" x14ac:dyDescent="0.35">
      <c r="A429" t="s">
        <v>1383</v>
      </c>
      <c r="B429" s="73" t="s">
        <v>37</v>
      </c>
      <c r="C429" s="74" t="s">
        <v>38</v>
      </c>
      <c r="D429" s="75">
        <v>220.48</v>
      </c>
      <c r="E429" s="6" t="s">
        <v>39</v>
      </c>
      <c r="F429" s="76">
        <v>66.197164000000001</v>
      </c>
      <c r="G429" s="76" t="s">
        <v>40</v>
      </c>
      <c r="H429" s="76">
        <f t="shared" si="6"/>
        <v>-0.17516399999999521</v>
      </c>
      <c r="I429" s="77">
        <v>-0.43946292263347098</v>
      </c>
      <c r="J429" s="78">
        <v>11.355712854289436</v>
      </c>
      <c r="K429" s="79">
        <v>1.9597561984610934</v>
      </c>
    </row>
    <row r="430" spans="1:11" x14ac:dyDescent="0.35">
      <c r="A430" t="s">
        <v>1383</v>
      </c>
      <c r="B430" s="73" t="s">
        <v>37</v>
      </c>
      <c r="C430" s="74" t="s">
        <v>38</v>
      </c>
      <c r="D430" s="75">
        <v>220.51</v>
      </c>
      <c r="E430" s="6" t="s">
        <v>39</v>
      </c>
      <c r="F430" s="76">
        <v>66.198622999999998</v>
      </c>
      <c r="G430" s="76" t="s">
        <v>40</v>
      </c>
      <c r="H430" s="76">
        <f t="shared" si="6"/>
        <v>-0.1766229999999922</v>
      </c>
      <c r="I430" s="77">
        <v>-0.38403676723569002</v>
      </c>
      <c r="J430" s="78">
        <v>11.106998962040393</v>
      </c>
      <c r="K430" s="79">
        <v>1.7110423062120503</v>
      </c>
    </row>
    <row r="431" spans="1:11" x14ac:dyDescent="0.35">
      <c r="A431" t="s">
        <v>1383</v>
      </c>
      <c r="B431" s="73" t="s">
        <v>37</v>
      </c>
      <c r="C431" s="74" t="s">
        <v>38</v>
      </c>
      <c r="D431" s="75">
        <v>220.54</v>
      </c>
      <c r="E431" s="6" t="s">
        <v>39</v>
      </c>
      <c r="F431" s="76">
        <v>66.200081999999995</v>
      </c>
      <c r="G431" s="76" t="s">
        <v>40</v>
      </c>
      <c r="H431" s="76">
        <f t="shared" si="6"/>
        <v>-0.17808199999998919</v>
      </c>
      <c r="I431" s="77">
        <v>-0.37856291244992901</v>
      </c>
      <c r="J431" s="78">
        <v>11.082460461870937</v>
      </c>
      <c r="K431" s="79">
        <v>1.6865038060425945</v>
      </c>
    </row>
    <row r="432" spans="1:11" x14ac:dyDescent="0.35">
      <c r="A432" t="s">
        <v>1383</v>
      </c>
      <c r="B432" s="73" t="s">
        <v>37</v>
      </c>
      <c r="C432" s="74" t="s">
        <v>38</v>
      </c>
      <c r="D432" s="75">
        <v>220.57</v>
      </c>
      <c r="E432" s="6" t="s">
        <v>39</v>
      </c>
      <c r="F432" s="76">
        <v>66.201541000000006</v>
      </c>
      <c r="G432" s="76" t="s">
        <v>40</v>
      </c>
      <c r="H432" s="76">
        <f t="shared" si="6"/>
        <v>-0.17954100000000039</v>
      </c>
      <c r="I432" s="77">
        <v>-0.29139432116321801</v>
      </c>
      <c r="J432" s="78">
        <v>10.692284443259325</v>
      </c>
      <c r="K432" s="79">
        <v>1.2963277874309824</v>
      </c>
    </row>
    <row r="433" spans="1:11" x14ac:dyDescent="0.35">
      <c r="A433" t="s">
        <v>1383</v>
      </c>
      <c r="B433" s="73" t="s">
        <v>37</v>
      </c>
      <c r="C433" s="74" t="s">
        <v>38</v>
      </c>
      <c r="D433" s="75">
        <v>220.6</v>
      </c>
      <c r="E433" s="6" t="s">
        <v>39</v>
      </c>
      <c r="F433" s="76">
        <v>66.203000000000003</v>
      </c>
      <c r="G433" s="76" t="s">
        <v>40</v>
      </c>
      <c r="H433" s="76">
        <f t="shared" si="6"/>
        <v>-0.18099999999999739</v>
      </c>
      <c r="I433" s="77">
        <v>-0.20813792713655099</v>
      </c>
      <c r="J433" s="78">
        <v>10.320650349276491</v>
      </c>
      <c r="K433" s="79">
        <v>0.92469369344814822</v>
      </c>
    </row>
    <row r="434" spans="1:11" x14ac:dyDescent="0.35">
      <c r="A434" t="s">
        <v>1383</v>
      </c>
      <c r="B434" s="73" t="s">
        <v>37</v>
      </c>
      <c r="C434" s="74" t="s">
        <v>38</v>
      </c>
      <c r="D434" s="75">
        <v>220.63</v>
      </c>
      <c r="E434" s="6" t="s">
        <v>39</v>
      </c>
      <c r="F434" s="76">
        <v>66.204543000000001</v>
      </c>
      <c r="G434" s="76" t="s">
        <v>40</v>
      </c>
      <c r="H434" s="76">
        <f t="shared" si="6"/>
        <v>-0.18254299999999546</v>
      </c>
      <c r="I434" s="77">
        <v>-0.43774739930935302</v>
      </c>
      <c r="J434" s="78">
        <v>11.348008049366001</v>
      </c>
      <c r="K434" s="79">
        <v>1.9520513935376584</v>
      </c>
    </row>
    <row r="435" spans="1:11" x14ac:dyDescent="0.35">
      <c r="A435" t="s">
        <v>1383</v>
      </c>
      <c r="B435" s="73" t="s">
        <v>37</v>
      </c>
      <c r="C435" s="74" t="s">
        <v>38</v>
      </c>
      <c r="D435" s="75">
        <v>220.66</v>
      </c>
      <c r="E435" s="6" t="s">
        <v>39</v>
      </c>
      <c r="F435" s="76">
        <v>66.206085999999999</v>
      </c>
      <c r="G435" s="76" t="s">
        <v>40</v>
      </c>
      <c r="H435" s="76">
        <f t="shared" si="6"/>
        <v>-0.18408599999999353</v>
      </c>
      <c r="I435" s="77">
        <v>-0.49765348554824901</v>
      </c>
      <c r="J435" s="78">
        <v>11.617315121638455</v>
      </c>
      <c r="K435" s="79">
        <v>2.2213584658101126</v>
      </c>
    </row>
    <row r="436" spans="1:11" x14ac:dyDescent="0.35">
      <c r="A436" t="s">
        <v>1383</v>
      </c>
      <c r="B436" s="73" t="s">
        <v>37</v>
      </c>
      <c r="C436" s="74" t="s">
        <v>38</v>
      </c>
      <c r="D436" s="75">
        <v>220.69</v>
      </c>
      <c r="E436" s="6" t="s">
        <v>39</v>
      </c>
      <c r="F436" s="76">
        <v>66.207628999999997</v>
      </c>
      <c r="G436" s="76" t="s">
        <v>40</v>
      </c>
      <c r="H436" s="76">
        <f t="shared" si="6"/>
        <v>-0.18562899999999161</v>
      </c>
      <c r="I436" s="77">
        <v>-0.775865169401738</v>
      </c>
      <c r="J436" s="78">
        <v>12.874937655042004</v>
      </c>
      <c r="K436" s="79">
        <v>3.4789809992136611</v>
      </c>
    </row>
    <row r="437" spans="1:11" x14ac:dyDescent="0.35">
      <c r="A437" t="s">
        <v>1383</v>
      </c>
      <c r="B437" s="73" t="s">
        <v>37</v>
      </c>
      <c r="C437" s="74" t="s">
        <v>38</v>
      </c>
      <c r="D437" s="75">
        <v>220.72</v>
      </c>
      <c r="E437" s="6" t="s">
        <v>39</v>
      </c>
      <c r="F437" s="76">
        <v>66.209170999999998</v>
      </c>
      <c r="G437" s="76" t="s">
        <v>40</v>
      </c>
      <c r="H437" s="76">
        <f t="shared" si="6"/>
        <v>-0.1871709999999922</v>
      </c>
      <c r="I437" s="77">
        <v>-0.74828934784953405</v>
      </c>
      <c r="J437" s="78">
        <v>12.749773049312978</v>
      </c>
      <c r="K437" s="79">
        <v>3.3538163934846352</v>
      </c>
    </row>
    <row r="438" spans="1:11" x14ac:dyDescent="0.35">
      <c r="A438" t="s">
        <v>1383</v>
      </c>
      <c r="B438" s="73" t="s">
        <v>37</v>
      </c>
      <c r="C438" s="74" t="s">
        <v>38</v>
      </c>
      <c r="D438" s="75">
        <v>220.75</v>
      </c>
      <c r="E438" s="6" t="s">
        <v>39</v>
      </c>
      <c r="F438" s="76">
        <v>66.210713999999996</v>
      </c>
      <c r="G438" s="76" t="s">
        <v>40</v>
      </c>
      <c r="H438" s="76">
        <f t="shared" si="6"/>
        <v>-0.18871399999999028</v>
      </c>
      <c r="I438" s="77">
        <v>-0.734004149855635</v>
      </c>
      <c r="J438" s="78">
        <v>12.684978016190314</v>
      </c>
      <c r="K438" s="79">
        <v>3.2890213603619713</v>
      </c>
    </row>
    <row r="439" spans="1:11" x14ac:dyDescent="0.35">
      <c r="A439" t="s">
        <v>1383</v>
      </c>
      <c r="B439" s="73" t="s">
        <v>37</v>
      </c>
      <c r="C439" s="74" t="s">
        <v>38</v>
      </c>
      <c r="D439" s="75">
        <v>220.78</v>
      </c>
      <c r="E439" s="6" t="s">
        <v>39</v>
      </c>
      <c r="F439" s="76">
        <v>66.212256999999994</v>
      </c>
      <c r="G439" s="76" t="s">
        <v>40</v>
      </c>
      <c r="H439" s="76">
        <f t="shared" si="6"/>
        <v>-0.19025699999998835</v>
      </c>
      <c r="I439" s="77">
        <v>-0.65739852941988797</v>
      </c>
      <c r="J439" s="78">
        <v>12.338025196314277</v>
      </c>
      <c r="K439" s="79">
        <v>2.9420685404859341</v>
      </c>
    </row>
    <row r="440" spans="1:11" x14ac:dyDescent="0.35">
      <c r="A440" t="s">
        <v>1383</v>
      </c>
      <c r="B440" s="73" t="s">
        <v>37</v>
      </c>
      <c r="C440" s="74" t="s">
        <v>38</v>
      </c>
      <c r="D440" s="75">
        <v>220.81</v>
      </c>
      <c r="E440" s="6" t="s">
        <v>39</v>
      </c>
      <c r="F440" s="76">
        <v>66.213800000000006</v>
      </c>
      <c r="G440" s="76" t="s">
        <v>40</v>
      </c>
      <c r="H440" s="76">
        <f t="shared" si="6"/>
        <v>-0.19180000000000064</v>
      </c>
      <c r="I440" s="77">
        <v>-0.66449188313195495</v>
      </c>
      <c r="J440" s="78">
        <v>12.370115042545706</v>
      </c>
      <c r="K440" s="79">
        <v>2.9741583867173631</v>
      </c>
    </row>
    <row r="441" spans="1:11" x14ac:dyDescent="0.35">
      <c r="A441" t="s">
        <v>1383</v>
      </c>
      <c r="B441" s="73" t="s">
        <v>37</v>
      </c>
      <c r="C441" s="74" t="s">
        <v>38</v>
      </c>
      <c r="D441" s="75">
        <v>220.84</v>
      </c>
      <c r="E441" s="6" t="s">
        <v>39</v>
      </c>
      <c r="F441" s="76">
        <v>66.215343000000004</v>
      </c>
      <c r="G441" s="76" t="s">
        <v>40</v>
      </c>
      <c r="H441" s="76">
        <f t="shared" si="6"/>
        <v>-0.19334299999999871</v>
      </c>
      <c r="I441" s="77">
        <v>-0.56744962871235105</v>
      </c>
      <c r="J441" s="78">
        <v>11.931747018883982</v>
      </c>
      <c r="K441" s="79">
        <v>2.5357903630556393</v>
      </c>
    </row>
    <row r="442" spans="1:11" x14ac:dyDescent="0.35">
      <c r="A442" t="s">
        <v>1383</v>
      </c>
      <c r="B442" s="73" t="s">
        <v>37</v>
      </c>
      <c r="C442" s="74" t="s">
        <v>38</v>
      </c>
      <c r="D442" s="75">
        <v>220.87</v>
      </c>
      <c r="E442" s="6" t="s">
        <v>39</v>
      </c>
      <c r="F442" s="76">
        <v>66.216886000000002</v>
      </c>
      <c r="G442" s="76" t="s">
        <v>40</v>
      </c>
      <c r="H442" s="76">
        <f t="shared" si="6"/>
        <v>-0.19488599999999678</v>
      </c>
      <c r="I442" s="77">
        <v>-0.51490615704959197</v>
      </c>
      <c r="J442" s="78">
        <v>11.694971879498837</v>
      </c>
      <c r="K442" s="79">
        <v>2.2990152236704944</v>
      </c>
    </row>
    <row r="443" spans="1:11" x14ac:dyDescent="0.35">
      <c r="A443" t="s">
        <v>1383</v>
      </c>
      <c r="B443" s="73" t="s">
        <v>37</v>
      </c>
      <c r="C443" s="74" t="s">
        <v>38</v>
      </c>
      <c r="D443" s="75">
        <v>220.9</v>
      </c>
      <c r="E443" s="6" t="s">
        <v>39</v>
      </c>
      <c r="F443" s="76">
        <v>66.218429</v>
      </c>
      <c r="G443" s="76" t="s">
        <v>40</v>
      </c>
      <c r="H443" s="76">
        <f t="shared" si="6"/>
        <v>-0.19642899999999486</v>
      </c>
      <c r="I443" s="77">
        <v>-0.52426468813451199</v>
      </c>
      <c r="J443" s="78">
        <v>11.737114257278392</v>
      </c>
      <c r="K443" s="79">
        <v>2.3411576014500497</v>
      </c>
    </row>
    <row r="444" spans="1:11" x14ac:dyDescent="0.35">
      <c r="A444" t="s">
        <v>1383</v>
      </c>
      <c r="B444" s="73" t="s">
        <v>37</v>
      </c>
      <c r="C444" s="74" t="s">
        <v>38</v>
      </c>
      <c r="D444" s="75">
        <v>220.93</v>
      </c>
      <c r="E444" s="6" t="s">
        <v>39</v>
      </c>
      <c r="F444" s="76">
        <v>66.219971000000001</v>
      </c>
      <c r="G444" s="76" t="s">
        <v>40</v>
      </c>
      <c r="H444" s="76">
        <f t="shared" si="6"/>
        <v>-0.19797099999999546</v>
      </c>
      <c r="I444" s="77">
        <v>-0.54093639645607805</v>
      </c>
      <c r="J444" s="78">
        <v>11.812220465374253</v>
      </c>
      <c r="K444" s="79">
        <v>2.4162638095459101</v>
      </c>
    </row>
    <row r="445" spans="1:11" x14ac:dyDescent="0.35">
      <c r="A445" t="s">
        <v>1383</v>
      </c>
      <c r="B445" s="73" t="s">
        <v>37</v>
      </c>
      <c r="C445" s="74" t="s">
        <v>38</v>
      </c>
      <c r="D445" s="75">
        <v>220.96</v>
      </c>
      <c r="E445" s="6" t="s">
        <v>39</v>
      </c>
      <c r="F445" s="76">
        <v>66.221513999999999</v>
      </c>
      <c r="G445" s="76" t="s">
        <v>40</v>
      </c>
      <c r="H445" s="76">
        <f t="shared" si="6"/>
        <v>-0.19951399999999353</v>
      </c>
      <c r="I445" s="77">
        <v>-0.47351528862581999</v>
      </c>
      <c r="J445" s="78">
        <v>11.50873890643885</v>
      </c>
      <c r="K445" s="79">
        <v>2.1127822506105076</v>
      </c>
    </row>
    <row r="446" spans="1:11" x14ac:dyDescent="0.35">
      <c r="A446" t="s">
        <v>1383</v>
      </c>
      <c r="B446" s="73" t="s">
        <v>37</v>
      </c>
      <c r="C446" s="74" t="s">
        <v>38</v>
      </c>
      <c r="D446" s="75">
        <v>220.99</v>
      </c>
      <c r="E446" s="6" t="s">
        <v>39</v>
      </c>
      <c r="F446" s="76">
        <v>66.223056999999997</v>
      </c>
      <c r="G446" s="76" t="s">
        <v>40</v>
      </c>
      <c r="H446" s="76">
        <f t="shared" si="6"/>
        <v>-0.2010569999999916</v>
      </c>
      <c r="I446" s="77">
        <v>-0.542106414172008</v>
      </c>
      <c r="J446" s="78">
        <v>11.817492940776276</v>
      </c>
      <c r="K446" s="79">
        <v>2.4215362849479334</v>
      </c>
    </row>
    <row r="447" spans="1:11" x14ac:dyDescent="0.35">
      <c r="A447" t="s">
        <v>1383</v>
      </c>
      <c r="B447" s="73" t="s">
        <v>37</v>
      </c>
      <c r="C447" s="74" t="s">
        <v>38</v>
      </c>
      <c r="D447" s="75">
        <v>221.02</v>
      </c>
      <c r="E447" s="6" t="s">
        <v>39</v>
      </c>
      <c r="F447" s="76">
        <v>66.224599999999995</v>
      </c>
      <c r="G447" s="76" t="s">
        <v>40</v>
      </c>
      <c r="H447" s="76">
        <f t="shared" si="6"/>
        <v>-0.20259999999998968</v>
      </c>
      <c r="I447" s="77">
        <v>-0.44075431529636799</v>
      </c>
      <c r="J447" s="78">
        <v>11.361513076116637</v>
      </c>
      <c r="K447" s="79">
        <v>1.9655564202882942</v>
      </c>
    </row>
    <row r="448" spans="1:11" x14ac:dyDescent="0.35">
      <c r="A448" t="s">
        <v>1383</v>
      </c>
      <c r="B448" s="73" t="s">
        <v>37</v>
      </c>
      <c r="C448" s="74" t="s">
        <v>38</v>
      </c>
      <c r="D448" s="75">
        <v>221.05</v>
      </c>
      <c r="E448" s="6" t="s">
        <v>39</v>
      </c>
      <c r="F448" s="76">
        <v>66.226142999999993</v>
      </c>
      <c r="G448" s="76" t="s">
        <v>40</v>
      </c>
      <c r="H448" s="76">
        <f t="shared" si="6"/>
        <v>-0.20414299999998775</v>
      </c>
      <c r="I448" s="77">
        <v>-0.38827030032516202</v>
      </c>
      <c r="J448" s="78">
        <v>11.125980277241354</v>
      </c>
      <c r="K448" s="79">
        <v>1.7300236214130109</v>
      </c>
    </row>
    <row r="449" spans="1:11" x14ac:dyDescent="0.35">
      <c r="A449" t="s">
        <v>1383</v>
      </c>
      <c r="B449" s="73" t="s">
        <v>37</v>
      </c>
      <c r="C449" s="74" t="s">
        <v>38</v>
      </c>
      <c r="D449" s="75">
        <v>221.08</v>
      </c>
      <c r="E449" s="6" t="s">
        <v>39</v>
      </c>
      <c r="F449" s="76">
        <v>66.227686000000006</v>
      </c>
      <c r="G449" s="76" t="s">
        <v>40</v>
      </c>
      <c r="H449" s="76">
        <f t="shared" si="6"/>
        <v>-0.20568600000000004</v>
      </c>
      <c r="I449" s="77">
        <v>-0.54671910461523099</v>
      </c>
      <c r="J449" s="78">
        <v>11.838281165689409</v>
      </c>
      <c r="K449" s="79">
        <v>2.4423245098610664</v>
      </c>
    </row>
    <row r="450" spans="1:11" x14ac:dyDescent="0.35">
      <c r="A450" t="s">
        <v>1383</v>
      </c>
      <c r="B450" s="73" t="s">
        <v>37</v>
      </c>
      <c r="C450" s="74" t="s">
        <v>38</v>
      </c>
      <c r="D450" s="75">
        <v>221.11</v>
      </c>
      <c r="E450" s="6" t="s">
        <v>39</v>
      </c>
      <c r="F450" s="76">
        <v>66.229229000000004</v>
      </c>
      <c r="G450" s="76" t="s">
        <v>40</v>
      </c>
      <c r="H450" s="76">
        <f t="shared" ref="H450:H513" si="7">66.022-F450</f>
        <v>-0.20722899999999811</v>
      </c>
      <c r="I450" s="77">
        <v>-0.47567058831126302</v>
      </c>
      <c r="J450" s="78">
        <v>11.518430203999515</v>
      </c>
      <c r="K450" s="79">
        <v>2.1224735481711718</v>
      </c>
    </row>
    <row r="451" spans="1:11" x14ac:dyDescent="0.35">
      <c r="A451" t="s">
        <v>1383</v>
      </c>
      <c r="B451" s="73" t="s">
        <v>37</v>
      </c>
      <c r="C451" s="74" t="s">
        <v>38</v>
      </c>
      <c r="D451" s="75">
        <v>221.14</v>
      </c>
      <c r="E451" s="6" t="s">
        <v>39</v>
      </c>
      <c r="F451" s="76">
        <v>66.230771000000004</v>
      </c>
      <c r="G451" s="76" t="s">
        <v>40</v>
      </c>
      <c r="H451" s="76">
        <f t="shared" si="7"/>
        <v>-0.20877099999999871</v>
      </c>
      <c r="I451" s="77">
        <v>-0.50492628511012105</v>
      </c>
      <c r="J451" s="78">
        <v>11.650045712783708</v>
      </c>
      <c r="K451" s="79">
        <v>2.2540890569553653</v>
      </c>
    </row>
    <row r="452" spans="1:11" x14ac:dyDescent="0.35">
      <c r="A452" t="s">
        <v>1383</v>
      </c>
      <c r="B452" s="73" t="s">
        <v>37</v>
      </c>
      <c r="C452" s="74" t="s">
        <v>38</v>
      </c>
      <c r="D452" s="75">
        <v>221.2</v>
      </c>
      <c r="E452" s="6" t="s">
        <v>39</v>
      </c>
      <c r="F452" s="76">
        <v>66.233857</v>
      </c>
      <c r="G452" s="76" t="s">
        <v>40</v>
      </c>
      <c r="H452" s="76">
        <f t="shared" si="7"/>
        <v>-0.21185699999999485</v>
      </c>
      <c r="I452" s="77">
        <v>-0.70245221238512301</v>
      </c>
      <c r="J452" s="78">
        <v>12.5419715254734</v>
      </c>
      <c r="K452" s="79">
        <v>3.1460148696450574</v>
      </c>
    </row>
    <row r="453" spans="1:11" x14ac:dyDescent="0.35">
      <c r="A453" t="s">
        <v>1383</v>
      </c>
      <c r="B453" s="73" t="s">
        <v>37</v>
      </c>
      <c r="C453" s="74" t="s">
        <v>38</v>
      </c>
      <c r="D453" s="75">
        <v>221.26</v>
      </c>
      <c r="E453" s="6" t="s">
        <v>39</v>
      </c>
      <c r="F453" s="76">
        <v>66.236942999999997</v>
      </c>
      <c r="G453" s="76" t="s">
        <v>40</v>
      </c>
      <c r="H453" s="76">
        <f t="shared" si="7"/>
        <v>-0.214942999999991</v>
      </c>
      <c r="I453" s="77">
        <v>-0.69455182742383204</v>
      </c>
      <c r="J453" s="78">
        <v>12.506186802531374</v>
      </c>
      <c r="K453" s="79">
        <v>3.1102301467030316</v>
      </c>
    </row>
    <row r="454" spans="1:11" x14ac:dyDescent="0.35">
      <c r="A454" t="s">
        <v>1383</v>
      </c>
      <c r="B454" s="73" t="s">
        <v>37</v>
      </c>
      <c r="C454" s="74" t="s">
        <v>38</v>
      </c>
      <c r="D454" s="75">
        <v>221.29</v>
      </c>
      <c r="E454" s="6" t="s">
        <v>39</v>
      </c>
      <c r="F454" s="76">
        <v>66.238485999999995</v>
      </c>
      <c r="G454" s="76" t="s">
        <v>40</v>
      </c>
      <c r="H454" s="76">
        <f t="shared" si="7"/>
        <v>-0.21648599999998908</v>
      </c>
      <c r="I454" s="77">
        <v>-0.58248354262336099</v>
      </c>
      <c r="J454" s="78">
        <v>11.999568651411721</v>
      </c>
      <c r="K454" s="79">
        <v>2.6036119955833783</v>
      </c>
    </row>
    <row r="455" spans="1:11" x14ac:dyDescent="0.35">
      <c r="A455" t="s">
        <v>1383</v>
      </c>
      <c r="B455" s="73" t="s">
        <v>37</v>
      </c>
      <c r="C455" s="74" t="s">
        <v>38</v>
      </c>
      <c r="D455" s="75">
        <v>221.32</v>
      </c>
      <c r="E455" s="6" t="s">
        <v>39</v>
      </c>
      <c r="F455" s="76">
        <v>66.240029000000007</v>
      </c>
      <c r="G455" s="76" t="s">
        <v>40</v>
      </c>
      <c r="H455" s="76">
        <f t="shared" si="7"/>
        <v>-0.21802900000000136</v>
      </c>
      <c r="I455" s="77">
        <v>-0.57716981042980997</v>
      </c>
      <c r="J455" s="78">
        <v>11.975593313028639</v>
      </c>
      <c r="K455" s="79">
        <v>2.5796366572002967</v>
      </c>
    </row>
    <row r="456" spans="1:11" x14ac:dyDescent="0.35">
      <c r="A456" t="s">
        <v>1383</v>
      </c>
      <c r="B456" s="73" t="s">
        <v>37</v>
      </c>
      <c r="C456" s="74" t="s">
        <v>38</v>
      </c>
      <c r="D456" s="75">
        <v>221.35</v>
      </c>
      <c r="E456" s="6" t="s">
        <v>39</v>
      </c>
      <c r="F456" s="76">
        <v>66.241570999999993</v>
      </c>
      <c r="G456" s="76" t="s">
        <v>40</v>
      </c>
      <c r="H456" s="76">
        <f t="shared" si="7"/>
        <v>-0.21957099999998775</v>
      </c>
      <c r="I456" s="77">
        <v>-0.53615404134160904</v>
      </c>
      <c r="J456" s="78">
        <v>11.790671730636006</v>
      </c>
      <c r="K456" s="79">
        <v>2.3947150748076638</v>
      </c>
    </row>
    <row r="457" spans="1:11" x14ac:dyDescent="0.35">
      <c r="A457" t="s">
        <v>1383</v>
      </c>
      <c r="B457" s="73" t="s">
        <v>37</v>
      </c>
      <c r="C457" s="74" t="s">
        <v>38</v>
      </c>
      <c r="D457" s="75">
        <v>221.41</v>
      </c>
      <c r="E457" s="6" t="s">
        <v>39</v>
      </c>
      <c r="F457" s="76">
        <v>66.244657000000004</v>
      </c>
      <c r="G457" s="76" t="s">
        <v>40</v>
      </c>
      <c r="H457" s="76">
        <f t="shared" si="7"/>
        <v>-0.22265699999999811</v>
      </c>
      <c r="I457" s="77">
        <v>-0.49405311059064</v>
      </c>
      <c r="J457" s="78">
        <v>11.601114824547153</v>
      </c>
      <c r="K457" s="79">
        <v>2.2051581687188104</v>
      </c>
    </row>
    <row r="458" spans="1:11" x14ac:dyDescent="0.35">
      <c r="A458" t="s">
        <v>1383</v>
      </c>
      <c r="B458" s="73" t="s">
        <v>37</v>
      </c>
      <c r="C458" s="74" t="s">
        <v>38</v>
      </c>
      <c r="D458" s="75">
        <v>221.47</v>
      </c>
      <c r="E458" s="6" t="s">
        <v>39</v>
      </c>
      <c r="F458" s="76">
        <v>66.247743</v>
      </c>
      <c r="G458" s="76" t="s">
        <v>40</v>
      </c>
      <c r="H458" s="76">
        <f t="shared" si="7"/>
        <v>-0.22574299999999425</v>
      </c>
      <c r="I458" s="77">
        <v>-0.48877361765951199</v>
      </c>
      <c r="J458" s="78">
        <v>11.5773625833408</v>
      </c>
      <c r="K458" s="79">
        <v>2.1814059275124578</v>
      </c>
    </row>
    <row r="459" spans="1:11" x14ac:dyDescent="0.35">
      <c r="A459" t="s">
        <v>1383</v>
      </c>
      <c r="B459" s="73" t="s">
        <v>37</v>
      </c>
      <c r="C459" s="74" t="s">
        <v>38</v>
      </c>
      <c r="D459" s="75">
        <v>221.5</v>
      </c>
      <c r="E459" s="6" t="s">
        <v>39</v>
      </c>
      <c r="F459" s="76">
        <v>66.249285999999998</v>
      </c>
      <c r="G459" s="76" t="s">
        <v>40</v>
      </c>
      <c r="H459" s="76">
        <f t="shared" si="7"/>
        <v>-0.22728599999999233</v>
      </c>
      <c r="I459" s="77">
        <v>-0.45057483702214801</v>
      </c>
      <c r="J459" s="78">
        <v>11.405629413961492</v>
      </c>
      <c r="K459" s="79">
        <v>2.0096727581331493</v>
      </c>
    </row>
    <row r="460" spans="1:11" x14ac:dyDescent="0.35">
      <c r="A460" t="s">
        <v>1383</v>
      </c>
      <c r="B460" s="73" t="s">
        <v>37</v>
      </c>
      <c r="C460" s="74" t="s">
        <v>38</v>
      </c>
      <c r="D460" s="75">
        <v>221.53</v>
      </c>
      <c r="E460" s="6" t="s">
        <v>39</v>
      </c>
      <c r="F460" s="76">
        <v>66.250828999999996</v>
      </c>
      <c r="G460" s="76" t="s">
        <v>40</v>
      </c>
      <c r="H460" s="76">
        <f t="shared" si="7"/>
        <v>-0.2288289999999904</v>
      </c>
      <c r="I460" s="77">
        <v>-0.55287457547059504</v>
      </c>
      <c r="J460" s="78">
        <v>11.866027184492395</v>
      </c>
      <c r="K460" s="79">
        <v>2.4700705286640527</v>
      </c>
    </row>
    <row r="461" spans="1:11" x14ac:dyDescent="0.35">
      <c r="A461" t="s">
        <v>1383</v>
      </c>
      <c r="B461" s="73" t="s">
        <v>37</v>
      </c>
      <c r="C461" s="74" t="s">
        <v>38</v>
      </c>
      <c r="D461" s="75">
        <v>221.56</v>
      </c>
      <c r="E461" s="6" t="s">
        <v>39</v>
      </c>
      <c r="F461" s="76">
        <v>66.252370999999997</v>
      </c>
      <c r="G461" s="76" t="s">
        <v>40</v>
      </c>
      <c r="H461" s="76">
        <f t="shared" si="7"/>
        <v>-0.230370999999991</v>
      </c>
      <c r="I461" s="77">
        <v>-0.58784855358006904</v>
      </c>
      <c r="J461" s="78">
        <v>12.023779577723701</v>
      </c>
      <c r="K461" s="79">
        <v>2.6278229218953584</v>
      </c>
    </row>
    <row r="462" spans="1:11" x14ac:dyDescent="0.35">
      <c r="A462" t="s">
        <v>1383</v>
      </c>
      <c r="B462" s="73" t="s">
        <v>37</v>
      </c>
      <c r="C462" s="74" t="s">
        <v>38</v>
      </c>
      <c r="D462" s="75">
        <v>221.59</v>
      </c>
      <c r="E462" s="6" t="s">
        <v>39</v>
      </c>
      <c r="F462" s="76">
        <v>66.253913999999995</v>
      </c>
      <c r="G462" s="76" t="s">
        <v>40</v>
      </c>
      <c r="H462" s="76">
        <f t="shared" si="7"/>
        <v>-0.23191399999998907</v>
      </c>
      <c r="I462" s="77">
        <v>-0.58008105276826605</v>
      </c>
      <c r="J462" s="78">
        <v>11.98872820207788</v>
      </c>
      <c r="K462" s="79">
        <v>2.5927715462495371</v>
      </c>
    </row>
    <row r="463" spans="1:11" x14ac:dyDescent="0.35">
      <c r="A463" t="s">
        <v>1383</v>
      </c>
      <c r="B463" s="73" t="s">
        <v>37</v>
      </c>
      <c r="C463" s="74" t="s">
        <v>38</v>
      </c>
      <c r="D463" s="75">
        <v>221.62</v>
      </c>
      <c r="E463" s="6" t="s">
        <v>39</v>
      </c>
      <c r="F463" s="76">
        <v>66.255457000000007</v>
      </c>
      <c r="G463" s="76" t="s">
        <v>40</v>
      </c>
      <c r="H463" s="76">
        <f t="shared" si="7"/>
        <v>-0.23345700000000136</v>
      </c>
      <c r="I463" s="77">
        <v>-0.62515668630063403</v>
      </c>
      <c r="J463" s="78">
        <v>12.192259034617678</v>
      </c>
      <c r="K463" s="79">
        <v>2.7963023787893349</v>
      </c>
    </row>
    <row r="464" spans="1:11" x14ac:dyDescent="0.35">
      <c r="A464" t="s">
        <v>1383</v>
      </c>
      <c r="B464" s="73" t="s">
        <v>37</v>
      </c>
      <c r="C464" s="74" t="s">
        <v>38</v>
      </c>
      <c r="D464" s="75">
        <v>221.65</v>
      </c>
      <c r="E464" s="6" t="s">
        <v>39</v>
      </c>
      <c r="F464" s="76">
        <v>66.257000000000005</v>
      </c>
      <c r="G464" s="76" t="s">
        <v>40</v>
      </c>
      <c r="H464" s="76">
        <f t="shared" si="7"/>
        <v>-0.23499999999999943</v>
      </c>
      <c r="I464" s="77">
        <v>-0.64104146283316199</v>
      </c>
      <c r="J464" s="78">
        <v>12.264055303077328</v>
      </c>
      <c r="K464" s="79">
        <v>2.8680986472489849</v>
      </c>
    </row>
    <row r="465" spans="1:11" x14ac:dyDescent="0.35">
      <c r="A465" t="s">
        <v>1383</v>
      </c>
      <c r="B465" s="73" t="s">
        <v>37</v>
      </c>
      <c r="C465" s="74" t="s">
        <v>38</v>
      </c>
      <c r="D465" s="75">
        <v>221.74</v>
      </c>
      <c r="E465" s="6" t="s">
        <v>39</v>
      </c>
      <c r="F465" s="76">
        <v>66.261628999999999</v>
      </c>
      <c r="G465" s="76" t="s">
        <v>40</v>
      </c>
      <c r="H465" s="76">
        <f t="shared" si="7"/>
        <v>-0.23962899999999365</v>
      </c>
      <c r="I465" s="77">
        <v>-0.55288204825464804</v>
      </c>
      <c r="J465" s="78">
        <v>11.866060871737318</v>
      </c>
      <c r="K465" s="79">
        <v>2.4701042159089752</v>
      </c>
    </row>
    <row r="466" spans="1:11" x14ac:dyDescent="0.35">
      <c r="A466" t="s">
        <v>1383</v>
      </c>
      <c r="B466" s="73" t="s">
        <v>37</v>
      </c>
      <c r="C466" s="74" t="s">
        <v>38</v>
      </c>
      <c r="D466" s="75">
        <v>221.77</v>
      </c>
      <c r="E466" s="6" t="s">
        <v>39</v>
      </c>
      <c r="F466" s="76">
        <v>66.263171</v>
      </c>
      <c r="G466" s="76" t="s">
        <v>40</v>
      </c>
      <c r="H466" s="76">
        <f t="shared" si="7"/>
        <v>-0.24117099999999425</v>
      </c>
      <c r="I466" s="77">
        <v>-0.63348314624503699</v>
      </c>
      <c r="J466" s="78">
        <v>12.229888454732986</v>
      </c>
      <c r="K466" s="79">
        <v>2.8339317989046435</v>
      </c>
    </row>
    <row r="467" spans="1:11" x14ac:dyDescent="0.35">
      <c r="A467" t="s">
        <v>1383</v>
      </c>
      <c r="B467" s="73" t="s">
        <v>37</v>
      </c>
      <c r="C467" s="74" t="s">
        <v>38</v>
      </c>
      <c r="D467" s="75">
        <v>221.8</v>
      </c>
      <c r="E467" s="6" t="s">
        <v>39</v>
      </c>
      <c r="F467" s="76">
        <v>66.264713999999998</v>
      </c>
      <c r="G467" s="76" t="s">
        <v>40</v>
      </c>
      <c r="H467" s="76">
        <f t="shared" si="7"/>
        <v>-0.24271399999999232</v>
      </c>
      <c r="I467" s="77">
        <v>-0.55102362198509702</v>
      </c>
      <c r="J467" s="78">
        <v>11.857683355334586</v>
      </c>
      <c r="K467" s="79">
        <v>2.4617266995062437</v>
      </c>
    </row>
    <row r="468" spans="1:11" x14ac:dyDescent="0.35">
      <c r="A468" t="s">
        <v>1383</v>
      </c>
      <c r="B468" s="73" t="s">
        <v>37</v>
      </c>
      <c r="C468" s="74" t="s">
        <v>38</v>
      </c>
      <c r="D468" s="75">
        <v>221.83</v>
      </c>
      <c r="E468" s="6" t="s">
        <v>39</v>
      </c>
      <c r="F468" s="76">
        <v>66.266256999999996</v>
      </c>
      <c r="G468" s="76" t="s">
        <v>40</v>
      </c>
      <c r="H468" s="76">
        <f t="shared" si="7"/>
        <v>-0.2442569999999904</v>
      </c>
      <c r="I468" s="77">
        <v>-0.53457094667836202</v>
      </c>
      <c r="J468" s="78">
        <v>11.783539231269572</v>
      </c>
      <c r="K468" s="79">
        <v>2.387582575441229</v>
      </c>
    </row>
    <row r="469" spans="1:11" x14ac:dyDescent="0.35">
      <c r="A469" t="s">
        <v>1383</v>
      </c>
      <c r="B469" s="73" t="s">
        <v>37</v>
      </c>
      <c r="C469" s="74" t="s">
        <v>38</v>
      </c>
      <c r="D469" s="75">
        <v>221.89</v>
      </c>
      <c r="E469" s="6" t="s">
        <v>39</v>
      </c>
      <c r="F469" s="76">
        <v>66.269343000000006</v>
      </c>
      <c r="G469" s="76" t="s">
        <v>40</v>
      </c>
      <c r="H469" s="76">
        <f t="shared" si="7"/>
        <v>-0.24734300000000076</v>
      </c>
      <c r="I469" s="77">
        <v>-0.42304467019590802</v>
      </c>
      <c r="J469" s="78">
        <v>11.281992405813355</v>
      </c>
      <c r="K469" s="79">
        <v>1.8860357499850124</v>
      </c>
    </row>
    <row r="470" spans="1:11" x14ac:dyDescent="0.35">
      <c r="A470" t="s">
        <v>1383</v>
      </c>
      <c r="B470" s="73" t="s">
        <v>37</v>
      </c>
      <c r="C470" s="74" t="s">
        <v>38</v>
      </c>
      <c r="D470" s="75">
        <v>221.92</v>
      </c>
      <c r="E470" s="6" t="s">
        <v>39</v>
      </c>
      <c r="F470" s="76">
        <v>66.270886000000004</v>
      </c>
      <c r="G470" s="76" t="s">
        <v>40</v>
      </c>
      <c r="H470" s="76">
        <f t="shared" si="7"/>
        <v>-0.24888599999999883</v>
      </c>
      <c r="I470" s="77">
        <v>-0.461385246162481</v>
      </c>
      <c r="J470" s="78">
        <v>11.454208907097154</v>
      </c>
      <c r="K470" s="79">
        <v>2.0582522512688115</v>
      </c>
    </row>
    <row r="471" spans="1:11" x14ac:dyDescent="0.35">
      <c r="A471" t="s">
        <v>1383</v>
      </c>
      <c r="B471" s="73" t="s">
        <v>37</v>
      </c>
      <c r="C471" s="74" t="s">
        <v>38</v>
      </c>
      <c r="D471" s="75">
        <v>221.95</v>
      </c>
      <c r="E471" s="6" t="s">
        <v>39</v>
      </c>
      <c r="F471" s="76">
        <v>66.272429000000002</v>
      </c>
      <c r="G471" s="76" t="s">
        <v>40</v>
      </c>
      <c r="H471" s="76">
        <f t="shared" si="7"/>
        <v>-0.2504289999999969</v>
      </c>
      <c r="I471" s="77">
        <v>-0.50535210004284703</v>
      </c>
      <c r="J471" s="78">
        <v>11.651962295765316</v>
      </c>
      <c r="K471" s="79">
        <v>2.2560056399369728</v>
      </c>
    </row>
    <row r="472" spans="1:11" x14ac:dyDescent="0.35">
      <c r="A472" t="s">
        <v>1383</v>
      </c>
      <c r="B472" s="73" t="s">
        <v>37</v>
      </c>
      <c r="C472" s="74" t="s">
        <v>38</v>
      </c>
      <c r="D472" s="75">
        <v>221.98</v>
      </c>
      <c r="E472" s="6" t="s">
        <v>39</v>
      </c>
      <c r="F472" s="76">
        <v>66.273971000000003</v>
      </c>
      <c r="G472" s="76" t="s">
        <v>40</v>
      </c>
      <c r="H472" s="76">
        <f t="shared" si="7"/>
        <v>-0.2519709999999975</v>
      </c>
      <c r="I472" s="77">
        <v>-0.48448082621045702</v>
      </c>
      <c r="J472" s="78">
        <v>11.558052488341048</v>
      </c>
      <c r="K472" s="79">
        <v>2.1620958325127049</v>
      </c>
    </row>
    <row r="473" spans="1:11" x14ac:dyDescent="0.35">
      <c r="A473" t="s">
        <v>1383</v>
      </c>
      <c r="B473" s="73" t="s">
        <v>37</v>
      </c>
      <c r="C473" s="74" t="s">
        <v>38</v>
      </c>
      <c r="D473" s="75">
        <v>222.01</v>
      </c>
      <c r="E473" s="6" t="s">
        <v>39</v>
      </c>
      <c r="F473" s="76">
        <v>66.275514000000001</v>
      </c>
      <c r="G473" s="76" t="s">
        <v>40</v>
      </c>
      <c r="H473" s="76">
        <f t="shared" si="7"/>
        <v>-0.25351399999999558</v>
      </c>
      <c r="I473" s="77">
        <v>-0.50776681933999201</v>
      </c>
      <c r="J473" s="78">
        <v>11.662831393809483</v>
      </c>
      <c r="K473" s="79">
        <v>2.2668747379811407</v>
      </c>
    </row>
    <row r="474" spans="1:11" x14ac:dyDescent="0.35">
      <c r="A474" t="s">
        <v>1383</v>
      </c>
      <c r="B474" s="73" t="s">
        <v>37</v>
      </c>
      <c r="C474" s="74" t="s">
        <v>38</v>
      </c>
      <c r="D474" s="75">
        <v>222.04</v>
      </c>
      <c r="E474" s="6" t="s">
        <v>39</v>
      </c>
      <c r="F474" s="76">
        <v>66.277056999999999</v>
      </c>
      <c r="G474" s="76" t="s">
        <v>40</v>
      </c>
      <c r="H474" s="76">
        <f t="shared" si="7"/>
        <v>-0.25505699999999365</v>
      </c>
      <c r="I474" s="77">
        <v>-0.46184714162345197</v>
      </c>
      <c r="J474" s="78">
        <v>11.45628494030467</v>
      </c>
      <c r="K474" s="79">
        <v>2.0603282844763271</v>
      </c>
    </row>
    <row r="475" spans="1:11" x14ac:dyDescent="0.35">
      <c r="A475" t="s">
        <v>1383</v>
      </c>
      <c r="B475" s="73" t="s">
        <v>37</v>
      </c>
      <c r="C475" s="74" t="s">
        <v>38</v>
      </c>
      <c r="D475" s="75">
        <v>222.07</v>
      </c>
      <c r="E475" s="6" t="s">
        <v>39</v>
      </c>
      <c r="F475" s="76">
        <v>66.278599999999997</v>
      </c>
      <c r="G475" s="76" t="s">
        <v>40</v>
      </c>
      <c r="H475" s="76">
        <f t="shared" si="7"/>
        <v>-0.25659999999999172</v>
      </c>
      <c r="I475" s="77">
        <v>-0.48542336317829099</v>
      </c>
      <c r="J475" s="78">
        <v>11.562292033810991</v>
      </c>
      <c r="K475" s="79">
        <v>2.166335377982648</v>
      </c>
    </row>
    <row r="476" spans="1:11" x14ac:dyDescent="0.35">
      <c r="A476" t="s">
        <v>1383</v>
      </c>
      <c r="B476" s="73" t="s">
        <v>37</v>
      </c>
      <c r="C476" s="74" t="s">
        <v>38</v>
      </c>
      <c r="D476" s="75">
        <v>222.1</v>
      </c>
      <c r="E476" s="6" t="s">
        <v>39</v>
      </c>
      <c r="F476" s="76">
        <v>66.280142999999995</v>
      </c>
      <c r="G476" s="76" t="s">
        <v>40</v>
      </c>
      <c r="H476" s="76">
        <f t="shared" si="7"/>
        <v>-0.2581429999999898</v>
      </c>
      <c r="I476" s="77">
        <v>-0.55575241747511595</v>
      </c>
      <c r="J476" s="78">
        <v>11.879001078795056</v>
      </c>
      <c r="K476" s="79">
        <v>2.4830444229667137</v>
      </c>
    </row>
    <row r="477" spans="1:11" x14ac:dyDescent="0.35">
      <c r="A477" t="s">
        <v>1383</v>
      </c>
      <c r="B477" s="73" t="s">
        <v>37</v>
      </c>
      <c r="C477" s="74" t="s">
        <v>38</v>
      </c>
      <c r="D477" s="75">
        <v>222.13</v>
      </c>
      <c r="E477" s="6" t="s">
        <v>39</v>
      </c>
      <c r="F477" s="76">
        <v>66.281685999999993</v>
      </c>
      <c r="G477" s="76" t="s">
        <v>40</v>
      </c>
      <c r="H477" s="76">
        <f t="shared" si="7"/>
        <v>-0.25968599999998787</v>
      </c>
      <c r="I477" s="77">
        <v>-0.52920246510060698</v>
      </c>
      <c r="J477" s="78">
        <v>11.759354733162297</v>
      </c>
      <c r="K477" s="79">
        <v>2.3633980773339545</v>
      </c>
    </row>
    <row r="478" spans="1:11" x14ac:dyDescent="0.35">
      <c r="A478" t="s">
        <v>1383</v>
      </c>
      <c r="B478" s="73" t="s">
        <v>37</v>
      </c>
      <c r="C478" s="74" t="s">
        <v>38</v>
      </c>
      <c r="D478" s="75">
        <v>222.16</v>
      </c>
      <c r="E478" s="6" t="s">
        <v>39</v>
      </c>
      <c r="F478" s="76">
        <v>66.283229000000006</v>
      </c>
      <c r="G478" s="76" t="s">
        <v>40</v>
      </c>
      <c r="H478" s="76">
        <f t="shared" si="7"/>
        <v>-0.26122900000000016</v>
      </c>
      <c r="I478" s="77">
        <v>-0.54005443076149495</v>
      </c>
      <c r="J478" s="78">
        <v>11.808246177888918</v>
      </c>
      <c r="K478" s="79">
        <v>2.4122895220605756</v>
      </c>
    </row>
    <row r="479" spans="1:11" x14ac:dyDescent="0.35">
      <c r="A479" t="s">
        <v>1383</v>
      </c>
      <c r="B479" s="73" t="s">
        <v>37</v>
      </c>
      <c r="C479" s="74" t="s">
        <v>38</v>
      </c>
      <c r="D479" s="75">
        <v>222.19</v>
      </c>
      <c r="E479" s="6" t="s">
        <v>39</v>
      </c>
      <c r="F479" s="76">
        <v>66.284771000000006</v>
      </c>
      <c r="G479" s="76" t="s">
        <v>40</v>
      </c>
      <c r="H479" s="76">
        <f t="shared" si="7"/>
        <v>-0.26277100000000075</v>
      </c>
      <c r="I479" s="77">
        <v>-0.57904332745155995</v>
      </c>
      <c r="J479" s="78">
        <v>11.984046069099861</v>
      </c>
      <c r="K479" s="79">
        <v>2.5880894132715184</v>
      </c>
    </row>
    <row r="480" spans="1:11" x14ac:dyDescent="0.35">
      <c r="A480" t="s">
        <v>1383</v>
      </c>
      <c r="B480" s="73" t="s">
        <v>37</v>
      </c>
      <c r="C480" s="74" t="s">
        <v>38</v>
      </c>
      <c r="D480" s="75">
        <v>222.22</v>
      </c>
      <c r="E480" s="6" t="s">
        <v>39</v>
      </c>
      <c r="F480" s="76">
        <v>66.286314000000004</v>
      </c>
      <c r="G480" s="76" t="s">
        <v>40</v>
      </c>
      <c r="H480" s="76">
        <f t="shared" si="7"/>
        <v>-0.26431399999999883</v>
      </c>
      <c r="I480" s="77">
        <v>-0.55374118513043002</v>
      </c>
      <c r="J480" s="78">
        <v>11.869933908049177</v>
      </c>
      <c r="K480" s="79">
        <v>2.4739772522208341</v>
      </c>
    </row>
    <row r="481" spans="1:11" x14ac:dyDescent="0.35">
      <c r="A481" t="s">
        <v>1383</v>
      </c>
      <c r="B481" s="73" t="s">
        <v>37</v>
      </c>
      <c r="C481" s="74" t="s">
        <v>38</v>
      </c>
      <c r="D481" s="75">
        <v>222.25</v>
      </c>
      <c r="E481" s="6" t="s">
        <v>39</v>
      </c>
      <c r="F481" s="76">
        <v>66.287857000000002</v>
      </c>
      <c r="G481" s="76" t="s">
        <v>40</v>
      </c>
      <c r="H481" s="76">
        <f t="shared" si="7"/>
        <v>-0.2658569999999969</v>
      </c>
      <c r="I481" s="77">
        <v>-0.54646586314212098</v>
      </c>
      <c r="J481" s="78">
        <v>11.837139789479409</v>
      </c>
      <c r="K481" s="79">
        <v>2.4411831336510659</v>
      </c>
    </row>
    <row r="482" spans="1:11" x14ac:dyDescent="0.35">
      <c r="A482" t="s">
        <v>1383</v>
      </c>
      <c r="B482" s="73" t="s">
        <v>37</v>
      </c>
      <c r="C482" s="74" t="s">
        <v>38</v>
      </c>
      <c r="D482" s="75">
        <v>222.28</v>
      </c>
      <c r="E482" s="6" t="s">
        <v>39</v>
      </c>
      <c r="F482" s="76">
        <v>66.289400000000001</v>
      </c>
      <c r="G482" s="76" t="s">
        <v>40</v>
      </c>
      <c r="H482" s="76">
        <f t="shared" si="7"/>
        <v>-0.26739999999999498</v>
      </c>
      <c r="I482" s="77">
        <v>-0.52563187954097801</v>
      </c>
      <c r="J482" s="78">
        <v>11.743271930450533</v>
      </c>
      <c r="K482" s="79">
        <v>2.3473152746221899</v>
      </c>
    </row>
    <row r="483" spans="1:11" x14ac:dyDescent="0.35">
      <c r="A483" t="s">
        <v>1383</v>
      </c>
      <c r="B483" s="73" t="s">
        <v>37</v>
      </c>
      <c r="C483" s="74" t="s">
        <v>38</v>
      </c>
      <c r="D483" s="75">
        <v>222.31</v>
      </c>
      <c r="E483" s="6" t="s">
        <v>39</v>
      </c>
      <c r="F483" s="76">
        <v>66.290942999999999</v>
      </c>
      <c r="G483" s="76" t="s">
        <v>40</v>
      </c>
      <c r="H483" s="76">
        <f t="shared" si="7"/>
        <v>-0.26894299999999305</v>
      </c>
      <c r="I483" s="77">
        <v>-0.52245324905124702</v>
      </c>
      <c r="J483" s="78">
        <v>11.728956166493788</v>
      </c>
      <c r="K483" s="79">
        <v>2.3329995106654451</v>
      </c>
    </row>
    <row r="484" spans="1:11" x14ac:dyDescent="0.35">
      <c r="A484" t="s">
        <v>1383</v>
      </c>
      <c r="B484" s="73" t="s">
        <v>37</v>
      </c>
      <c r="C484" s="74" t="s">
        <v>38</v>
      </c>
      <c r="D484" s="75">
        <v>222.34</v>
      </c>
      <c r="E484" s="6" t="s">
        <v>39</v>
      </c>
      <c r="F484" s="76">
        <v>66.292485999999997</v>
      </c>
      <c r="G484" s="76" t="s">
        <v>40</v>
      </c>
      <c r="H484" s="76">
        <f t="shared" si="7"/>
        <v>-0.27048599999999112</v>
      </c>
      <c r="I484" s="77">
        <v>-0.44685669944846501</v>
      </c>
      <c r="J484" s="78">
        <v>11.388924912657671</v>
      </c>
      <c r="K484" s="79">
        <v>1.9929682568293288</v>
      </c>
    </row>
    <row r="485" spans="1:11" x14ac:dyDescent="0.35">
      <c r="A485" t="s">
        <v>1383</v>
      </c>
      <c r="B485" s="73" t="s">
        <v>37</v>
      </c>
      <c r="C485" s="74" t="s">
        <v>38</v>
      </c>
      <c r="D485" s="75">
        <v>222.37</v>
      </c>
      <c r="E485" s="6" t="s">
        <v>39</v>
      </c>
      <c r="F485" s="76">
        <v>66.294028999999995</v>
      </c>
      <c r="G485" s="76" t="s">
        <v>40</v>
      </c>
      <c r="H485" s="76">
        <f t="shared" si="7"/>
        <v>-0.2720289999999892</v>
      </c>
      <c r="I485" s="77">
        <v>-0.30960703241168303</v>
      </c>
      <c r="J485" s="78">
        <v>10.773715142386948</v>
      </c>
      <c r="K485" s="79">
        <v>1.377758486558605</v>
      </c>
    </row>
    <row r="486" spans="1:11" x14ac:dyDescent="0.35">
      <c r="A486" t="s">
        <v>1383</v>
      </c>
      <c r="B486" s="73" t="s">
        <v>37</v>
      </c>
      <c r="C486" s="74" t="s">
        <v>38</v>
      </c>
      <c r="D486" s="75">
        <v>222.4</v>
      </c>
      <c r="E486" s="6" t="s">
        <v>39</v>
      </c>
      <c r="F486" s="76">
        <v>66.295570999999995</v>
      </c>
      <c r="G486" s="76" t="s">
        <v>40</v>
      </c>
      <c r="H486" s="76">
        <f t="shared" si="7"/>
        <v>-0.27357099999998979</v>
      </c>
      <c r="I486" s="77">
        <v>-0.57352019520539999</v>
      </c>
      <c r="J486" s="78">
        <v>11.959128810276695</v>
      </c>
      <c r="K486" s="79">
        <v>2.5631721544483526</v>
      </c>
    </row>
    <row r="487" spans="1:11" x14ac:dyDescent="0.35">
      <c r="A487" t="s">
        <v>1383</v>
      </c>
      <c r="B487" s="73" t="s">
        <v>37</v>
      </c>
      <c r="C487" s="74" t="s">
        <v>38</v>
      </c>
      <c r="D487" s="75">
        <v>222.43</v>
      </c>
      <c r="E487" s="6" t="s">
        <v>39</v>
      </c>
      <c r="F487" s="76">
        <v>66.297113999999993</v>
      </c>
      <c r="G487" s="76" t="s">
        <v>40</v>
      </c>
      <c r="H487" s="76">
        <f t="shared" si="7"/>
        <v>-0.27511399999998787</v>
      </c>
      <c r="I487" s="77">
        <v>-0.47576454867638701</v>
      </c>
      <c r="J487" s="78">
        <v>11.518852711941406</v>
      </c>
      <c r="K487" s="79">
        <v>2.1228960561130634</v>
      </c>
    </row>
    <row r="488" spans="1:11" x14ac:dyDescent="0.35">
      <c r="A488" t="s">
        <v>1383</v>
      </c>
      <c r="B488" s="73" t="s">
        <v>37</v>
      </c>
      <c r="C488" s="74" t="s">
        <v>38</v>
      </c>
      <c r="D488" s="75">
        <v>222.46</v>
      </c>
      <c r="E488" s="6" t="s">
        <v>39</v>
      </c>
      <c r="F488" s="76">
        <v>66.298657000000006</v>
      </c>
      <c r="G488" s="76" t="s">
        <v>40</v>
      </c>
      <c r="H488" s="76">
        <f t="shared" si="7"/>
        <v>-0.27665700000000015</v>
      </c>
      <c r="I488" s="77">
        <v>-0.41270894041992801</v>
      </c>
      <c r="J488" s="78">
        <v>11.235603621638802</v>
      </c>
      <c r="K488" s="79">
        <v>1.8396469658104593</v>
      </c>
    </row>
    <row r="489" spans="1:11" x14ac:dyDescent="0.35">
      <c r="A489" t="s">
        <v>1383</v>
      </c>
      <c r="B489" s="73" t="s">
        <v>37</v>
      </c>
      <c r="C489" s="74" t="s">
        <v>38</v>
      </c>
      <c r="D489" s="75">
        <v>222.49</v>
      </c>
      <c r="E489" s="6" t="s">
        <v>39</v>
      </c>
      <c r="F489" s="76">
        <v>66.300200000000004</v>
      </c>
      <c r="G489" s="76" t="s">
        <v>40</v>
      </c>
      <c r="H489" s="76">
        <f t="shared" si="7"/>
        <v>-0.27819999999999823</v>
      </c>
      <c r="I489" s="77">
        <v>-0.36502611852737099</v>
      </c>
      <c r="J489" s="78">
        <v>11.02179573657844</v>
      </c>
      <c r="K489" s="79">
        <v>1.6258390807500973</v>
      </c>
    </row>
    <row r="490" spans="1:11" x14ac:dyDescent="0.35">
      <c r="A490" t="s">
        <v>1383</v>
      </c>
      <c r="B490" s="73" t="s">
        <v>37</v>
      </c>
      <c r="C490" s="74" t="s">
        <v>38</v>
      </c>
      <c r="D490" s="75">
        <v>222.52</v>
      </c>
      <c r="E490" s="6" t="s">
        <v>39</v>
      </c>
      <c r="F490" s="76">
        <v>66.301743000000002</v>
      </c>
      <c r="G490" s="76" t="s">
        <v>40</v>
      </c>
      <c r="H490" s="76">
        <f t="shared" si="7"/>
        <v>-0.2797429999999963</v>
      </c>
      <c r="I490" s="77">
        <v>-0.33294159340505902</v>
      </c>
      <c r="J490" s="78">
        <v>10.878116575708532</v>
      </c>
      <c r="K490" s="79">
        <v>1.4821599198801891</v>
      </c>
    </row>
    <row r="491" spans="1:11" x14ac:dyDescent="0.35">
      <c r="A491" t="s">
        <v>1383</v>
      </c>
      <c r="B491" s="73" t="s">
        <v>37</v>
      </c>
      <c r="C491" s="74" t="s">
        <v>38</v>
      </c>
      <c r="D491" s="75">
        <v>222.55</v>
      </c>
      <c r="E491" s="6" t="s">
        <v>39</v>
      </c>
      <c r="F491" s="76">
        <v>66.303286</v>
      </c>
      <c r="G491" s="76" t="s">
        <v>40</v>
      </c>
      <c r="H491" s="76">
        <f t="shared" si="7"/>
        <v>-0.28128599999999437</v>
      </c>
      <c r="I491" s="77">
        <v>-0.35208564376729801</v>
      </c>
      <c r="J491" s="78">
        <v>10.963828369619932</v>
      </c>
      <c r="K491" s="79">
        <v>1.5678717137915896</v>
      </c>
    </row>
    <row r="492" spans="1:11" x14ac:dyDescent="0.35">
      <c r="A492" t="s">
        <v>1383</v>
      </c>
      <c r="B492" s="73" t="s">
        <v>37</v>
      </c>
      <c r="C492" s="74" t="s">
        <v>38</v>
      </c>
      <c r="D492" s="75">
        <v>222.58</v>
      </c>
      <c r="E492" s="6" t="s">
        <v>39</v>
      </c>
      <c r="F492" s="76">
        <v>66.304828999999998</v>
      </c>
      <c r="G492" s="76" t="s">
        <v>40</v>
      </c>
      <c r="H492" s="76">
        <f t="shared" si="7"/>
        <v>-0.28282899999999245</v>
      </c>
      <c r="I492" s="77">
        <v>-0.47528406422097902</v>
      </c>
      <c r="J492" s="78">
        <v>11.516692149670746</v>
      </c>
      <c r="K492" s="79">
        <v>2.1207354938424032</v>
      </c>
    </row>
    <row r="493" spans="1:11" x14ac:dyDescent="0.35">
      <c r="A493" t="s">
        <v>1383</v>
      </c>
      <c r="B493" s="73" t="s">
        <v>37</v>
      </c>
      <c r="C493" s="74" t="s">
        <v>38</v>
      </c>
      <c r="D493" s="75">
        <v>222.61</v>
      </c>
      <c r="E493" s="6" t="s">
        <v>39</v>
      </c>
      <c r="F493" s="76">
        <v>66.306370999999999</v>
      </c>
      <c r="G493" s="76" t="s">
        <v>40</v>
      </c>
      <c r="H493" s="76">
        <f t="shared" si="7"/>
        <v>-0.28437099999999305</v>
      </c>
      <c r="I493" s="77">
        <v>-0.389601798709306</v>
      </c>
      <c r="J493" s="78">
        <v>11.131950675682219</v>
      </c>
      <c r="K493" s="79">
        <v>1.7359940198538766</v>
      </c>
    </row>
    <row r="494" spans="1:11" x14ac:dyDescent="0.35">
      <c r="A494" t="s">
        <v>1383</v>
      </c>
      <c r="B494" s="73" t="s">
        <v>37</v>
      </c>
      <c r="C494" s="74" t="s">
        <v>38</v>
      </c>
      <c r="D494" s="75">
        <v>222.64</v>
      </c>
      <c r="E494" s="6" t="s">
        <v>39</v>
      </c>
      <c r="F494" s="76">
        <v>66.307913999999997</v>
      </c>
      <c r="G494" s="76" t="s">
        <v>40</v>
      </c>
      <c r="H494" s="76">
        <f t="shared" si="7"/>
        <v>-0.28591399999999112</v>
      </c>
      <c r="I494" s="77">
        <v>-0.37101126187157002</v>
      </c>
      <c r="J494" s="78">
        <v>11.048614677013461</v>
      </c>
      <c r="K494" s="79">
        <v>1.6526580211851183</v>
      </c>
    </row>
    <row r="495" spans="1:11" x14ac:dyDescent="0.35">
      <c r="A495" t="s">
        <v>1383</v>
      </c>
      <c r="B495" s="73" t="s">
        <v>37</v>
      </c>
      <c r="C495" s="74" t="s">
        <v>38</v>
      </c>
      <c r="D495" s="75">
        <v>222.67</v>
      </c>
      <c r="E495" s="6" t="s">
        <v>39</v>
      </c>
      <c r="F495" s="76">
        <v>66.309456999999995</v>
      </c>
      <c r="G495" s="76" t="s">
        <v>40</v>
      </c>
      <c r="H495" s="76">
        <f t="shared" si="7"/>
        <v>-0.28745699999998919</v>
      </c>
      <c r="I495" s="77">
        <v>-0.34174775619387698</v>
      </c>
      <c r="J495" s="78">
        <v>10.917536923718558</v>
      </c>
      <c r="K495" s="79">
        <v>1.5215802678902151</v>
      </c>
    </row>
    <row r="496" spans="1:11" x14ac:dyDescent="0.35">
      <c r="A496" t="s">
        <v>1383</v>
      </c>
      <c r="B496" s="73" t="s">
        <v>37</v>
      </c>
      <c r="C496" s="74" t="s">
        <v>38</v>
      </c>
      <c r="D496" s="75">
        <v>222.7</v>
      </c>
      <c r="E496" s="6" t="s">
        <v>39</v>
      </c>
      <c r="F496" s="76">
        <v>66.311000000000007</v>
      </c>
      <c r="G496" s="76" t="s">
        <v>40</v>
      </c>
      <c r="H496" s="76">
        <f t="shared" si="7"/>
        <v>-0.28900000000000148</v>
      </c>
      <c r="I496" s="77">
        <v>-0.30490234179680298</v>
      </c>
      <c r="J496" s="78">
        <v>10.752675422371226</v>
      </c>
      <c r="K496" s="79">
        <v>1.3567187665428833</v>
      </c>
    </row>
    <row r="497" spans="1:11" x14ac:dyDescent="0.35">
      <c r="A497" t="s">
        <v>1383</v>
      </c>
      <c r="B497" s="73" t="s">
        <v>37</v>
      </c>
      <c r="C497" s="74" t="s">
        <v>38</v>
      </c>
      <c r="D497" s="75">
        <v>222.73</v>
      </c>
      <c r="E497" s="6" t="s">
        <v>39</v>
      </c>
      <c r="F497" s="76">
        <v>66.312827999999996</v>
      </c>
      <c r="G497" s="76" t="s">
        <v>40</v>
      </c>
      <c r="H497" s="76">
        <f t="shared" si="7"/>
        <v>-0.29082799999999054</v>
      </c>
      <c r="I497" s="77">
        <v>-0.35883439153246799</v>
      </c>
      <c r="J497" s="78">
        <v>10.994056606740742</v>
      </c>
      <c r="K497" s="79">
        <v>1.598099950912399</v>
      </c>
    </row>
    <row r="498" spans="1:11" x14ac:dyDescent="0.35">
      <c r="A498" t="s">
        <v>1383</v>
      </c>
      <c r="B498" s="73" t="s">
        <v>37</v>
      </c>
      <c r="C498" s="74" t="s">
        <v>38</v>
      </c>
      <c r="D498" s="75">
        <v>222.76</v>
      </c>
      <c r="E498" s="6" t="s">
        <v>39</v>
      </c>
      <c r="F498" s="76">
        <v>66.314655000000002</v>
      </c>
      <c r="G498" s="76" t="s">
        <v>40</v>
      </c>
      <c r="H498" s="76">
        <f t="shared" si="7"/>
        <v>-0.29265499999999633</v>
      </c>
      <c r="I498" s="77">
        <v>-0.47190711180336298</v>
      </c>
      <c r="J498" s="78">
        <v>11.501508188400408</v>
      </c>
      <c r="K498" s="79">
        <v>2.1055515325720648</v>
      </c>
    </row>
    <row r="499" spans="1:11" x14ac:dyDescent="0.35">
      <c r="A499" t="s">
        <v>1383</v>
      </c>
      <c r="B499" s="73" t="s">
        <v>37</v>
      </c>
      <c r="C499" s="74" t="s">
        <v>38</v>
      </c>
      <c r="D499" s="75">
        <v>222.79</v>
      </c>
      <c r="E499" s="6" t="s">
        <v>39</v>
      </c>
      <c r="F499" s="76">
        <v>66.316483000000005</v>
      </c>
      <c r="G499" s="76" t="s">
        <v>40</v>
      </c>
      <c r="H499" s="76">
        <f t="shared" si="7"/>
        <v>-0.29448299999999961</v>
      </c>
      <c r="I499" s="77">
        <v>-0.24133572474772699</v>
      </c>
      <c r="J499" s="78">
        <v>10.468715940719449</v>
      </c>
      <c r="K499" s="79">
        <v>1.0727592848911058</v>
      </c>
    </row>
    <row r="500" spans="1:11" x14ac:dyDescent="0.35">
      <c r="A500" t="s">
        <v>1383</v>
      </c>
      <c r="B500" s="73" t="s">
        <v>37</v>
      </c>
      <c r="C500" s="74" t="s">
        <v>38</v>
      </c>
      <c r="D500" s="75">
        <v>222.82</v>
      </c>
      <c r="E500" s="6" t="s">
        <v>39</v>
      </c>
      <c r="F500" s="76">
        <v>66.318309999999997</v>
      </c>
      <c r="G500" s="76" t="s">
        <v>40</v>
      </c>
      <c r="H500" s="76">
        <f t="shared" si="7"/>
        <v>-0.29630999999999119</v>
      </c>
      <c r="I500" s="77">
        <v>-0.10934586238131901</v>
      </c>
      <c r="J500" s="78">
        <v>9.8809697109604713</v>
      </c>
      <c r="K500" s="79">
        <v>0.48501305513212856</v>
      </c>
    </row>
    <row r="501" spans="1:11" x14ac:dyDescent="0.35">
      <c r="A501" t="s">
        <v>1383</v>
      </c>
      <c r="B501" s="73" t="s">
        <v>37</v>
      </c>
      <c r="C501" s="74" t="s">
        <v>38</v>
      </c>
      <c r="D501" s="75">
        <v>222.85</v>
      </c>
      <c r="E501" s="6" t="s">
        <v>39</v>
      </c>
      <c r="F501" s="76">
        <v>66.320138</v>
      </c>
      <c r="G501" s="76" t="s">
        <v>40</v>
      </c>
      <c r="H501" s="76">
        <f t="shared" si="7"/>
        <v>-0.29813799999999446</v>
      </c>
      <c r="I501" s="77">
        <v>-0.24548398068934399</v>
      </c>
      <c r="J501" s="78">
        <v>10.48722880689138</v>
      </c>
      <c r="K501" s="79">
        <v>1.0912721510630377</v>
      </c>
    </row>
    <row r="502" spans="1:11" x14ac:dyDescent="0.35">
      <c r="A502" t="s">
        <v>1383</v>
      </c>
      <c r="B502" s="73" t="s">
        <v>37</v>
      </c>
      <c r="C502" s="74" t="s">
        <v>38</v>
      </c>
      <c r="D502" s="75">
        <v>222.88</v>
      </c>
      <c r="E502" s="6" t="s">
        <v>39</v>
      </c>
      <c r="F502" s="76">
        <v>66.321966000000003</v>
      </c>
      <c r="G502" s="76" t="s">
        <v>40</v>
      </c>
      <c r="H502" s="76">
        <f t="shared" si="7"/>
        <v>-0.29996599999999773</v>
      </c>
      <c r="I502" s="77">
        <v>2.34561267760647E-3</v>
      </c>
      <c r="J502" s="78">
        <v>9.3855712781634679</v>
      </c>
      <c r="K502" s="79">
        <v>-1.0385377664874795E-2</v>
      </c>
    </row>
    <row r="503" spans="1:11" x14ac:dyDescent="0.35">
      <c r="A503" t="s">
        <v>1383</v>
      </c>
      <c r="B503" s="73" t="s">
        <v>37</v>
      </c>
      <c r="C503" s="74" t="s">
        <v>38</v>
      </c>
      <c r="D503" s="75">
        <v>222.91</v>
      </c>
      <c r="E503" s="6" t="s">
        <v>39</v>
      </c>
      <c r="F503" s="76">
        <v>66.323792999999995</v>
      </c>
      <c r="G503" s="76" t="s">
        <v>40</v>
      </c>
      <c r="H503" s="76">
        <f t="shared" si="7"/>
        <v>-0.30179299999998932</v>
      </c>
      <c r="I503" s="77">
        <v>-0.20036792525834499</v>
      </c>
      <c r="J503" s="78">
        <v>10.286018374964215</v>
      </c>
      <c r="K503" s="79">
        <v>0.89006171913587195</v>
      </c>
    </row>
    <row r="504" spans="1:11" x14ac:dyDescent="0.35">
      <c r="A504" t="s">
        <v>1383</v>
      </c>
      <c r="B504" s="73" t="s">
        <v>37</v>
      </c>
      <c r="C504" s="74" t="s">
        <v>38</v>
      </c>
      <c r="D504" s="75">
        <v>222.94</v>
      </c>
      <c r="E504" s="6" t="s">
        <v>39</v>
      </c>
      <c r="F504" s="76">
        <v>66.325620999999998</v>
      </c>
      <c r="G504" s="76" t="s">
        <v>40</v>
      </c>
      <c r="H504" s="76">
        <f t="shared" si="7"/>
        <v>-0.30362099999999259</v>
      </c>
      <c r="I504" s="77">
        <v>-0.33415733342473503</v>
      </c>
      <c r="J504" s="78">
        <v>10.883558103573534</v>
      </c>
      <c r="K504" s="79">
        <v>1.4876014477451918</v>
      </c>
    </row>
    <row r="505" spans="1:11" x14ac:dyDescent="0.35">
      <c r="A505" t="s">
        <v>1383</v>
      </c>
      <c r="B505" s="73" t="s">
        <v>37</v>
      </c>
      <c r="C505" s="74" t="s">
        <v>38</v>
      </c>
      <c r="D505" s="75">
        <v>222.97</v>
      </c>
      <c r="E505" s="6" t="s">
        <v>39</v>
      </c>
      <c r="F505" s="76">
        <v>66.327448000000004</v>
      </c>
      <c r="G505" s="76" t="s">
        <v>40</v>
      </c>
      <c r="H505" s="76">
        <f t="shared" si="7"/>
        <v>-0.30544799999999839</v>
      </c>
      <c r="I505" s="77">
        <v>-0.26765531693689398</v>
      </c>
      <c r="J505" s="78">
        <v>10.586217500160387</v>
      </c>
      <c r="K505" s="79">
        <v>1.1902608443320446</v>
      </c>
    </row>
    <row r="506" spans="1:11" x14ac:dyDescent="0.35">
      <c r="A506" t="s">
        <v>1383</v>
      </c>
      <c r="B506" s="73" t="s">
        <v>37</v>
      </c>
      <c r="C506" s="74" t="s">
        <v>38</v>
      </c>
      <c r="D506" s="75">
        <v>223</v>
      </c>
      <c r="E506" s="6" t="s">
        <v>39</v>
      </c>
      <c r="F506" s="76">
        <v>66.329275999999993</v>
      </c>
      <c r="G506" s="76" t="s">
        <v>40</v>
      </c>
      <c r="H506" s="76">
        <f t="shared" si="7"/>
        <v>-0.30727599999998745</v>
      </c>
      <c r="I506" s="77">
        <v>-0.42440957144233299</v>
      </c>
      <c r="J506" s="78">
        <v>11.288119517645782</v>
      </c>
      <c r="K506" s="79">
        <v>1.8921628618174395</v>
      </c>
    </row>
    <row r="507" spans="1:11" x14ac:dyDescent="0.35">
      <c r="A507" t="s">
        <v>1383</v>
      </c>
      <c r="B507" s="73" t="s">
        <v>37</v>
      </c>
      <c r="C507" s="74" t="s">
        <v>38</v>
      </c>
      <c r="D507" s="75">
        <v>223.03</v>
      </c>
      <c r="E507" s="6" t="s">
        <v>39</v>
      </c>
      <c r="F507" s="76">
        <v>66.331102999999999</v>
      </c>
      <c r="G507" s="76" t="s">
        <v>40</v>
      </c>
      <c r="H507" s="76">
        <f t="shared" si="7"/>
        <v>-0.30910299999999324</v>
      </c>
      <c r="I507" s="77">
        <v>-0.246974376983708</v>
      </c>
      <c r="J507" s="78">
        <v>10.493880767010239</v>
      </c>
      <c r="K507" s="79">
        <v>1.0979241111818965</v>
      </c>
    </row>
    <row r="508" spans="1:11" x14ac:dyDescent="0.35">
      <c r="A508" t="s">
        <v>1383</v>
      </c>
      <c r="B508" s="73" t="s">
        <v>37</v>
      </c>
      <c r="C508" s="74" t="s">
        <v>38</v>
      </c>
      <c r="D508" s="75">
        <v>223.06</v>
      </c>
      <c r="E508" s="6" t="s">
        <v>39</v>
      </c>
      <c r="F508" s="76">
        <v>66.332931000000002</v>
      </c>
      <c r="G508" s="76" t="s">
        <v>40</v>
      </c>
      <c r="H508" s="76">
        <f t="shared" si="7"/>
        <v>-0.31093099999999652</v>
      </c>
      <c r="I508" s="77">
        <v>-0.314882765523469</v>
      </c>
      <c r="J508" s="78">
        <v>10.797312433461798</v>
      </c>
      <c r="K508" s="79">
        <v>1.4013557776334551</v>
      </c>
    </row>
    <row r="509" spans="1:11" x14ac:dyDescent="0.35">
      <c r="A509" t="s">
        <v>1383</v>
      </c>
      <c r="B509" s="73" t="s">
        <v>37</v>
      </c>
      <c r="C509" s="74" t="s">
        <v>38</v>
      </c>
      <c r="D509" s="75">
        <v>223.09</v>
      </c>
      <c r="E509" s="6" t="s">
        <v>39</v>
      </c>
      <c r="F509" s="76">
        <v>66.334759000000005</v>
      </c>
      <c r="G509" s="76" t="s">
        <v>40</v>
      </c>
      <c r="H509" s="76">
        <f t="shared" si="7"/>
        <v>-0.31275899999999979</v>
      </c>
      <c r="I509" s="77">
        <v>-3.1933896371822097E-2</v>
      </c>
      <c r="J509" s="78">
        <v>9.5374248160787261</v>
      </c>
      <c r="K509" s="79">
        <v>0.14146816025038333</v>
      </c>
    </row>
    <row r="510" spans="1:11" x14ac:dyDescent="0.35">
      <c r="A510" t="s">
        <v>1383</v>
      </c>
      <c r="B510" s="73" t="s">
        <v>37</v>
      </c>
      <c r="C510" s="74" t="s">
        <v>38</v>
      </c>
      <c r="D510" s="75">
        <v>223.12</v>
      </c>
      <c r="E510" s="6" t="s">
        <v>39</v>
      </c>
      <c r="F510" s="76">
        <v>66.336585999999997</v>
      </c>
      <c r="G510" s="76" t="s">
        <v>40</v>
      </c>
      <c r="H510" s="76">
        <f t="shared" si="7"/>
        <v>-0.31458599999999137</v>
      </c>
      <c r="I510" s="77">
        <v>-0.114101635581771</v>
      </c>
      <c r="J510" s="78">
        <v>9.902103349638935</v>
      </c>
      <c r="K510" s="79">
        <v>0.5061466938105923</v>
      </c>
    </row>
    <row r="511" spans="1:11" x14ac:dyDescent="0.35">
      <c r="A511" t="s">
        <v>1383</v>
      </c>
      <c r="B511" s="73" t="s">
        <v>37</v>
      </c>
      <c r="C511" s="74" t="s">
        <v>38</v>
      </c>
      <c r="D511" s="75">
        <v>223.15</v>
      </c>
      <c r="E511" s="6" t="s">
        <v>39</v>
      </c>
      <c r="F511" s="76">
        <v>66.338414</v>
      </c>
      <c r="G511" s="76" t="s">
        <v>40</v>
      </c>
      <c r="H511" s="76">
        <f t="shared" si="7"/>
        <v>-0.31641399999999464</v>
      </c>
      <c r="I511" s="77">
        <v>-0.15753982575841399</v>
      </c>
      <c r="J511" s="78">
        <v>10.095284194155568</v>
      </c>
      <c r="K511" s="79">
        <v>0.69932753832722483</v>
      </c>
    </row>
    <row r="512" spans="1:11" x14ac:dyDescent="0.35">
      <c r="A512" t="s">
        <v>1383</v>
      </c>
      <c r="B512" s="73" t="s">
        <v>37</v>
      </c>
      <c r="C512" s="74" t="s">
        <v>38</v>
      </c>
      <c r="D512" s="75">
        <v>223.18</v>
      </c>
      <c r="E512" s="6" t="s">
        <v>39</v>
      </c>
      <c r="F512" s="76">
        <v>66.340241000000006</v>
      </c>
      <c r="G512" s="76" t="s">
        <v>40</v>
      </c>
      <c r="H512" s="76">
        <f t="shared" si="7"/>
        <v>-0.31824100000000044</v>
      </c>
      <c r="I512" s="77">
        <v>-0.17877360777592799</v>
      </c>
      <c r="J512" s="78">
        <v>10.189815347824037</v>
      </c>
      <c r="K512" s="79">
        <v>0.7938586919956947</v>
      </c>
    </row>
    <row r="513" spans="1:11" x14ac:dyDescent="0.35">
      <c r="A513" t="s">
        <v>1383</v>
      </c>
      <c r="B513" s="73" t="s">
        <v>37</v>
      </c>
      <c r="C513" s="74" t="s">
        <v>38</v>
      </c>
      <c r="D513" s="75">
        <v>223.21</v>
      </c>
      <c r="E513" s="6" t="s">
        <v>39</v>
      </c>
      <c r="F513" s="76">
        <v>66.342068999999995</v>
      </c>
      <c r="G513" s="76" t="s">
        <v>40</v>
      </c>
      <c r="H513" s="76">
        <f t="shared" si="7"/>
        <v>-0.3200689999999895</v>
      </c>
      <c r="I513" s="77">
        <v>-0.12132465268522501</v>
      </c>
      <c r="J513" s="78">
        <v>9.9342071221652759</v>
      </c>
      <c r="K513" s="79">
        <v>0.53825046633693319</v>
      </c>
    </row>
    <row r="514" spans="1:11" x14ac:dyDescent="0.35">
      <c r="A514" t="s">
        <v>1383</v>
      </c>
      <c r="B514" s="73" t="s">
        <v>37</v>
      </c>
      <c r="C514" s="74" t="s">
        <v>38</v>
      </c>
      <c r="D514" s="75">
        <v>223.54</v>
      </c>
      <c r="E514" s="6" t="s">
        <v>39</v>
      </c>
      <c r="F514" s="76">
        <v>66.362172000000001</v>
      </c>
      <c r="G514" s="76" t="s">
        <v>40</v>
      </c>
      <c r="H514" s="76">
        <f t="shared" ref="H514:H577" si="8">66.022-F514</f>
        <v>-0.34017199999999548</v>
      </c>
      <c r="I514" s="77">
        <v>-0.48520952998595801</v>
      </c>
      <c r="J514" s="78">
        <v>11.561330197469033</v>
      </c>
      <c r="K514" s="79">
        <v>2.1653735416406903</v>
      </c>
    </row>
    <row r="515" spans="1:11" x14ac:dyDescent="0.35">
      <c r="A515" t="s">
        <v>1383</v>
      </c>
      <c r="B515" s="73" t="s">
        <v>37</v>
      </c>
      <c r="C515" s="74" t="s">
        <v>38</v>
      </c>
      <c r="D515" s="75">
        <v>223.57</v>
      </c>
      <c r="E515" s="6" t="s">
        <v>39</v>
      </c>
      <c r="F515" s="76">
        <v>66.364000000000004</v>
      </c>
      <c r="G515" s="76" t="s">
        <v>40</v>
      </c>
      <c r="H515" s="76">
        <f t="shared" si="8"/>
        <v>-0.34199999999999875</v>
      </c>
      <c r="I515" s="77">
        <v>-5.99090704428464E-2</v>
      </c>
      <c r="J515" s="78">
        <v>9.6614758912039065</v>
      </c>
      <c r="K515" s="79">
        <v>0.26551923537556377</v>
      </c>
    </row>
    <row r="516" spans="1:11" x14ac:dyDescent="0.35">
      <c r="A516" t="s">
        <v>1383</v>
      </c>
      <c r="B516" s="73" t="s">
        <v>37</v>
      </c>
      <c r="C516" s="74" t="s">
        <v>38</v>
      </c>
      <c r="D516" s="75">
        <v>223.6</v>
      </c>
      <c r="E516" s="6" t="s">
        <v>39</v>
      </c>
      <c r="F516" s="76">
        <v>66.365827999999993</v>
      </c>
      <c r="G516" s="76" t="s">
        <v>40</v>
      </c>
      <c r="H516" s="76">
        <f t="shared" si="8"/>
        <v>-0.34382799999998781</v>
      </c>
      <c r="I516" s="77">
        <v>-0.26109014314784401</v>
      </c>
      <c r="J516" s="78">
        <v>10.556898442891054</v>
      </c>
      <c r="K516" s="79">
        <v>1.1609417870627112</v>
      </c>
    </row>
    <row r="517" spans="1:11" x14ac:dyDescent="0.35">
      <c r="A517" t="s">
        <v>1383</v>
      </c>
      <c r="B517" s="73" t="s">
        <v>37</v>
      </c>
      <c r="C517" s="74" t="s">
        <v>38</v>
      </c>
      <c r="D517" s="75">
        <v>223.63</v>
      </c>
      <c r="E517" s="6" t="s">
        <v>39</v>
      </c>
      <c r="F517" s="76">
        <v>66.367654999999999</v>
      </c>
      <c r="G517" s="76" t="s">
        <v>40</v>
      </c>
      <c r="H517" s="76">
        <f t="shared" si="8"/>
        <v>-0.34565499999999361</v>
      </c>
      <c r="I517" s="77">
        <v>-6.4726847906568602E-2</v>
      </c>
      <c r="J517" s="78">
        <v>9.682850833625082</v>
      </c>
      <c r="K517" s="79">
        <v>0.28689417779673931</v>
      </c>
    </row>
    <row r="518" spans="1:11" x14ac:dyDescent="0.35">
      <c r="A518" t="s">
        <v>1383</v>
      </c>
      <c r="B518" s="73" t="s">
        <v>37</v>
      </c>
      <c r="C518" s="74" t="s">
        <v>38</v>
      </c>
      <c r="D518" s="75">
        <v>223.66</v>
      </c>
      <c r="E518" s="6" t="s">
        <v>39</v>
      </c>
      <c r="F518" s="76">
        <v>66.369483000000002</v>
      </c>
      <c r="G518" s="76" t="s">
        <v>40</v>
      </c>
      <c r="H518" s="76">
        <f t="shared" si="8"/>
        <v>-0.34748299999999688</v>
      </c>
      <c r="I518" s="77">
        <v>-4.9483991762965501E-2</v>
      </c>
      <c r="J518" s="78">
        <v>9.6152345512145416</v>
      </c>
      <c r="K518" s="79">
        <v>0.21927789538619891</v>
      </c>
    </row>
    <row r="519" spans="1:11" x14ac:dyDescent="0.35">
      <c r="A519" t="s">
        <v>1383</v>
      </c>
      <c r="B519" s="73" t="s">
        <v>37</v>
      </c>
      <c r="C519" s="74" t="s">
        <v>38</v>
      </c>
      <c r="D519" s="75">
        <v>223.69</v>
      </c>
      <c r="E519" s="6" t="s">
        <v>39</v>
      </c>
      <c r="F519" s="76">
        <v>66.371309999999994</v>
      </c>
      <c r="G519" s="76" t="s">
        <v>40</v>
      </c>
      <c r="H519" s="76">
        <f t="shared" si="8"/>
        <v>-0.34930999999998846</v>
      </c>
      <c r="I519" s="77">
        <v>-0.26499752495158402</v>
      </c>
      <c r="J519" s="78">
        <v>10.574347456375961</v>
      </c>
      <c r="K519" s="79">
        <v>1.1783908005476178</v>
      </c>
    </row>
    <row r="520" spans="1:11" x14ac:dyDescent="0.35">
      <c r="A520" t="s">
        <v>1383</v>
      </c>
      <c r="B520" s="73" t="s">
        <v>37</v>
      </c>
      <c r="C520" s="74" t="s">
        <v>38</v>
      </c>
      <c r="D520" s="75">
        <v>223.72</v>
      </c>
      <c r="E520" s="6" t="s">
        <v>39</v>
      </c>
      <c r="F520" s="76">
        <v>66.373137999999997</v>
      </c>
      <c r="G520" s="76" t="s">
        <v>40</v>
      </c>
      <c r="H520" s="76">
        <f t="shared" si="8"/>
        <v>-0.35113799999999173</v>
      </c>
      <c r="I520" s="77">
        <v>-3.9564638155057799E-2</v>
      </c>
      <c r="J520" s="78">
        <v>9.5712508827264742</v>
      </c>
      <c r="K520" s="79">
        <v>0.17529422689813146</v>
      </c>
    </row>
    <row r="521" spans="1:11" x14ac:dyDescent="0.35">
      <c r="A521" t="s">
        <v>1383</v>
      </c>
      <c r="B521" s="73" t="s">
        <v>37</v>
      </c>
      <c r="C521" s="74" t="s">
        <v>38</v>
      </c>
      <c r="D521" s="75">
        <v>223.75</v>
      </c>
      <c r="E521" s="6" t="s">
        <v>39</v>
      </c>
      <c r="F521" s="76">
        <v>66.374966000000001</v>
      </c>
      <c r="G521" s="76" t="s">
        <v>40</v>
      </c>
      <c r="H521" s="76">
        <f t="shared" si="8"/>
        <v>-0.35296599999999501</v>
      </c>
      <c r="I521" s="77">
        <v>-0.10938802348507901</v>
      </c>
      <c r="J521" s="78">
        <v>9.8811570515805442</v>
      </c>
      <c r="K521" s="79">
        <v>0.48520039575220153</v>
      </c>
    </row>
    <row r="522" spans="1:11" x14ac:dyDescent="0.35">
      <c r="A522" t="s">
        <v>1383</v>
      </c>
      <c r="B522" s="73" t="s">
        <v>37</v>
      </c>
      <c r="C522" s="74" t="s">
        <v>38</v>
      </c>
      <c r="D522" s="75">
        <v>223.78</v>
      </c>
      <c r="E522" s="6" t="s">
        <v>39</v>
      </c>
      <c r="F522" s="76">
        <v>66.376793000000006</v>
      </c>
      <c r="G522" s="76" t="s">
        <v>40</v>
      </c>
      <c r="H522" s="76">
        <f t="shared" si="8"/>
        <v>-0.3547930000000008</v>
      </c>
      <c r="I522" s="77">
        <v>-0.128848548789923</v>
      </c>
      <c r="J522" s="78">
        <v>9.9676561874848062</v>
      </c>
      <c r="K522" s="79">
        <v>0.57169953165646348</v>
      </c>
    </row>
    <row r="523" spans="1:11" x14ac:dyDescent="0.35">
      <c r="A523" t="s">
        <v>1383</v>
      </c>
      <c r="B523" s="73" t="s">
        <v>37</v>
      </c>
      <c r="C523" s="74" t="s">
        <v>38</v>
      </c>
      <c r="D523" s="75">
        <v>223.81</v>
      </c>
      <c r="E523" s="6" t="s">
        <v>39</v>
      </c>
      <c r="F523" s="76">
        <v>66.378620999999995</v>
      </c>
      <c r="G523" s="76" t="s">
        <v>40</v>
      </c>
      <c r="H523" s="76">
        <f t="shared" si="8"/>
        <v>-0.35662099999998986</v>
      </c>
      <c r="I523" s="77">
        <v>-0.18824882618571001</v>
      </c>
      <c r="J523" s="78">
        <v>10.232019298341982</v>
      </c>
      <c r="K523" s="79">
        <v>0.83606264251363882</v>
      </c>
    </row>
    <row r="524" spans="1:11" x14ac:dyDescent="0.35">
      <c r="A524" t="s">
        <v>1383</v>
      </c>
      <c r="B524" s="73" t="s">
        <v>37</v>
      </c>
      <c r="C524" s="74" t="s">
        <v>38</v>
      </c>
      <c r="D524" s="75">
        <v>223.84</v>
      </c>
      <c r="E524" s="6" t="s">
        <v>39</v>
      </c>
      <c r="F524" s="76">
        <v>66.380448000000001</v>
      </c>
      <c r="G524" s="76" t="s">
        <v>40</v>
      </c>
      <c r="H524" s="76">
        <f t="shared" si="8"/>
        <v>-0.35844799999999566</v>
      </c>
      <c r="I524" s="77">
        <v>-0.19196172598126299</v>
      </c>
      <c r="J524" s="78">
        <v>10.248560612200833</v>
      </c>
      <c r="K524" s="79">
        <v>0.85260395637249076</v>
      </c>
    </row>
    <row r="525" spans="1:11" x14ac:dyDescent="0.35">
      <c r="A525" t="s">
        <v>1383</v>
      </c>
      <c r="B525" s="73" t="s">
        <v>37</v>
      </c>
      <c r="C525" s="74" t="s">
        <v>38</v>
      </c>
      <c r="D525" s="75">
        <v>223.87</v>
      </c>
      <c r="E525" s="6" t="s">
        <v>39</v>
      </c>
      <c r="F525" s="76">
        <v>66.382276000000005</v>
      </c>
      <c r="G525" s="76" t="s">
        <v>40</v>
      </c>
      <c r="H525" s="76">
        <f t="shared" si="8"/>
        <v>-0.36027599999999893</v>
      </c>
      <c r="I525" s="77">
        <v>-0.22371188116268501</v>
      </c>
      <c r="J525" s="78">
        <v>10.390091917905124</v>
      </c>
      <c r="K525" s="79">
        <v>0.9941352620767816</v>
      </c>
    </row>
    <row r="526" spans="1:11" x14ac:dyDescent="0.35">
      <c r="A526" t="s">
        <v>1383</v>
      </c>
      <c r="B526" s="73" t="s">
        <v>37</v>
      </c>
      <c r="C526" s="74" t="s">
        <v>38</v>
      </c>
      <c r="D526" s="75">
        <v>223.9</v>
      </c>
      <c r="E526" s="6" t="s">
        <v>39</v>
      </c>
      <c r="F526" s="76">
        <v>66.384102999999996</v>
      </c>
      <c r="G526" s="76" t="s">
        <v>40</v>
      </c>
      <c r="H526" s="76">
        <f t="shared" si="8"/>
        <v>-0.36210299999999052</v>
      </c>
      <c r="I526" s="77">
        <v>-0.33956960152381099</v>
      </c>
      <c r="J526" s="78">
        <v>10.907785472268813</v>
      </c>
      <c r="K526" s="79">
        <v>1.5118288164404703</v>
      </c>
    </row>
    <row r="527" spans="1:11" x14ac:dyDescent="0.35">
      <c r="A527" t="s">
        <v>1383</v>
      </c>
      <c r="B527" s="73" t="s">
        <v>37</v>
      </c>
      <c r="C527" s="74" t="s">
        <v>38</v>
      </c>
      <c r="D527" s="75">
        <v>223.93</v>
      </c>
      <c r="E527" s="6" t="s">
        <v>39</v>
      </c>
      <c r="F527" s="76">
        <v>66.385930999999999</v>
      </c>
      <c r="G527" s="76" t="s">
        <v>40</v>
      </c>
      <c r="H527" s="76">
        <f t="shared" si="8"/>
        <v>-0.36393099999999379</v>
      </c>
      <c r="I527" s="77">
        <v>-0.36322482829012998</v>
      </c>
      <c r="J527" s="78">
        <v>11.01372532387262</v>
      </c>
      <c r="K527" s="79">
        <v>1.6177686680442775</v>
      </c>
    </row>
    <row r="528" spans="1:11" x14ac:dyDescent="0.35">
      <c r="A528" t="s">
        <v>1383</v>
      </c>
      <c r="B528" s="73" t="s">
        <v>37</v>
      </c>
      <c r="C528" s="74" t="s">
        <v>38</v>
      </c>
      <c r="D528" s="75">
        <v>223.96</v>
      </c>
      <c r="E528" s="6" t="s">
        <v>39</v>
      </c>
      <c r="F528" s="76">
        <v>66.387759000000003</v>
      </c>
      <c r="G528" s="76" t="s">
        <v>40</v>
      </c>
      <c r="H528" s="76">
        <f t="shared" si="8"/>
        <v>-0.36575899999999706</v>
      </c>
      <c r="I528" s="77">
        <v>-0.41961579497773999</v>
      </c>
      <c r="J528" s="78">
        <v>11.266601210131398</v>
      </c>
      <c r="K528" s="79">
        <v>1.8706445543030554</v>
      </c>
    </row>
    <row r="529" spans="1:11" x14ac:dyDescent="0.35">
      <c r="A529" t="s">
        <v>1383</v>
      </c>
      <c r="B529" s="73" t="s">
        <v>37</v>
      </c>
      <c r="C529" s="74" t="s">
        <v>38</v>
      </c>
      <c r="D529" s="75">
        <v>223.99</v>
      </c>
      <c r="E529" s="6" t="s">
        <v>39</v>
      </c>
      <c r="F529" s="76">
        <v>66.389585999999994</v>
      </c>
      <c r="G529" s="76" t="s">
        <v>40</v>
      </c>
      <c r="H529" s="76">
        <f t="shared" si="8"/>
        <v>-0.36758599999998864</v>
      </c>
      <c r="I529" s="77">
        <v>-0.37500067673286203</v>
      </c>
      <c r="J529" s="78">
        <v>11.066493821468043</v>
      </c>
      <c r="K529" s="79">
        <v>1.6705371656397006</v>
      </c>
    </row>
    <row r="530" spans="1:11" x14ac:dyDescent="0.35">
      <c r="A530" t="s">
        <v>1383</v>
      </c>
      <c r="B530" s="73" t="s">
        <v>37</v>
      </c>
      <c r="C530" s="74" t="s">
        <v>38</v>
      </c>
      <c r="D530" s="75">
        <v>224.02</v>
      </c>
      <c r="E530" s="6" t="s">
        <v>39</v>
      </c>
      <c r="F530" s="76">
        <v>66.391413999999997</v>
      </c>
      <c r="G530" s="76" t="s">
        <v>40</v>
      </c>
      <c r="H530" s="76">
        <f t="shared" si="8"/>
        <v>-0.36941399999999192</v>
      </c>
      <c r="I530" s="77">
        <v>-0.39315730323824699</v>
      </c>
      <c r="J530" s="78">
        <v>11.147894718323357</v>
      </c>
      <c r="K530" s="79">
        <v>1.7519380624950145</v>
      </c>
    </row>
    <row r="531" spans="1:11" x14ac:dyDescent="0.35">
      <c r="A531" t="s">
        <v>1383</v>
      </c>
      <c r="B531" s="73" t="s">
        <v>37</v>
      </c>
      <c r="C531" s="74" t="s">
        <v>38</v>
      </c>
      <c r="D531" s="75">
        <v>224.05</v>
      </c>
      <c r="E531" s="6" t="s">
        <v>39</v>
      </c>
      <c r="F531" s="76">
        <v>66.393241000000003</v>
      </c>
      <c r="G531" s="76" t="s">
        <v>40</v>
      </c>
      <c r="H531" s="76">
        <f t="shared" si="8"/>
        <v>-0.37124099999999771</v>
      </c>
      <c r="I531" s="77">
        <v>-0.38658840824324398</v>
      </c>
      <c r="J531" s="78">
        <v>11.118439093874883</v>
      </c>
      <c r="K531" s="79">
        <v>1.7224824380465407</v>
      </c>
    </row>
    <row r="532" spans="1:11" x14ac:dyDescent="0.35">
      <c r="A532" t="s">
        <v>1383</v>
      </c>
      <c r="B532" s="73" t="s">
        <v>37</v>
      </c>
      <c r="C532" s="74" t="s">
        <v>38</v>
      </c>
      <c r="D532" s="75">
        <v>224.08</v>
      </c>
      <c r="E532" s="6" t="s">
        <v>39</v>
      </c>
      <c r="F532" s="76">
        <v>66.395069000000007</v>
      </c>
      <c r="G532" s="76" t="s">
        <v>40</v>
      </c>
      <c r="H532" s="76">
        <f t="shared" si="8"/>
        <v>-0.37306900000000098</v>
      </c>
      <c r="I532" s="77">
        <v>-0.28404978980968698</v>
      </c>
      <c r="J532" s="78">
        <v>10.659460005388496</v>
      </c>
      <c r="K532" s="79">
        <v>1.2635033495601533</v>
      </c>
    </row>
    <row r="533" spans="1:11" x14ac:dyDescent="0.35">
      <c r="A533" t="s">
        <v>1383</v>
      </c>
      <c r="B533" s="73" t="s">
        <v>37</v>
      </c>
      <c r="C533" s="74" t="s">
        <v>38</v>
      </c>
      <c r="D533" s="75">
        <v>224.11</v>
      </c>
      <c r="E533" s="6" t="s">
        <v>39</v>
      </c>
      <c r="F533" s="76">
        <v>66.396896999999996</v>
      </c>
      <c r="G533" s="76" t="s">
        <v>40</v>
      </c>
      <c r="H533" s="76">
        <f t="shared" si="8"/>
        <v>-0.37489699999999004</v>
      </c>
      <c r="I533" s="77">
        <v>-9.3690058699762005E-2</v>
      </c>
      <c r="J533" s="78">
        <v>9.8114216671306167</v>
      </c>
      <c r="K533" s="79">
        <v>0.41546501130227398</v>
      </c>
    </row>
    <row r="534" spans="1:11" x14ac:dyDescent="0.35">
      <c r="A534" t="s">
        <v>1383</v>
      </c>
      <c r="B534" s="73" t="s">
        <v>37</v>
      </c>
      <c r="C534" s="74" t="s">
        <v>38</v>
      </c>
      <c r="D534" s="75">
        <v>224.14</v>
      </c>
      <c r="E534" s="6" t="s">
        <v>39</v>
      </c>
      <c r="F534" s="76">
        <v>66.398724000000001</v>
      </c>
      <c r="G534" s="76" t="s">
        <v>40</v>
      </c>
      <c r="H534" s="76">
        <f t="shared" si="8"/>
        <v>-0.37672399999999584</v>
      </c>
      <c r="I534" s="77">
        <v>-0.50499341928904895</v>
      </c>
      <c r="J534" s="78">
        <v>11.650347880375421</v>
      </c>
      <c r="K534" s="79">
        <v>2.2543912245470779</v>
      </c>
    </row>
    <row r="535" spans="1:11" x14ac:dyDescent="0.35">
      <c r="A535" t="s">
        <v>1383</v>
      </c>
      <c r="B535" s="73" t="s">
        <v>37</v>
      </c>
      <c r="C535" s="74" t="s">
        <v>38</v>
      </c>
      <c r="D535" s="75">
        <v>224.17</v>
      </c>
      <c r="E535" s="6" t="s">
        <v>39</v>
      </c>
      <c r="F535" s="76">
        <v>66.400552000000005</v>
      </c>
      <c r="G535" s="76" t="s">
        <v>40</v>
      </c>
      <c r="H535" s="76">
        <f t="shared" si="8"/>
        <v>-0.37855199999999911</v>
      </c>
      <c r="I535" s="77">
        <v>-0.16862679997937799</v>
      </c>
      <c r="J535" s="78">
        <v>10.144634424035132</v>
      </c>
      <c r="K535" s="79">
        <v>0.74867776820678955</v>
      </c>
    </row>
    <row r="536" spans="1:11" x14ac:dyDescent="0.35">
      <c r="A536" t="s">
        <v>1383</v>
      </c>
      <c r="B536" s="73" t="s">
        <v>37</v>
      </c>
      <c r="C536" s="74" t="s">
        <v>38</v>
      </c>
      <c r="D536" s="75">
        <v>224.2</v>
      </c>
      <c r="E536" s="6" t="s">
        <v>39</v>
      </c>
      <c r="F536" s="76">
        <v>66.402378999999996</v>
      </c>
      <c r="G536" s="76" t="s">
        <v>40</v>
      </c>
      <c r="H536" s="76">
        <f t="shared" si="8"/>
        <v>-0.3803789999999907</v>
      </c>
      <c r="I536" s="77">
        <v>-0.36176766285290701</v>
      </c>
      <c r="J536" s="78">
        <v>11.007197057128394</v>
      </c>
      <c r="K536" s="79">
        <v>1.6112404013000514</v>
      </c>
    </row>
    <row r="537" spans="1:11" x14ac:dyDescent="0.35">
      <c r="A537" t="s">
        <v>1383</v>
      </c>
      <c r="B537" s="73" t="s">
        <v>37</v>
      </c>
      <c r="C537" s="74" t="s">
        <v>38</v>
      </c>
      <c r="D537" s="75">
        <v>224.23</v>
      </c>
      <c r="E537" s="6" t="s">
        <v>39</v>
      </c>
      <c r="F537" s="76">
        <v>66.404207</v>
      </c>
      <c r="G537" s="76" t="s">
        <v>40</v>
      </c>
      <c r="H537" s="76">
        <f t="shared" si="8"/>
        <v>-0.38220699999999397</v>
      </c>
      <c r="I537" s="77">
        <v>-0.265192685823882</v>
      </c>
      <c r="J537" s="78">
        <v>10.575219035289706</v>
      </c>
      <c r="K537" s="79">
        <v>1.1792623794613633</v>
      </c>
    </row>
    <row r="538" spans="1:11" x14ac:dyDescent="0.35">
      <c r="A538" t="s">
        <v>1383</v>
      </c>
      <c r="B538" s="73" t="s">
        <v>37</v>
      </c>
      <c r="C538" s="74" t="s">
        <v>38</v>
      </c>
      <c r="D538" s="75">
        <v>224.26</v>
      </c>
      <c r="E538" s="6" t="s">
        <v>39</v>
      </c>
      <c r="F538" s="76">
        <v>66.406034000000005</v>
      </c>
      <c r="G538" s="76" t="s">
        <v>40</v>
      </c>
      <c r="H538" s="76">
        <f t="shared" si="8"/>
        <v>-0.38403399999999976</v>
      </c>
      <c r="I538" s="77">
        <v>-0.25274902345684602</v>
      </c>
      <c r="J538" s="78">
        <v>10.519657300089477</v>
      </c>
      <c r="K538" s="79">
        <v>1.1237006442611346</v>
      </c>
    </row>
    <row r="539" spans="1:11" x14ac:dyDescent="0.35">
      <c r="A539" t="s">
        <v>1383</v>
      </c>
      <c r="B539" s="73" t="s">
        <v>37</v>
      </c>
      <c r="C539" s="74" t="s">
        <v>38</v>
      </c>
      <c r="D539" s="75">
        <v>224.29</v>
      </c>
      <c r="E539" s="6" t="s">
        <v>39</v>
      </c>
      <c r="F539" s="76">
        <v>66.407861999999994</v>
      </c>
      <c r="G539" s="76" t="s">
        <v>40</v>
      </c>
      <c r="H539" s="76">
        <f t="shared" si="8"/>
        <v>-0.38586199999998883</v>
      </c>
      <c r="I539" s="77">
        <v>-0.44024562391852001</v>
      </c>
      <c r="J539" s="78">
        <v>11.359228286579423</v>
      </c>
      <c r="K539" s="79">
        <v>1.9632716307510805</v>
      </c>
    </row>
    <row r="540" spans="1:11" x14ac:dyDescent="0.35">
      <c r="A540" t="s">
        <v>1383</v>
      </c>
      <c r="B540" s="73" t="s">
        <v>37</v>
      </c>
      <c r="C540" s="74" t="s">
        <v>38</v>
      </c>
      <c r="D540" s="75">
        <v>224.32</v>
      </c>
      <c r="E540" s="6" t="s">
        <v>39</v>
      </c>
      <c r="F540" s="76">
        <v>66.409689999999998</v>
      </c>
      <c r="G540" s="76" t="s">
        <v>40</v>
      </c>
      <c r="H540" s="76">
        <f t="shared" si="8"/>
        <v>-0.3876899999999921</v>
      </c>
      <c r="I540" s="77">
        <v>-0.27921232177917499</v>
      </c>
      <c r="J540" s="78">
        <v>10.637844501403663</v>
      </c>
      <c r="K540" s="79">
        <v>1.2418878455753202</v>
      </c>
    </row>
    <row r="541" spans="1:11" x14ac:dyDescent="0.35">
      <c r="A541" t="s">
        <v>1383</v>
      </c>
      <c r="B541" s="73" t="s">
        <v>37</v>
      </c>
      <c r="C541" s="74" t="s">
        <v>38</v>
      </c>
      <c r="D541" s="75">
        <v>224.38</v>
      </c>
      <c r="E541" s="6" t="s">
        <v>39</v>
      </c>
      <c r="F541" s="76">
        <v>66.413345000000007</v>
      </c>
      <c r="G541" s="76" t="s">
        <v>40</v>
      </c>
      <c r="H541" s="76">
        <f t="shared" si="8"/>
        <v>-0.39134500000000116</v>
      </c>
      <c r="I541" s="77">
        <v>-0.28408926941387402</v>
      </c>
      <c r="J541" s="78">
        <v>10.659636428085264</v>
      </c>
      <c r="K541" s="79">
        <v>1.2636797722569213</v>
      </c>
    </row>
    <row r="542" spans="1:11" x14ac:dyDescent="0.35">
      <c r="A542" t="s">
        <v>1383</v>
      </c>
      <c r="B542" s="73" t="s">
        <v>37</v>
      </c>
      <c r="C542" s="74" t="s">
        <v>38</v>
      </c>
      <c r="D542" s="75">
        <v>224.41</v>
      </c>
      <c r="E542" s="6" t="s">
        <v>39</v>
      </c>
      <c r="F542" s="76">
        <v>66.415171999999998</v>
      </c>
      <c r="G542" s="76" t="s">
        <v>40</v>
      </c>
      <c r="H542" s="76">
        <f t="shared" si="8"/>
        <v>-0.39317199999999275</v>
      </c>
      <c r="I542" s="77">
        <v>-0.223550301149752</v>
      </c>
      <c r="J542" s="78">
        <v>10.389371280347291</v>
      </c>
      <c r="K542" s="79">
        <v>0.99341462451894813</v>
      </c>
    </row>
    <row r="543" spans="1:11" x14ac:dyDescent="0.35">
      <c r="A543" t="s">
        <v>1383</v>
      </c>
      <c r="B543" s="73" t="s">
        <v>37</v>
      </c>
      <c r="C543" s="74" t="s">
        <v>38</v>
      </c>
      <c r="D543" s="75">
        <v>224.44</v>
      </c>
      <c r="E543" s="6" t="s">
        <v>39</v>
      </c>
      <c r="F543" s="76">
        <v>66.417000000000002</v>
      </c>
      <c r="G543" s="76" t="s">
        <v>40</v>
      </c>
      <c r="H543" s="76">
        <f t="shared" si="8"/>
        <v>-0.39499999999999602</v>
      </c>
      <c r="I543" s="77">
        <v>-0.17964047684074899</v>
      </c>
      <c r="J543" s="78">
        <v>10.193675965050488</v>
      </c>
      <c r="K543" s="79">
        <v>0.79771930922214551</v>
      </c>
    </row>
    <row r="544" spans="1:11" x14ac:dyDescent="0.35">
      <c r="A544" t="s">
        <v>1383</v>
      </c>
      <c r="B544" s="73" t="s">
        <v>37</v>
      </c>
      <c r="C544" s="74" t="s">
        <v>38</v>
      </c>
      <c r="D544" s="75">
        <v>224.47</v>
      </c>
      <c r="E544" s="6" t="s">
        <v>39</v>
      </c>
      <c r="F544" s="76">
        <v>66.418621999999999</v>
      </c>
      <c r="G544" s="76" t="s">
        <v>40</v>
      </c>
      <c r="H544" s="76">
        <f t="shared" si="8"/>
        <v>-0.39662199999999359</v>
      </c>
      <c r="I544" s="77">
        <v>-0.39734153447627901</v>
      </c>
      <c r="J544" s="78">
        <v>11.1666605403164</v>
      </c>
      <c r="K544" s="79">
        <v>1.7707038844880572</v>
      </c>
    </row>
    <row r="545" spans="1:11" x14ac:dyDescent="0.35">
      <c r="A545" t="s">
        <v>1383</v>
      </c>
      <c r="B545" s="73" t="s">
        <v>37</v>
      </c>
      <c r="C545" s="74" t="s">
        <v>38</v>
      </c>
      <c r="D545" s="75">
        <v>224.5</v>
      </c>
      <c r="E545" s="6" t="s">
        <v>39</v>
      </c>
      <c r="F545" s="76">
        <v>66.420244999999994</v>
      </c>
      <c r="G545" s="76" t="s">
        <v>40</v>
      </c>
      <c r="H545" s="76">
        <f t="shared" si="8"/>
        <v>-0.39824499999998864</v>
      </c>
      <c r="I545" s="77">
        <v>-0.28217483053703601</v>
      </c>
      <c r="J545" s="78">
        <v>10.651081626484029</v>
      </c>
      <c r="K545" s="79">
        <v>1.255124970655686</v>
      </c>
    </row>
    <row r="546" spans="1:11" x14ac:dyDescent="0.35">
      <c r="A546" t="s">
        <v>1383</v>
      </c>
      <c r="B546" s="73" t="s">
        <v>37</v>
      </c>
      <c r="C546" s="74" t="s">
        <v>38</v>
      </c>
      <c r="D546" s="75">
        <v>224.53</v>
      </c>
      <c r="E546" s="6" t="s">
        <v>39</v>
      </c>
      <c r="F546" s="76">
        <v>66.421867000000006</v>
      </c>
      <c r="G546" s="76" t="s">
        <v>40</v>
      </c>
      <c r="H546" s="76">
        <f t="shared" si="8"/>
        <v>-0.39986700000000042</v>
      </c>
      <c r="I546" s="77">
        <v>-0.18280523521902101</v>
      </c>
      <c r="J546" s="78">
        <v>10.207771195947203</v>
      </c>
      <c r="K546" s="79">
        <v>0.8118145401188599</v>
      </c>
    </row>
    <row r="547" spans="1:11" x14ac:dyDescent="0.35">
      <c r="A547" t="s">
        <v>1383</v>
      </c>
      <c r="B547" s="73" t="s">
        <v>37</v>
      </c>
      <c r="C547" s="74" t="s">
        <v>38</v>
      </c>
      <c r="D547" s="75">
        <v>224.56</v>
      </c>
      <c r="E547" s="6" t="s">
        <v>39</v>
      </c>
      <c r="F547" s="76">
        <v>66.423490000000001</v>
      </c>
      <c r="G547" s="76" t="s">
        <v>40</v>
      </c>
      <c r="H547" s="76">
        <f t="shared" si="8"/>
        <v>-0.40148999999999546</v>
      </c>
      <c r="I547" s="77">
        <v>-0.58178812544601199</v>
      </c>
      <c r="J547" s="78">
        <v>11.996430721508887</v>
      </c>
      <c r="K547" s="79">
        <v>2.6004740656805438</v>
      </c>
    </row>
    <row r="548" spans="1:11" x14ac:dyDescent="0.35">
      <c r="A548" t="s">
        <v>1383</v>
      </c>
      <c r="B548" s="73" t="s">
        <v>37</v>
      </c>
      <c r="C548" s="74" t="s">
        <v>38</v>
      </c>
      <c r="D548" s="75">
        <v>224.59</v>
      </c>
      <c r="E548" s="6" t="s">
        <v>39</v>
      </c>
      <c r="F548" s="76">
        <v>66.425111999999999</v>
      </c>
      <c r="G548" s="76" t="s">
        <v>40</v>
      </c>
      <c r="H548" s="76">
        <f t="shared" si="8"/>
        <v>-0.40311199999999303</v>
      </c>
      <c r="I548" s="77">
        <v>-5.0309604651063398E-2</v>
      </c>
      <c r="J548" s="78">
        <v>9.61889605979826</v>
      </c>
      <c r="K548" s="79">
        <v>0.22293940396991729</v>
      </c>
    </row>
    <row r="549" spans="1:11" x14ac:dyDescent="0.35">
      <c r="A549" t="s">
        <v>1383</v>
      </c>
      <c r="B549" s="73" t="s">
        <v>37</v>
      </c>
      <c r="C549" s="74" t="s">
        <v>38</v>
      </c>
      <c r="D549" s="75">
        <v>224.62</v>
      </c>
      <c r="E549" s="6" t="s">
        <v>39</v>
      </c>
      <c r="F549" s="76">
        <v>66.426734999999994</v>
      </c>
      <c r="G549" s="76" t="s">
        <v>40</v>
      </c>
      <c r="H549" s="76">
        <f t="shared" si="8"/>
        <v>-0.40473499999998808</v>
      </c>
      <c r="I549" s="77">
        <v>-0.24569691255055801</v>
      </c>
      <c r="J549" s="78">
        <v>10.488179148002985</v>
      </c>
      <c r="K549" s="79">
        <v>1.092222492174642</v>
      </c>
    </row>
    <row r="550" spans="1:11" x14ac:dyDescent="0.35">
      <c r="A550" t="s">
        <v>1383</v>
      </c>
      <c r="B550" s="73" t="s">
        <v>37</v>
      </c>
      <c r="C550" s="74" t="s">
        <v>38</v>
      </c>
      <c r="D550" s="75">
        <v>224.65</v>
      </c>
      <c r="E550" s="6" t="s">
        <v>39</v>
      </c>
      <c r="F550" s="76">
        <v>66.428357000000005</v>
      </c>
      <c r="G550" s="76" t="s">
        <v>40</v>
      </c>
      <c r="H550" s="76">
        <f t="shared" si="8"/>
        <v>-0.40635699999999986</v>
      </c>
      <c r="I550" s="77">
        <v>-0.27697189892069601</v>
      </c>
      <c r="J550" s="78">
        <v>10.627834657181381</v>
      </c>
      <c r="K550" s="79">
        <v>1.2318780013530386</v>
      </c>
    </row>
    <row r="551" spans="1:11" x14ac:dyDescent="0.35">
      <c r="A551" t="s">
        <v>1383</v>
      </c>
      <c r="B551" s="73" t="s">
        <v>37</v>
      </c>
      <c r="C551" s="74" t="s">
        <v>38</v>
      </c>
      <c r="D551" s="75">
        <v>224.68</v>
      </c>
      <c r="E551" s="6" t="s">
        <v>39</v>
      </c>
      <c r="F551" s="76">
        <v>66.42998</v>
      </c>
      <c r="G551" s="76" t="s">
        <v>40</v>
      </c>
      <c r="H551" s="76">
        <f t="shared" si="8"/>
        <v>-0.4079799999999949</v>
      </c>
      <c r="I551" s="77">
        <v>-0.27565685348310498</v>
      </c>
      <c r="J551" s="78">
        <v>10.621959587791707</v>
      </c>
      <c r="K551" s="79">
        <v>1.2260029319633645</v>
      </c>
    </row>
    <row r="552" spans="1:11" x14ac:dyDescent="0.35">
      <c r="A552" t="s">
        <v>1383</v>
      </c>
      <c r="B552" s="73" t="s">
        <v>37</v>
      </c>
      <c r="C552" s="74" t="s">
        <v>38</v>
      </c>
      <c r="D552" s="75">
        <v>224.71</v>
      </c>
      <c r="E552" s="6" t="s">
        <v>39</v>
      </c>
      <c r="F552" s="76">
        <v>66.431601999999998</v>
      </c>
      <c r="G552" s="76" t="s">
        <v>40</v>
      </c>
      <c r="H552" s="76">
        <f t="shared" si="8"/>
        <v>-0.40960199999999247</v>
      </c>
      <c r="I552" s="77">
        <v>-0.14671958355449199</v>
      </c>
      <c r="J552" s="78">
        <v>10.047138341968093</v>
      </c>
      <c r="K552" s="79">
        <v>0.65118168613975058</v>
      </c>
    </row>
    <row r="553" spans="1:11" x14ac:dyDescent="0.35">
      <c r="A553" t="s">
        <v>1383</v>
      </c>
      <c r="B553" s="73" t="s">
        <v>37</v>
      </c>
      <c r="C553" s="74" t="s">
        <v>38</v>
      </c>
      <c r="D553" s="75">
        <v>224.74</v>
      </c>
      <c r="E553" s="6" t="s">
        <v>39</v>
      </c>
      <c r="F553" s="76">
        <v>66.433223999999996</v>
      </c>
      <c r="G553" s="76" t="s">
        <v>40</v>
      </c>
      <c r="H553" s="76">
        <f t="shared" si="8"/>
        <v>-0.41122399999999004</v>
      </c>
      <c r="I553" s="77">
        <v>-6.5596172113275106E-2</v>
      </c>
      <c r="J553" s="78">
        <v>9.6867081030203508</v>
      </c>
      <c r="K553" s="79">
        <v>0.29075144719200807</v>
      </c>
    </row>
    <row r="554" spans="1:11" x14ac:dyDescent="0.35">
      <c r="A554" t="s">
        <v>1383</v>
      </c>
      <c r="B554" s="73" t="s">
        <v>37</v>
      </c>
      <c r="C554" s="74" t="s">
        <v>38</v>
      </c>
      <c r="D554" s="75">
        <v>224.77</v>
      </c>
      <c r="E554" s="6" t="s">
        <v>39</v>
      </c>
      <c r="F554" s="76">
        <v>66.434847000000005</v>
      </c>
      <c r="G554" s="76" t="s">
        <v>40</v>
      </c>
      <c r="H554" s="76">
        <f t="shared" si="8"/>
        <v>-0.4128469999999993</v>
      </c>
      <c r="I554" s="77">
        <v>-0.220382215436077</v>
      </c>
      <c r="J554" s="78">
        <v>10.375242563925895</v>
      </c>
      <c r="K554" s="79">
        <v>0.97928590809755178</v>
      </c>
    </row>
    <row r="555" spans="1:11" x14ac:dyDescent="0.35">
      <c r="A555" t="s">
        <v>1383</v>
      </c>
      <c r="B555" s="73" t="s">
        <v>37</v>
      </c>
      <c r="C555" s="74" t="s">
        <v>38</v>
      </c>
      <c r="D555" s="75">
        <v>224.8</v>
      </c>
      <c r="E555" s="6" t="s">
        <v>39</v>
      </c>
      <c r="F555" s="76">
        <v>66.436469000000002</v>
      </c>
      <c r="G555" s="76" t="s">
        <v>40</v>
      </c>
      <c r="H555" s="76">
        <f t="shared" si="8"/>
        <v>-0.41446899999999687</v>
      </c>
      <c r="I555" s="77">
        <v>0.133742525056219</v>
      </c>
      <c r="J555" s="78">
        <v>8.8050570006884072</v>
      </c>
      <c r="K555" s="79">
        <v>-0.59089965513993548</v>
      </c>
    </row>
    <row r="556" spans="1:11" x14ac:dyDescent="0.35">
      <c r="A556" t="s">
        <v>1383</v>
      </c>
      <c r="B556" s="73" t="s">
        <v>37</v>
      </c>
      <c r="C556" s="74" t="s">
        <v>38</v>
      </c>
      <c r="D556" s="75">
        <v>224.83</v>
      </c>
      <c r="E556" s="6" t="s">
        <v>39</v>
      </c>
      <c r="F556" s="76">
        <v>66.438091999999997</v>
      </c>
      <c r="G556" s="76" t="s">
        <v>40</v>
      </c>
      <c r="H556" s="76">
        <f t="shared" si="8"/>
        <v>-0.41609199999999191</v>
      </c>
      <c r="I556" s="77">
        <v>-1.9477625554572602E-2</v>
      </c>
      <c r="J556" s="78">
        <v>9.4822257604886317</v>
      </c>
      <c r="K556" s="79">
        <v>8.6269104660289031E-2</v>
      </c>
    </row>
    <row r="557" spans="1:11" x14ac:dyDescent="0.35">
      <c r="A557" t="s">
        <v>1383</v>
      </c>
      <c r="B557" s="73" t="s">
        <v>37</v>
      </c>
      <c r="C557" s="74" t="s">
        <v>38</v>
      </c>
      <c r="D557" s="75">
        <v>224.86</v>
      </c>
      <c r="E557" s="6" t="s">
        <v>39</v>
      </c>
      <c r="F557" s="76">
        <v>66.439713999999995</v>
      </c>
      <c r="G557" s="76" t="s">
        <v>40</v>
      </c>
      <c r="H557" s="76">
        <f t="shared" si="8"/>
        <v>-0.41771399999998948</v>
      </c>
      <c r="I557" s="77">
        <v>0.124289734225062</v>
      </c>
      <c r="J557" s="78">
        <v>8.8467374379094963</v>
      </c>
      <c r="K557" s="79">
        <v>-0.54921921791884643</v>
      </c>
    </row>
    <row r="558" spans="1:11" x14ac:dyDescent="0.35">
      <c r="A558" t="s">
        <v>1383</v>
      </c>
      <c r="B558" s="73" t="s">
        <v>37</v>
      </c>
      <c r="C558" s="74" t="s">
        <v>38</v>
      </c>
      <c r="D558" s="75">
        <v>224.89</v>
      </c>
      <c r="E558" s="6" t="s">
        <v>39</v>
      </c>
      <c r="F558" s="76">
        <v>66.441337000000004</v>
      </c>
      <c r="G558" s="76" t="s">
        <v>40</v>
      </c>
      <c r="H558" s="76">
        <f t="shared" si="8"/>
        <v>-0.41933699999999874</v>
      </c>
      <c r="I558" s="77">
        <v>7.1422981077203804E-3</v>
      </c>
      <c r="J558" s="78">
        <v>9.3643360429817903</v>
      </c>
      <c r="K558" s="79">
        <v>-3.1620612846552376E-2</v>
      </c>
    </row>
    <row r="559" spans="1:11" x14ac:dyDescent="0.35">
      <c r="A559" t="s">
        <v>1383</v>
      </c>
      <c r="B559" s="73" t="s">
        <v>37</v>
      </c>
      <c r="C559" s="74" t="s">
        <v>38</v>
      </c>
      <c r="D559" s="75">
        <v>224.92</v>
      </c>
      <c r="E559" s="6" t="s">
        <v>39</v>
      </c>
      <c r="F559" s="76">
        <v>66.442959000000002</v>
      </c>
      <c r="G559" s="76" t="s">
        <v>40</v>
      </c>
      <c r="H559" s="76">
        <f t="shared" si="8"/>
        <v>-0.42095899999999631</v>
      </c>
      <c r="I559" s="77">
        <v>-4.8117462949332203E-2</v>
      </c>
      <c r="J559" s="78">
        <v>9.6091743509151115</v>
      </c>
      <c r="K559" s="79">
        <v>0.2132176950867688</v>
      </c>
    </row>
    <row r="560" spans="1:11" x14ac:dyDescent="0.35">
      <c r="A560" t="s">
        <v>1383</v>
      </c>
      <c r="B560" s="73" t="s">
        <v>37</v>
      </c>
      <c r="C560" s="74" t="s">
        <v>38</v>
      </c>
      <c r="D560" s="75">
        <v>224.95</v>
      </c>
      <c r="E560" s="6" t="s">
        <v>39</v>
      </c>
      <c r="F560" s="76">
        <v>66.444581999999997</v>
      </c>
      <c r="G560" s="76" t="s">
        <v>40</v>
      </c>
      <c r="H560" s="76">
        <f t="shared" si="8"/>
        <v>-0.42258199999999135</v>
      </c>
      <c r="I560" s="77">
        <v>1.98057831478319E-2</v>
      </c>
      <c r="J560" s="78">
        <v>9.3082898033549668</v>
      </c>
      <c r="K560" s="79">
        <v>-8.7666852473375911E-2</v>
      </c>
    </row>
    <row r="561" spans="1:11" x14ac:dyDescent="0.35">
      <c r="A561" t="s">
        <v>1383</v>
      </c>
      <c r="B561" s="73" t="s">
        <v>37</v>
      </c>
      <c r="C561" s="74" t="s">
        <v>38</v>
      </c>
      <c r="D561" s="75">
        <v>224.98</v>
      </c>
      <c r="E561" s="6" t="s">
        <v>39</v>
      </c>
      <c r="F561" s="76">
        <v>66.446203999999994</v>
      </c>
      <c r="G561" s="76" t="s">
        <v>40</v>
      </c>
      <c r="H561" s="76">
        <f t="shared" si="8"/>
        <v>-0.42420399999998892</v>
      </c>
      <c r="I561" s="77">
        <v>-0.111993507079153</v>
      </c>
      <c r="J561" s="78">
        <v>9.8927348757553659</v>
      </c>
      <c r="K561" s="79">
        <v>0.4967782199270232</v>
      </c>
    </row>
    <row r="562" spans="1:11" x14ac:dyDescent="0.35">
      <c r="A562" t="s">
        <v>1383</v>
      </c>
      <c r="B562" s="73" t="s">
        <v>37</v>
      </c>
      <c r="C562" s="74" t="s">
        <v>38</v>
      </c>
      <c r="D562" s="75">
        <v>225.01</v>
      </c>
      <c r="E562" s="6" t="s">
        <v>39</v>
      </c>
      <c r="F562" s="76">
        <v>66.447827000000004</v>
      </c>
      <c r="G562" s="76" t="s">
        <v>40</v>
      </c>
      <c r="H562" s="76">
        <f t="shared" si="8"/>
        <v>-0.42582699999999818</v>
      </c>
      <c r="I562" s="77">
        <v>-8.7451858653873907E-2</v>
      </c>
      <c r="J562" s="78">
        <v>9.7837194298594454</v>
      </c>
      <c r="K562" s="79">
        <v>0.38776277403110271</v>
      </c>
    </row>
    <row r="563" spans="1:11" x14ac:dyDescent="0.35">
      <c r="A563" t="s">
        <v>1383</v>
      </c>
      <c r="B563" s="73" t="s">
        <v>37</v>
      </c>
      <c r="C563" s="74" t="s">
        <v>38</v>
      </c>
      <c r="D563" s="75">
        <v>225.04</v>
      </c>
      <c r="E563" s="6" t="s">
        <v>39</v>
      </c>
      <c r="F563" s="76">
        <v>66.449449000000001</v>
      </c>
      <c r="G563" s="76" t="s">
        <v>40</v>
      </c>
      <c r="H563" s="76">
        <f t="shared" si="8"/>
        <v>-0.42744899999999575</v>
      </c>
      <c r="I563" s="77">
        <v>-4.31789852240098E-2</v>
      </c>
      <c r="J563" s="78">
        <v>9.5872757196081579</v>
      </c>
      <c r="K563" s="79">
        <v>0.19131906377981522</v>
      </c>
    </row>
    <row r="564" spans="1:11" x14ac:dyDescent="0.35">
      <c r="A564" t="s">
        <v>1383</v>
      </c>
      <c r="B564" s="73" t="s">
        <v>37</v>
      </c>
      <c r="C564" s="74" t="s">
        <v>38</v>
      </c>
      <c r="D564" s="75">
        <v>225.1</v>
      </c>
      <c r="E564" s="6" t="s">
        <v>39</v>
      </c>
      <c r="F564" s="76">
        <v>66.452693999999994</v>
      </c>
      <c r="G564" s="76" t="s">
        <v>40</v>
      </c>
      <c r="H564" s="76">
        <f t="shared" si="8"/>
        <v>-0.43069399999998836</v>
      </c>
      <c r="I564" s="77">
        <v>-0.28164729826942397</v>
      </c>
      <c r="J564" s="78">
        <v>10.648724405830592</v>
      </c>
      <c r="K564" s="79">
        <v>1.2527677500022492</v>
      </c>
    </row>
    <row r="565" spans="1:11" x14ac:dyDescent="0.35">
      <c r="A565" t="s">
        <v>1383</v>
      </c>
      <c r="B565" s="73" t="s">
        <v>37</v>
      </c>
      <c r="C565" s="74" t="s">
        <v>38</v>
      </c>
      <c r="D565" s="75">
        <v>225.13</v>
      </c>
      <c r="E565" s="6" t="s">
        <v>39</v>
      </c>
      <c r="F565" s="76">
        <v>66.454316000000006</v>
      </c>
      <c r="G565" s="76" t="s">
        <v>40</v>
      </c>
      <c r="H565" s="76">
        <f t="shared" si="8"/>
        <v>-0.43231600000000014</v>
      </c>
      <c r="I565" s="77">
        <v>-0.175653837269234</v>
      </c>
      <c r="J565" s="78">
        <v>10.175922291101585</v>
      </c>
      <c r="K565" s="79">
        <v>0.7799656352732427</v>
      </c>
    </row>
    <row r="566" spans="1:11" x14ac:dyDescent="0.35">
      <c r="A566" t="s">
        <v>1383</v>
      </c>
      <c r="B566" s="73" t="s">
        <v>37</v>
      </c>
      <c r="C566" s="74" t="s">
        <v>38</v>
      </c>
      <c r="D566" s="75">
        <v>225.16</v>
      </c>
      <c r="E566" s="6" t="s">
        <v>39</v>
      </c>
      <c r="F566" s="76">
        <v>66.455939000000001</v>
      </c>
      <c r="G566" s="76" t="s">
        <v>40</v>
      </c>
      <c r="H566" s="76">
        <f t="shared" si="8"/>
        <v>-0.43393899999999519</v>
      </c>
      <c r="I566" s="77">
        <v>2.9878165765802801E-2</v>
      </c>
      <c r="J566" s="78">
        <v>9.263727684966625</v>
      </c>
      <c r="K566" s="79">
        <v>-0.1322289708617177</v>
      </c>
    </row>
    <row r="567" spans="1:11" x14ac:dyDescent="0.35">
      <c r="A567" t="s">
        <v>1383</v>
      </c>
      <c r="B567" s="73" t="s">
        <v>37</v>
      </c>
      <c r="C567" s="74" t="s">
        <v>38</v>
      </c>
      <c r="D567" s="75">
        <v>225.19</v>
      </c>
      <c r="E567" s="6" t="s">
        <v>39</v>
      </c>
      <c r="F567" s="76">
        <v>66.457560999999998</v>
      </c>
      <c r="G567" s="76" t="s">
        <v>40</v>
      </c>
      <c r="H567" s="76">
        <f t="shared" si="8"/>
        <v>-0.43556099999999276</v>
      </c>
      <c r="I567" s="77">
        <v>6.3177152361218097E-2</v>
      </c>
      <c r="J567" s="78">
        <v>9.1165099131064267</v>
      </c>
      <c r="K567" s="79">
        <v>-0.27944674272191605</v>
      </c>
    </row>
    <row r="568" spans="1:11" x14ac:dyDescent="0.35">
      <c r="A568" t="s">
        <v>1383</v>
      </c>
      <c r="B568" s="73" t="s">
        <v>37</v>
      </c>
      <c r="C568" s="74" t="s">
        <v>38</v>
      </c>
      <c r="D568" s="75">
        <v>225.22</v>
      </c>
      <c r="E568" s="6" t="s">
        <v>39</v>
      </c>
      <c r="F568" s="76">
        <v>66.459183999999993</v>
      </c>
      <c r="G568" s="76" t="s">
        <v>40</v>
      </c>
      <c r="H568" s="76">
        <f t="shared" si="8"/>
        <v>-0.4371839999999878</v>
      </c>
      <c r="I568" s="77">
        <v>-9.2060574850191701E-2</v>
      </c>
      <c r="J568" s="78">
        <v>9.8041850095864902</v>
      </c>
      <c r="K568" s="79">
        <v>0.40822835375814748</v>
      </c>
    </row>
    <row r="569" spans="1:11" x14ac:dyDescent="0.35">
      <c r="A569" t="s">
        <v>1383</v>
      </c>
      <c r="B569" s="73" t="s">
        <v>37</v>
      </c>
      <c r="C569" s="74" t="s">
        <v>38</v>
      </c>
      <c r="D569" s="75">
        <v>225.25</v>
      </c>
      <c r="E569" s="6" t="s">
        <v>39</v>
      </c>
      <c r="F569" s="76">
        <v>66.460806000000005</v>
      </c>
      <c r="G569" s="76" t="s">
        <v>40</v>
      </c>
      <c r="H569" s="76">
        <f t="shared" si="8"/>
        <v>-0.43880599999999959</v>
      </c>
      <c r="I569" s="77">
        <v>-0.165275222479037</v>
      </c>
      <c r="J569" s="78">
        <v>10.129714044314881</v>
      </c>
      <c r="K569" s="79">
        <v>0.73375738848653782</v>
      </c>
    </row>
    <row r="570" spans="1:11" x14ac:dyDescent="0.35">
      <c r="A570" t="s">
        <v>1383</v>
      </c>
      <c r="B570" s="73" t="s">
        <v>37</v>
      </c>
      <c r="C570" s="74" t="s">
        <v>38</v>
      </c>
      <c r="D570" s="75">
        <v>225.28</v>
      </c>
      <c r="E570" s="6" t="s">
        <v>39</v>
      </c>
      <c r="F570" s="76">
        <v>66.462429</v>
      </c>
      <c r="G570" s="76" t="s">
        <v>40</v>
      </c>
      <c r="H570" s="76">
        <f t="shared" si="8"/>
        <v>-0.44042899999999463</v>
      </c>
      <c r="I570" s="77">
        <v>-5.6011519328722302E-2</v>
      </c>
      <c r="J570" s="78">
        <v>9.6441861389520795</v>
      </c>
      <c r="K570" s="79">
        <v>0.24822948312373683</v>
      </c>
    </row>
    <row r="571" spans="1:11" x14ac:dyDescent="0.35">
      <c r="A571" t="s">
        <v>1383</v>
      </c>
      <c r="B571" s="73" t="s">
        <v>37</v>
      </c>
      <c r="C571" s="74" t="s">
        <v>38</v>
      </c>
      <c r="D571" s="75">
        <v>225.31</v>
      </c>
      <c r="E571" s="6" t="s">
        <v>39</v>
      </c>
      <c r="F571" s="76">
        <v>66.464050999999998</v>
      </c>
      <c r="G571" s="76" t="s">
        <v>40</v>
      </c>
      <c r="H571" s="76">
        <f t="shared" si="8"/>
        <v>-0.4420509999999922</v>
      </c>
      <c r="I571" s="77">
        <v>-0.20712735314688999</v>
      </c>
      <c r="J571" s="78">
        <v>10.316145587067069</v>
      </c>
      <c r="K571" s="79">
        <v>0.92018893123872658</v>
      </c>
    </row>
    <row r="572" spans="1:11" x14ac:dyDescent="0.35">
      <c r="A572" t="s">
        <v>1383</v>
      </c>
      <c r="B572" s="73" t="s">
        <v>37</v>
      </c>
      <c r="C572" s="74" t="s">
        <v>38</v>
      </c>
      <c r="D572" s="75">
        <v>225.34</v>
      </c>
      <c r="E572" s="6" t="s">
        <v>39</v>
      </c>
      <c r="F572" s="76">
        <v>66.465672999999995</v>
      </c>
      <c r="G572" s="76" t="s">
        <v>40</v>
      </c>
      <c r="H572" s="76">
        <f t="shared" si="8"/>
        <v>-0.44367299999998977</v>
      </c>
      <c r="I572" s="77">
        <v>-3.2176313420482397E-2</v>
      </c>
      <c r="J572" s="78">
        <v>9.5384992902603472</v>
      </c>
      <c r="K572" s="79">
        <v>0.14254263443200443</v>
      </c>
    </row>
    <row r="573" spans="1:11" x14ac:dyDescent="0.35">
      <c r="A573" t="s">
        <v>1383</v>
      </c>
      <c r="B573" s="73" t="s">
        <v>37</v>
      </c>
      <c r="C573" s="74" t="s">
        <v>38</v>
      </c>
      <c r="D573" s="75">
        <v>225.37</v>
      </c>
      <c r="E573" s="6" t="s">
        <v>39</v>
      </c>
      <c r="F573" s="76">
        <v>66.467296000000005</v>
      </c>
      <c r="G573" s="76" t="s">
        <v>40</v>
      </c>
      <c r="H573" s="76">
        <f t="shared" si="8"/>
        <v>-0.44529599999999903</v>
      </c>
      <c r="I573" s="77">
        <v>-1.6737984802650398E-2</v>
      </c>
      <c r="J573" s="78">
        <v>9.4700882264332904</v>
      </c>
      <c r="K573" s="79">
        <v>7.4131570604947683E-2</v>
      </c>
    </row>
    <row r="574" spans="1:11" x14ac:dyDescent="0.35">
      <c r="A574" t="s">
        <v>1383</v>
      </c>
      <c r="B574" s="73" t="s">
        <v>37</v>
      </c>
      <c r="C574" s="74" t="s">
        <v>38</v>
      </c>
      <c r="D574" s="75">
        <v>225.4</v>
      </c>
      <c r="E574" s="6" t="s">
        <v>39</v>
      </c>
      <c r="F574" s="76">
        <v>66.468918000000002</v>
      </c>
      <c r="G574" s="76" t="s">
        <v>40</v>
      </c>
      <c r="H574" s="76">
        <f t="shared" si="8"/>
        <v>-0.4469179999999966</v>
      </c>
      <c r="I574" s="77">
        <v>-0.21708701546050799</v>
      </c>
      <c r="J574" s="78">
        <v>10.360548497205968</v>
      </c>
      <c r="K574" s="79">
        <v>0.96459184137762577</v>
      </c>
    </row>
    <row r="575" spans="1:11" x14ac:dyDescent="0.35">
      <c r="A575" t="s">
        <v>1383</v>
      </c>
      <c r="B575" s="73" t="s">
        <v>37</v>
      </c>
      <c r="C575" s="74" t="s">
        <v>38</v>
      </c>
      <c r="D575" s="75">
        <v>225.43</v>
      </c>
      <c r="E575" s="6" t="s">
        <v>39</v>
      </c>
      <c r="F575" s="76">
        <v>66.470540999999997</v>
      </c>
      <c r="G575" s="76" t="s">
        <v>40</v>
      </c>
      <c r="H575" s="76">
        <f t="shared" si="8"/>
        <v>-0.44854099999999164</v>
      </c>
      <c r="I575" s="77">
        <v>-8.3519005458938297E-2</v>
      </c>
      <c r="J575" s="78">
        <v>9.7662575197005594</v>
      </c>
      <c r="K575" s="79">
        <v>0.37030086387221672</v>
      </c>
    </row>
    <row r="576" spans="1:11" x14ac:dyDescent="0.35">
      <c r="A576" t="s">
        <v>1383</v>
      </c>
      <c r="B576" s="73" t="s">
        <v>37</v>
      </c>
      <c r="C576" s="74" t="s">
        <v>38</v>
      </c>
      <c r="D576" s="75">
        <v>225.46</v>
      </c>
      <c r="E576" s="6" t="s">
        <v>39</v>
      </c>
      <c r="F576" s="76">
        <v>66.472162999999995</v>
      </c>
      <c r="G576" s="76" t="s">
        <v>40</v>
      </c>
      <c r="H576" s="76">
        <f t="shared" si="8"/>
        <v>-0.45016299999998921</v>
      </c>
      <c r="I576" s="77">
        <v>7.7808373037144204E-2</v>
      </c>
      <c r="J576" s="78">
        <v>9.0518740626727094</v>
      </c>
      <c r="K576" s="79">
        <v>-0.34408259315563328</v>
      </c>
    </row>
    <row r="577" spans="1:11" x14ac:dyDescent="0.35">
      <c r="A577" t="s">
        <v>1383</v>
      </c>
      <c r="B577" s="73" t="s">
        <v>37</v>
      </c>
      <c r="C577" s="74" t="s">
        <v>38</v>
      </c>
      <c r="D577" s="75">
        <v>225.49</v>
      </c>
      <c r="E577" s="6" t="s">
        <v>39</v>
      </c>
      <c r="F577" s="76">
        <v>66.473786000000004</v>
      </c>
      <c r="G577" s="76" t="s">
        <v>40</v>
      </c>
      <c r="H577" s="76">
        <f t="shared" si="8"/>
        <v>-0.45178599999999847</v>
      </c>
      <c r="I577" s="77">
        <v>-0.12310698991880401</v>
      </c>
      <c r="J577" s="78">
        <v>9.9421301406933935</v>
      </c>
      <c r="K577" s="79">
        <v>0.5461734848650508</v>
      </c>
    </row>
    <row r="578" spans="1:11" x14ac:dyDescent="0.35">
      <c r="A578" t="s">
        <v>1383</v>
      </c>
      <c r="B578" s="73" t="s">
        <v>37</v>
      </c>
      <c r="C578" s="74" t="s">
        <v>38</v>
      </c>
      <c r="D578" s="75">
        <v>225.52</v>
      </c>
      <c r="E578" s="6" t="s">
        <v>39</v>
      </c>
      <c r="F578" s="76">
        <v>66.475408000000002</v>
      </c>
      <c r="G578" s="76" t="s">
        <v>40</v>
      </c>
      <c r="H578" s="76">
        <f t="shared" ref="H578:H641" si="9">66.022-F578</f>
        <v>-0.45340799999999604</v>
      </c>
      <c r="I578" s="77">
        <v>-0.122416892486093</v>
      </c>
      <c r="J578" s="78">
        <v>9.9390623982890816</v>
      </c>
      <c r="K578" s="79">
        <v>0.54310574246073884</v>
      </c>
    </row>
    <row r="579" spans="1:11" x14ac:dyDescent="0.35">
      <c r="A579" t="s">
        <v>1383</v>
      </c>
      <c r="B579" s="73" t="s">
        <v>37</v>
      </c>
      <c r="C579" s="74" t="s">
        <v>38</v>
      </c>
      <c r="D579" s="75">
        <v>225.55</v>
      </c>
      <c r="E579" s="6" t="s">
        <v>39</v>
      </c>
      <c r="F579" s="76">
        <v>66.477030999999997</v>
      </c>
      <c r="G579" s="76" t="s">
        <v>40</v>
      </c>
      <c r="H579" s="76">
        <f t="shared" si="9"/>
        <v>-0.45503099999999108</v>
      </c>
      <c r="I579" s="77">
        <v>-0.170434617229553</v>
      </c>
      <c r="J579" s="78">
        <v>10.152683044870003</v>
      </c>
      <c r="K579" s="79">
        <v>0.75672638904165979</v>
      </c>
    </row>
    <row r="580" spans="1:11" x14ac:dyDescent="0.35">
      <c r="A580" t="s">
        <v>1383</v>
      </c>
      <c r="B580" s="73" t="s">
        <v>37</v>
      </c>
      <c r="C580" s="74" t="s">
        <v>38</v>
      </c>
      <c r="D580" s="75">
        <v>225.58</v>
      </c>
      <c r="E580" s="6" t="s">
        <v>39</v>
      </c>
      <c r="F580" s="76">
        <v>66.478652999999994</v>
      </c>
      <c r="G580" s="76" t="s">
        <v>40</v>
      </c>
      <c r="H580" s="76">
        <f t="shared" si="9"/>
        <v>-0.45665299999998865</v>
      </c>
      <c r="I580" s="77">
        <v>-4.5963455031429998E-2</v>
      </c>
      <c r="J580" s="78">
        <v>9.5996224295813022</v>
      </c>
      <c r="K580" s="79">
        <v>0.20366577375295947</v>
      </c>
    </row>
    <row r="581" spans="1:11" x14ac:dyDescent="0.35">
      <c r="A581" t="s">
        <v>1383</v>
      </c>
      <c r="B581" s="73" t="s">
        <v>37</v>
      </c>
      <c r="C581" s="74" t="s">
        <v>38</v>
      </c>
      <c r="D581" s="75">
        <v>225.61</v>
      </c>
      <c r="E581" s="6" t="s">
        <v>39</v>
      </c>
      <c r="F581" s="76">
        <v>66.480276000000003</v>
      </c>
      <c r="G581" s="76" t="s">
        <v>40</v>
      </c>
      <c r="H581" s="76">
        <f t="shared" si="9"/>
        <v>-0.45827599999999791</v>
      </c>
      <c r="I581" s="77">
        <v>-0.233845414803621</v>
      </c>
      <c r="J581" s="78">
        <v>10.435294447348156</v>
      </c>
      <c r="K581" s="79">
        <v>1.039337791519813</v>
      </c>
    </row>
    <row r="582" spans="1:11" x14ac:dyDescent="0.35">
      <c r="A582" t="s">
        <v>1383</v>
      </c>
      <c r="B582" s="73" t="s">
        <v>37</v>
      </c>
      <c r="C582" s="74" t="s">
        <v>38</v>
      </c>
      <c r="D582" s="75">
        <v>225.64</v>
      </c>
      <c r="E582" s="6" t="s">
        <v>39</v>
      </c>
      <c r="F582" s="76">
        <v>66.481898000000001</v>
      </c>
      <c r="G582" s="76" t="s">
        <v>40</v>
      </c>
      <c r="H582" s="76">
        <f t="shared" si="9"/>
        <v>-0.45989799999999548</v>
      </c>
      <c r="I582" s="77">
        <v>-1.47877164115697E-2</v>
      </c>
      <c r="J582" s="78">
        <v>9.4614485340491115</v>
      </c>
      <c r="K582" s="79">
        <v>6.549187822076874E-2</v>
      </c>
    </row>
    <row r="583" spans="1:11" x14ac:dyDescent="0.35">
      <c r="A583" t="s">
        <v>1383</v>
      </c>
      <c r="B583" s="73" t="s">
        <v>37</v>
      </c>
      <c r="C583" s="74" t="s">
        <v>38</v>
      </c>
      <c r="D583" s="75">
        <v>225.67</v>
      </c>
      <c r="E583" s="6" t="s">
        <v>39</v>
      </c>
      <c r="F583" s="76">
        <v>66.483519999999999</v>
      </c>
      <c r="G583" s="76" t="s">
        <v>40</v>
      </c>
      <c r="H583" s="76">
        <f t="shared" si="9"/>
        <v>-0.46151999999999305</v>
      </c>
      <c r="I583" s="77">
        <v>-0.16239149085139501</v>
      </c>
      <c r="J583" s="78">
        <v>10.116877694540221</v>
      </c>
      <c r="K583" s="79">
        <v>0.72092103871187874</v>
      </c>
    </row>
    <row r="584" spans="1:11" x14ac:dyDescent="0.35">
      <c r="A584" t="s">
        <v>1383</v>
      </c>
      <c r="B584" s="73" t="s">
        <v>37</v>
      </c>
      <c r="C584" s="74" t="s">
        <v>38</v>
      </c>
      <c r="D584" s="75">
        <v>225.69</v>
      </c>
      <c r="E584" s="6" t="s">
        <v>39</v>
      </c>
      <c r="F584" s="76">
        <v>66.484601999999995</v>
      </c>
      <c r="G584" s="76" t="s">
        <v>40</v>
      </c>
      <c r="H584" s="76">
        <f t="shared" si="9"/>
        <v>-0.46260199999998974</v>
      </c>
      <c r="I584" s="77">
        <v>4.6521294917701902E-3</v>
      </c>
      <c r="J584" s="78">
        <v>9.375359768595672</v>
      </c>
      <c r="K584" s="79">
        <v>-2.0596887232670724E-2</v>
      </c>
    </row>
    <row r="585" spans="1:11" x14ac:dyDescent="0.35">
      <c r="A585" t="s">
        <v>1383</v>
      </c>
      <c r="B585" s="73" t="s">
        <v>37</v>
      </c>
      <c r="C585" s="74" t="s">
        <v>38</v>
      </c>
      <c r="D585" s="75">
        <v>225.73</v>
      </c>
      <c r="E585" s="6" t="s">
        <v>39</v>
      </c>
      <c r="F585" s="76">
        <v>66.486765000000005</v>
      </c>
      <c r="G585" s="76" t="s">
        <v>40</v>
      </c>
      <c r="H585" s="76">
        <f t="shared" si="9"/>
        <v>-0.46476499999999987</v>
      </c>
      <c r="I585" s="77">
        <v>-6.1963852691053499E-2</v>
      </c>
      <c r="J585" s="78">
        <v>9.6705918971248366</v>
      </c>
      <c r="K585" s="79">
        <v>0.27463524129649386</v>
      </c>
    </row>
    <row r="586" spans="1:11" x14ac:dyDescent="0.35">
      <c r="A586" t="s">
        <v>1383</v>
      </c>
      <c r="B586" s="73" t="s">
        <v>37</v>
      </c>
      <c r="C586" s="74" t="s">
        <v>38</v>
      </c>
      <c r="D586" s="75">
        <v>225.76</v>
      </c>
      <c r="E586" s="6" t="s">
        <v>39</v>
      </c>
      <c r="F586" s="76">
        <v>66.488388</v>
      </c>
      <c r="G586" s="76" t="s">
        <v>40</v>
      </c>
      <c r="H586" s="76">
        <f t="shared" si="9"/>
        <v>-0.46638799999999492</v>
      </c>
      <c r="I586" s="77">
        <v>-7.0592735581151603E-2</v>
      </c>
      <c r="J586" s="78">
        <v>9.7088804082007414</v>
      </c>
      <c r="K586" s="79">
        <v>0.31292375237239867</v>
      </c>
    </row>
    <row r="587" spans="1:11" x14ac:dyDescent="0.35">
      <c r="A587" t="s">
        <v>1383</v>
      </c>
      <c r="B587" s="73" t="s">
        <v>37</v>
      </c>
      <c r="C587" s="74" t="s">
        <v>38</v>
      </c>
      <c r="D587" s="75">
        <v>225.79</v>
      </c>
      <c r="E587" s="6" t="s">
        <v>39</v>
      </c>
      <c r="F587" s="76">
        <v>66.490009999999998</v>
      </c>
      <c r="G587" s="76" t="s">
        <v>40</v>
      </c>
      <c r="H587" s="76">
        <f t="shared" si="9"/>
        <v>-0.46800999999999249</v>
      </c>
      <c r="I587" s="77">
        <v>-5.7212281109768302E-2</v>
      </c>
      <c r="J587" s="78">
        <v>9.6495125520996226</v>
      </c>
      <c r="K587" s="79">
        <v>0.25355589627127983</v>
      </c>
    </row>
    <row r="588" spans="1:11" x14ac:dyDescent="0.35">
      <c r="A588" t="s">
        <v>1383</v>
      </c>
      <c r="B588" s="73" t="s">
        <v>37</v>
      </c>
      <c r="C588" s="74" t="s">
        <v>38</v>
      </c>
      <c r="D588" s="75">
        <v>225.82</v>
      </c>
      <c r="E588" s="6" t="s">
        <v>39</v>
      </c>
      <c r="F588" s="76">
        <v>66.491632999999993</v>
      </c>
      <c r="G588" s="76" t="s">
        <v>40</v>
      </c>
      <c r="H588" s="76">
        <f t="shared" si="9"/>
        <v>-0.46963299999998753</v>
      </c>
      <c r="I588" s="77">
        <v>-0.40960514674687598</v>
      </c>
      <c r="J588" s="78">
        <v>11.221676234041297</v>
      </c>
      <c r="K588" s="79">
        <v>1.8257195782129543</v>
      </c>
    </row>
    <row r="589" spans="1:11" x14ac:dyDescent="0.35">
      <c r="A589" t="s">
        <v>1383</v>
      </c>
      <c r="B589" s="73" t="s">
        <v>37</v>
      </c>
      <c r="C589" s="74" t="s">
        <v>38</v>
      </c>
      <c r="D589" s="75">
        <v>225.85</v>
      </c>
      <c r="E589" s="6" t="s">
        <v>39</v>
      </c>
      <c r="F589" s="76">
        <v>66.493255000000005</v>
      </c>
      <c r="G589" s="76" t="s">
        <v>40</v>
      </c>
      <c r="H589" s="76">
        <f t="shared" si="9"/>
        <v>-0.47125499999999931</v>
      </c>
      <c r="I589" s="77">
        <v>-9.5747993701809794E-2</v>
      </c>
      <c r="J589" s="78">
        <v>9.8205616535555009</v>
      </c>
      <c r="K589" s="79">
        <v>0.42460499772715821</v>
      </c>
    </row>
    <row r="590" spans="1:11" x14ac:dyDescent="0.35">
      <c r="A590" t="s">
        <v>1383</v>
      </c>
      <c r="B590" s="73" t="s">
        <v>37</v>
      </c>
      <c r="C590" s="74" t="s">
        <v>38</v>
      </c>
      <c r="D590" s="75">
        <v>225.88</v>
      </c>
      <c r="E590" s="6" t="s">
        <v>39</v>
      </c>
      <c r="F590" s="76">
        <v>66.494878</v>
      </c>
      <c r="G590" s="76" t="s">
        <v>40</v>
      </c>
      <c r="H590" s="76">
        <f t="shared" si="9"/>
        <v>-0.47287799999999436</v>
      </c>
      <c r="I590" s="77">
        <v>-0.229473790200138</v>
      </c>
      <c r="J590" s="78">
        <v>10.415792171271164</v>
      </c>
      <c r="K590" s="79">
        <v>1.0198355154428214</v>
      </c>
    </row>
    <row r="591" spans="1:11" x14ac:dyDescent="0.35">
      <c r="A591" t="s">
        <v>1383</v>
      </c>
      <c r="B591" s="73" t="s">
        <v>37</v>
      </c>
      <c r="C591" s="74" t="s">
        <v>38</v>
      </c>
      <c r="D591" s="75">
        <v>225.91</v>
      </c>
      <c r="E591" s="6" t="s">
        <v>39</v>
      </c>
      <c r="F591" s="76">
        <v>66.496499999999997</v>
      </c>
      <c r="G591" s="76" t="s">
        <v>40</v>
      </c>
      <c r="H591" s="76">
        <f t="shared" si="9"/>
        <v>-0.47449999999999193</v>
      </c>
      <c r="I591" s="77">
        <v>-0.20221606835393999</v>
      </c>
      <c r="J591" s="78">
        <v>10.294255013240047</v>
      </c>
      <c r="K591" s="79">
        <v>0.89829835741170427</v>
      </c>
    </row>
    <row r="592" spans="1:11" x14ac:dyDescent="0.35">
      <c r="A592" t="s">
        <v>1383</v>
      </c>
      <c r="B592" s="73" t="s">
        <v>37</v>
      </c>
      <c r="C592" s="74" t="s">
        <v>38</v>
      </c>
      <c r="D592" s="75">
        <v>225.94</v>
      </c>
      <c r="E592" s="6" t="s">
        <v>39</v>
      </c>
      <c r="F592" s="76">
        <v>66.498121999999995</v>
      </c>
      <c r="G592" s="76" t="s">
        <v>40</v>
      </c>
      <c r="H592" s="76">
        <f t="shared" si="9"/>
        <v>-0.4761219999999895</v>
      </c>
      <c r="I592" s="77">
        <v>-8.2946552792556402E-2</v>
      </c>
      <c r="J592" s="78">
        <v>9.763716009175937</v>
      </c>
      <c r="K592" s="79">
        <v>0.36775935334759424</v>
      </c>
    </row>
    <row r="593" spans="1:11" x14ac:dyDescent="0.35">
      <c r="A593" t="s">
        <v>1383</v>
      </c>
      <c r="B593" s="73" t="s">
        <v>37</v>
      </c>
      <c r="C593" s="74" t="s">
        <v>38</v>
      </c>
      <c r="D593" s="75">
        <v>225.97</v>
      </c>
      <c r="E593" s="6" t="s">
        <v>39</v>
      </c>
      <c r="F593" s="76">
        <v>66.499745000000004</v>
      </c>
      <c r="G593" s="76" t="s">
        <v>40</v>
      </c>
      <c r="H593" s="76">
        <f t="shared" si="9"/>
        <v>-0.47774499999999875</v>
      </c>
      <c r="I593" s="77">
        <v>-0.128892944681121</v>
      </c>
      <c r="J593" s="78">
        <v>9.9678535829794441</v>
      </c>
      <c r="K593" s="79">
        <v>0.57189692715110141</v>
      </c>
    </row>
    <row r="594" spans="1:11" x14ac:dyDescent="0.35">
      <c r="A594" t="s">
        <v>1383</v>
      </c>
      <c r="B594" s="73" t="s">
        <v>37</v>
      </c>
      <c r="C594" s="74" t="s">
        <v>38</v>
      </c>
      <c r="D594" s="75">
        <v>226</v>
      </c>
      <c r="E594" s="6" t="s">
        <v>39</v>
      </c>
      <c r="F594" s="76">
        <v>66.501367000000002</v>
      </c>
      <c r="G594" s="76" t="s">
        <v>40</v>
      </c>
      <c r="H594" s="76">
        <f t="shared" si="9"/>
        <v>-0.47936699999999632</v>
      </c>
      <c r="I594" s="77">
        <v>-0.174139481538826</v>
      </c>
      <c r="J594" s="78">
        <v>10.169179022986953</v>
      </c>
      <c r="K594" s="79">
        <v>0.77322236715860981</v>
      </c>
    </row>
    <row r="595" spans="1:11" x14ac:dyDescent="0.35">
      <c r="A595" t="s">
        <v>1383</v>
      </c>
      <c r="B595" s="73" t="s">
        <v>37</v>
      </c>
      <c r="C595" s="74" t="s">
        <v>38</v>
      </c>
      <c r="D595" s="75">
        <v>226.03</v>
      </c>
      <c r="E595" s="6" t="s">
        <v>39</v>
      </c>
      <c r="F595" s="76">
        <v>66.502989999999997</v>
      </c>
      <c r="G595" s="76" t="s">
        <v>40</v>
      </c>
      <c r="H595" s="76">
        <f t="shared" si="9"/>
        <v>-0.48098999999999137</v>
      </c>
      <c r="I595" s="77">
        <v>-8.2567802183603198E-2</v>
      </c>
      <c r="J595" s="78">
        <v>9.7620345010106462</v>
      </c>
      <c r="K595" s="79">
        <v>0.36607784518230346</v>
      </c>
    </row>
    <row r="596" spans="1:11" x14ac:dyDescent="0.35">
      <c r="A596" t="s">
        <v>1383</v>
      </c>
      <c r="B596" s="73" t="s">
        <v>37</v>
      </c>
      <c r="C596" s="74" t="s">
        <v>38</v>
      </c>
      <c r="D596" s="75">
        <v>226.06</v>
      </c>
      <c r="E596" s="6" t="s">
        <v>39</v>
      </c>
      <c r="F596" s="76">
        <v>66.504611999999995</v>
      </c>
      <c r="G596" s="76" t="s">
        <v>40</v>
      </c>
      <c r="H596" s="76">
        <f t="shared" si="9"/>
        <v>-0.48261199999998894</v>
      </c>
      <c r="I596" s="77">
        <v>-4.4946083769641402E-3</v>
      </c>
      <c r="J596" s="78">
        <v>9.4158590759756748</v>
      </c>
      <c r="K596" s="79">
        <v>1.9902420147332123E-2</v>
      </c>
    </row>
    <row r="597" spans="1:11" x14ac:dyDescent="0.35">
      <c r="A597" t="s">
        <v>1383</v>
      </c>
      <c r="B597" s="73" t="s">
        <v>37</v>
      </c>
      <c r="C597" s="74" t="s">
        <v>38</v>
      </c>
      <c r="D597" s="75">
        <v>226.09</v>
      </c>
      <c r="E597" s="6" t="s">
        <v>39</v>
      </c>
      <c r="F597" s="76">
        <v>66.506235000000004</v>
      </c>
      <c r="G597" s="76" t="s">
        <v>40</v>
      </c>
      <c r="H597" s="76">
        <f t="shared" si="9"/>
        <v>-0.48423499999999819</v>
      </c>
      <c r="I597" s="77">
        <v>-0.18456226279401999</v>
      </c>
      <c r="J597" s="78">
        <v>10.215597286725995</v>
      </c>
      <c r="K597" s="79">
        <v>0.81964063089765204</v>
      </c>
    </row>
    <row r="598" spans="1:11" x14ac:dyDescent="0.35">
      <c r="A598" t="s">
        <v>1383</v>
      </c>
      <c r="B598" s="73" t="s">
        <v>37</v>
      </c>
      <c r="C598" s="74" t="s">
        <v>38</v>
      </c>
      <c r="D598" s="75">
        <v>226.12</v>
      </c>
      <c r="E598" s="6" t="s">
        <v>39</v>
      </c>
      <c r="F598" s="76">
        <v>66.507857000000001</v>
      </c>
      <c r="G598" s="76" t="s">
        <v>40</v>
      </c>
      <c r="H598" s="76">
        <f t="shared" si="9"/>
        <v>-0.48585699999999576</v>
      </c>
      <c r="I598" s="77">
        <v>-0.19166336819652799</v>
      </c>
      <c r="J598" s="78">
        <v>10.247231326902408</v>
      </c>
      <c r="K598" s="79">
        <v>0.85127467107406574</v>
      </c>
    </row>
    <row r="599" spans="1:11" x14ac:dyDescent="0.35">
      <c r="A599" t="s">
        <v>1383</v>
      </c>
      <c r="B599" s="73" t="s">
        <v>37</v>
      </c>
      <c r="C599" s="74" t="s">
        <v>38</v>
      </c>
      <c r="D599" s="75">
        <v>226.15</v>
      </c>
      <c r="E599" s="6" t="s">
        <v>39</v>
      </c>
      <c r="F599" s="76">
        <v>66.509479999999996</v>
      </c>
      <c r="G599" s="76" t="s">
        <v>40</v>
      </c>
      <c r="H599" s="76">
        <f t="shared" si="9"/>
        <v>-0.48747999999999081</v>
      </c>
      <c r="I599" s="77">
        <v>-0.121026379764021</v>
      </c>
      <c r="J599" s="78">
        <v>9.9328812551125338</v>
      </c>
      <c r="K599" s="79">
        <v>0.53692459928419112</v>
      </c>
    </row>
    <row r="600" spans="1:11" x14ac:dyDescent="0.35">
      <c r="A600" t="s">
        <v>1383</v>
      </c>
      <c r="B600" s="73" t="s">
        <v>37</v>
      </c>
      <c r="C600" s="74" t="s">
        <v>38</v>
      </c>
      <c r="D600" s="75">
        <v>226.18</v>
      </c>
      <c r="E600" s="6" t="s">
        <v>39</v>
      </c>
      <c r="F600" s="76">
        <v>66.511101999999994</v>
      </c>
      <c r="G600" s="76" t="s">
        <v>40</v>
      </c>
      <c r="H600" s="76">
        <f t="shared" si="9"/>
        <v>-0.48910199999998838</v>
      </c>
      <c r="I600" s="77">
        <v>-0.14183565142502</v>
      </c>
      <c r="J600" s="78">
        <v>10.025412282752484</v>
      </c>
      <c r="K600" s="79">
        <v>0.62945562692414114</v>
      </c>
    </row>
    <row r="601" spans="1:11" x14ac:dyDescent="0.35">
      <c r="A601" t="s">
        <v>1383</v>
      </c>
      <c r="B601" s="73" t="s">
        <v>37</v>
      </c>
      <c r="C601" s="74" t="s">
        <v>38</v>
      </c>
      <c r="D601" s="75">
        <v>226.21</v>
      </c>
      <c r="E601" s="6" t="s">
        <v>39</v>
      </c>
      <c r="F601" s="76">
        <v>66.512724000000006</v>
      </c>
      <c r="G601" s="76" t="s">
        <v>40</v>
      </c>
      <c r="H601" s="76">
        <f t="shared" si="9"/>
        <v>-0.49072400000000016</v>
      </c>
      <c r="I601" s="77">
        <v>-0.18666552058174801</v>
      </c>
      <c r="J601" s="78">
        <v>10.224966130588825</v>
      </c>
      <c r="K601" s="79">
        <v>0.82900947476048259</v>
      </c>
    </row>
    <row r="602" spans="1:11" x14ac:dyDescent="0.35">
      <c r="A602" t="s">
        <v>1383</v>
      </c>
      <c r="B602" s="73" t="s">
        <v>37</v>
      </c>
      <c r="C602" s="74" t="s">
        <v>38</v>
      </c>
      <c r="D602" s="75">
        <v>226.24</v>
      </c>
      <c r="E602" s="6" t="s">
        <v>39</v>
      </c>
      <c r="F602" s="76">
        <v>66.514347000000001</v>
      </c>
      <c r="G602" s="76" t="s">
        <v>40</v>
      </c>
      <c r="H602" s="76">
        <f t="shared" si="9"/>
        <v>-0.49234699999999521</v>
      </c>
      <c r="I602" s="77">
        <v>-0.11397256710992699</v>
      </c>
      <c r="J602" s="78">
        <v>9.9015297539702942</v>
      </c>
      <c r="K602" s="79">
        <v>0.5055730981419515</v>
      </c>
    </row>
    <row r="603" spans="1:11" x14ac:dyDescent="0.35">
      <c r="A603" t="s">
        <v>1383</v>
      </c>
      <c r="B603" s="73" t="s">
        <v>37</v>
      </c>
      <c r="C603" s="74" t="s">
        <v>38</v>
      </c>
      <c r="D603" s="75">
        <v>226.27</v>
      </c>
      <c r="E603" s="6" t="s">
        <v>39</v>
      </c>
      <c r="F603" s="76">
        <v>66.515968999999998</v>
      </c>
      <c r="G603" s="76" t="s">
        <v>40</v>
      </c>
      <c r="H603" s="76">
        <f t="shared" si="9"/>
        <v>-0.49396899999999277</v>
      </c>
      <c r="I603" s="77">
        <v>-2.7563382136547802E-2</v>
      </c>
      <c r="J603" s="78">
        <v>9.5180546675024402</v>
      </c>
      <c r="K603" s="79">
        <v>0.12209801167409751</v>
      </c>
    </row>
    <row r="604" spans="1:11" x14ac:dyDescent="0.35">
      <c r="A604" t="s">
        <v>1383</v>
      </c>
      <c r="B604" s="73" t="s">
        <v>37</v>
      </c>
      <c r="C604" s="74" t="s">
        <v>38</v>
      </c>
      <c r="D604" s="75">
        <v>226.3</v>
      </c>
      <c r="E604" s="6" t="s">
        <v>39</v>
      </c>
      <c r="F604" s="76">
        <v>66.517591999999993</v>
      </c>
      <c r="G604" s="76" t="s">
        <v>40</v>
      </c>
      <c r="H604" s="76">
        <f t="shared" si="9"/>
        <v>-0.49559199999998782</v>
      </c>
      <c r="I604" s="77">
        <v>-0.10147655589030399</v>
      </c>
      <c r="J604" s="78">
        <v>9.8460073475060312</v>
      </c>
      <c r="K604" s="79">
        <v>0.45005069167768852</v>
      </c>
    </row>
    <row r="605" spans="1:11" x14ac:dyDescent="0.35">
      <c r="A605" t="s">
        <v>1383</v>
      </c>
      <c r="B605" s="73" t="s">
        <v>37</v>
      </c>
      <c r="C605" s="74" t="s">
        <v>38</v>
      </c>
      <c r="D605" s="75">
        <v>226.33</v>
      </c>
      <c r="E605" s="6" t="s">
        <v>39</v>
      </c>
      <c r="F605" s="76">
        <v>66.519214000000005</v>
      </c>
      <c r="G605" s="76" t="s">
        <v>40</v>
      </c>
      <c r="H605" s="76">
        <f t="shared" si="9"/>
        <v>-0.4972139999999996</v>
      </c>
      <c r="I605" s="77">
        <v>-5.2618723417816503E-2</v>
      </c>
      <c r="J605" s="78">
        <v>9.6291372845439582</v>
      </c>
      <c r="K605" s="79">
        <v>0.23318062871561551</v>
      </c>
    </row>
    <row r="606" spans="1:11" x14ac:dyDescent="0.35">
      <c r="A606" t="s">
        <v>1383</v>
      </c>
      <c r="B606" s="73" t="s">
        <v>37</v>
      </c>
      <c r="C606" s="74" t="s">
        <v>38</v>
      </c>
      <c r="D606" s="75">
        <v>226.36</v>
      </c>
      <c r="E606" s="6" t="s">
        <v>39</v>
      </c>
      <c r="F606" s="76">
        <v>66.520837</v>
      </c>
      <c r="G606" s="76" t="s">
        <v>40</v>
      </c>
      <c r="H606" s="76">
        <f t="shared" si="9"/>
        <v>-0.49883699999999465</v>
      </c>
      <c r="I606" s="77">
        <v>2.1495102857969099E-3</v>
      </c>
      <c r="J606" s="78">
        <v>9.3864395061674486</v>
      </c>
      <c r="K606" s="79">
        <v>-9.5171496608941197E-3</v>
      </c>
    </row>
    <row r="607" spans="1:11" x14ac:dyDescent="0.35">
      <c r="A607" t="s">
        <v>1383</v>
      </c>
      <c r="B607" s="73" t="s">
        <v>37</v>
      </c>
      <c r="C607" s="74" t="s">
        <v>38</v>
      </c>
      <c r="D607" s="75">
        <v>226.39</v>
      </c>
      <c r="E607" s="6" t="s">
        <v>39</v>
      </c>
      <c r="F607" s="76">
        <v>66.522458999999998</v>
      </c>
      <c r="G607" s="76" t="s">
        <v>40</v>
      </c>
      <c r="H607" s="76">
        <f t="shared" si="9"/>
        <v>-0.50045899999999222</v>
      </c>
      <c r="I607" s="77">
        <v>-0.104688816525949</v>
      </c>
      <c r="J607" s="78">
        <v>9.8602779508767071</v>
      </c>
      <c r="K607" s="79">
        <v>0.46432129504836439</v>
      </c>
    </row>
    <row r="608" spans="1:11" x14ac:dyDescent="0.35">
      <c r="A608" t="s">
        <v>1383</v>
      </c>
      <c r="B608" s="73" t="s">
        <v>37</v>
      </c>
      <c r="C608" s="74" t="s">
        <v>38</v>
      </c>
      <c r="D608" s="75">
        <v>226.42</v>
      </c>
      <c r="E608" s="6" t="s">
        <v>39</v>
      </c>
      <c r="F608" s="76">
        <v>66.524013999999994</v>
      </c>
      <c r="G608" s="76" t="s">
        <v>40</v>
      </c>
      <c r="H608" s="76">
        <f t="shared" si="9"/>
        <v>-0.50201399999998841</v>
      </c>
      <c r="I608" s="77">
        <v>1.49938903111125E-2</v>
      </c>
      <c r="J608" s="78">
        <v>9.3295836466265882</v>
      </c>
      <c r="K608" s="79">
        <v>-6.6373009201754485E-2</v>
      </c>
    </row>
    <row r="609" spans="1:11" x14ac:dyDescent="0.35">
      <c r="A609" t="s">
        <v>1383</v>
      </c>
      <c r="B609" s="73" t="s">
        <v>37</v>
      </c>
      <c r="C609" s="74" t="s">
        <v>38</v>
      </c>
      <c r="D609" s="75">
        <v>226.45</v>
      </c>
      <c r="E609" s="6" t="s">
        <v>39</v>
      </c>
      <c r="F609" s="76">
        <v>66.525536000000002</v>
      </c>
      <c r="G609" s="76" t="s">
        <v>40</v>
      </c>
      <c r="H609" s="76">
        <f t="shared" si="9"/>
        <v>-0.50353599999999687</v>
      </c>
      <c r="I609" s="77">
        <v>-1.2857177030533899E-2</v>
      </c>
      <c r="J609" s="78">
        <v>9.4528967780343578</v>
      </c>
      <c r="K609" s="79">
        <v>5.6940122206015076E-2</v>
      </c>
    </row>
    <row r="610" spans="1:11" x14ac:dyDescent="0.35">
      <c r="A610" t="s">
        <v>1383</v>
      </c>
      <c r="B610" s="73" t="s">
        <v>37</v>
      </c>
      <c r="C610" s="74" t="s">
        <v>38</v>
      </c>
      <c r="D610" s="75">
        <v>226.48</v>
      </c>
      <c r="E610" s="6" t="s">
        <v>39</v>
      </c>
      <c r="F610" s="76">
        <v>66.527056999999999</v>
      </c>
      <c r="G610" s="76" t="s">
        <v>40</v>
      </c>
      <c r="H610" s="76">
        <f t="shared" si="9"/>
        <v>-0.50505699999999365</v>
      </c>
      <c r="I610" s="77">
        <v>-0.108545243268843</v>
      </c>
      <c r="J610" s="78">
        <v>9.8774122511397877</v>
      </c>
      <c r="K610" s="79">
        <v>0.48145559531144499</v>
      </c>
    </row>
    <row r="611" spans="1:11" x14ac:dyDescent="0.35">
      <c r="A611" t="s">
        <v>1383</v>
      </c>
      <c r="B611" s="73" t="s">
        <v>37</v>
      </c>
      <c r="C611" s="74" t="s">
        <v>38</v>
      </c>
      <c r="D611" s="75">
        <v>226.54</v>
      </c>
      <c r="E611" s="6" t="s">
        <v>39</v>
      </c>
      <c r="F611" s="76">
        <v>66.530100000000004</v>
      </c>
      <c r="G611" s="76" t="s">
        <v>40</v>
      </c>
      <c r="H611" s="76">
        <f t="shared" si="9"/>
        <v>-0.50809999999999889</v>
      </c>
      <c r="I611" s="77">
        <v>-0.16768479891761501</v>
      </c>
      <c r="J611" s="78">
        <v>10.140440708484618</v>
      </c>
      <c r="K611" s="79">
        <v>0.74448405265627571</v>
      </c>
    </row>
    <row r="612" spans="1:11" x14ac:dyDescent="0.35">
      <c r="A612" t="s">
        <v>1383</v>
      </c>
      <c r="B612" s="73" t="s">
        <v>37</v>
      </c>
      <c r="C612" s="74" t="s">
        <v>38</v>
      </c>
      <c r="D612" s="75">
        <v>226.57</v>
      </c>
      <c r="E612" s="6" t="s">
        <v>39</v>
      </c>
      <c r="F612" s="76">
        <v>66.531621000000001</v>
      </c>
      <c r="G612" s="76" t="s">
        <v>40</v>
      </c>
      <c r="H612" s="76">
        <f t="shared" si="9"/>
        <v>-0.50962099999999566</v>
      </c>
      <c r="I612" s="77">
        <v>5.4443200560720897E-2</v>
      </c>
      <c r="J612" s="78">
        <v>9.155108163041632</v>
      </c>
      <c r="K612" s="79">
        <v>-0.24084849278671072</v>
      </c>
    </row>
    <row r="613" spans="1:11" x14ac:dyDescent="0.35">
      <c r="A613" t="s">
        <v>1383</v>
      </c>
      <c r="B613" s="73" t="s">
        <v>37</v>
      </c>
      <c r="C613" s="74" t="s">
        <v>38</v>
      </c>
      <c r="D613" s="75">
        <v>226.6</v>
      </c>
      <c r="E613" s="6" t="s">
        <v>39</v>
      </c>
      <c r="F613" s="76">
        <v>66.533141999999998</v>
      </c>
      <c r="G613" s="76" t="s">
        <v>40</v>
      </c>
      <c r="H613" s="76">
        <f t="shared" si="9"/>
        <v>-0.51114199999999244</v>
      </c>
      <c r="I613" s="77">
        <v>-9.1657756172580703E-3</v>
      </c>
      <c r="J613" s="78">
        <v>9.4365463765719255</v>
      </c>
      <c r="K613" s="79">
        <v>4.0589720743582802E-2</v>
      </c>
    </row>
    <row r="614" spans="1:11" x14ac:dyDescent="0.35">
      <c r="A614" t="s">
        <v>1383</v>
      </c>
      <c r="B614" s="73" t="s">
        <v>37</v>
      </c>
      <c r="C614" s="74" t="s">
        <v>38</v>
      </c>
      <c r="D614" s="75">
        <v>226.63</v>
      </c>
      <c r="E614" s="6" t="s">
        <v>39</v>
      </c>
      <c r="F614" s="76">
        <v>66.534664000000006</v>
      </c>
      <c r="G614" s="76" t="s">
        <v>40</v>
      </c>
      <c r="H614" s="76">
        <f t="shared" si="9"/>
        <v>-0.5126640000000009</v>
      </c>
      <c r="I614" s="77">
        <v>-0.159286253927507</v>
      </c>
      <c r="J614" s="78">
        <v>10.103056700719662</v>
      </c>
      <c r="K614" s="79">
        <v>0.70710004489131961</v>
      </c>
    </row>
    <row r="615" spans="1:11" x14ac:dyDescent="0.35">
      <c r="A615" t="s">
        <v>1383</v>
      </c>
      <c r="B615" s="73" t="s">
        <v>37</v>
      </c>
      <c r="C615" s="74" t="s">
        <v>38</v>
      </c>
      <c r="D615" s="75">
        <v>226.66</v>
      </c>
      <c r="E615" s="6" t="s">
        <v>39</v>
      </c>
      <c r="F615" s="76">
        <v>66.536185000000003</v>
      </c>
      <c r="G615" s="76" t="s">
        <v>40</v>
      </c>
      <c r="H615" s="76">
        <f t="shared" si="9"/>
        <v>-0.51418499999999767</v>
      </c>
      <c r="I615" s="77">
        <v>-7.6947638518470501E-2</v>
      </c>
      <c r="J615" s="78">
        <v>9.7370855426003686</v>
      </c>
      <c r="K615" s="79">
        <v>0.34112888677202591</v>
      </c>
    </row>
    <row r="616" spans="1:11" x14ac:dyDescent="0.35">
      <c r="A616" t="s">
        <v>1383</v>
      </c>
      <c r="B616" s="73" t="s">
        <v>37</v>
      </c>
      <c r="C616" s="74" t="s">
        <v>38</v>
      </c>
      <c r="D616" s="75">
        <v>226.69</v>
      </c>
      <c r="E616" s="6" t="s">
        <v>39</v>
      </c>
      <c r="F616" s="76">
        <v>66.537706</v>
      </c>
      <c r="G616" s="76" t="s">
        <v>40</v>
      </c>
      <c r="H616" s="76">
        <f t="shared" si="9"/>
        <v>-0.51570599999999445</v>
      </c>
      <c r="I616" s="77">
        <v>-2.1484623904057001E-2</v>
      </c>
      <c r="J616" s="78">
        <v>9.4911181239336884</v>
      </c>
      <c r="K616" s="79">
        <v>9.5161468105345648E-2</v>
      </c>
    </row>
    <row r="617" spans="1:11" x14ac:dyDescent="0.35">
      <c r="A617" t="s">
        <v>1383</v>
      </c>
      <c r="B617" s="73" t="s">
        <v>37</v>
      </c>
      <c r="C617" s="74" t="s">
        <v>38</v>
      </c>
      <c r="D617" s="75">
        <v>226.72</v>
      </c>
      <c r="E617" s="6" t="s">
        <v>39</v>
      </c>
      <c r="F617" s="76">
        <v>66.539226999999997</v>
      </c>
      <c r="G617" s="76" t="s">
        <v>40</v>
      </c>
      <c r="H617" s="76">
        <f t="shared" si="9"/>
        <v>-0.51722699999999122</v>
      </c>
      <c r="I617" s="77">
        <v>9.2370982389633504E-4</v>
      </c>
      <c r="J617" s="78">
        <v>9.3918667666326883</v>
      </c>
      <c r="K617" s="79">
        <v>-4.0898891956544503E-3</v>
      </c>
    </row>
    <row r="618" spans="1:11" x14ac:dyDescent="0.35">
      <c r="A618" t="s">
        <v>1383</v>
      </c>
      <c r="B618" s="73" t="s">
        <v>37</v>
      </c>
      <c r="C618" s="74" t="s">
        <v>38</v>
      </c>
      <c r="D618" s="75">
        <v>226.75</v>
      </c>
      <c r="E618" s="6" t="s">
        <v>39</v>
      </c>
      <c r="F618" s="76">
        <v>66.540749000000005</v>
      </c>
      <c r="G618" s="76" t="s">
        <v>40</v>
      </c>
      <c r="H618" s="76">
        <f t="shared" si="9"/>
        <v>-0.51874899999999968</v>
      </c>
      <c r="I618" s="77">
        <v>-1.4359088579286E-2</v>
      </c>
      <c r="J618" s="78">
        <v>9.459549785064894</v>
      </c>
      <c r="K618" s="79">
        <v>6.3593129236551249E-2</v>
      </c>
    </row>
    <row r="619" spans="1:11" x14ac:dyDescent="0.35">
      <c r="A619" t="s">
        <v>1383</v>
      </c>
      <c r="B619" s="73" t="s">
        <v>37</v>
      </c>
      <c r="C619" s="74" t="s">
        <v>38</v>
      </c>
      <c r="D619" s="75">
        <v>226.78</v>
      </c>
      <c r="E619" s="6" t="s">
        <v>39</v>
      </c>
      <c r="F619" s="76">
        <v>66.542270000000002</v>
      </c>
      <c r="G619" s="76" t="s">
        <v>40</v>
      </c>
      <c r="H619" s="76">
        <f t="shared" si="9"/>
        <v>-0.52026999999999646</v>
      </c>
      <c r="I619" s="77">
        <v>-0.155566693326502</v>
      </c>
      <c r="J619" s="78">
        <v>10.086503266160094</v>
      </c>
      <c r="K619" s="79">
        <v>0.6905466103317508</v>
      </c>
    </row>
    <row r="620" spans="1:11" x14ac:dyDescent="0.35">
      <c r="A620" t="s">
        <v>1383</v>
      </c>
      <c r="B620" s="73" t="s">
        <v>37</v>
      </c>
      <c r="C620" s="74" t="s">
        <v>38</v>
      </c>
      <c r="D620" s="75">
        <v>226.81</v>
      </c>
      <c r="E620" s="6" t="s">
        <v>39</v>
      </c>
      <c r="F620" s="76">
        <v>66.543790999999999</v>
      </c>
      <c r="G620" s="76" t="s">
        <v>40</v>
      </c>
      <c r="H620" s="76">
        <f t="shared" si="9"/>
        <v>-0.52179099999999323</v>
      </c>
      <c r="I620" s="77">
        <v>-6.1549329018495601E-2</v>
      </c>
      <c r="J620" s="78">
        <v>9.6687528211894573</v>
      </c>
      <c r="K620" s="79">
        <v>0.27279616536111462</v>
      </c>
    </row>
    <row r="621" spans="1:11" x14ac:dyDescent="0.35">
      <c r="A621" t="s">
        <v>1383</v>
      </c>
      <c r="B621" s="73" t="s">
        <v>37</v>
      </c>
      <c r="C621" s="74" t="s">
        <v>38</v>
      </c>
      <c r="D621" s="75">
        <v>226.84</v>
      </c>
      <c r="E621" s="6" t="s">
        <v>39</v>
      </c>
      <c r="F621" s="76">
        <v>66.545312999999993</v>
      </c>
      <c r="G621" s="76" t="s">
        <v>40</v>
      </c>
      <c r="H621" s="76">
        <f t="shared" si="9"/>
        <v>-0.52331299999998748</v>
      </c>
      <c r="I621" s="77">
        <v>-9.3977605183430901E-2</v>
      </c>
      <c r="J621" s="78">
        <v>9.812698721847994</v>
      </c>
      <c r="K621" s="79">
        <v>0.41674206601965125</v>
      </c>
    </row>
    <row r="622" spans="1:11" x14ac:dyDescent="0.35">
      <c r="A622" t="s">
        <v>1383</v>
      </c>
      <c r="B622" s="73" t="s">
        <v>37</v>
      </c>
      <c r="C622" s="74" t="s">
        <v>38</v>
      </c>
      <c r="D622" s="75">
        <v>226.87</v>
      </c>
      <c r="E622" s="6" t="s">
        <v>39</v>
      </c>
      <c r="F622" s="76">
        <v>66.546834000000004</v>
      </c>
      <c r="G622" s="76" t="s">
        <v>40</v>
      </c>
      <c r="H622" s="76">
        <f t="shared" si="9"/>
        <v>-0.52483399999999847</v>
      </c>
      <c r="I622" s="77">
        <v>6.2879593392857801E-3</v>
      </c>
      <c r="J622" s="78">
        <v>9.3681180146115821</v>
      </c>
      <c r="K622" s="79">
        <v>-2.7838641216760607E-2</v>
      </c>
    </row>
    <row r="623" spans="1:11" x14ac:dyDescent="0.35">
      <c r="A623" t="s">
        <v>1383</v>
      </c>
      <c r="B623" s="73" t="s">
        <v>37</v>
      </c>
      <c r="C623" s="74" t="s">
        <v>38</v>
      </c>
      <c r="D623" s="75">
        <v>226.9</v>
      </c>
      <c r="E623" s="6" t="s">
        <v>39</v>
      </c>
      <c r="F623" s="76">
        <v>66.548355000000001</v>
      </c>
      <c r="G623" s="76" t="s">
        <v>40</v>
      </c>
      <c r="H623" s="76">
        <f t="shared" si="9"/>
        <v>-0.52635499999999524</v>
      </c>
      <c r="I623" s="77">
        <v>-0.14483382934314901</v>
      </c>
      <c r="J623" s="78">
        <v>10.038749200268342</v>
      </c>
      <c r="K623" s="79">
        <v>0.64279254443999889</v>
      </c>
    </row>
    <row r="624" spans="1:11" x14ac:dyDescent="0.35">
      <c r="A624" t="s">
        <v>1383</v>
      </c>
      <c r="B624" s="73" t="s">
        <v>37</v>
      </c>
      <c r="C624" s="74" t="s">
        <v>38</v>
      </c>
      <c r="D624" s="75">
        <v>226.93</v>
      </c>
      <c r="E624" s="6" t="s">
        <v>39</v>
      </c>
      <c r="F624" s="76">
        <v>66.549876999999995</v>
      </c>
      <c r="G624" s="76" t="s">
        <v>40</v>
      </c>
      <c r="H624" s="76">
        <f t="shared" si="9"/>
        <v>-0.52787699999998949</v>
      </c>
      <c r="I624" s="77">
        <v>-0.16330315899211301</v>
      </c>
      <c r="J624" s="78">
        <v>10.120935671655104</v>
      </c>
      <c r="K624" s="79">
        <v>0.7249790158267615</v>
      </c>
    </row>
    <row r="625" spans="1:11" x14ac:dyDescent="0.35">
      <c r="A625" t="s">
        <v>1383</v>
      </c>
      <c r="B625" s="73" t="s">
        <v>37</v>
      </c>
      <c r="C625" s="74" t="s">
        <v>38</v>
      </c>
      <c r="D625" s="75">
        <v>226.96</v>
      </c>
      <c r="E625" s="6" t="s">
        <v>39</v>
      </c>
      <c r="F625" s="76">
        <v>66.551398000000006</v>
      </c>
      <c r="G625" s="76" t="s">
        <v>40</v>
      </c>
      <c r="H625" s="76">
        <f t="shared" si="9"/>
        <v>-0.52939800000000048</v>
      </c>
      <c r="I625" s="77">
        <v>-0.12762609472012701</v>
      </c>
      <c r="J625" s="78">
        <v>9.9622209554239021</v>
      </c>
      <c r="K625" s="79">
        <v>0.56626429959555935</v>
      </c>
    </row>
    <row r="626" spans="1:11" x14ac:dyDescent="0.35">
      <c r="A626" t="s">
        <v>1383</v>
      </c>
      <c r="B626" s="73" t="s">
        <v>37</v>
      </c>
      <c r="C626" s="74" t="s">
        <v>38</v>
      </c>
      <c r="D626" s="75">
        <v>226.99</v>
      </c>
      <c r="E626" s="6" t="s">
        <v>39</v>
      </c>
      <c r="F626" s="76">
        <v>66.552919000000003</v>
      </c>
      <c r="G626" s="76" t="s">
        <v>40</v>
      </c>
      <c r="H626" s="76">
        <f t="shared" si="9"/>
        <v>-0.53091899999999725</v>
      </c>
      <c r="I626" s="77">
        <v>-7.2471711155056599E-3</v>
      </c>
      <c r="J626" s="78">
        <v>9.4280490325671167</v>
      </c>
      <c r="K626" s="79">
        <v>3.2092376738773964E-2</v>
      </c>
    </row>
    <row r="627" spans="1:11" x14ac:dyDescent="0.35">
      <c r="A627" t="s">
        <v>1383</v>
      </c>
      <c r="B627" s="73" t="s">
        <v>37</v>
      </c>
      <c r="C627" s="74" t="s">
        <v>38</v>
      </c>
      <c r="D627" s="75">
        <v>227.01</v>
      </c>
      <c r="E627" s="6" t="s">
        <v>39</v>
      </c>
      <c r="F627" s="76">
        <v>66.553933999999998</v>
      </c>
      <c r="G627" s="76" t="s">
        <v>40</v>
      </c>
      <c r="H627" s="76">
        <f t="shared" si="9"/>
        <v>-0.53193399999999258</v>
      </c>
      <c r="I627" s="77">
        <v>-0.16420608727071401</v>
      </c>
      <c r="J627" s="78">
        <v>10.124954864528661</v>
      </c>
      <c r="K627" s="79">
        <v>0.72899820870031817</v>
      </c>
    </row>
    <row r="628" spans="1:11" x14ac:dyDescent="0.35">
      <c r="A628" t="s">
        <v>1383</v>
      </c>
      <c r="B628" s="73" t="s">
        <v>37</v>
      </c>
      <c r="C628" s="74" t="s">
        <v>38</v>
      </c>
      <c r="D628" s="75">
        <v>227.04</v>
      </c>
      <c r="E628" s="6" t="s">
        <v>39</v>
      </c>
      <c r="F628" s="76">
        <v>66.555454999999995</v>
      </c>
      <c r="G628" s="76" t="s">
        <v>40</v>
      </c>
      <c r="H628" s="76">
        <f t="shared" si="9"/>
        <v>-0.53345499999998935</v>
      </c>
      <c r="I628" s="77">
        <v>-5.45422510129168E-2</v>
      </c>
      <c r="J628" s="78">
        <v>9.6376689496125891</v>
      </c>
      <c r="K628" s="79">
        <v>0.24171229378424641</v>
      </c>
    </row>
    <row r="629" spans="1:11" x14ac:dyDescent="0.35">
      <c r="A629" t="s">
        <v>1383</v>
      </c>
      <c r="B629" s="73" t="s">
        <v>37</v>
      </c>
      <c r="C629" s="74" t="s">
        <v>38</v>
      </c>
      <c r="D629" s="75">
        <v>227.07</v>
      </c>
      <c r="E629" s="6" t="s">
        <v>39</v>
      </c>
      <c r="F629" s="76">
        <v>66.556976000000006</v>
      </c>
      <c r="G629" s="76" t="s">
        <v>40</v>
      </c>
      <c r="H629" s="76">
        <f t="shared" si="9"/>
        <v>-0.53497600000000034</v>
      </c>
      <c r="I629" s="77">
        <v>-7.8576406020821304E-2</v>
      </c>
      <c r="J629" s="78">
        <v>9.7443154791150164</v>
      </c>
      <c r="K629" s="79">
        <v>0.34835882328667367</v>
      </c>
    </row>
    <row r="630" spans="1:11" x14ac:dyDescent="0.35">
      <c r="A630" t="s">
        <v>1383</v>
      </c>
      <c r="B630" s="73" t="s">
        <v>37</v>
      </c>
      <c r="C630" s="74" t="s">
        <v>38</v>
      </c>
      <c r="D630" s="75">
        <v>227.1</v>
      </c>
      <c r="E630" s="6" t="s">
        <v>39</v>
      </c>
      <c r="F630" s="76">
        <v>66.558498</v>
      </c>
      <c r="G630" s="76" t="s">
        <v>40</v>
      </c>
      <c r="H630" s="76">
        <f t="shared" si="9"/>
        <v>-0.53649799999999459</v>
      </c>
      <c r="I630" s="77">
        <v>5.5129005870793099E-2</v>
      </c>
      <c r="J630" s="78">
        <v>9.152076966240088</v>
      </c>
      <c r="K630" s="79">
        <v>-0.24387968958825468</v>
      </c>
    </row>
    <row r="631" spans="1:11" x14ac:dyDescent="0.35">
      <c r="A631" t="s">
        <v>1383</v>
      </c>
      <c r="B631" s="73" t="s">
        <v>37</v>
      </c>
      <c r="C631" s="74" t="s">
        <v>38</v>
      </c>
      <c r="D631" s="75">
        <v>227.13</v>
      </c>
      <c r="E631" s="6" t="s">
        <v>39</v>
      </c>
      <c r="F631" s="76">
        <v>66.560018999999997</v>
      </c>
      <c r="G631" s="76" t="s">
        <v>40</v>
      </c>
      <c r="H631" s="76">
        <f t="shared" si="9"/>
        <v>-0.53801899999999137</v>
      </c>
      <c r="I631" s="77">
        <v>0.144764059886763</v>
      </c>
      <c r="J631" s="78">
        <v>8.7564755120679933</v>
      </c>
      <c r="K631" s="79">
        <v>-0.63948114376034937</v>
      </c>
    </row>
    <row r="632" spans="1:11" x14ac:dyDescent="0.35">
      <c r="A632" t="s">
        <v>1383</v>
      </c>
      <c r="B632" s="73" t="s">
        <v>37</v>
      </c>
      <c r="C632" s="74" t="s">
        <v>38</v>
      </c>
      <c r="D632" s="75">
        <v>227.16</v>
      </c>
      <c r="E632" s="6" t="s">
        <v>39</v>
      </c>
      <c r="F632" s="76">
        <v>66.561539999999994</v>
      </c>
      <c r="G632" s="76" t="s">
        <v>40</v>
      </c>
      <c r="H632" s="76">
        <f t="shared" si="9"/>
        <v>-0.53953999999998814</v>
      </c>
      <c r="I632" s="77">
        <v>-0.117550120222829</v>
      </c>
      <c r="J632" s="78">
        <v>9.9174297145887635</v>
      </c>
      <c r="K632" s="79">
        <v>0.52147305876042083</v>
      </c>
    </row>
    <row r="633" spans="1:11" x14ac:dyDescent="0.35">
      <c r="A633" t="s">
        <v>1383</v>
      </c>
      <c r="B633" s="73" t="s">
        <v>37</v>
      </c>
      <c r="C633" s="74" t="s">
        <v>38</v>
      </c>
      <c r="D633" s="75">
        <v>227.19</v>
      </c>
      <c r="E633" s="6" t="s">
        <v>39</v>
      </c>
      <c r="F633" s="76">
        <v>66.563062000000002</v>
      </c>
      <c r="G633" s="76" t="s">
        <v>40</v>
      </c>
      <c r="H633" s="76">
        <f t="shared" si="9"/>
        <v>-0.5410619999999966</v>
      </c>
      <c r="I633" s="77">
        <v>2.3219093167416101E-2</v>
      </c>
      <c r="J633" s="78">
        <v>9.2931870512183536</v>
      </c>
      <c r="K633" s="79">
        <v>-0.10276960460998907</v>
      </c>
    </row>
    <row r="634" spans="1:11" x14ac:dyDescent="0.35">
      <c r="A634" t="s">
        <v>1383</v>
      </c>
      <c r="B634" s="73" t="s">
        <v>37</v>
      </c>
      <c r="C634" s="74" t="s">
        <v>38</v>
      </c>
      <c r="D634" s="75">
        <v>227.22</v>
      </c>
      <c r="E634" s="6" t="s">
        <v>39</v>
      </c>
      <c r="F634" s="76">
        <v>66.564582999999999</v>
      </c>
      <c r="G634" s="76" t="s">
        <v>40</v>
      </c>
      <c r="H634" s="76">
        <f t="shared" si="9"/>
        <v>-0.54258299999999338</v>
      </c>
      <c r="I634" s="77">
        <v>-1.0321067074763299E-2</v>
      </c>
      <c r="J634" s="78">
        <v>9.4416633232850131</v>
      </c>
      <c r="K634" s="79">
        <v>4.5706667456670402E-2</v>
      </c>
    </row>
    <row r="635" spans="1:11" x14ac:dyDescent="0.35">
      <c r="A635" t="s">
        <v>1383</v>
      </c>
      <c r="B635" s="73" t="s">
        <v>37</v>
      </c>
      <c r="C635" s="74" t="s">
        <v>38</v>
      </c>
      <c r="D635" s="75">
        <v>227.25</v>
      </c>
      <c r="E635" s="6" t="s">
        <v>39</v>
      </c>
      <c r="F635" s="76">
        <v>66.566103999999996</v>
      </c>
      <c r="G635" s="76" t="s">
        <v>40</v>
      </c>
      <c r="H635" s="76">
        <f t="shared" si="9"/>
        <v>-0.54410399999999015</v>
      </c>
      <c r="I635" s="77">
        <v>0.11394913466910001</v>
      </c>
      <c r="J635" s="78">
        <v>8.8923470803475766</v>
      </c>
      <c r="K635" s="79">
        <v>-0.50360957548076613</v>
      </c>
    </row>
    <row r="636" spans="1:11" x14ac:dyDescent="0.35">
      <c r="A636" t="s">
        <v>1383</v>
      </c>
      <c r="B636" s="73" t="s">
        <v>37</v>
      </c>
      <c r="C636" s="74" t="s">
        <v>38</v>
      </c>
      <c r="D636" s="75">
        <v>227.28</v>
      </c>
      <c r="E636" s="6" t="s">
        <v>39</v>
      </c>
      <c r="F636" s="76">
        <v>66.567626000000004</v>
      </c>
      <c r="G636" s="76" t="s">
        <v>40</v>
      </c>
      <c r="H636" s="76">
        <f t="shared" si="9"/>
        <v>-0.54562599999999861</v>
      </c>
      <c r="I636" s="77">
        <v>8.8717424576224405E-2</v>
      </c>
      <c r="J636" s="78">
        <v>9.0037013887813373</v>
      </c>
      <c r="K636" s="79">
        <v>-0.39225526704700542</v>
      </c>
    </row>
    <row r="637" spans="1:11" x14ac:dyDescent="0.35">
      <c r="A637" t="s">
        <v>1383</v>
      </c>
      <c r="B637" s="73" t="s">
        <v>37</v>
      </c>
      <c r="C637" s="74" t="s">
        <v>38</v>
      </c>
      <c r="D637" s="75">
        <v>227.31</v>
      </c>
      <c r="E637" s="6" t="s">
        <v>39</v>
      </c>
      <c r="F637" s="76">
        <v>66.569147000000001</v>
      </c>
      <c r="G637" s="76" t="s">
        <v>40</v>
      </c>
      <c r="H637" s="76">
        <f t="shared" si="9"/>
        <v>-0.54714699999999539</v>
      </c>
      <c r="I637" s="77">
        <v>-0.113975732459937</v>
      </c>
      <c r="J637" s="78">
        <v>9.9015438211350215</v>
      </c>
      <c r="K637" s="79">
        <v>0.5055871653066788</v>
      </c>
    </row>
    <row r="638" spans="1:11" x14ac:dyDescent="0.35">
      <c r="A638" t="s">
        <v>1383</v>
      </c>
      <c r="B638" s="73" t="s">
        <v>37</v>
      </c>
      <c r="C638" s="74" t="s">
        <v>38</v>
      </c>
      <c r="D638" s="75">
        <v>227.37</v>
      </c>
      <c r="E638" s="6" t="s">
        <v>39</v>
      </c>
      <c r="F638" s="76">
        <v>66.572190000000006</v>
      </c>
      <c r="G638" s="76" t="s">
        <v>40</v>
      </c>
      <c r="H638" s="76">
        <f t="shared" si="9"/>
        <v>-0.55019000000000062</v>
      </c>
      <c r="I638" s="77">
        <v>-0.105863679116954</v>
      </c>
      <c r="J638" s="78">
        <v>9.8654976984107066</v>
      </c>
      <c r="K638" s="79">
        <v>0.46954104258236384</v>
      </c>
    </row>
    <row r="639" spans="1:11" x14ac:dyDescent="0.35">
      <c r="A639" t="s">
        <v>1383</v>
      </c>
      <c r="B639" s="73" t="s">
        <v>37</v>
      </c>
      <c r="C639" s="74" t="s">
        <v>38</v>
      </c>
      <c r="D639" s="75">
        <v>227.4</v>
      </c>
      <c r="E639" s="6" t="s">
        <v>39</v>
      </c>
      <c r="F639" s="76">
        <v>66.573711000000003</v>
      </c>
      <c r="G639" s="76" t="s">
        <v>40</v>
      </c>
      <c r="H639" s="76">
        <f t="shared" si="9"/>
        <v>-0.5517109999999974</v>
      </c>
      <c r="I639" s="77">
        <v>-2.05343346379088E-2</v>
      </c>
      <c r="J639" s="78">
        <v>9.4869076262108365</v>
      </c>
      <c r="K639" s="79">
        <v>9.0950970382493779E-2</v>
      </c>
    </row>
    <row r="640" spans="1:11" x14ac:dyDescent="0.35">
      <c r="A640" t="s">
        <v>1383</v>
      </c>
      <c r="B640" s="73" t="s">
        <v>37</v>
      </c>
      <c r="C640" s="74" t="s">
        <v>38</v>
      </c>
      <c r="D640" s="75">
        <v>227.43</v>
      </c>
      <c r="E640" s="6" t="s">
        <v>39</v>
      </c>
      <c r="F640" s="76">
        <v>66.575232</v>
      </c>
      <c r="G640" s="76" t="s">
        <v>40</v>
      </c>
      <c r="H640" s="76">
        <f t="shared" si="9"/>
        <v>-0.55323199999999417</v>
      </c>
      <c r="I640" s="77">
        <v>-0.30424839588214497</v>
      </c>
      <c r="J640" s="78">
        <v>10.74975118315524</v>
      </c>
      <c r="K640" s="79">
        <v>1.3537945273268974</v>
      </c>
    </row>
    <row r="641" spans="1:11" x14ac:dyDescent="0.35">
      <c r="A641" t="s">
        <v>1383</v>
      </c>
      <c r="B641" s="73" t="s">
        <v>37</v>
      </c>
      <c r="C641" s="74" t="s">
        <v>38</v>
      </c>
      <c r="D641" s="75">
        <v>227.46</v>
      </c>
      <c r="E641" s="6" t="s">
        <v>39</v>
      </c>
      <c r="F641" s="76">
        <v>66.576753999999994</v>
      </c>
      <c r="G641" s="76" t="s">
        <v>40</v>
      </c>
      <c r="H641" s="76">
        <f t="shared" si="9"/>
        <v>-0.55475399999998842</v>
      </c>
      <c r="I641" s="77">
        <v>-2.72021388648514E-2</v>
      </c>
      <c r="J641" s="78">
        <v>9.5164537574449355</v>
      </c>
      <c r="K641" s="79">
        <v>0.12049710161659277</v>
      </c>
    </row>
    <row r="642" spans="1:11" x14ac:dyDescent="0.35">
      <c r="A642" t="s">
        <v>1383</v>
      </c>
      <c r="B642" s="73" t="s">
        <v>37</v>
      </c>
      <c r="C642" s="74" t="s">
        <v>38</v>
      </c>
      <c r="D642" s="75">
        <v>227.49</v>
      </c>
      <c r="E642" s="6" t="s">
        <v>39</v>
      </c>
      <c r="F642" s="76">
        <v>66.578275000000005</v>
      </c>
      <c r="G642" s="76" t="s">
        <v>40</v>
      </c>
      <c r="H642" s="76">
        <f t="shared" ref="H642:H705" si="10">66.022-F642</f>
        <v>-0.55627499999999941</v>
      </c>
      <c r="I642" s="77">
        <v>5.3957813156274903E-2</v>
      </c>
      <c r="J642" s="78">
        <v>9.157253571610056</v>
      </c>
      <c r="K642" s="79">
        <v>-0.23870308421828668</v>
      </c>
    </row>
    <row r="643" spans="1:11" x14ac:dyDescent="0.35">
      <c r="A643" t="s">
        <v>1383</v>
      </c>
      <c r="B643" s="73" t="s">
        <v>37</v>
      </c>
      <c r="C643" s="74" t="s">
        <v>38</v>
      </c>
      <c r="D643" s="75">
        <v>227.52</v>
      </c>
      <c r="E643" s="6" t="s">
        <v>39</v>
      </c>
      <c r="F643" s="76">
        <v>66.579796000000002</v>
      </c>
      <c r="G643" s="76" t="s">
        <v>40</v>
      </c>
      <c r="H643" s="76">
        <f t="shared" si="10"/>
        <v>-0.55779599999999618</v>
      </c>
      <c r="I643" s="77">
        <v>2.53675697285606E-2</v>
      </c>
      <c r="J643" s="78">
        <v>9.2836816175919807</v>
      </c>
      <c r="K643" s="79">
        <v>-0.11227503823636198</v>
      </c>
    </row>
    <row r="644" spans="1:11" x14ac:dyDescent="0.35">
      <c r="A644" t="s">
        <v>1383</v>
      </c>
      <c r="B644" s="73" t="s">
        <v>37</v>
      </c>
      <c r="C644" s="74" t="s">
        <v>38</v>
      </c>
      <c r="D644" s="75">
        <v>227.55</v>
      </c>
      <c r="E644" s="6" t="s">
        <v>39</v>
      </c>
      <c r="F644" s="76">
        <v>66.581317999999996</v>
      </c>
      <c r="G644" s="76" t="s">
        <v>40</v>
      </c>
      <c r="H644" s="76">
        <f t="shared" si="10"/>
        <v>-0.55931799999999043</v>
      </c>
      <c r="I644" s="77">
        <v>-0.28242943463782799</v>
      </c>
      <c r="J644" s="78">
        <v>10.652219311717033</v>
      </c>
      <c r="K644" s="79">
        <v>1.2562626558886905</v>
      </c>
    </row>
    <row r="645" spans="1:11" x14ac:dyDescent="0.35">
      <c r="A645" t="s">
        <v>1383</v>
      </c>
      <c r="B645" s="73" t="s">
        <v>37</v>
      </c>
      <c r="C645" s="74" t="s">
        <v>38</v>
      </c>
      <c r="D645" s="75">
        <v>227.58</v>
      </c>
      <c r="E645" s="6" t="s">
        <v>39</v>
      </c>
      <c r="F645" s="76">
        <v>66.582839000000007</v>
      </c>
      <c r="G645" s="76" t="s">
        <v>40</v>
      </c>
      <c r="H645" s="76">
        <f t="shared" si="10"/>
        <v>-0.56083900000000142</v>
      </c>
      <c r="I645" s="77">
        <v>-0.28608761929586601</v>
      </c>
      <c r="J645" s="78">
        <v>10.668566759418638</v>
      </c>
      <c r="K645" s="79">
        <v>1.2726101035902957</v>
      </c>
    </row>
    <row r="646" spans="1:11" x14ac:dyDescent="0.35">
      <c r="A646" t="s">
        <v>1383</v>
      </c>
      <c r="B646" s="73" t="s">
        <v>37</v>
      </c>
      <c r="C646" s="74" t="s">
        <v>38</v>
      </c>
      <c r="D646" s="75">
        <v>227.61</v>
      </c>
      <c r="E646" s="6" t="s">
        <v>39</v>
      </c>
      <c r="F646" s="76">
        <v>66.584360000000004</v>
      </c>
      <c r="G646" s="76" t="s">
        <v>40</v>
      </c>
      <c r="H646" s="76">
        <f t="shared" si="10"/>
        <v>-0.56235999999999819</v>
      </c>
      <c r="I646" s="77">
        <v>-0.47059307051453397</v>
      </c>
      <c r="J646" s="78">
        <v>11.495600249994141</v>
      </c>
      <c r="K646" s="79">
        <v>2.0996435941657978</v>
      </c>
    </row>
    <row r="647" spans="1:11" x14ac:dyDescent="0.35">
      <c r="A647" t="s">
        <v>1383</v>
      </c>
      <c r="B647" s="73" t="s">
        <v>37</v>
      </c>
      <c r="C647" s="74" t="s">
        <v>38</v>
      </c>
      <c r="D647" s="75">
        <v>227.64</v>
      </c>
      <c r="E647" s="6" t="s">
        <v>39</v>
      </c>
      <c r="F647" s="76">
        <v>66.585881999999998</v>
      </c>
      <c r="G647" s="76" t="s">
        <v>40</v>
      </c>
      <c r="H647" s="76">
        <f t="shared" si="10"/>
        <v>-0.56388199999999244</v>
      </c>
      <c r="I647" s="77">
        <v>-0.39612859167376302</v>
      </c>
      <c r="J647" s="78">
        <v>11.161220360711184</v>
      </c>
      <c r="K647" s="79">
        <v>1.765263704882841</v>
      </c>
    </row>
    <row r="648" spans="1:11" x14ac:dyDescent="0.35">
      <c r="A648" t="s">
        <v>1383</v>
      </c>
      <c r="B648" s="73" t="s">
        <v>37</v>
      </c>
      <c r="C648" s="74" t="s">
        <v>38</v>
      </c>
      <c r="D648" s="75">
        <v>227.67</v>
      </c>
      <c r="E648" s="6" t="s">
        <v>39</v>
      </c>
      <c r="F648" s="76">
        <v>66.587402999999995</v>
      </c>
      <c r="G648" s="76" t="s">
        <v>40</v>
      </c>
      <c r="H648" s="76">
        <f t="shared" si="10"/>
        <v>-0.56540299999998922</v>
      </c>
      <c r="I648" s="77">
        <v>-0.33352117245079699</v>
      </c>
      <c r="J648" s="78">
        <v>10.880710685350664</v>
      </c>
      <c r="K648" s="79">
        <v>1.4847540295223212</v>
      </c>
    </row>
    <row r="649" spans="1:11" x14ac:dyDescent="0.35">
      <c r="A649" t="s">
        <v>1383</v>
      </c>
      <c r="B649" s="73" t="s">
        <v>37</v>
      </c>
      <c r="C649" s="74" t="s">
        <v>38</v>
      </c>
      <c r="D649" s="75">
        <v>227.7</v>
      </c>
      <c r="E649" s="6" t="s">
        <v>39</v>
      </c>
      <c r="F649" s="76">
        <v>66.588924000000006</v>
      </c>
      <c r="G649" s="76" t="s">
        <v>40</v>
      </c>
      <c r="H649" s="76">
        <f t="shared" si="10"/>
        <v>-0.56692400000000021</v>
      </c>
      <c r="I649" s="77">
        <v>-0.13178834067887901</v>
      </c>
      <c r="J649" s="78">
        <v>9.9807278678760554</v>
      </c>
      <c r="K649" s="79">
        <v>0.58477121204771265</v>
      </c>
    </row>
    <row r="650" spans="1:11" x14ac:dyDescent="0.35">
      <c r="A650" t="s">
        <v>1383</v>
      </c>
      <c r="B650" s="73" t="s">
        <v>37</v>
      </c>
      <c r="C650" s="74" t="s">
        <v>38</v>
      </c>
      <c r="D650" s="75">
        <v>227.73</v>
      </c>
      <c r="E650" s="6" t="s">
        <v>39</v>
      </c>
      <c r="F650" s="76">
        <v>66.590445000000003</v>
      </c>
      <c r="G650" s="76" t="s">
        <v>40</v>
      </c>
      <c r="H650" s="76">
        <f t="shared" si="10"/>
        <v>-0.56844499999999698</v>
      </c>
      <c r="I650" s="77">
        <v>-0.307369139888997</v>
      </c>
      <c r="J650" s="78">
        <v>10.763706722371694</v>
      </c>
      <c r="K650" s="79">
        <v>1.3677500665433513</v>
      </c>
    </row>
    <row r="651" spans="1:11" x14ac:dyDescent="0.35">
      <c r="A651" t="s">
        <v>1383</v>
      </c>
      <c r="B651" s="73" t="s">
        <v>37</v>
      </c>
      <c r="C651" s="74" t="s">
        <v>38</v>
      </c>
      <c r="D651" s="75">
        <v>227.76</v>
      </c>
      <c r="E651" s="6" t="s">
        <v>39</v>
      </c>
      <c r="F651" s="76">
        <v>66.591966999999997</v>
      </c>
      <c r="G651" s="76" t="s">
        <v>40</v>
      </c>
      <c r="H651" s="76">
        <f t="shared" si="10"/>
        <v>-0.56996699999999123</v>
      </c>
      <c r="I651" s="77">
        <v>-0.25555547300923598</v>
      </c>
      <c r="J651" s="78">
        <v>10.532186312905822</v>
      </c>
      <c r="K651" s="79">
        <v>1.1362296570774788</v>
      </c>
    </row>
    <row r="652" spans="1:11" x14ac:dyDescent="0.35">
      <c r="A652" t="s">
        <v>1383</v>
      </c>
      <c r="B652" s="73" t="s">
        <v>37</v>
      </c>
      <c r="C652" s="74" t="s">
        <v>38</v>
      </c>
      <c r="D652" s="75">
        <v>227.79</v>
      </c>
      <c r="E652" s="6" t="s">
        <v>39</v>
      </c>
      <c r="F652" s="76">
        <v>66.593487999999994</v>
      </c>
      <c r="G652" s="76" t="s">
        <v>40</v>
      </c>
      <c r="H652" s="76">
        <f t="shared" si="10"/>
        <v>-0.57148799999998801</v>
      </c>
      <c r="I652" s="77">
        <v>-0.31712512189585301</v>
      </c>
      <c r="J652" s="78">
        <v>10.807343267281794</v>
      </c>
      <c r="K652" s="79">
        <v>1.4113866114534517</v>
      </c>
    </row>
    <row r="653" spans="1:11" x14ac:dyDescent="0.35">
      <c r="A653" t="s">
        <v>1383</v>
      </c>
      <c r="B653" s="73" t="s">
        <v>37</v>
      </c>
      <c r="C653" s="74" t="s">
        <v>38</v>
      </c>
      <c r="D653" s="75">
        <v>227.82</v>
      </c>
      <c r="E653" s="6" t="s">
        <v>39</v>
      </c>
      <c r="F653" s="76">
        <v>66.595009000000005</v>
      </c>
      <c r="G653" s="76" t="s">
        <v>40</v>
      </c>
      <c r="H653" s="76">
        <f t="shared" si="10"/>
        <v>-0.57300899999999899</v>
      </c>
      <c r="I653" s="77">
        <v>-0.273660943776453</v>
      </c>
      <c r="J653" s="78">
        <v>10.613043183033483</v>
      </c>
      <c r="K653" s="79">
        <v>1.2170865272051401</v>
      </c>
    </row>
    <row r="654" spans="1:11" x14ac:dyDescent="0.35">
      <c r="A654" t="s">
        <v>1383</v>
      </c>
      <c r="B654" s="73" t="s">
        <v>37</v>
      </c>
      <c r="C654" s="74" t="s">
        <v>38</v>
      </c>
      <c r="D654" s="75">
        <v>227.85</v>
      </c>
      <c r="E654" s="6" t="s">
        <v>39</v>
      </c>
      <c r="F654" s="76">
        <v>66.596530999999999</v>
      </c>
      <c r="G654" s="76" t="s">
        <v>40</v>
      </c>
      <c r="H654" s="76">
        <f t="shared" si="10"/>
        <v>-0.57453099999999324</v>
      </c>
      <c r="I654" s="77">
        <v>-0.227069142285345</v>
      </c>
      <c r="J654" s="78">
        <v>10.405065964426058</v>
      </c>
      <c r="K654" s="79">
        <v>1.009109308597715</v>
      </c>
    </row>
    <row r="655" spans="1:11" x14ac:dyDescent="0.35">
      <c r="A655" t="s">
        <v>1383</v>
      </c>
      <c r="B655" s="73" t="s">
        <v>37</v>
      </c>
      <c r="C655" s="74" t="s">
        <v>38</v>
      </c>
      <c r="D655" s="75">
        <v>227.88</v>
      </c>
      <c r="E655" s="6" t="s">
        <v>39</v>
      </c>
      <c r="F655" s="76">
        <v>66.598051999999996</v>
      </c>
      <c r="G655" s="76" t="s">
        <v>40</v>
      </c>
      <c r="H655" s="76">
        <f t="shared" si="10"/>
        <v>-0.57605199999999002</v>
      </c>
      <c r="I655" s="77">
        <v>-7.4415819215900597E-2</v>
      </c>
      <c r="J655" s="78">
        <v>9.7258478062396421</v>
      </c>
      <c r="K655" s="79">
        <v>0.32989115041129935</v>
      </c>
    </row>
    <row r="656" spans="1:11" x14ac:dyDescent="0.35">
      <c r="A656" t="s">
        <v>1383</v>
      </c>
      <c r="B656" s="73" t="s">
        <v>37</v>
      </c>
      <c r="C656" s="74" t="s">
        <v>38</v>
      </c>
      <c r="D656" s="75">
        <v>227.91</v>
      </c>
      <c r="E656" s="6" t="s">
        <v>39</v>
      </c>
      <c r="F656" s="76">
        <v>66.599573000000007</v>
      </c>
      <c r="G656" s="76" t="s">
        <v>40</v>
      </c>
      <c r="H656" s="76">
        <f t="shared" si="10"/>
        <v>-0.577573000000001</v>
      </c>
      <c r="I656" s="77">
        <v>-0.258388081703534</v>
      </c>
      <c r="J656" s="78">
        <v>10.544833267653132</v>
      </c>
      <c r="K656" s="79">
        <v>1.1488766118247895</v>
      </c>
    </row>
    <row r="657" spans="1:11" x14ac:dyDescent="0.35">
      <c r="A657" t="s">
        <v>1383</v>
      </c>
      <c r="B657" s="73" t="s">
        <v>37</v>
      </c>
      <c r="C657" s="74" t="s">
        <v>38</v>
      </c>
      <c r="D657" s="75">
        <v>227.94</v>
      </c>
      <c r="E657" s="6" t="s">
        <v>39</v>
      </c>
      <c r="F657" s="76">
        <v>66.601095000000001</v>
      </c>
      <c r="G657" s="76" t="s">
        <v>40</v>
      </c>
      <c r="H657" s="76">
        <f t="shared" si="10"/>
        <v>-0.57909499999999525</v>
      </c>
      <c r="I657" s="77">
        <v>-0.16584504326635799</v>
      </c>
      <c r="J657" s="78">
        <v>10.132250628667578</v>
      </c>
      <c r="K657" s="79">
        <v>0.73629397283923481</v>
      </c>
    </row>
    <row r="658" spans="1:11" x14ac:dyDescent="0.35">
      <c r="A658" t="s">
        <v>1383</v>
      </c>
      <c r="B658" s="73" t="s">
        <v>37</v>
      </c>
      <c r="C658" s="74" t="s">
        <v>38</v>
      </c>
      <c r="D658" s="75">
        <v>227.97</v>
      </c>
      <c r="E658" s="6" t="s">
        <v>39</v>
      </c>
      <c r="F658" s="76">
        <v>66.602615999999998</v>
      </c>
      <c r="G658" s="76" t="s">
        <v>40</v>
      </c>
      <c r="H658" s="76">
        <f t="shared" si="10"/>
        <v>-0.58061599999999203</v>
      </c>
      <c r="I658" s="77">
        <v>-0.17512257198254499</v>
      </c>
      <c r="J658" s="78">
        <v>10.173556584478206</v>
      </c>
      <c r="K658" s="79">
        <v>0.77759992864986316</v>
      </c>
    </row>
    <row r="659" spans="1:11" x14ac:dyDescent="0.35">
      <c r="A659" t="s">
        <v>1383</v>
      </c>
      <c r="B659" s="73" t="s">
        <v>37</v>
      </c>
      <c r="C659" s="74" t="s">
        <v>38</v>
      </c>
      <c r="D659" s="75">
        <v>228</v>
      </c>
      <c r="E659" s="6" t="s">
        <v>39</v>
      </c>
      <c r="F659" s="76">
        <v>66.604136999999994</v>
      </c>
      <c r="G659" s="76" t="s">
        <v>40</v>
      </c>
      <c r="H659" s="76">
        <f t="shared" si="10"/>
        <v>-0.5821369999999888</v>
      </c>
      <c r="I659" s="77">
        <v>-0.191746737923563</v>
      </c>
      <c r="J659" s="78">
        <v>10.247602766065654</v>
      </c>
      <c r="K659" s="79">
        <v>0.8516461102373114</v>
      </c>
    </row>
    <row r="660" spans="1:11" x14ac:dyDescent="0.35">
      <c r="A660" t="s">
        <v>1383</v>
      </c>
      <c r="B660" s="73" t="s">
        <v>37</v>
      </c>
      <c r="C660" s="74" t="s">
        <v>38</v>
      </c>
      <c r="D660" s="75">
        <v>228.03</v>
      </c>
      <c r="E660" s="6" t="s">
        <v>39</v>
      </c>
      <c r="F660" s="76">
        <v>66.605659000000003</v>
      </c>
      <c r="G660" s="76" t="s">
        <v>40</v>
      </c>
      <c r="H660" s="76">
        <f t="shared" si="10"/>
        <v>-0.58365899999999726</v>
      </c>
      <c r="I660" s="77">
        <v>7.6592760640925794E-2</v>
      </c>
      <c r="J660" s="78">
        <v>9.0572430690091892</v>
      </c>
      <c r="K660" s="79">
        <v>-0.33871358681915353</v>
      </c>
    </row>
    <row r="661" spans="1:11" x14ac:dyDescent="0.35">
      <c r="A661" t="s">
        <v>1383</v>
      </c>
      <c r="B661" s="73" t="s">
        <v>37</v>
      </c>
      <c r="C661" s="74" t="s">
        <v>38</v>
      </c>
      <c r="D661" s="75">
        <v>228.06</v>
      </c>
      <c r="E661" s="6" t="s">
        <v>39</v>
      </c>
      <c r="F661" s="76">
        <v>66.60718</v>
      </c>
      <c r="G661" s="76" t="s">
        <v>40</v>
      </c>
      <c r="H661" s="76">
        <f t="shared" si="10"/>
        <v>-0.58517999999999404</v>
      </c>
      <c r="I661" s="77">
        <v>-6.0507390893505E-2</v>
      </c>
      <c r="J661" s="78">
        <v>9.664130266959944</v>
      </c>
      <c r="K661" s="79">
        <v>0.26817361113160132</v>
      </c>
    </row>
    <row r="662" spans="1:11" x14ac:dyDescent="0.35">
      <c r="A662" t="s">
        <v>1383</v>
      </c>
      <c r="B662" s="73" t="s">
        <v>37</v>
      </c>
      <c r="C662" s="74" t="s">
        <v>38</v>
      </c>
      <c r="D662" s="75">
        <v>228.09</v>
      </c>
      <c r="E662" s="6" t="s">
        <v>39</v>
      </c>
      <c r="F662" s="76">
        <v>66.608700999999996</v>
      </c>
      <c r="G662" s="76" t="s">
        <v>40</v>
      </c>
      <c r="H662" s="76">
        <f t="shared" si="10"/>
        <v>-0.58670099999999081</v>
      </c>
      <c r="I662" s="77">
        <v>-0.18653631985243699</v>
      </c>
      <c r="J662" s="78">
        <v>10.22439059475812</v>
      </c>
      <c r="K662" s="79">
        <v>0.82843393892977701</v>
      </c>
    </row>
    <row r="663" spans="1:11" x14ac:dyDescent="0.35">
      <c r="A663" t="s">
        <v>1383</v>
      </c>
      <c r="B663" s="73" t="s">
        <v>37</v>
      </c>
      <c r="C663" s="74" t="s">
        <v>38</v>
      </c>
      <c r="D663" s="75">
        <v>228.12</v>
      </c>
      <c r="E663" s="6" t="s">
        <v>39</v>
      </c>
      <c r="F663" s="76">
        <v>66.610223000000005</v>
      </c>
      <c r="G663" s="76" t="s">
        <v>40</v>
      </c>
      <c r="H663" s="76">
        <f t="shared" si="10"/>
        <v>-0.58822299999999927</v>
      </c>
      <c r="I663" s="77">
        <v>-0.13745023762241901</v>
      </c>
      <c r="J663" s="78">
        <v>10.005906801498099</v>
      </c>
      <c r="K663" s="79">
        <v>0.60995014566975669</v>
      </c>
    </row>
    <row r="664" spans="1:11" x14ac:dyDescent="0.35">
      <c r="A664" t="s">
        <v>1383</v>
      </c>
      <c r="B664" s="73" t="s">
        <v>37</v>
      </c>
      <c r="C664" s="74" t="s">
        <v>38</v>
      </c>
      <c r="D664" s="75">
        <v>228.15</v>
      </c>
      <c r="E664" s="6" t="s">
        <v>39</v>
      </c>
      <c r="F664" s="76">
        <v>66.611744000000002</v>
      </c>
      <c r="G664" s="76" t="s">
        <v>40</v>
      </c>
      <c r="H664" s="76">
        <f t="shared" si="10"/>
        <v>-0.58974399999999605</v>
      </c>
      <c r="I664" s="77">
        <v>-4.4468670292645202E-2</v>
      </c>
      <c r="J664" s="78">
        <v>9.592994216636896</v>
      </c>
      <c r="K664" s="79">
        <v>0.19703756080855328</v>
      </c>
    </row>
    <row r="665" spans="1:11" x14ac:dyDescent="0.35">
      <c r="A665" t="s">
        <v>1383</v>
      </c>
      <c r="B665" s="73" t="s">
        <v>37</v>
      </c>
      <c r="C665" s="74" t="s">
        <v>38</v>
      </c>
      <c r="D665" s="75">
        <v>228.19</v>
      </c>
      <c r="E665" s="6" t="s">
        <v>39</v>
      </c>
      <c r="F665" s="76">
        <v>66.613772999999995</v>
      </c>
      <c r="G665" s="76" t="s">
        <v>40</v>
      </c>
      <c r="H665" s="76">
        <f t="shared" si="10"/>
        <v>-0.59177299999998922</v>
      </c>
      <c r="I665" s="77">
        <v>-0.17210909589923501</v>
      </c>
      <c r="J665" s="78">
        <v>10.160138447209192</v>
      </c>
      <c r="K665" s="79">
        <v>0.76418179138084952</v>
      </c>
    </row>
    <row r="666" spans="1:11" x14ac:dyDescent="0.35">
      <c r="A666" t="s">
        <v>1383</v>
      </c>
      <c r="B666" s="73" t="s">
        <v>37</v>
      </c>
      <c r="C666" s="74" t="s">
        <v>38</v>
      </c>
      <c r="D666" s="75">
        <v>228.22</v>
      </c>
      <c r="E666" s="6" t="s">
        <v>39</v>
      </c>
      <c r="F666" s="76">
        <v>66.615294000000006</v>
      </c>
      <c r="G666" s="76" t="s">
        <v>40</v>
      </c>
      <c r="H666" s="76">
        <f t="shared" si="10"/>
        <v>-0.59329400000000021</v>
      </c>
      <c r="I666" s="77">
        <v>-9.0862503127520103E-2</v>
      </c>
      <c r="J666" s="78">
        <v>9.7988645286499718</v>
      </c>
      <c r="K666" s="79">
        <v>0.4029078728216291</v>
      </c>
    </row>
    <row r="667" spans="1:11" x14ac:dyDescent="0.35">
      <c r="A667" t="s">
        <v>1383</v>
      </c>
      <c r="B667" s="73" t="s">
        <v>37</v>
      </c>
      <c r="C667" s="74" t="s">
        <v>38</v>
      </c>
      <c r="D667" s="75">
        <v>228.25</v>
      </c>
      <c r="E667" s="6" t="s">
        <v>39</v>
      </c>
      <c r="F667" s="76">
        <v>66.616815000000003</v>
      </c>
      <c r="G667" s="76" t="s">
        <v>40</v>
      </c>
      <c r="H667" s="76">
        <f t="shared" si="10"/>
        <v>-0.59481499999999699</v>
      </c>
      <c r="I667" s="77">
        <v>-0.170295600571224</v>
      </c>
      <c r="J667" s="78">
        <v>10.152064109161302</v>
      </c>
      <c r="K667" s="79">
        <v>0.75610745333295881</v>
      </c>
    </row>
    <row r="668" spans="1:11" x14ac:dyDescent="0.35">
      <c r="A668" t="s">
        <v>1383</v>
      </c>
      <c r="B668" s="73" t="s">
        <v>37</v>
      </c>
      <c r="C668" s="74" t="s">
        <v>38</v>
      </c>
      <c r="D668" s="75">
        <v>228.28</v>
      </c>
      <c r="E668" s="6" t="s">
        <v>39</v>
      </c>
      <c r="F668" s="76">
        <v>66.618335999999999</v>
      </c>
      <c r="G668" s="76" t="s">
        <v>40</v>
      </c>
      <c r="H668" s="76">
        <f t="shared" si="10"/>
        <v>-0.59633599999999376</v>
      </c>
      <c r="I668" s="77">
        <v>1.13846457567263E-2</v>
      </c>
      <c r="J668" s="78">
        <v>9.3455576415609585</v>
      </c>
      <c r="K668" s="79">
        <v>-5.0399014267384246E-2</v>
      </c>
    </row>
    <row r="669" spans="1:11" x14ac:dyDescent="0.35">
      <c r="A669" t="s">
        <v>1383</v>
      </c>
      <c r="B669" s="73" t="s">
        <v>37</v>
      </c>
      <c r="C669" s="74" t="s">
        <v>38</v>
      </c>
      <c r="D669" s="75">
        <v>228.31</v>
      </c>
      <c r="E669" s="6" t="s">
        <v>39</v>
      </c>
      <c r="F669" s="76">
        <v>66.619857999999994</v>
      </c>
      <c r="G669" s="76" t="s">
        <v>40</v>
      </c>
      <c r="H669" s="76">
        <f t="shared" si="10"/>
        <v>-0.59785799999998801</v>
      </c>
      <c r="I669" s="77">
        <v>-3.3087873093836699E-2</v>
      </c>
      <c r="J669" s="78">
        <v>9.5425397058427848</v>
      </c>
      <c r="K669" s="79">
        <v>0.14658305001444205</v>
      </c>
    </row>
    <row r="670" spans="1:11" x14ac:dyDescent="0.35">
      <c r="A670" t="s">
        <v>1383</v>
      </c>
      <c r="B670" s="73" t="s">
        <v>37</v>
      </c>
      <c r="C670" s="74" t="s">
        <v>38</v>
      </c>
      <c r="D670" s="75">
        <v>228.34</v>
      </c>
      <c r="E670" s="6" t="s">
        <v>39</v>
      </c>
      <c r="F670" s="76">
        <v>66.621379000000005</v>
      </c>
      <c r="G670" s="76" t="s">
        <v>40</v>
      </c>
      <c r="H670" s="76">
        <f t="shared" si="10"/>
        <v>-0.599378999999999</v>
      </c>
      <c r="I670" s="77">
        <v>-9.6367484455382499E-2</v>
      </c>
      <c r="J670" s="78">
        <v>9.8233131411413979</v>
      </c>
      <c r="K670" s="79">
        <v>0.42735648531305515</v>
      </c>
    </row>
    <row r="671" spans="1:11" x14ac:dyDescent="0.35">
      <c r="A671" t="s">
        <v>1383</v>
      </c>
      <c r="B671" s="73" t="s">
        <v>37</v>
      </c>
      <c r="C671" s="74" t="s">
        <v>38</v>
      </c>
      <c r="D671" s="75">
        <v>228.37</v>
      </c>
      <c r="E671" s="6" t="s">
        <v>39</v>
      </c>
      <c r="F671" s="76">
        <v>66.622900000000001</v>
      </c>
      <c r="G671" s="76" t="s">
        <v>40</v>
      </c>
      <c r="H671" s="76">
        <f t="shared" si="10"/>
        <v>-0.60089999999999577</v>
      </c>
      <c r="I671" s="77">
        <v>-0.2492122536933</v>
      </c>
      <c r="J671" s="78">
        <v>10.50386949805943</v>
      </c>
      <c r="K671" s="79">
        <v>1.1079128422310873</v>
      </c>
    </row>
    <row r="672" spans="1:11" x14ac:dyDescent="0.35">
      <c r="A672" t="s">
        <v>1383</v>
      </c>
      <c r="B672" s="73" t="s">
        <v>37</v>
      </c>
      <c r="C672" s="74" t="s">
        <v>38</v>
      </c>
      <c r="D672" s="75">
        <v>228.4</v>
      </c>
      <c r="E672" s="6" t="s">
        <v>39</v>
      </c>
      <c r="F672" s="76">
        <v>66.624421999999996</v>
      </c>
      <c r="G672" s="76" t="s">
        <v>40</v>
      </c>
      <c r="H672" s="76">
        <f t="shared" si="10"/>
        <v>-0.60242199999999002</v>
      </c>
      <c r="I672" s="77">
        <v>-0.116801111743201</v>
      </c>
      <c r="J672" s="78">
        <v>9.9141006931284892</v>
      </c>
      <c r="K672" s="79">
        <v>0.51814403730014646</v>
      </c>
    </row>
    <row r="673" spans="1:11" x14ac:dyDescent="0.35">
      <c r="A673" t="s">
        <v>1383</v>
      </c>
      <c r="B673" s="73" t="s">
        <v>37</v>
      </c>
      <c r="C673" s="74" t="s">
        <v>38</v>
      </c>
      <c r="D673" s="75">
        <v>228.43</v>
      </c>
      <c r="E673" s="6" t="s">
        <v>39</v>
      </c>
      <c r="F673" s="76">
        <v>66.625943000000007</v>
      </c>
      <c r="G673" s="76" t="s">
        <v>40</v>
      </c>
      <c r="H673" s="76">
        <f t="shared" si="10"/>
        <v>-0.60394300000000101</v>
      </c>
      <c r="I673" s="77">
        <v>-4.7055947012948802E-2</v>
      </c>
      <c r="J673" s="78">
        <v>9.6044669884673226</v>
      </c>
      <c r="K673" s="79">
        <v>0.20851033263897989</v>
      </c>
    </row>
    <row r="674" spans="1:11" x14ac:dyDescent="0.35">
      <c r="A674" t="s">
        <v>1383</v>
      </c>
      <c r="B674" s="73" t="s">
        <v>37</v>
      </c>
      <c r="C674" s="74" t="s">
        <v>38</v>
      </c>
      <c r="D674" s="75">
        <v>228.46</v>
      </c>
      <c r="E674" s="6" t="s">
        <v>39</v>
      </c>
      <c r="F674" s="76">
        <v>66.627464000000003</v>
      </c>
      <c r="G674" s="76" t="s">
        <v>40</v>
      </c>
      <c r="H674" s="76">
        <f t="shared" si="10"/>
        <v>-0.60546399999999778</v>
      </c>
      <c r="I674" s="77">
        <v>-0.20163828064918701</v>
      </c>
      <c r="J674" s="78">
        <v>10.291679927782923</v>
      </c>
      <c r="K674" s="79">
        <v>0.89572327195458001</v>
      </c>
    </row>
    <row r="675" spans="1:11" x14ac:dyDescent="0.35">
      <c r="A675" t="s">
        <v>1383</v>
      </c>
      <c r="B675" s="73" t="s">
        <v>37</v>
      </c>
      <c r="C675" s="74" t="s">
        <v>38</v>
      </c>
      <c r="D675" s="75">
        <v>228.49</v>
      </c>
      <c r="E675" s="6" t="s">
        <v>39</v>
      </c>
      <c r="F675" s="76">
        <v>66.628985999999998</v>
      </c>
      <c r="G675" s="76" t="s">
        <v>40</v>
      </c>
      <c r="H675" s="76">
        <f t="shared" si="10"/>
        <v>-0.60698599999999203</v>
      </c>
      <c r="I675" s="77">
        <v>-4.0093004593358397E-3</v>
      </c>
      <c r="J675" s="78">
        <v>9.4137099614081308</v>
      </c>
      <c r="K675" s="79">
        <v>1.7753305579788048E-2</v>
      </c>
    </row>
    <row r="676" spans="1:11" x14ac:dyDescent="0.35">
      <c r="A676" t="s">
        <v>1383</v>
      </c>
      <c r="B676" s="73" t="s">
        <v>37</v>
      </c>
      <c r="C676" s="74" t="s">
        <v>38</v>
      </c>
      <c r="D676" s="75">
        <v>228.52</v>
      </c>
      <c r="E676" s="6" t="s">
        <v>39</v>
      </c>
      <c r="F676" s="76">
        <v>66.630533</v>
      </c>
      <c r="G676" s="76" t="s">
        <v>40</v>
      </c>
      <c r="H676" s="76">
        <f t="shared" si="10"/>
        <v>-0.60853299999999422</v>
      </c>
      <c r="I676" s="77">
        <v>1.1490350543575899E-2</v>
      </c>
      <c r="J676" s="78">
        <v>9.3450897809461253</v>
      </c>
      <c r="K676" s="79">
        <v>-5.0866874882217417E-2</v>
      </c>
    </row>
    <row r="677" spans="1:11" x14ac:dyDescent="0.35">
      <c r="A677" t="s">
        <v>1383</v>
      </c>
      <c r="B677" s="73" t="s">
        <v>37</v>
      </c>
      <c r="C677" s="74" t="s">
        <v>38</v>
      </c>
      <c r="D677" s="75">
        <v>228.55</v>
      </c>
      <c r="E677" s="6" t="s">
        <v>39</v>
      </c>
      <c r="F677" s="76">
        <v>66.632131999999999</v>
      </c>
      <c r="G677" s="76" t="s">
        <v>40</v>
      </c>
      <c r="H677" s="76">
        <f t="shared" si="10"/>
        <v>-0.61013199999999301</v>
      </c>
      <c r="I677" s="77">
        <v>-8.7938960998230398E-2</v>
      </c>
      <c r="J677" s="78">
        <v>9.7858823242684139</v>
      </c>
      <c r="K677" s="79">
        <v>0.38992566844007115</v>
      </c>
    </row>
    <row r="678" spans="1:11" x14ac:dyDescent="0.35">
      <c r="A678" t="s">
        <v>1383</v>
      </c>
      <c r="B678" s="73" t="s">
        <v>37</v>
      </c>
      <c r="C678" s="74" t="s">
        <v>38</v>
      </c>
      <c r="D678" s="75">
        <v>228.58</v>
      </c>
      <c r="E678" s="6" t="s">
        <v>39</v>
      </c>
      <c r="F678" s="76">
        <v>66.633730999999997</v>
      </c>
      <c r="G678" s="76" t="s">
        <v>40</v>
      </c>
      <c r="H678" s="76">
        <f t="shared" si="10"/>
        <v>-0.61173099999999181</v>
      </c>
      <c r="I678" s="77">
        <v>-0.32363837715983201</v>
      </c>
      <c r="J678" s="78">
        <v>10.836483452571258</v>
      </c>
      <c r="K678" s="79">
        <v>1.4405267967429154</v>
      </c>
    </row>
    <row r="679" spans="1:11" x14ac:dyDescent="0.35">
      <c r="A679" t="s">
        <v>1383</v>
      </c>
      <c r="B679" s="73" t="s">
        <v>37</v>
      </c>
      <c r="C679" s="74" t="s">
        <v>38</v>
      </c>
      <c r="D679" s="75">
        <v>228.61</v>
      </c>
      <c r="E679" s="6" t="s">
        <v>39</v>
      </c>
      <c r="F679" s="76">
        <v>66.635329999999996</v>
      </c>
      <c r="G679" s="76" t="s">
        <v>40</v>
      </c>
      <c r="H679" s="76">
        <f t="shared" si="10"/>
        <v>-0.6133299999999906</v>
      </c>
      <c r="I679" s="77">
        <v>-0.24809390931754</v>
      </c>
      <c r="J679" s="78">
        <v>10.498877693017789</v>
      </c>
      <c r="K679" s="79">
        <v>1.1029210371894465</v>
      </c>
    </row>
    <row r="680" spans="1:11" x14ac:dyDescent="0.35">
      <c r="A680" t="s">
        <v>1383</v>
      </c>
      <c r="B680" s="73" t="s">
        <v>37</v>
      </c>
      <c r="C680" s="74" t="s">
        <v>38</v>
      </c>
      <c r="D680" s="75">
        <v>228.64</v>
      </c>
      <c r="E680" s="6" t="s">
        <v>39</v>
      </c>
      <c r="F680" s="76">
        <v>66.636928999999995</v>
      </c>
      <c r="G680" s="76" t="s">
        <v>40</v>
      </c>
      <c r="H680" s="76">
        <f t="shared" si="10"/>
        <v>-0.6149289999999894</v>
      </c>
      <c r="I680" s="77">
        <v>-0.54564562782824899</v>
      </c>
      <c r="J680" s="78">
        <v>11.833442998958674</v>
      </c>
      <c r="K680" s="79">
        <v>2.4374863431303311</v>
      </c>
    </row>
    <row r="681" spans="1:11" x14ac:dyDescent="0.35">
      <c r="A681" t="s">
        <v>1383</v>
      </c>
      <c r="B681" s="73" t="s">
        <v>37</v>
      </c>
      <c r="C681" s="74" t="s">
        <v>38</v>
      </c>
      <c r="D681" s="75">
        <v>228.67</v>
      </c>
      <c r="E681" s="6" t="s">
        <v>39</v>
      </c>
      <c r="F681" s="76">
        <v>66.638527999999994</v>
      </c>
      <c r="G681" s="76" t="s">
        <v>40</v>
      </c>
      <c r="H681" s="76">
        <f t="shared" si="10"/>
        <v>-0.6165279999999882</v>
      </c>
      <c r="I681" s="77">
        <v>-0.22662840238186199</v>
      </c>
      <c r="J681" s="78">
        <v>10.403100084507173</v>
      </c>
      <c r="K681" s="79">
        <v>1.0071434286788303</v>
      </c>
    </row>
    <row r="682" spans="1:11" x14ac:dyDescent="0.35">
      <c r="A682" t="s">
        <v>1383</v>
      </c>
      <c r="B682" s="73" t="s">
        <v>37</v>
      </c>
      <c r="C682" s="74" t="s">
        <v>38</v>
      </c>
      <c r="D682" s="75">
        <v>228.7</v>
      </c>
      <c r="E682" s="6" t="s">
        <v>39</v>
      </c>
      <c r="F682" s="76">
        <v>66.640127000000007</v>
      </c>
      <c r="G682" s="76" t="s">
        <v>40</v>
      </c>
      <c r="H682" s="76">
        <f t="shared" si="10"/>
        <v>-0.6181270000000012</v>
      </c>
      <c r="I682" s="77">
        <v>-3.4227993001305003E-2</v>
      </c>
      <c r="J682" s="78">
        <v>9.5475933641976667</v>
      </c>
      <c r="K682" s="79">
        <v>0.15163670836932397</v>
      </c>
    </row>
    <row r="683" spans="1:11" x14ac:dyDescent="0.35">
      <c r="A683" t="s">
        <v>1383</v>
      </c>
      <c r="B683" s="73" t="s">
        <v>37</v>
      </c>
      <c r="C683" s="74" t="s">
        <v>38</v>
      </c>
      <c r="D683" s="75">
        <v>228.73</v>
      </c>
      <c r="E683" s="6" t="s">
        <v>39</v>
      </c>
      <c r="F683" s="76">
        <v>66.641726000000006</v>
      </c>
      <c r="G683" s="76" t="s">
        <v>40</v>
      </c>
      <c r="H683" s="76">
        <f t="shared" si="10"/>
        <v>-0.619726</v>
      </c>
      <c r="I683" s="77">
        <v>6.8644999999999998E-2</v>
      </c>
      <c r="J683" s="78">
        <v>9.0923512115576273</v>
      </c>
      <c r="K683" s="79">
        <v>-0.30360544427071545</v>
      </c>
    </row>
    <row r="684" spans="1:11" x14ac:dyDescent="0.35">
      <c r="A684" t="s">
        <v>1383</v>
      </c>
      <c r="B684" s="73" t="s">
        <v>37</v>
      </c>
      <c r="C684" s="74" t="s">
        <v>38</v>
      </c>
      <c r="D684" s="75">
        <v>228.76</v>
      </c>
      <c r="E684" s="6" t="s">
        <v>39</v>
      </c>
      <c r="F684" s="76">
        <v>66.643325000000004</v>
      </c>
      <c r="G684" s="76" t="s">
        <v>40</v>
      </c>
      <c r="H684" s="76">
        <f t="shared" si="10"/>
        <v>-0.62132499999999879</v>
      </c>
      <c r="I684" s="77">
        <v>-0.223955568013849</v>
      </c>
      <c r="J684" s="78">
        <v>10.391178754382736</v>
      </c>
      <c r="K684" s="79">
        <v>0.99522209855439314</v>
      </c>
    </row>
    <row r="685" spans="1:11" x14ac:dyDescent="0.35">
      <c r="A685" t="s">
        <v>1383</v>
      </c>
      <c r="B685" s="73" t="s">
        <v>37</v>
      </c>
      <c r="C685" s="74" t="s">
        <v>38</v>
      </c>
      <c r="D685" s="75">
        <v>228.79</v>
      </c>
      <c r="E685" s="6" t="s">
        <v>39</v>
      </c>
      <c r="F685" s="76">
        <v>66.644924000000003</v>
      </c>
      <c r="G685" s="76" t="s">
        <v>40</v>
      </c>
      <c r="H685" s="76">
        <f t="shared" si="10"/>
        <v>-0.62292399999999759</v>
      </c>
      <c r="I685" s="77">
        <v>-0.34828225729089701</v>
      </c>
      <c r="J685" s="78">
        <v>10.946795589178691</v>
      </c>
      <c r="K685" s="79">
        <v>1.5508389333503487</v>
      </c>
    </row>
    <row r="686" spans="1:11" x14ac:dyDescent="0.35">
      <c r="A686" t="s">
        <v>1383</v>
      </c>
      <c r="B686" s="73" t="s">
        <v>37</v>
      </c>
      <c r="C686" s="74" t="s">
        <v>38</v>
      </c>
      <c r="D686" s="75">
        <v>228.82</v>
      </c>
      <c r="E686" s="6" t="s">
        <v>39</v>
      </c>
      <c r="F686" s="76">
        <v>66.646523000000002</v>
      </c>
      <c r="G686" s="76" t="s">
        <v>40</v>
      </c>
      <c r="H686" s="76">
        <f t="shared" si="10"/>
        <v>-0.62452299999999639</v>
      </c>
      <c r="I686" s="77">
        <v>-8.8469013035501295E-2</v>
      </c>
      <c r="J686" s="78">
        <v>9.7882359681906905</v>
      </c>
      <c r="K686" s="79">
        <v>0.39227931236234781</v>
      </c>
    </row>
    <row r="687" spans="1:11" x14ac:dyDescent="0.35">
      <c r="A687" t="s">
        <v>1383</v>
      </c>
      <c r="B687" s="73" t="s">
        <v>37</v>
      </c>
      <c r="C687" s="74" t="s">
        <v>38</v>
      </c>
      <c r="D687" s="75">
        <v>228.85</v>
      </c>
      <c r="E687" s="6" t="s">
        <v>39</v>
      </c>
      <c r="F687" s="76">
        <v>66.648122000000001</v>
      </c>
      <c r="G687" s="76" t="s">
        <v>40</v>
      </c>
      <c r="H687" s="76">
        <f t="shared" si="10"/>
        <v>-0.62612199999999518</v>
      </c>
      <c r="I687" s="77">
        <v>-2.0131012783144399E-3</v>
      </c>
      <c r="J687" s="78">
        <v>9.4048704423629488</v>
      </c>
      <c r="K687" s="79">
        <v>8.9137865346060607E-3</v>
      </c>
    </row>
    <row r="688" spans="1:11" x14ac:dyDescent="0.35">
      <c r="A688" t="s">
        <v>1383</v>
      </c>
      <c r="B688" s="73" t="s">
        <v>37</v>
      </c>
      <c r="C688" s="74" t="s">
        <v>38</v>
      </c>
      <c r="D688" s="75">
        <v>228.88</v>
      </c>
      <c r="E688" s="6" t="s">
        <v>39</v>
      </c>
      <c r="F688" s="76">
        <v>66.649721</v>
      </c>
      <c r="G688" s="76" t="s">
        <v>40</v>
      </c>
      <c r="H688" s="76">
        <f t="shared" si="10"/>
        <v>-0.62772099999999398</v>
      </c>
      <c r="I688" s="77">
        <v>-0.16311814789714801</v>
      </c>
      <c r="J688" s="78">
        <v>10.120112148706994</v>
      </c>
      <c r="K688" s="79">
        <v>0.72415549287865133</v>
      </c>
    </row>
    <row r="689" spans="1:11" x14ac:dyDescent="0.35">
      <c r="A689" t="s">
        <v>1383</v>
      </c>
      <c r="B689" s="73" t="s">
        <v>37</v>
      </c>
      <c r="C689" s="74" t="s">
        <v>38</v>
      </c>
      <c r="D689" s="75">
        <v>228.91</v>
      </c>
      <c r="E689" s="6" t="s">
        <v>39</v>
      </c>
      <c r="F689" s="76">
        <v>66.651319999999998</v>
      </c>
      <c r="G689" s="76" t="s">
        <v>40</v>
      </c>
      <c r="H689" s="76">
        <f t="shared" si="10"/>
        <v>-0.62931999999999277</v>
      </c>
      <c r="I689" s="77">
        <v>-0.22360012005746499</v>
      </c>
      <c r="J689" s="78">
        <v>10.389593469405895</v>
      </c>
      <c r="K689" s="79">
        <v>0.9936368135775524</v>
      </c>
    </row>
    <row r="690" spans="1:11" x14ac:dyDescent="0.35">
      <c r="A690" t="s">
        <v>1383</v>
      </c>
      <c r="B690" s="73" t="s">
        <v>37</v>
      </c>
      <c r="C690" s="74" t="s">
        <v>38</v>
      </c>
      <c r="D690" s="75">
        <v>228.94</v>
      </c>
      <c r="E690" s="6" t="s">
        <v>39</v>
      </c>
      <c r="F690" s="76">
        <v>66.652918999999997</v>
      </c>
      <c r="G690" s="76" t="s">
        <v>40</v>
      </c>
      <c r="H690" s="76">
        <f t="shared" si="10"/>
        <v>-0.63091899999999157</v>
      </c>
      <c r="I690" s="77">
        <v>8.9582470497346703E-2</v>
      </c>
      <c r="J690" s="78">
        <v>8.9998822068621394</v>
      </c>
      <c r="K690" s="79">
        <v>-0.39607444896620336</v>
      </c>
    </row>
    <row r="691" spans="1:11" x14ac:dyDescent="0.35">
      <c r="A691" t="s">
        <v>1383</v>
      </c>
      <c r="B691" s="73" t="s">
        <v>37</v>
      </c>
      <c r="C691" s="74" t="s">
        <v>38</v>
      </c>
      <c r="D691" s="75">
        <v>228.96</v>
      </c>
      <c r="E691" s="6" t="s">
        <v>39</v>
      </c>
      <c r="F691" s="76">
        <v>66.653985000000006</v>
      </c>
      <c r="G691" s="76" t="s">
        <v>40</v>
      </c>
      <c r="H691" s="76">
        <f t="shared" si="10"/>
        <v>-0.63198500000000024</v>
      </c>
      <c r="I691" s="77">
        <v>0.15734412236751899</v>
      </c>
      <c r="J691" s="78">
        <v>8.7010453464509965</v>
      </c>
      <c r="K691" s="79">
        <v>-0.69491130937734624</v>
      </c>
    </row>
    <row r="692" spans="1:11" x14ac:dyDescent="0.35">
      <c r="A692" t="s">
        <v>1383</v>
      </c>
      <c r="B692" s="73" t="s">
        <v>37</v>
      </c>
      <c r="C692" s="74" t="s">
        <v>38</v>
      </c>
      <c r="D692" s="75">
        <v>228.99</v>
      </c>
      <c r="E692" s="6" t="s">
        <v>39</v>
      </c>
      <c r="F692" s="76">
        <v>66.655584000000005</v>
      </c>
      <c r="G692" s="76" t="s">
        <v>40</v>
      </c>
      <c r="H692" s="76">
        <f t="shared" si="10"/>
        <v>-0.63358399999999904</v>
      </c>
      <c r="I692" s="77">
        <v>0.13454915346087701</v>
      </c>
      <c r="J692" s="78">
        <v>8.8015009018057526</v>
      </c>
      <c r="K692" s="79">
        <v>-0.5944557540225901</v>
      </c>
    </row>
    <row r="693" spans="1:11" x14ac:dyDescent="0.35">
      <c r="A693" t="s">
        <v>1383</v>
      </c>
      <c r="B693" s="73" t="s">
        <v>37</v>
      </c>
      <c r="C693" s="74" t="s">
        <v>38</v>
      </c>
      <c r="D693" s="75">
        <v>229.01</v>
      </c>
      <c r="E693" s="6" t="s">
        <v>39</v>
      </c>
      <c r="F693" s="76">
        <v>66.656649999999999</v>
      </c>
      <c r="G693" s="76" t="s">
        <v>40</v>
      </c>
      <c r="H693" s="76">
        <f t="shared" si="10"/>
        <v>-0.6346499999999935</v>
      </c>
      <c r="I693" s="77">
        <v>1.3920594087048601E-2</v>
      </c>
      <c r="J693" s="78">
        <v>9.3343337058871612</v>
      </c>
      <c r="K693" s="79">
        <v>-6.162294994118156E-2</v>
      </c>
    </row>
    <row r="694" spans="1:11" x14ac:dyDescent="0.35">
      <c r="A694" t="s">
        <v>1383</v>
      </c>
      <c r="B694" s="73" t="s">
        <v>37</v>
      </c>
      <c r="C694" s="74" t="s">
        <v>38</v>
      </c>
      <c r="D694" s="75">
        <v>229.04</v>
      </c>
      <c r="E694" s="6" t="s">
        <v>39</v>
      </c>
      <c r="F694" s="76">
        <v>66.658248999999998</v>
      </c>
      <c r="G694" s="76" t="s">
        <v>40</v>
      </c>
      <c r="H694" s="76">
        <f t="shared" si="10"/>
        <v>-0.63624899999999229</v>
      </c>
      <c r="I694" s="77">
        <v>-4.15107532333591E-2</v>
      </c>
      <c r="J694" s="78">
        <v>9.5798790897632671</v>
      </c>
      <c r="K694" s="79">
        <v>0.18392243393492436</v>
      </c>
    </row>
    <row r="695" spans="1:11" x14ac:dyDescent="0.35">
      <c r="A695" t="s">
        <v>1383</v>
      </c>
      <c r="B695" s="73" t="s">
        <v>37</v>
      </c>
      <c r="C695" s="74" t="s">
        <v>38</v>
      </c>
      <c r="D695" s="75">
        <v>229.07</v>
      </c>
      <c r="E695" s="6" t="s">
        <v>39</v>
      </c>
      <c r="F695" s="76">
        <v>66.659847999999997</v>
      </c>
      <c r="G695" s="76" t="s">
        <v>40</v>
      </c>
      <c r="H695" s="76">
        <f t="shared" si="10"/>
        <v>-0.63784799999999109</v>
      </c>
      <c r="I695" s="77">
        <v>-0.158165855145805</v>
      </c>
      <c r="J695" s="78">
        <v>10.098070297372601</v>
      </c>
      <c r="K695" s="79">
        <v>0.70211364154425837</v>
      </c>
    </row>
    <row r="696" spans="1:11" x14ac:dyDescent="0.35">
      <c r="A696" t="s">
        <v>1383</v>
      </c>
      <c r="B696" s="73" t="s">
        <v>37</v>
      </c>
      <c r="C696" s="74" t="s">
        <v>38</v>
      </c>
      <c r="D696" s="75">
        <v>229.1</v>
      </c>
      <c r="E696" s="6" t="s">
        <v>39</v>
      </c>
      <c r="F696" s="76">
        <v>66.661446999999995</v>
      </c>
      <c r="G696" s="76" t="s">
        <v>40</v>
      </c>
      <c r="H696" s="76">
        <f t="shared" si="10"/>
        <v>-0.63944699999998988</v>
      </c>
      <c r="I696" s="77">
        <v>0.101060723041897</v>
      </c>
      <c r="J696" s="78">
        <v>8.9492157650819308</v>
      </c>
      <c r="K696" s="79">
        <v>-0.44674089074641188</v>
      </c>
    </row>
    <row r="697" spans="1:11" x14ac:dyDescent="0.35">
      <c r="A697" t="s">
        <v>1383</v>
      </c>
      <c r="B697" s="73" t="s">
        <v>37</v>
      </c>
      <c r="C697" s="74" t="s">
        <v>38</v>
      </c>
      <c r="D697" s="75">
        <v>229.13</v>
      </c>
      <c r="E697" s="6" t="s">
        <v>39</v>
      </c>
      <c r="F697" s="76">
        <v>66.663045999999994</v>
      </c>
      <c r="G697" s="76" t="s">
        <v>40</v>
      </c>
      <c r="H697" s="76">
        <f t="shared" si="10"/>
        <v>-0.64104599999998868</v>
      </c>
      <c r="I697" s="77">
        <v>-5.46517078424998E-2</v>
      </c>
      <c r="J697" s="78">
        <v>9.6381544532992507</v>
      </c>
      <c r="K697" s="79">
        <v>0.24219779747090797</v>
      </c>
    </row>
    <row r="698" spans="1:11" x14ac:dyDescent="0.35">
      <c r="A698" t="s">
        <v>1383</v>
      </c>
      <c r="B698" s="73" t="s">
        <v>37</v>
      </c>
      <c r="C698" s="74" t="s">
        <v>38</v>
      </c>
      <c r="D698" s="75">
        <v>229.16</v>
      </c>
      <c r="E698" s="6" t="s">
        <v>39</v>
      </c>
      <c r="F698" s="76">
        <v>66.664644999999993</v>
      </c>
      <c r="G698" s="76" t="s">
        <v>40</v>
      </c>
      <c r="H698" s="76">
        <f t="shared" si="10"/>
        <v>-0.64264499999998748</v>
      </c>
      <c r="I698" s="77">
        <v>-0.175168387354452</v>
      </c>
      <c r="J698" s="78">
        <v>10.173760597197372</v>
      </c>
      <c r="K698" s="79">
        <v>0.77780394136902942</v>
      </c>
    </row>
    <row r="699" spans="1:11" x14ac:dyDescent="0.35">
      <c r="A699" t="s">
        <v>1383</v>
      </c>
      <c r="B699" s="73" t="s">
        <v>37</v>
      </c>
      <c r="C699" s="74" t="s">
        <v>38</v>
      </c>
      <c r="D699" s="75">
        <v>229.19</v>
      </c>
      <c r="E699" s="6" t="s">
        <v>39</v>
      </c>
      <c r="F699" s="76">
        <v>66.666244000000006</v>
      </c>
      <c r="G699" s="76" t="s">
        <v>40</v>
      </c>
      <c r="H699" s="76">
        <f t="shared" si="10"/>
        <v>-0.64424400000000048</v>
      </c>
      <c r="I699" s="77">
        <v>-0.118196376339363</v>
      </c>
      <c r="J699" s="78">
        <v>9.9203021107953191</v>
      </c>
      <c r="K699" s="79">
        <v>0.52434545496697638</v>
      </c>
    </row>
    <row r="700" spans="1:11" x14ac:dyDescent="0.35">
      <c r="A700" t="s">
        <v>1383</v>
      </c>
      <c r="B700" s="73" t="s">
        <v>37</v>
      </c>
      <c r="C700" s="74" t="s">
        <v>38</v>
      </c>
      <c r="D700" s="75">
        <v>229.22</v>
      </c>
      <c r="E700" s="6" t="s">
        <v>39</v>
      </c>
      <c r="F700" s="76">
        <v>66.667843000000005</v>
      </c>
      <c r="G700" s="76" t="s">
        <v>40</v>
      </c>
      <c r="H700" s="76">
        <f t="shared" si="10"/>
        <v>-0.64584299999999928</v>
      </c>
      <c r="I700" s="77">
        <v>5.42873568290363E-2</v>
      </c>
      <c r="J700" s="78">
        <v>9.1557969874609171</v>
      </c>
      <c r="K700" s="79">
        <v>-0.24015966836742564</v>
      </c>
    </row>
    <row r="701" spans="1:11" x14ac:dyDescent="0.35">
      <c r="A701" t="s">
        <v>1383</v>
      </c>
      <c r="B701" s="73" t="s">
        <v>37</v>
      </c>
      <c r="C701" s="74" t="s">
        <v>38</v>
      </c>
      <c r="D701" s="75">
        <v>229.25</v>
      </c>
      <c r="E701" s="6" t="s">
        <v>39</v>
      </c>
      <c r="F701" s="76">
        <v>66.669442000000004</v>
      </c>
      <c r="G701" s="76" t="s">
        <v>40</v>
      </c>
      <c r="H701" s="76">
        <f t="shared" si="10"/>
        <v>-0.64744199999999807</v>
      </c>
      <c r="I701" s="77">
        <v>-3.9623263527276402E-2</v>
      </c>
      <c r="J701" s="78">
        <v>9.5715107935635615</v>
      </c>
      <c r="K701" s="79">
        <v>0.17555413773521877</v>
      </c>
    </row>
    <row r="702" spans="1:11" x14ac:dyDescent="0.35">
      <c r="A702" t="s">
        <v>1383</v>
      </c>
      <c r="B702" s="73" t="s">
        <v>37</v>
      </c>
      <c r="C702" s="74" t="s">
        <v>38</v>
      </c>
      <c r="D702" s="75">
        <v>229.28</v>
      </c>
      <c r="E702" s="6" t="s">
        <v>39</v>
      </c>
      <c r="F702" s="76">
        <v>66.671041000000002</v>
      </c>
      <c r="G702" s="76" t="s">
        <v>40</v>
      </c>
      <c r="H702" s="76">
        <f t="shared" si="10"/>
        <v>-0.64904099999999687</v>
      </c>
      <c r="I702" s="77">
        <v>6.8543599636231495E-2</v>
      </c>
      <c r="J702" s="78">
        <v>9.0927991919950841</v>
      </c>
      <c r="K702" s="79">
        <v>-0.30315746383325859</v>
      </c>
    </row>
    <row r="703" spans="1:11" x14ac:dyDescent="0.35">
      <c r="A703" t="s">
        <v>1383</v>
      </c>
      <c r="B703" s="73" t="s">
        <v>37</v>
      </c>
      <c r="C703" s="74" t="s">
        <v>38</v>
      </c>
      <c r="D703" s="75">
        <v>229.31</v>
      </c>
      <c r="E703" s="6" t="s">
        <v>39</v>
      </c>
      <c r="F703" s="76">
        <v>66.672640000000001</v>
      </c>
      <c r="G703" s="76" t="s">
        <v>40</v>
      </c>
      <c r="H703" s="76">
        <f t="shared" si="10"/>
        <v>-0.65063999999999567</v>
      </c>
      <c r="I703" s="77">
        <v>-5.7913024789155401E-2</v>
      </c>
      <c r="J703" s="78">
        <v>9.6526210497905254</v>
      </c>
      <c r="K703" s="79">
        <v>0.25666439396218266</v>
      </c>
    </row>
    <row r="704" spans="1:11" x14ac:dyDescent="0.35">
      <c r="A704" t="s">
        <v>1383</v>
      </c>
      <c r="B704" s="73" t="s">
        <v>37</v>
      </c>
      <c r="C704" s="74" t="s">
        <v>38</v>
      </c>
      <c r="D704" s="75">
        <v>229.34</v>
      </c>
      <c r="E704" s="6" t="s">
        <v>39</v>
      </c>
      <c r="F704" s="76">
        <v>66.674239</v>
      </c>
      <c r="G704" s="76" t="s">
        <v>40</v>
      </c>
      <c r="H704" s="76">
        <f t="shared" si="10"/>
        <v>-0.65223899999999446</v>
      </c>
      <c r="I704" s="77">
        <v>1.29611292903419E-2</v>
      </c>
      <c r="J704" s="78">
        <v>9.3385801239047055</v>
      </c>
      <c r="K704" s="79">
        <v>-5.7376531923637231E-2</v>
      </c>
    </row>
    <row r="705" spans="1:11" x14ac:dyDescent="0.35">
      <c r="A705" t="s">
        <v>1383</v>
      </c>
      <c r="B705" s="73" t="s">
        <v>37</v>
      </c>
      <c r="C705" s="74" t="s">
        <v>38</v>
      </c>
      <c r="D705" s="75">
        <v>229.37</v>
      </c>
      <c r="E705" s="6" t="s">
        <v>39</v>
      </c>
      <c r="F705" s="76">
        <v>66.675837999999999</v>
      </c>
      <c r="G705" s="76" t="s">
        <v>40</v>
      </c>
      <c r="H705" s="76">
        <f t="shared" si="10"/>
        <v>-0.65383799999999326</v>
      </c>
      <c r="I705" s="77">
        <v>-0.18357446896832999</v>
      </c>
      <c r="J705" s="78">
        <v>10.211197435119971</v>
      </c>
      <c r="K705" s="79">
        <v>0.81524077929162786</v>
      </c>
    </row>
    <row r="706" spans="1:11" x14ac:dyDescent="0.35">
      <c r="A706" t="s">
        <v>1383</v>
      </c>
      <c r="B706" s="73" t="s">
        <v>37</v>
      </c>
      <c r="C706" s="74" t="s">
        <v>38</v>
      </c>
      <c r="D706" s="75">
        <v>229.4</v>
      </c>
      <c r="E706" s="6" t="s">
        <v>39</v>
      </c>
      <c r="F706" s="76">
        <v>66.677436999999998</v>
      </c>
      <c r="G706" s="76" t="s">
        <v>40</v>
      </c>
      <c r="H706" s="76">
        <f t="shared" ref="H706:H769" si="11">66.022-F706</f>
        <v>-0.65543699999999205</v>
      </c>
      <c r="I706" s="77">
        <v>-8.3889961229410601E-2</v>
      </c>
      <c r="J706" s="78">
        <v>9.7679044722835897</v>
      </c>
      <c r="K706" s="79">
        <v>0.37194781645524699</v>
      </c>
    </row>
    <row r="707" spans="1:11" x14ac:dyDescent="0.35">
      <c r="A707" t="s">
        <v>1383</v>
      </c>
      <c r="B707" s="73" t="s">
        <v>37</v>
      </c>
      <c r="C707" s="74" t="s">
        <v>38</v>
      </c>
      <c r="D707" s="75">
        <v>229.44</v>
      </c>
      <c r="E707" s="6" t="s">
        <v>39</v>
      </c>
      <c r="F707" s="76">
        <v>66.679569000000001</v>
      </c>
      <c r="G707" s="76" t="s">
        <v>40</v>
      </c>
      <c r="H707" s="76">
        <f t="shared" si="11"/>
        <v>-0.65756899999999519</v>
      </c>
      <c r="I707" s="77">
        <v>-0.16415502905957499</v>
      </c>
      <c r="J707" s="78">
        <v>10.124727586640233</v>
      </c>
      <c r="K707" s="79">
        <v>0.72877093081189059</v>
      </c>
    </row>
    <row r="708" spans="1:11" x14ac:dyDescent="0.35">
      <c r="A708" t="s">
        <v>1383</v>
      </c>
      <c r="B708" s="73" t="s">
        <v>37</v>
      </c>
      <c r="C708" s="74" t="s">
        <v>38</v>
      </c>
      <c r="D708" s="75">
        <v>229.47</v>
      </c>
      <c r="E708" s="6" t="s">
        <v>39</v>
      </c>
      <c r="F708" s="76">
        <v>66.681168</v>
      </c>
      <c r="G708" s="76" t="s">
        <v>40</v>
      </c>
      <c r="H708" s="76">
        <f t="shared" si="11"/>
        <v>-0.65916799999999398</v>
      </c>
      <c r="I708" s="77">
        <v>8.8182837334818104E-2</v>
      </c>
      <c r="J708" s="78">
        <v>9.0060616473750201</v>
      </c>
      <c r="K708" s="79">
        <v>-0.38989500845332259</v>
      </c>
    </row>
    <row r="709" spans="1:11" x14ac:dyDescent="0.35">
      <c r="A709" t="s">
        <v>1383</v>
      </c>
      <c r="B709" s="73" t="s">
        <v>37</v>
      </c>
      <c r="C709" s="74" t="s">
        <v>38</v>
      </c>
      <c r="D709" s="75">
        <v>229.5</v>
      </c>
      <c r="E709" s="6" t="s">
        <v>39</v>
      </c>
      <c r="F709" s="76">
        <v>66.682766000000001</v>
      </c>
      <c r="G709" s="76" t="s">
        <v>40</v>
      </c>
      <c r="H709" s="76">
        <f t="shared" si="11"/>
        <v>-0.6607659999999953</v>
      </c>
      <c r="I709" s="77">
        <v>0.127165530250683</v>
      </c>
      <c r="J709" s="78">
        <v>8.8340557696132578</v>
      </c>
      <c r="K709" s="79">
        <v>-0.56190088621508494</v>
      </c>
    </row>
    <row r="710" spans="1:11" x14ac:dyDescent="0.35">
      <c r="A710" t="s">
        <v>1383</v>
      </c>
      <c r="B710" s="73" t="s">
        <v>37</v>
      </c>
      <c r="C710" s="74" t="s">
        <v>38</v>
      </c>
      <c r="D710" s="75">
        <v>229.53</v>
      </c>
      <c r="E710" s="6" t="s">
        <v>39</v>
      </c>
      <c r="F710" s="76">
        <v>66.684365</v>
      </c>
      <c r="G710" s="76" t="s">
        <v>40</v>
      </c>
      <c r="H710" s="76">
        <f t="shared" si="11"/>
        <v>-0.6623649999999941</v>
      </c>
      <c r="I710" s="77">
        <v>-6.0511091632128998E-2</v>
      </c>
      <c r="J710" s="78">
        <v>9.6641466849957283</v>
      </c>
      <c r="K710" s="79">
        <v>0.26819002916738555</v>
      </c>
    </row>
    <row r="711" spans="1:11" x14ac:dyDescent="0.35">
      <c r="A711" t="s">
        <v>1383</v>
      </c>
      <c r="B711" s="73" t="s">
        <v>37</v>
      </c>
      <c r="C711" s="74" t="s">
        <v>38</v>
      </c>
      <c r="D711" s="75">
        <v>229.56</v>
      </c>
      <c r="E711" s="6" t="s">
        <v>39</v>
      </c>
      <c r="F711" s="76">
        <v>66.685963999999998</v>
      </c>
      <c r="G711" s="76" t="s">
        <v>40</v>
      </c>
      <c r="H711" s="76">
        <f t="shared" si="11"/>
        <v>-0.66396399999999289</v>
      </c>
      <c r="I711" s="77">
        <v>-2.3728986821123701E-2</v>
      </c>
      <c r="J711" s="78">
        <v>9.5010628572454721</v>
      </c>
      <c r="K711" s="79">
        <v>0.10510620141712934</v>
      </c>
    </row>
    <row r="712" spans="1:11" x14ac:dyDescent="0.35">
      <c r="A712" t="s">
        <v>1383</v>
      </c>
      <c r="B712" s="73" t="s">
        <v>37</v>
      </c>
      <c r="C712" s="74" t="s">
        <v>38</v>
      </c>
      <c r="D712" s="75">
        <v>229.59</v>
      </c>
      <c r="E712" s="6" t="s">
        <v>39</v>
      </c>
      <c r="F712" s="76">
        <v>66.687562999999997</v>
      </c>
      <c r="G712" s="76" t="s">
        <v>40</v>
      </c>
      <c r="H712" s="76">
        <f t="shared" si="11"/>
        <v>-0.66556299999999169</v>
      </c>
      <c r="I712" s="77">
        <v>1.56110273696891E-2</v>
      </c>
      <c r="J712" s="78">
        <v>9.3268524737947018</v>
      </c>
      <c r="K712" s="79">
        <v>-6.9104182033640882E-2</v>
      </c>
    </row>
    <row r="713" spans="1:11" x14ac:dyDescent="0.35">
      <c r="A713" t="s">
        <v>1383</v>
      </c>
      <c r="B713" s="73" t="s">
        <v>37</v>
      </c>
      <c r="C713" s="74" t="s">
        <v>38</v>
      </c>
      <c r="D713" s="75">
        <v>229.62</v>
      </c>
      <c r="E713" s="6" t="s">
        <v>39</v>
      </c>
      <c r="F713" s="76">
        <v>66.689161999999996</v>
      </c>
      <c r="G713" s="76" t="s">
        <v>40</v>
      </c>
      <c r="H713" s="76">
        <f t="shared" si="11"/>
        <v>-0.66716199999999048</v>
      </c>
      <c r="I713" s="77">
        <v>1.6458130736452799E-2</v>
      </c>
      <c r="J713" s="78">
        <v>9.3231036615950416</v>
      </c>
      <c r="K713" s="79">
        <v>-7.285299423330116E-2</v>
      </c>
    </row>
    <row r="714" spans="1:11" x14ac:dyDescent="0.35">
      <c r="A714" t="s">
        <v>1383</v>
      </c>
      <c r="B714" s="73" t="s">
        <v>37</v>
      </c>
      <c r="C714" s="74" t="s">
        <v>38</v>
      </c>
      <c r="D714" s="75">
        <v>229.65</v>
      </c>
      <c r="E714" s="6" t="s">
        <v>39</v>
      </c>
      <c r="F714" s="76">
        <v>66.690760999999995</v>
      </c>
      <c r="G714" s="76" t="s">
        <v>40</v>
      </c>
      <c r="H714" s="76">
        <f t="shared" si="11"/>
        <v>-0.66876099999998928</v>
      </c>
      <c r="I714" s="77">
        <v>6.0785593892070902E-2</v>
      </c>
      <c r="J714" s="78">
        <v>9.1270779257814638</v>
      </c>
      <c r="K714" s="79">
        <v>-0.2688787300468789</v>
      </c>
    </row>
    <row r="715" spans="1:11" x14ac:dyDescent="0.35">
      <c r="A715" t="s">
        <v>1383</v>
      </c>
      <c r="B715" s="73" t="s">
        <v>37</v>
      </c>
      <c r="C715" s="74" t="s">
        <v>38</v>
      </c>
      <c r="D715" s="75">
        <v>229.68</v>
      </c>
      <c r="E715" s="6" t="s">
        <v>39</v>
      </c>
      <c r="F715" s="76">
        <v>66.692359999999994</v>
      </c>
      <c r="G715" s="76" t="s">
        <v>40</v>
      </c>
      <c r="H715" s="76">
        <f t="shared" si="11"/>
        <v>-0.67035999999998808</v>
      </c>
      <c r="I715" s="77">
        <v>-2.6776835819486401E-2</v>
      </c>
      <c r="J715" s="78">
        <v>9.5145689797545288</v>
      </c>
      <c r="K715" s="79">
        <v>0.11861232392618604</v>
      </c>
    </row>
    <row r="716" spans="1:11" x14ac:dyDescent="0.35">
      <c r="A716" t="s">
        <v>1383</v>
      </c>
      <c r="B716" s="73" t="s">
        <v>37</v>
      </c>
      <c r="C716" s="74" t="s">
        <v>38</v>
      </c>
      <c r="D716" s="75">
        <v>229.71</v>
      </c>
      <c r="E716" s="6" t="s">
        <v>39</v>
      </c>
      <c r="F716" s="76">
        <v>66.693959000000007</v>
      </c>
      <c r="G716" s="76" t="s">
        <v>40</v>
      </c>
      <c r="H716" s="76">
        <f t="shared" si="11"/>
        <v>-0.67195900000000108</v>
      </c>
      <c r="I716" s="77">
        <v>9.5973846917935299E-2</v>
      </c>
      <c r="J716" s="78">
        <v>8.971667555144677</v>
      </c>
      <c r="K716" s="79">
        <v>-0.42428910068366577</v>
      </c>
    </row>
    <row r="717" spans="1:11" x14ac:dyDescent="0.35">
      <c r="A717" t="s">
        <v>1383</v>
      </c>
      <c r="B717" s="73" t="s">
        <v>37</v>
      </c>
      <c r="C717" s="74" t="s">
        <v>38</v>
      </c>
      <c r="D717" s="75">
        <v>229.74</v>
      </c>
      <c r="E717" s="6" t="s">
        <v>39</v>
      </c>
      <c r="F717" s="76">
        <v>66.695558000000005</v>
      </c>
      <c r="G717" s="76" t="s">
        <v>40</v>
      </c>
      <c r="H717" s="76">
        <f t="shared" si="11"/>
        <v>-0.67355799999999988</v>
      </c>
      <c r="I717" s="77">
        <v>6.04747124747049E-2</v>
      </c>
      <c r="J717" s="78">
        <v>9.1284517337958846</v>
      </c>
      <c r="K717" s="79">
        <v>-0.26750492203245813</v>
      </c>
    </row>
    <row r="718" spans="1:11" x14ac:dyDescent="0.35">
      <c r="A718" t="s">
        <v>1383</v>
      </c>
      <c r="B718" s="73" t="s">
        <v>37</v>
      </c>
      <c r="C718" s="74" t="s">
        <v>38</v>
      </c>
      <c r="D718" s="75">
        <v>229.77</v>
      </c>
      <c r="E718" s="6" t="s">
        <v>39</v>
      </c>
      <c r="F718" s="76">
        <v>66.697157000000004</v>
      </c>
      <c r="G718" s="76" t="s">
        <v>40</v>
      </c>
      <c r="H718" s="76">
        <f t="shared" si="11"/>
        <v>-0.67515699999999867</v>
      </c>
      <c r="I718" s="77">
        <v>9.9502239907989995E-2</v>
      </c>
      <c r="J718" s="78">
        <v>8.9560940027317315</v>
      </c>
      <c r="K718" s="79">
        <v>-0.43986265309661121</v>
      </c>
    </row>
    <row r="719" spans="1:11" x14ac:dyDescent="0.35">
      <c r="A719" t="s">
        <v>1383</v>
      </c>
      <c r="B719" s="73" t="s">
        <v>37</v>
      </c>
      <c r="C719" s="74" t="s">
        <v>38</v>
      </c>
      <c r="D719" s="75">
        <v>229.8</v>
      </c>
      <c r="E719" s="6" t="s">
        <v>39</v>
      </c>
      <c r="F719" s="76">
        <v>66.698756000000003</v>
      </c>
      <c r="G719" s="76" t="s">
        <v>40</v>
      </c>
      <c r="H719" s="76">
        <f t="shared" si="11"/>
        <v>-0.67675599999999747</v>
      </c>
      <c r="I719" s="77">
        <v>0.15055131485588599</v>
      </c>
      <c r="J719" s="78">
        <v>8.7309729636140787</v>
      </c>
      <c r="K719" s="79">
        <v>-0.66498369221426401</v>
      </c>
    </row>
    <row r="720" spans="1:11" x14ac:dyDescent="0.35">
      <c r="A720" t="s">
        <v>1383</v>
      </c>
      <c r="B720" s="73" t="s">
        <v>37</v>
      </c>
      <c r="C720" s="74" t="s">
        <v>38</v>
      </c>
      <c r="D720" s="75">
        <v>229.83</v>
      </c>
      <c r="E720" s="6" t="s">
        <v>39</v>
      </c>
      <c r="F720" s="76">
        <v>66.700355000000002</v>
      </c>
      <c r="G720" s="76" t="s">
        <v>40</v>
      </c>
      <c r="H720" s="76">
        <f t="shared" si="11"/>
        <v>-0.67835499999999627</v>
      </c>
      <c r="I720" s="77">
        <v>8.1113851072057805E-2</v>
      </c>
      <c r="J720" s="78">
        <v>9.0372757937028609</v>
      </c>
      <c r="K720" s="79">
        <v>-0.35868086212548178</v>
      </c>
    </row>
    <row r="721" spans="1:11" x14ac:dyDescent="0.35">
      <c r="A721" t="s">
        <v>1383</v>
      </c>
      <c r="B721" s="73" t="s">
        <v>37</v>
      </c>
      <c r="C721" s="74" t="s">
        <v>38</v>
      </c>
      <c r="D721" s="75">
        <v>229.86</v>
      </c>
      <c r="E721" s="6" t="s">
        <v>39</v>
      </c>
      <c r="F721" s="76">
        <v>66.701954000000001</v>
      </c>
      <c r="G721" s="76" t="s">
        <v>40</v>
      </c>
      <c r="H721" s="76">
        <f t="shared" si="11"/>
        <v>-0.67995399999999506</v>
      </c>
      <c r="I721" s="77">
        <v>3.0211030544932699E-2</v>
      </c>
      <c r="J721" s="78">
        <v>9.2622552761411043</v>
      </c>
      <c r="K721" s="79">
        <v>-0.13370137968723839</v>
      </c>
    </row>
    <row r="722" spans="1:11" x14ac:dyDescent="0.35">
      <c r="A722" t="s">
        <v>1383</v>
      </c>
      <c r="B722" s="73" t="s">
        <v>37</v>
      </c>
      <c r="C722" s="74" t="s">
        <v>38</v>
      </c>
      <c r="D722" s="75">
        <v>229.89</v>
      </c>
      <c r="E722" s="6" t="s">
        <v>39</v>
      </c>
      <c r="F722" s="76">
        <v>66.703552999999999</v>
      </c>
      <c r="G722" s="76" t="s">
        <v>40</v>
      </c>
      <c r="H722" s="76">
        <f t="shared" si="11"/>
        <v>-0.68155299999999386</v>
      </c>
      <c r="I722" s="77">
        <v>0.12859174051845401</v>
      </c>
      <c r="J722" s="78">
        <v>8.8277669126334786</v>
      </c>
      <c r="K722" s="79">
        <v>-0.56818974319486415</v>
      </c>
    </row>
    <row r="723" spans="1:11" x14ac:dyDescent="0.35">
      <c r="A723" t="s">
        <v>1383</v>
      </c>
      <c r="B723" s="73" t="s">
        <v>37</v>
      </c>
      <c r="C723" s="74" t="s">
        <v>38</v>
      </c>
      <c r="D723" s="75">
        <v>229.92</v>
      </c>
      <c r="E723" s="6" t="s">
        <v>39</v>
      </c>
      <c r="F723" s="76">
        <v>66.705151999999998</v>
      </c>
      <c r="G723" s="76" t="s">
        <v>40</v>
      </c>
      <c r="H723" s="76">
        <f t="shared" si="11"/>
        <v>-0.68315199999999265</v>
      </c>
      <c r="I723" s="77">
        <v>6.9610901503630404E-2</v>
      </c>
      <c r="J723" s="78">
        <v>9.0880839929603212</v>
      </c>
      <c r="K723" s="79">
        <v>-0.30787266286802151</v>
      </c>
    </row>
    <row r="724" spans="1:11" x14ac:dyDescent="0.35">
      <c r="A724" t="s">
        <v>1383</v>
      </c>
      <c r="B724" s="73" t="s">
        <v>37</v>
      </c>
      <c r="C724" s="74" t="s">
        <v>38</v>
      </c>
      <c r="D724" s="75">
        <v>229.95</v>
      </c>
      <c r="E724" s="6" t="s">
        <v>39</v>
      </c>
      <c r="F724" s="76">
        <v>66.706750999999997</v>
      </c>
      <c r="G724" s="76" t="s">
        <v>40</v>
      </c>
      <c r="H724" s="76">
        <f t="shared" si="11"/>
        <v>-0.68475099999999145</v>
      </c>
      <c r="I724" s="77">
        <v>0.106620067690828</v>
      </c>
      <c r="J724" s="78">
        <v>8.9246828720944222</v>
      </c>
      <c r="K724" s="79">
        <v>-0.47127378373392048</v>
      </c>
    </row>
    <row r="725" spans="1:11" x14ac:dyDescent="0.35">
      <c r="A725" t="s">
        <v>1383</v>
      </c>
      <c r="B725" s="73" t="s">
        <v>37</v>
      </c>
      <c r="C725" s="74" t="s">
        <v>38</v>
      </c>
      <c r="D725" s="75">
        <v>229.98</v>
      </c>
      <c r="E725" s="6" t="s">
        <v>39</v>
      </c>
      <c r="F725" s="76">
        <v>66.708349999999996</v>
      </c>
      <c r="G725" s="76" t="s">
        <v>40</v>
      </c>
      <c r="H725" s="76">
        <f t="shared" si="11"/>
        <v>-0.68634999999999025</v>
      </c>
      <c r="I725" s="77">
        <v>0.10429210117365501</v>
      </c>
      <c r="J725" s="78">
        <v>8.9349554451672475</v>
      </c>
      <c r="K725" s="79">
        <v>-0.46100121066109523</v>
      </c>
    </row>
    <row r="726" spans="1:11" x14ac:dyDescent="0.35">
      <c r="A726" t="s">
        <v>1383</v>
      </c>
      <c r="B726" s="73" t="s">
        <v>37</v>
      </c>
      <c r="C726" s="74" t="s">
        <v>38</v>
      </c>
      <c r="D726" s="75">
        <v>230.01</v>
      </c>
      <c r="E726" s="6" t="s">
        <v>39</v>
      </c>
      <c r="F726" s="76">
        <v>66.709948999999995</v>
      </c>
      <c r="G726" s="76" t="s">
        <v>40</v>
      </c>
      <c r="H726" s="76">
        <f t="shared" si="11"/>
        <v>-0.68794899999998904</v>
      </c>
      <c r="I726" s="77">
        <v>0.109156429520628</v>
      </c>
      <c r="J726" s="78">
        <v>8.9134915958624106</v>
      </c>
      <c r="K726" s="79">
        <v>-0.48246505996593214</v>
      </c>
    </row>
    <row r="727" spans="1:11" x14ac:dyDescent="0.35">
      <c r="A727" t="s">
        <v>1383</v>
      </c>
      <c r="B727" s="73" t="s">
        <v>37</v>
      </c>
      <c r="C727" s="74" t="s">
        <v>38</v>
      </c>
      <c r="D727" s="75">
        <v>230.04</v>
      </c>
      <c r="E727" s="6" t="s">
        <v>39</v>
      </c>
      <c r="F727" s="76">
        <v>66.711547999999993</v>
      </c>
      <c r="G727" s="76" t="s">
        <v>40</v>
      </c>
      <c r="H727" s="76">
        <f t="shared" si="11"/>
        <v>-0.68954799999998784</v>
      </c>
      <c r="I727" s="77">
        <v>6.8964593533773405E-2</v>
      </c>
      <c r="J727" s="78">
        <v>9.090939277003713</v>
      </c>
      <c r="K727" s="79">
        <v>-0.30501737882462976</v>
      </c>
    </row>
    <row r="728" spans="1:11" x14ac:dyDescent="0.35">
      <c r="A728" t="s">
        <v>1383</v>
      </c>
      <c r="B728" s="73" t="s">
        <v>37</v>
      </c>
      <c r="C728" s="74" t="s">
        <v>38</v>
      </c>
      <c r="D728" s="75">
        <v>230.1</v>
      </c>
      <c r="E728" s="6" t="s">
        <v>39</v>
      </c>
      <c r="F728" s="76">
        <v>66.714746000000005</v>
      </c>
      <c r="G728" s="76" t="s">
        <v>40</v>
      </c>
      <c r="H728" s="76">
        <f t="shared" si="11"/>
        <v>-0.69274599999999964</v>
      </c>
      <c r="I728" s="77">
        <v>0.10688984904316499</v>
      </c>
      <c r="J728" s="78">
        <v>8.9234924630332557</v>
      </c>
      <c r="K728" s="79">
        <v>-0.472464192795087</v>
      </c>
    </row>
    <row r="729" spans="1:11" x14ac:dyDescent="0.35">
      <c r="A729" t="s">
        <v>1383</v>
      </c>
      <c r="B729" s="73" t="s">
        <v>37</v>
      </c>
      <c r="C729" s="74" t="s">
        <v>38</v>
      </c>
      <c r="D729" s="75">
        <v>230.13</v>
      </c>
      <c r="E729" s="6" t="s">
        <v>39</v>
      </c>
      <c r="F729" s="76">
        <v>66.716345000000004</v>
      </c>
      <c r="G729" s="76" t="s">
        <v>40</v>
      </c>
      <c r="H729" s="76">
        <f t="shared" si="11"/>
        <v>-0.69434499999999844</v>
      </c>
      <c r="I729" s="77">
        <v>0.112339840350434</v>
      </c>
      <c r="J729" s="78">
        <v>8.89944661998436</v>
      </c>
      <c r="K729" s="79">
        <v>-0.49651003584398268</v>
      </c>
    </row>
    <row r="730" spans="1:11" x14ac:dyDescent="0.35">
      <c r="A730" t="s">
        <v>1383</v>
      </c>
      <c r="B730" s="73" t="s">
        <v>37</v>
      </c>
      <c r="C730" s="74" t="s">
        <v>38</v>
      </c>
      <c r="D730" s="75">
        <v>230.16</v>
      </c>
      <c r="E730" s="6" t="s">
        <v>39</v>
      </c>
      <c r="F730" s="76">
        <v>66.717944000000003</v>
      </c>
      <c r="G730" s="76" t="s">
        <v>40</v>
      </c>
      <c r="H730" s="76">
        <f t="shared" si="11"/>
        <v>-0.69594399999999723</v>
      </c>
      <c r="I730" s="77">
        <v>7.3464542450941805E-2</v>
      </c>
      <c r="J730" s="78">
        <v>9.0710604681293034</v>
      </c>
      <c r="K730" s="79">
        <v>-0.32489618769903927</v>
      </c>
    </row>
    <row r="731" spans="1:11" x14ac:dyDescent="0.35">
      <c r="A731" t="s">
        <v>1383</v>
      </c>
      <c r="B731" s="73" t="s">
        <v>37</v>
      </c>
      <c r="C731" s="74" t="s">
        <v>38</v>
      </c>
      <c r="D731" s="75">
        <v>230.19</v>
      </c>
      <c r="E731" s="6" t="s">
        <v>39</v>
      </c>
      <c r="F731" s="76">
        <v>66.719543000000002</v>
      </c>
      <c r="G731" s="76" t="s">
        <v>40</v>
      </c>
      <c r="H731" s="76">
        <f t="shared" si="11"/>
        <v>-0.69754299999999603</v>
      </c>
      <c r="I731" s="77">
        <v>0.109415694261357</v>
      </c>
      <c r="J731" s="78">
        <v>8.9123476847856864</v>
      </c>
      <c r="K731" s="79">
        <v>-0.48360897104265632</v>
      </c>
    </row>
    <row r="732" spans="1:11" x14ac:dyDescent="0.35">
      <c r="A732" t="s">
        <v>1383</v>
      </c>
      <c r="B732" s="73" t="s">
        <v>37</v>
      </c>
      <c r="C732" s="74" t="s">
        <v>38</v>
      </c>
      <c r="D732" s="75">
        <v>230.22</v>
      </c>
      <c r="E732" s="6" t="s">
        <v>39</v>
      </c>
      <c r="F732" s="76">
        <v>66.721142</v>
      </c>
      <c r="G732" s="76" t="s">
        <v>40</v>
      </c>
      <c r="H732" s="76">
        <f t="shared" si="11"/>
        <v>-0.69914199999999482</v>
      </c>
      <c r="I732" s="77">
        <v>1.7881555145775802E-2</v>
      </c>
      <c r="J732" s="78">
        <v>9.316804601606691</v>
      </c>
      <c r="K732" s="79">
        <v>-7.9152054221651724E-2</v>
      </c>
    </row>
    <row r="733" spans="1:11" x14ac:dyDescent="0.35">
      <c r="A733" t="s">
        <v>1383</v>
      </c>
      <c r="B733" s="73" t="s">
        <v>37</v>
      </c>
      <c r="C733" s="74" t="s">
        <v>38</v>
      </c>
      <c r="D733" s="75">
        <v>230.25</v>
      </c>
      <c r="E733" s="6" t="s">
        <v>39</v>
      </c>
      <c r="F733" s="76">
        <v>66.722740999999999</v>
      </c>
      <c r="G733" s="76" t="s">
        <v>40</v>
      </c>
      <c r="H733" s="76">
        <f t="shared" si="11"/>
        <v>-0.70074099999999362</v>
      </c>
      <c r="I733" s="77">
        <v>0.121987950657115</v>
      </c>
      <c r="J733" s="78">
        <v>8.856888677644406</v>
      </c>
      <c r="K733" s="79">
        <v>-0.5390679781839367</v>
      </c>
    </row>
    <row r="734" spans="1:11" x14ac:dyDescent="0.35">
      <c r="A734" t="s">
        <v>1383</v>
      </c>
      <c r="B734" s="73" t="s">
        <v>37</v>
      </c>
      <c r="C734" s="74" t="s">
        <v>38</v>
      </c>
      <c r="D734" s="75">
        <v>230.28</v>
      </c>
      <c r="E734" s="6" t="s">
        <v>39</v>
      </c>
      <c r="F734" s="76">
        <v>66.724339999999998</v>
      </c>
      <c r="G734" s="76" t="s">
        <v>40</v>
      </c>
      <c r="H734" s="76">
        <f t="shared" si="11"/>
        <v>-0.70233999999999241</v>
      </c>
      <c r="I734" s="77">
        <v>0.19397167225181999</v>
      </c>
      <c r="J734" s="78">
        <v>8.5397853633117506</v>
      </c>
      <c r="K734" s="79">
        <v>-0.85617129251659208</v>
      </c>
    </row>
    <row r="735" spans="1:11" x14ac:dyDescent="0.35">
      <c r="A735" t="s">
        <v>1383</v>
      </c>
      <c r="B735" s="73" t="s">
        <v>37</v>
      </c>
      <c r="C735" s="74" t="s">
        <v>38</v>
      </c>
      <c r="D735" s="75">
        <v>230.31</v>
      </c>
      <c r="E735" s="6" t="s">
        <v>39</v>
      </c>
      <c r="F735" s="76">
        <v>66.725938999999997</v>
      </c>
      <c r="G735" s="76" t="s">
        <v>40</v>
      </c>
      <c r="H735" s="76">
        <f t="shared" si="11"/>
        <v>-0.70393899999999121</v>
      </c>
      <c r="I735" s="77">
        <v>2.84652073076186E-2</v>
      </c>
      <c r="J735" s="78">
        <v>9.2699780044376325</v>
      </c>
      <c r="K735" s="79">
        <v>-0.12597865139071018</v>
      </c>
    </row>
    <row r="736" spans="1:11" x14ac:dyDescent="0.35">
      <c r="A736" t="s">
        <v>1383</v>
      </c>
      <c r="B736" s="73" t="s">
        <v>37</v>
      </c>
      <c r="C736" s="74" t="s">
        <v>38</v>
      </c>
      <c r="D736" s="75">
        <v>230.34</v>
      </c>
      <c r="E736" s="6" t="s">
        <v>39</v>
      </c>
      <c r="F736" s="76">
        <v>66.727537999999996</v>
      </c>
      <c r="G736" s="76" t="s">
        <v>40</v>
      </c>
      <c r="H736" s="76">
        <f t="shared" si="11"/>
        <v>-0.70553799999999001</v>
      </c>
      <c r="I736" s="77">
        <v>5.1584360212275897E-3</v>
      </c>
      <c r="J736" s="78">
        <v>9.3731183286937494</v>
      </c>
      <c r="K736" s="79">
        <v>-2.2838327134593328E-2</v>
      </c>
    </row>
    <row r="737" spans="1:11" x14ac:dyDescent="0.35">
      <c r="A737" t="s">
        <v>1383</v>
      </c>
      <c r="B737" s="73" t="s">
        <v>37</v>
      </c>
      <c r="C737" s="74" t="s">
        <v>38</v>
      </c>
      <c r="D737" s="75">
        <v>230.37</v>
      </c>
      <c r="E737" s="6" t="s">
        <v>39</v>
      </c>
      <c r="F737" s="76">
        <v>66.729136999999994</v>
      </c>
      <c r="G737" s="76" t="s">
        <v>40</v>
      </c>
      <c r="H737" s="76">
        <f t="shared" si="11"/>
        <v>-0.7071369999999888</v>
      </c>
      <c r="I737" s="77">
        <v>1.6237325691019398E-2</v>
      </c>
      <c r="J737" s="78">
        <v>9.3240808130261144</v>
      </c>
      <c r="K737" s="79">
        <v>-7.1875842802228362E-2</v>
      </c>
    </row>
    <row r="738" spans="1:11" x14ac:dyDescent="0.35">
      <c r="A738" t="s">
        <v>1383</v>
      </c>
      <c r="B738" s="73" t="s">
        <v>37</v>
      </c>
      <c r="C738" s="74" t="s">
        <v>38</v>
      </c>
      <c r="D738" s="75">
        <v>230.4</v>
      </c>
      <c r="E738" s="6" t="s">
        <v>39</v>
      </c>
      <c r="F738" s="76">
        <v>66.730735999999993</v>
      </c>
      <c r="G738" s="76" t="s">
        <v>40</v>
      </c>
      <c r="H738" s="76">
        <f t="shared" si="11"/>
        <v>-0.7087359999999876</v>
      </c>
      <c r="I738" s="77">
        <v>-8.3777542339606697E-3</v>
      </c>
      <c r="J738" s="78">
        <v>9.4330562298486029</v>
      </c>
      <c r="K738" s="79">
        <v>3.7099574020260206E-2</v>
      </c>
    </row>
    <row r="739" spans="1:11" x14ac:dyDescent="0.35">
      <c r="A739" t="s">
        <v>1383</v>
      </c>
      <c r="B739" s="73" t="s">
        <v>37</v>
      </c>
      <c r="C739" s="74" t="s">
        <v>38</v>
      </c>
      <c r="D739" s="75">
        <v>230.43</v>
      </c>
      <c r="E739" s="6" t="s">
        <v>39</v>
      </c>
      <c r="F739" s="76">
        <v>66.732335000000006</v>
      </c>
      <c r="G739" s="76" t="s">
        <v>40</v>
      </c>
      <c r="H739" s="76">
        <f t="shared" si="11"/>
        <v>-0.7103350000000006</v>
      </c>
      <c r="I739" s="77">
        <v>0.104994567674009</v>
      </c>
      <c r="J739" s="78">
        <v>8.931855603412032</v>
      </c>
      <c r="K739" s="79">
        <v>-0.46410105241631072</v>
      </c>
    </row>
    <row r="740" spans="1:11" x14ac:dyDescent="0.35">
      <c r="A740" t="s">
        <v>1383</v>
      </c>
      <c r="B740" s="73" t="s">
        <v>37</v>
      </c>
      <c r="C740" s="74" t="s">
        <v>38</v>
      </c>
      <c r="D740" s="75">
        <v>230.46</v>
      </c>
      <c r="E740" s="6" t="s">
        <v>39</v>
      </c>
      <c r="F740" s="76">
        <v>66.733934000000005</v>
      </c>
      <c r="G740" s="76" t="s">
        <v>40</v>
      </c>
      <c r="H740" s="76">
        <f t="shared" si="11"/>
        <v>-0.7119339999999994</v>
      </c>
      <c r="I740" s="77">
        <v>0.114581734048373</v>
      </c>
      <c r="J740" s="78">
        <v>8.8895564150251403</v>
      </c>
      <c r="K740" s="79">
        <v>-0.50640024080320245</v>
      </c>
    </row>
    <row r="741" spans="1:11" x14ac:dyDescent="0.35">
      <c r="A741" t="s">
        <v>1383</v>
      </c>
      <c r="B741" s="73" t="s">
        <v>37</v>
      </c>
      <c r="C741" s="74" t="s">
        <v>38</v>
      </c>
      <c r="D741" s="75">
        <v>230.49</v>
      </c>
      <c r="E741" s="6" t="s">
        <v>39</v>
      </c>
      <c r="F741" s="76">
        <v>66.735494000000003</v>
      </c>
      <c r="G741" s="76" t="s">
        <v>40</v>
      </c>
      <c r="H741" s="76">
        <f t="shared" si="11"/>
        <v>-0.71349399999999719</v>
      </c>
      <c r="I741" s="77">
        <v>0.115503858663296</v>
      </c>
      <c r="J741" s="78">
        <v>8.8854886326438418</v>
      </c>
      <c r="K741" s="79">
        <v>-0.51046802318450091</v>
      </c>
    </row>
    <row r="742" spans="1:11" x14ac:dyDescent="0.35">
      <c r="A742" t="s">
        <v>1383</v>
      </c>
      <c r="B742" s="73" t="s">
        <v>37</v>
      </c>
      <c r="C742" s="74" t="s">
        <v>38</v>
      </c>
      <c r="D742" s="75">
        <v>230.52</v>
      </c>
      <c r="E742" s="6" t="s">
        <v>39</v>
      </c>
      <c r="F742" s="76">
        <v>66.736975000000001</v>
      </c>
      <c r="G742" s="76" t="s">
        <v>40</v>
      </c>
      <c r="H742" s="76">
        <f t="shared" si="11"/>
        <v>-0.71497499999999548</v>
      </c>
      <c r="I742" s="77">
        <v>-1.8594561538939E-2</v>
      </c>
      <c r="J742" s="78">
        <v>9.4783133710857896</v>
      </c>
      <c r="K742" s="79">
        <v>8.2356715257446922E-2</v>
      </c>
    </row>
    <row r="743" spans="1:11" x14ac:dyDescent="0.35">
      <c r="A743" t="s">
        <v>1383</v>
      </c>
      <c r="B743" s="73" t="s">
        <v>37</v>
      </c>
      <c r="C743" s="74" t="s">
        <v>38</v>
      </c>
      <c r="D743" s="75">
        <v>230.55</v>
      </c>
      <c r="E743" s="6" t="s">
        <v>39</v>
      </c>
      <c r="F743" s="76">
        <v>66.738455999999999</v>
      </c>
      <c r="G743" s="76" t="s">
        <v>40</v>
      </c>
      <c r="H743" s="76">
        <f t="shared" si="11"/>
        <v>-0.71645599999999376</v>
      </c>
      <c r="I743" s="77">
        <v>8.2132222913370995E-2</v>
      </c>
      <c r="J743" s="78">
        <v>9.0327785839788248</v>
      </c>
      <c r="K743" s="79">
        <v>-0.36317807184951789</v>
      </c>
    </row>
    <row r="744" spans="1:11" x14ac:dyDescent="0.35">
      <c r="A744" t="s">
        <v>1383</v>
      </c>
      <c r="B744" s="73" t="s">
        <v>37</v>
      </c>
      <c r="C744" s="74" t="s">
        <v>38</v>
      </c>
      <c r="D744" s="75">
        <v>230.58</v>
      </c>
      <c r="E744" s="6" t="s">
        <v>39</v>
      </c>
      <c r="F744" s="76">
        <v>66.739936999999998</v>
      </c>
      <c r="G744" s="76" t="s">
        <v>40</v>
      </c>
      <c r="H744" s="76">
        <f t="shared" si="11"/>
        <v>-0.71793699999999205</v>
      </c>
      <c r="I744" s="77">
        <v>0.129009221690779</v>
      </c>
      <c r="J744" s="78">
        <v>8.8259260892084512</v>
      </c>
      <c r="K744" s="79">
        <v>-0.57003056661989149</v>
      </c>
    </row>
    <row r="745" spans="1:11" x14ac:dyDescent="0.35">
      <c r="A745" t="s">
        <v>1383</v>
      </c>
      <c r="B745" s="73" t="s">
        <v>37</v>
      </c>
      <c r="C745" s="74" t="s">
        <v>38</v>
      </c>
      <c r="D745" s="75">
        <v>230.61</v>
      </c>
      <c r="E745" s="6" t="s">
        <v>39</v>
      </c>
      <c r="F745" s="76">
        <v>66.741418999999993</v>
      </c>
      <c r="G745" s="76" t="s">
        <v>40</v>
      </c>
      <c r="H745" s="76">
        <f t="shared" si="11"/>
        <v>-0.71941899999998782</v>
      </c>
      <c r="I745" s="77">
        <v>8.1164003432536005E-2</v>
      </c>
      <c r="J745" s="78">
        <v>9.0370543134908985</v>
      </c>
      <c r="K745" s="79">
        <v>-0.35890234233744422</v>
      </c>
    </row>
    <row r="746" spans="1:11" x14ac:dyDescent="0.35">
      <c r="A746" t="s">
        <v>1383</v>
      </c>
      <c r="B746" s="73" t="s">
        <v>37</v>
      </c>
      <c r="C746" s="74" t="s">
        <v>38</v>
      </c>
      <c r="D746" s="75">
        <v>230.64</v>
      </c>
      <c r="E746" s="6" t="s">
        <v>39</v>
      </c>
      <c r="F746" s="76">
        <v>66.742900000000006</v>
      </c>
      <c r="G746" s="76" t="s">
        <v>40</v>
      </c>
      <c r="H746" s="76">
        <f t="shared" si="11"/>
        <v>-0.72090000000000032</v>
      </c>
      <c r="I746" s="77">
        <v>9.2510938047765903E-2</v>
      </c>
      <c r="J746" s="78">
        <v>8.9869538004371634</v>
      </c>
      <c r="K746" s="79">
        <v>-0.40900285539117931</v>
      </c>
    </row>
    <row r="747" spans="1:11" x14ac:dyDescent="0.35">
      <c r="A747" t="s">
        <v>1383</v>
      </c>
      <c r="B747" s="73" t="s">
        <v>37</v>
      </c>
      <c r="C747" s="74" t="s">
        <v>38</v>
      </c>
      <c r="D747" s="75">
        <v>230.67</v>
      </c>
      <c r="E747" s="6" t="s">
        <v>39</v>
      </c>
      <c r="F747" s="76">
        <v>66.744381000000004</v>
      </c>
      <c r="G747" s="76" t="s">
        <v>40</v>
      </c>
      <c r="H747" s="76">
        <f t="shared" si="11"/>
        <v>-0.72238099999999861</v>
      </c>
      <c r="I747" s="77">
        <v>2.6720546398565699E-2</v>
      </c>
      <c r="J747" s="78">
        <v>9.2776960265489379</v>
      </c>
      <c r="K747" s="79">
        <v>-0.11826062927940484</v>
      </c>
    </row>
    <row r="748" spans="1:11" x14ac:dyDescent="0.35">
      <c r="A748" t="s">
        <v>1383</v>
      </c>
      <c r="B748" s="73" t="s">
        <v>37</v>
      </c>
      <c r="C748" s="74" t="s">
        <v>38</v>
      </c>
      <c r="D748" s="75">
        <v>230.7</v>
      </c>
      <c r="E748" s="6" t="s">
        <v>39</v>
      </c>
      <c r="F748" s="76">
        <v>66.745862000000002</v>
      </c>
      <c r="G748" s="76" t="s">
        <v>40</v>
      </c>
      <c r="H748" s="76">
        <f t="shared" si="11"/>
        <v>-0.7238619999999969</v>
      </c>
      <c r="I748" s="77">
        <v>0.17936102303385201</v>
      </c>
      <c r="J748" s="78">
        <v>8.6040887805239095</v>
      </c>
      <c r="K748" s="79">
        <v>-0.79186787530443326</v>
      </c>
    </row>
    <row r="749" spans="1:11" x14ac:dyDescent="0.35">
      <c r="A749" t="s">
        <v>1383</v>
      </c>
      <c r="B749" s="73" t="s">
        <v>37</v>
      </c>
      <c r="C749" s="74" t="s">
        <v>38</v>
      </c>
      <c r="D749" s="75">
        <v>230.73</v>
      </c>
      <c r="E749" s="6" t="s">
        <v>39</v>
      </c>
      <c r="F749" s="76">
        <v>66.747343999999998</v>
      </c>
      <c r="G749" s="76" t="s">
        <v>40</v>
      </c>
      <c r="H749" s="76">
        <f t="shared" si="11"/>
        <v>-0.72534399999999266</v>
      </c>
      <c r="I749" s="77">
        <v>-1.1763620433030499E-2</v>
      </c>
      <c r="J749" s="78">
        <v>9.4480528614111563</v>
      </c>
      <c r="K749" s="79">
        <v>5.2096205582813582E-2</v>
      </c>
    </row>
    <row r="750" spans="1:11" x14ac:dyDescent="0.35">
      <c r="A750" t="s">
        <v>1383</v>
      </c>
      <c r="B750" s="73" t="s">
        <v>37</v>
      </c>
      <c r="C750" s="74" t="s">
        <v>38</v>
      </c>
      <c r="D750" s="75">
        <v>230.76</v>
      </c>
      <c r="E750" s="6" t="s">
        <v>39</v>
      </c>
      <c r="F750" s="76">
        <v>66.748824999999997</v>
      </c>
      <c r="G750" s="76" t="s">
        <v>40</v>
      </c>
      <c r="H750" s="76">
        <f t="shared" si="11"/>
        <v>-0.72682499999999095</v>
      </c>
      <c r="I750" s="77">
        <v>6.5541907284230497E-2</v>
      </c>
      <c r="J750" s="78">
        <v>9.1060611449810267</v>
      </c>
      <c r="K750" s="79">
        <v>-0.28989551084731602</v>
      </c>
    </row>
    <row r="751" spans="1:11" x14ac:dyDescent="0.35">
      <c r="A751" t="s">
        <v>1383</v>
      </c>
      <c r="B751" s="73" t="s">
        <v>37</v>
      </c>
      <c r="C751" s="74" t="s">
        <v>38</v>
      </c>
      <c r="D751" s="75">
        <v>230.79</v>
      </c>
      <c r="E751" s="6" t="s">
        <v>39</v>
      </c>
      <c r="F751" s="76">
        <v>66.750305999999995</v>
      </c>
      <c r="G751" s="76" t="s">
        <v>40</v>
      </c>
      <c r="H751" s="76">
        <f t="shared" si="11"/>
        <v>-0.72830599999998924</v>
      </c>
      <c r="I751" s="77">
        <v>0.18220149146152401</v>
      </c>
      <c r="J751" s="78">
        <v>8.5915851274477859</v>
      </c>
      <c r="K751" s="79">
        <v>-0.80437152838055681</v>
      </c>
    </row>
    <row r="752" spans="1:11" x14ac:dyDescent="0.35">
      <c r="A752" t="s">
        <v>1383</v>
      </c>
      <c r="B752" s="73" t="s">
        <v>37</v>
      </c>
      <c r="C752" s="74" t="s">
        <v>38</v>
      </c>
      <c r="D752" s="75">
        <v>230.82</v>
      </c>
      <c r="E752" s="6" t="s">
        <v>39</v>
      </c>
      <c r="F752" s="76">
        <v>66.751786999999993</v>
      </c>
      <c r="G752" s="76" t="s">
        <v>40</v>
      </c>
      <c r="H752" s="76">
        <f t="shared" si="11"/>
        <v>-0.72978699999998753</v>
      </c>
      <c r="I752" s="77">
        <v>7.7137552267217704E-2</v>
      </c>
      <c r="J752" s="78">
        <v>9.0548368568047977</v>
      </c>
      <c r="K752" s="79">
        <v>-0.34111979902354506</v>
      </c>
    </row>
    <row r="753" spans="1:11" x14ac:dyDescent="0.35">
      <c r="A753" t="s">
        <v>1383</v>
      </c>
      <c r="B753" s="73" t="s">
        <v>37</v>
      </c>
      <c r="C753" s="74" t="s">
        <v>38</v>
      </c>
      <c r="D753" s="75">
        <v>230.85</v>
      </c>
      <c r="E753" s="6" t="s">
        <v>39</v>
      </c>
      <c r="F753" s="76">
        <v>66.753269000000003</v>
      </c>
      <c r="G753" s="76" t="s">
        <v>40</v>
      </c>
      <c r="H753" s="76">
        <f t="shared" si="11"/>
        <v>-0.7312689999999975</v>
      </c>
      <c r="I753" s="77">
        <v>-2.3953903375671999E-2</v>
      </c>
      <c r="J753" s="78">
        <v>9.5020594984233639</v>
      </c>
      <c r="K753" s="79">
        <v>0.10610284259502123</v>
      </c>
    </row>
    <row r="754" spans="1:11" x14ac:dyDescent="0.35">
      <c r="A754" t="s">
        <v>1383</v>
      </c>
      <c r="B754" s="73" t="s">
        <v>37</v>
      </c>
      <c r="C754" s="74" t="s">
        <v>38</v>
      </c>
      <c r="D754" s="75">
        <v>230.88</v>
      </c>
      <c r="E754" s="6" t="s">
        <v>39</v>
      </c>
      <c r="F754" s="76">
        <v>66.754750000000001</v>
      </c>
      <c r="G754" s="76" t="s">
        <v>40</v>
      </c>
      <c r="H754" s="76">
        <f t="shared" si="11"/>
        <v>-0.73274999999999579</v>
      </c>
      <c r="I754" s="77">
        <v>-0.26768377416378902</v>
      </c>
      <c r="J754" s="78">
        <v>10.586344599372296</v>
      </c>
      <c r="K754" s="79">
        <v>1.1903879435439535</v>
      </c>
    </row>
    <row r="755" spans="1:11" x14ac:dyDescent="0.35">
      <c r="A755" t="s">
        <v>1383</v>
      </c>
      <c r="B755" s="73" t="s">
        <v>37</v>
      </c>
      <c r="C755" s="74" t="s">
        <v>38</v>
      </c>
      <c r="D755" s="75">
        <v>230.91</v>
      </c>
      <c r="E755" s="6" t="s">
        <v>39</v>
      </c>
      <c r="F755" s="76">
        <v>66.756231</v>
      </c>
      <c r="G755" s="76" t="s">
        <v>40</v>
      </c>
      <c r="H755" s="76">
        <f t="shared" si="11"/>
        <v>-0.73423099999999408</v>
      </c>
      <c r="I755" s="77">
        <v>-0.12916735004379301</v>
      </c>
      <c r="J755" s="78">
        <v>9.9690736657495336</v>
      </c>
      <c r="K755" s="79">
        <v>0.57311700992119086</v>
      </c>
    </row>
    <row r="756" spans="1:11" x14ac:dyDescent="0.35">
      <c r="A756" t="s">
        <v>1383</v>
      </c>
      <c r="B756" s="73" t="s">
        <v>37</v>
      </c>
      <c r="C756" s="74" t="s">
        <v>38</v>
      </c>
      <c r="D756" s="75">
        <v>230.94</v>
      </c>
      <c r="E756" s="6" t="s">
        <v>39</v>
      </c>
      <c r="F756" s="76">
        <v>66.757711999999998</v>
      </c>
      <c r="G756" s="76" t="s">
        <v>40</v>
      </c>
      <c r="H756" s="76">
        <f t="shared" si="11"/>
        <v>-0.73571199999999237</v>
      </c>
      <c r="I756" s="77">
        <v>-0.15722418746230701</v>
      </c>
      <c r="J756" s="78">
        <v>10.093879487820573</v>
      </c>
      <c r="K756" s="79">
        <v>0.69792283199222993</v>
      </c>
    </row>
    <row r="757" spans="1:11" x14ac:dyDescent="0.35">
      <c r="A757" t="s">
        <v>1383</v>
      </c>
      <c r="B757" s="73" t="s">
        <v>37</v>
      </c>
      <c r="C757" s="74" t="s">
        <v>38</v>
      </c>
      <c r="D757" s="75">
        <v>230.97</v>
      </c>
      <c r="E757" s="6" t="s">
        <v>39</v>
      </c>
      <c r="F757" s="76">
        <v>66.759193999999994</v>
      </c>
      <c r="G757" s="76" t="s">
        <v>40</v>
      </c>
      <c r="H757" s="76">
        <f t="shared" si="11"/>
        <v>-0.73719399999998814</v>
      </c>
      <c r="I757" s="77">
        <v>-0.235440272428702</v>
      </c>
      <c r="J757" s="78">
        <v>10.442409963651869</v>
      </c>
      <c r="K757" s="79">
        <v>1.0464533078235263</v>
      </c>
    </row>
    <row r="758" spans="1:11" x14ac:dyDescent="0.35">
      <c r="A758" t="s">
        <v>1383</v>
      </c>
      <c r="B758" s="73" t="s">
        <v>37</v>
      </c>
      <c r="C758" s="74" t="s">
        <v>38</v>
      </c>
      <c r="D758" s="75">
        <v>231</v>
      </c>
      <c r="E758" s="6" t="s">
        <v>39</v>
      </c>
      <c r="F758" s="76">
        <v>66.760675000000006</v>
      </c>
      <c r="G758" s="76" t="s">
        <v>40</v>
      </c>
      <c r="H758" s="76">
        <f t="shared" si="11"/>
        <v>-0.73867500000000064</v>
      </c>
      <c r="I758" s="77">
        <v>-6.8431555843059502E-2</v>
      </c>
      <c r="J758" s="78">
        <v>9.6992897092057433</v>
      </c>
      <c r="K758" s="79">
        <v>0.30333305337740057</v>
      </c>
    </row>
    <row r="759" spans="1:11" x14ac:dyDescent="0.35">
      <c r="A759" t="s">
        <v>1383</v>
      </c>
      <c r="B759" s="73" t="s">
        <v>37</v>
      </c>
      <c r="C759" s="74" t="s">
        <v>38</v>
      </c>
      <c r="D759" s="75">
        <v>231.03</v>
      </c>
      <c r="E759" s="6" t="s">
        <v>39</v>
      </c>
      <c r="F759" s="76">
        <v>66.762156000000004</v>
      </c>
      <c r="G759" s="76" t="s">
        <v>40</v>
      </c>
      <c r="H759" s="76">
        <f t="shared" si="11"/>
        <v>-0.74015599999999893</v>
      </c>
      <c r="I759" s="77">
        <v>-2.01131509908954E-2</v>
      </c>
      <c r="J759" s="78">
        <v>9.4850415065916991</v>
      </c>
      <c r="K759" s="79">
        <v>8.9084850763356371E-2</v>
      </c>
    </row>
    <row r="760" spans="1:11" x14ac:dyDescent="0.35">
      <c r="A760" t="s">
        <v>1383</v>
      </c>
      <c r="B760" s="73" t="s">
        <v>37</v>
      </c>
      <c r="C760" s="74" t="s">
        <v>38</v>
      </c>
      <c r="D760" s="75">
        <v>231.06</v>
      </c>
      <c r="E760" s="6" t="s">
        <v>39</v>
      </c>
      <c r="F760" s="76">
        <v>66.763637000000003</v>
      </c>
      <c r="G760" s="76" t="s">
        <v>40</v>
      </c>
      <c r="H760" s="76">
        <f t="shared" si="11"/>
        <v>-0.74163699999999722</v>
      </c>
      <c r="I760" s="77">
        <v>-6.6800300778360799E-2</v>
      </c>
      <c r="J760" s="78">
        <v>9.6920511091300341</v>
      </c>
      <c r="K760" s="79">
        <v>0.29609445330169137</v>
      </c>
    </row>
    <row r="761" spans="1:11" x14ac:dyDescent="0.35">
      <c r="A761" t="s">
        <v>1383</v>
      </c>
      <c r="B761" s="73" t="s">
        <v>37</v>
      </c>
      <c r="C761" s="74" t="s">
        <v>38</v>
      </c>
      <c r="D761" s="75">
        <v>231.09</v>
      </c>
      <c r="E761" s="6" t="s">
        <v>39</v>
      </c>
      <c r="F761" s="76">
        <v>66.765118999999999</v>
      </c>
      <c r="G761" s="76" t="s">
        <v>40</v>
      </c>
      <c r="H761" s="76">
        <f t="shared" si="11"/>
        <v>-0.74311899999999298</v>
      </c>
      <c r="I761" s="77">
        <v>-5.5531780463711801E-2</v>
      </c>
      <c r="J761" s="78">
        <v>9.6420581415957258</v>
      </c>
      <c r="K761" s="79">
        <v>0.24610148576738311</v>
      </c>
    </row>
    <row r="762" spans="1:11" x14ac:dyDescent="0.35">
      <c r="A762" t="s">
        <v>1383</v>
      </c>
      <c r="B762" s="73" t="s">
        <v>37</v>
      </c>
      <c r="C762" s="74" t="s">
        <v>38</v>
      </c>
      <c r="D762" s="75">
        <v>231.12</v>
      </c>
      <c r="E762" s="6" t="s">
        <v>39</v>
      </c>
      <c r="F762" s="76">
        <v>66.766599999999997</v>
      </c>
      <c r="G762" s="76" t="s">
        <v>40</v>
      </c>
      <c r="H762" s="76">
        <f t="shared" si="11"/>
        <v>-0.74459999999999127</v>
      </c>
      <c r="I762" s="77">
        <v>-0.16972433555494601</v>
      </c>
      <c r="J762" s="78">
        <v>10.149520728752293</v>
      </c>
      <c r="K762" s="79">
        <v>0.75356407292395033</v>
      </c>
    </row>
    <row r="763" spans="1:11" x14ac:dyDescent="0.35">
      <c r="A763" t="s">
        <v>1383</v>
      </c>
      <c r="B763" s="73" t="s">
        <v>37</v>
      </c>
      <c r="C763" s="74" t="s">
        <v>38</v>
      </c>
      <c r="D763" s="75">
        <v>231.15</v>
      </c>
      <c r="E763" s="6" t="s">
        <v>39</v>
      </c>
      <c r="F763" s="76">
        <v>66.768080999999995</v>
      </c>
      <c r="G763" s="76" t="s">
        <v>40</v>
      </c>
      <c r="H763" s="76">
        <f t="shared" si="11"/>
        <v>-0.74608099999998956</v>
      </c>
      <c r="I763" s="77">
        <v>-0.107211174566345</v>
      </c>
      <c r="J763" s="78">
        <v>9.8714846738180881</v>
      </c>
      <c r="K763" s="79">
        <v>0.47552801798974542</v>
      </c>
    </row>
    <row r="764" spans="1:11" x14ac:dyDescent="0.35">
      <c r="A764" t="s">
        <v>1383</v>
      </c>
      <c r="B764" s="73" t="s">
        <v>37</v>
      </c>
      <c r="C764" s="74" t="s">
        <v>38</v>
      </c>
      <c r="D764" s="75">
        <v>231.18</v>
      </c>
      <c r="E764" s="6" t="s">
        <v>39</v>
      </c>
      <c r="F764" s="76">
        <v>66.769561999999993</v>
      </c>
      <c r="G764" s="76" t="s">
        <v>40</v>
      </c>
      <c r="H764" s="76">
        <f t="shared" si="11"/>
        <v>-0.74756199999998785</v>
      </c>
      <c r="I764" s="77">
        <v>-7.4837962504488195E-2</v>
      </c>
      <c r="J764" s="78">
        <v>9.727721467973879</v>
      </c>
      <c r="K764" s="79">
        <v>0.33176481214553633</v>
      </c>
    </row>
    <row r="765" spans="1:11" x14ac:dyDescent="0.35">
      <c r="A765" t="s">
        <v>1383</v>
      </c>
      <c r="B765" s="73" t="s">
        <v>37</v>
      </c>
      <c r="C765" s="74" t="s">
        <v>38</v>
      </c>
      <c r="D765" s="75">
        <v>231.21</v>
      </c>
      <c r="E765" s="6" t="s">
        <v>39</v>
      </c>
      <c r="F765" s="76">
        <v>66.771044000000003</v>
      </c>
      <c r="G765" s="76" t="s">
        <v>40</v>
      </c>
      <c r="H765" s="76">
        <f t="shared" si="11"/>
        <v>-0.74904399999999782</v>
      </c>
      <c r="I765" s="77">
        <v>-0.13551601571805699</v>
      </c>
      <c r="J765" s="78">
        <v>9.9973046337784695</v>
      </c>
      <c r="K765" s="79">
        <v>0.60134797795012673</v>
      </c>
    </row>
    <row r="766" spans="1:11" x14ac:dyDescent="0.35">
      <c r="A766" t="s">
        <v>1383</v>
      </c>
      <c r="B766" s="73" t="s">
        <v>37</v>
      </c>
      <c r="C766" s="74" t="s">
        <v>38</v>
      </c>
      <c r="D766" s="75">
        <v>231.24</v>
      </c>
      <c r="E766" s="6" t="s">
        <v>39</v>
      </c>
      <c r="F766" s="76">
        <v>66.772525000000002</v>
      </c>
      <c r="G766" s="76" t="s">
        <v>40</v>
      </c>
      <c r="H766" s="76">
        <f t="shared" si="11"/>
        <v>-0.75052499999999611</v>
      </c>
      <c r="I766" s="77">
        <v>-8.6146800288682806E-3</v>
      </c>
      <c r="J766" s="78">
        <v>9.4341055648466181</v>
      </c>
      <c r="K766" s="79">
        <v>3.814890901827539E-2</v>
      </c>
    </row>
    <row r="767" spans="1:11" x14ac:dyDescent="0.35">
      <c r="A767" t="s">
        <v>1383</v>
      </c>
      <c r="B767" s="73" t="s">
        <v>37</v>
      </c>
      <c r="C767" s="74" t="s">
        <v>38</v>
      </c>
      <c r="D767" s="75">
        <v>231.27</v>
      </c>
      <c r="E767" s="6" t="s">
        <v>39</v>
      </c>
      <c r="F767" s="76">
        <v>66.774006</v>
      </c>
      <c r="G767" s="76" t="s">
        <v>40</v>
      </c>
      <c r="H767" s="76">
        <f t="shared" si="11"/>
        <v>-0.7520059999999944</v>
      </c>
      <c r="I767" s="77">
        <v>-1.30195673557238E-2</v>
      </c>
      <c r="J767" s="78">
        <v>9.453616101730745</v>
      </c>
      <c r="K767" s="79">
        <v>5.765944590240224E-2</v>
      </c>
    </row>
    <row r="768" spans="1:11" x14ac:dyDescent="0.35">
      <c r="A768" t="s">
        <v>1383</v>
      </c>
      <c r="B768" s="73" t="s">
        <v>37</v>
      </c>
      <c r="C768" s="74" t="s">
        <v>38</v>
      </c>
      <c r="D768" s="75">
        <v>231.3</v>
      </c>
      <c r="E768" s="6" t="s">
        <v>39</v>
      </c>
      <c r="F768" s="76">
        <v>66.775486999999998</v>
      </c>
      <c r="G768" s="76" t="s">
        <v>40</v>
      </c>
      <c r="H768" s="76">
        <f t="shared" si="11"/>
        <v>-0.75348699999999269</v>
      </c>
      <c r="I768" s="77">
        <v>4.0520550927620601E-2</v>
      </c>
      <c r="J768" s="78">
        <v>9.2166595295793741</v>
      </c>
      <c r="K768" s="79">
        <v>-0.17929712624896865</v>
      </c>
    </row>
    <row r="769" spans="1:11" x14ac:dyDescent="0.35">
      <c r="A769" t="s">
        <v>1383</v>
      </c>
      <c r="B769" s="73" t="s">
        <v>37</v>
      </c>
      <c r="C769" s="74" t="s">
        <v>38</v>
      </c>
      <c r="D769" s="75">
        <v>231.33</v>
      </c>
      <c r="E769" s="6" t="s">
        <v>39</v>
      </c>
      <c r="F769" s="76">
        <v>66.776968999999994</v>
      </c>
      <c r="G769" s="76" t="s">
        <v>40</v>
      </c>
      <c r="H769" s="76">
        <f t="shared" si="11"/>
        <v>-0.75496899999998845</v>
      </c>
      <c r="I769" s="77">
        <v>-0.209962063585827</v>
      </c>
      <c r="J769" s="78">
        <v>10.328782043726505</v>
      </c>
      <c r="K769" s="79">
        <v>0.93282538789816272</v>
      </c>
    </row>
    <row r="770" spans="1:11" x14ac:dyDescent="0.35">
      <c r="A770" t="s">
        <v>1383</v>
      </c>
      <c r="B770" s="73" t="s">
        <v>37</v>
      </c>
      <c r="C770" s="74" t="s">
        <v>38</v>
      </c>
      <c r="D770" s="75">
        <v>231.36</v>
      </c>
      <c r="E770" s="6" t="s">
        <v>39</v>
      </c>
      <c r="F770" s="76">
        <v>66.778450000000007</v>
      </c>
      <c r="G770" s="76" t="s">
        <v>40</v>
      </c>
      <c r="H770" s="76">
        <f t="shared" ref="H770:H833" si="12">66.022-F770</f>
        <v>-0.75645000000000095</v>
      </c>
      <c r="I770" s="77">
        <v>-5.9957652814511798E-2</v>
      </c>
      <c r="J770" s="78">
        <v>9.6616914190559555</v>
      </c>
      <c r="K770" s="79">
        <v>0.2657347632276128</v>
      </c>
    </row>
    <row r="771" spans="1:11" x14ac:dyDescent="0.35">
      <c r="A771" t="s">
        <v>1383</v>
      </c>
      <c r="B771" s="73" t="s">
        <v>37</v>
      </c>
      <c r="C771" s="74" t="s">
        <v>38</v>
      </c>
      <c r="D771" s="75">
        <v>231.39</v>
      </c>
      <c r="E771" s="6" t="s">
        <v>39</v>
      </c>
      <c r="F771" s="76">
        <v>66.779931000000005</v>
      </c>
      <c r="G771" s="76" t="s">
        <v>40</v>
      </c>
      <c r="H771" s="76">
        <f t="shared" si="12"/>
        <v>-0.75793099999999924</v>
      </c>
      <c r="I771" s="77">
        <v>3.1311586519339199E-2</v>
      </c>
      <c r="J771" s="78">
        <v>9.2573871408253012</v>
      </c>
      <c r="K771" s="79">
        <v>-0.13856951500304149</v>
      </c>
    </row>
    <row r="772" spans="1:11" x14ac:dyDescent="0.35">
      <c r="A772" t="s">
        <v>1383</v>
      </c>
      <c r="B772" s="73" t="s">
        <v>37</v>
      </c>
      <c r="C772" s="74" t="s">
        <v>38</v>
      </c>
      <c r="D772" s="75">
        <v>231.45</v>
      </c>
      <c r="E772" s="6" t="s">
        <v>39</v>
      </c>
      <c r="F772" s="76">
        <v>66.782893999999999</v>
      </c>
      <c r="G772" s="76" t="s">
        <v>40</v>
      </c>
      <c r="H772" s="76">
        <f t="shared" si="12"/>
        <v>-0.7608939999999933</v>
      </c>
      <c r="I772" s="77">
        <v>0.13271440014590599</v>
      </c>
      <c r="J772" s="78">
        <v>8.8095897224054056</v>
      </c>
      <c r="K772" s="79">
        <v>-0.58636693342293711</v>
      </c>
    </row>
    <row r="773" spans="1:11" x14ac:dyDescent="0.35">
      <c r="A773" t="s">
        <v>1383</v>
      </c>
      <c r="B773" s="73" t="s">
        <v>37</v>
      </c>
      <c r="C773" s="74" t="s">
        <v>38</v>
      </c>
      <c r="D773" s="75">
        <v>231.48</v>
      </c>
      <c r="E773" s="6" t="s">
        <v>39</v>
      </c>
      <c r="F773" s="76">
        <v>66.784374999999997</v>
      </c>
      <c r="G773" s="76" t="s">
        <v>40</v>
      </c>
      <c r="H773" s="76">
        <f t="shared" si="12"/>
        <v>-0.76237499999999159</v>
      </c>
      <c r="I773" s="77">
        <v>0.139678836482936</v>
      </c>
      <c r="J773" s="78">
        <v>8.7788883669730353</v>
      </c>
      <c r="K773" s="79">
        <v>-0.6170682888553074</v>
      </c>
    </row>
    <row r="774" spans="1:11" x14ac:dyDescent="0.35">
      <c r="A774" t="s">
        <v>1383</v>
      </c>
      <c r="B774" s="73" t="s">
        <v>37</v>
      </c>
      <c r="C774" s="74" t="s">
        <v>38</v>
      </c>
      <c r="D774" s="75">
        <v>231.51</v>
      </c>
      <c r="E774" s="6" t="s">
        <v>39</v>
      </c>
      <c r="F774" s="76">
        <v>66.785855999999995</v>
      </c>
      <c r="G774" s="76" t="s">
        <v>40</v>
      </c>
      <c r="H774" s="76">
        <f t="shared" si="12"/>
        <v>-0.76385599999998988</v>
      </c>
      <c r="I774" s="77">
        <v>4.0187796514199299E-2</v>
      </c>
      <c r="J774" s="78">
        <v>9.2181309597865493</v>
      </c>
      <c r="K774" s="79">
        <v>-0.17782569604179344</v>
      </c>
    </row>
    <row r="775" spans="1:11" x14ac:dyDescent="0.35">
      <c r="A775" t="s">
        <v>1383</v>
      </c>
      <c r="B775" s="73" t="s">
        <v>37</v>
      </c>
      <c r="C775" s="74" t="s">
        <v>38</v>
      </c>
      <c r="D775" s="75">
        <v>231.54</v>
      </c>
      <c r="E775" s="6" t="s">
        <v>39</v>
      </c>
      <c r="F775" s="76">
        <v>66.787336999999994</v>
      </c>
      <c r="G775" s="76" t="s">
        <v>40</v>
      </c>
      <c r="H775" s="76">
        <f t="shared" si="12"/>
        <v>-0.76533699999998817</v>
      </c>
      <c r="I775" s="77">
        <v>0.106954694762388</v>
      </c>
      <c r="J775" s="78">
        <v>8.923206333120163</v>
      </c>
      <c r="K775" s="79">
        <v>-0.47275032270817974</v>
      </c>
    </row>
    <row r="776" spans="1:11" x14ac:dyDescent="0.35">
      <c r="A776" t="s">
        <v>1383</v>
      </c>
      <c r="B776" s="73" t="s">
        <v>37</v>
      </c>
      <c r="C776" s="74" t="s">
        <v>38</v>
      </c>
      <c r="D776" s="75">
        <v>231.57</v>
      </c>
      <c r="E776" s="6" t="s">
        <v>39</v>
      </c>
      <c r="F776" s="76">
        <v>66.788819000000004</v>
      </c>
      <c r="G776" s="76" t="s">
        <v>40</v>
      </c>
      <c r="H776" s="76">
        <f t="shared" si="12"/>
        <v>-0.76681899999999814</v>
      </c>
      <c r="I776" s="77">
        <v>4.1043361363820599E-2</v>
      </c>
      <c r="J776" s="78">
        <v>9.2143477092049579</v>
      </c>
      <c r="K776" s="79">
        <v>-0.18160894662338478</v>
      </c>
    </row>
    <row r="777" spans="1:11" x14ac:dyDescent="0.35">
      <c r="A777" t="s">
        <v>1383</v>
      </c>
      <c r="B777" s="73" t="s">
        <v>37</v>
      </c>
      <c r="C777" s="74" t="s">
        <v>38</v>
      </c>
      <c r="D777" s="75">
        <v>231.6</v>
      </c>
      <c r="E777" s="6" t="s">
        <v>39</v>
      </c>
      <c r="F777" s="76">
        <v>66.790300000000002</v>
      </c>
      <c r="G777" s="76" t="s">
        <v>40</v>
      </c>
      <c r="H777" s="76">
        <f t="shared" si="12"/>
        <v>-0.76829999999999643</v>
      </c>
      <c r="I777" s="77">
        <v>6.0857080337452303E-2</v>
      </c>
      <c r="J777" s="78">
        <v>9.1267620238342033</v>
      </c>
      <c r="K777" s="79">
        <v>-0.2691946319941394</v>
      </c>
    </row>
    <row r="778" spans="1:11" x14ac:dyDescent="0.35">
      <c r="A778" t="s">
        <v>1383</v>
      </c>
      <c r="B778" s="73" t="s">
        <v>37</v>
      </c>
      <c r="C778" s="74" t="s">
        <v>38</v>
      </c>
      <c r="D778" s="75">
        <v>231.63</v>
      </c>
      <c r="E778" s="6" t="s">
        <v>39</v>
      </c>
      <c r="F778" s="76">
        <v>66.791781</v>
      </c>
      <c r="G778" s="76" t="s">
        <v>40</v>
      </c>
      <c r="H778" s="76">
        <f t="shared" si="12"/>
        <v>-0.76978099999999472</v>
      </c>
      <c r="I778" s="77">
        <v>7.7487482752582895E-2</v>
      </c>
      <c r="J778" s="78">
        <v>9.0532913212333028</v>
      </c>
      <c r="K778" s="79">
        <v>-0.34266533459503989</v>
      </c>
    </row>
    <row r="779" spans="1:11" x14ac:dyDescent="0.35">
      <c r="A779" t="s">
        <v>1383</v>
      </c>
      <c r="B779" s="73" t="s">
        <v>37</v>
      </c>
      <c r="C779" s="74" t="s">
        <v>38</v>
      </c>
      <c r="D779" s="75">
        <v>231.69</v>
      </c>
      <c r="E779" s="6" t="s">
        <v>39</v>
      </c>
      <c r="F779" s="76">
        <v>66.794743999999994</v>
      </c>
      <c r="G779" s="76" t="s">
        <v>40</v>
      </c>
      <c r="H779" s="76">
        <f t="shared" si="12"/>
        <v>-0.77274399999998877</v>
      </c>
      <c r="I779" s="77">
        <v>0.25191421497345301</v>
      </c>
      <c r="J779" s="78">
        <v>8.2850704782553635</v>
      </c>
      <c r="K779" s="79">
        <v>-1.1108861775729792</v>
      </c>
    </row>
    <row r="780" spans="1:11" x14ac:dyDescent="0.35">
      <c r="A780" t="s">
        <v>1383</v>
      </c>
      <c r="B780" s="73" t="s">
        <v>37</v>
      </c>
      <c r="C780" s="74" t="s">
        <v>38</v>
      </c>
      <c r="D780" s="75">
        <v>231.72</v>
      </c>
      <c r="E780" s="6" t="s">
        <v>39</v>
      </c>
      <c r="F780" s="76">
        <v>66.796225000000007</v>
      </c>
      <c r="G780" s="76" t="s">
        <v>40</v>
      </c>
      <c r="H780" s="76">
        <f t="shared" si="12"/>
        <v>-0.77422500000000127</v>
      </c>
      <c r="I780" s="77">
        <v>4.3550165309607099E-2</v>
      </c>
      <c r="J780" s="78">
        <v>9.2032633919927207</v>
      </c>
      <c r="K780" s="79">
        <v>-0.19269326383562202</v>
      </c>
    </row>
    <row r="781" spans="1:11" x14ac:dyDescent="0.35">
      <c r="A781" t="s">
        <v>1383</v>
      </c>
      <c r="B781" s="73" t="s">
        <v>37</v>
      </c>
      <c r="C781" s="74" t="s">
        <v>38</v>
      </c>
      <c r="D781" s="75">
        <v>231.75</v>
      </c>
      <c r="E781" s="6" t="s">
        <v>39</v>
      </c>
      <c r="F781" s="76">
        <v>66.797706000000005</v>
      </c>
      <c r="G781" s="76" t="s">
        <v>40</v>
      </c>
      <c r="H781" s="76">
        <f t="shared" si="12"/>
        <v>-0.77570599999999956</v>
      </c>
      <c r="I781" s="77">
        <v>0.20913258072840199</v>
      </c>
      <c r="J781" s="78">
        <v>8.4730921969510291</v>
      </c>
      <c r="K781" s="79">
        <v>-0.92286445887731361</v>
      </c>
    </row>
    <row r="782" spans="1:11" x14ac:dyDescent="0.35">
      <c r="A782" t="s">
        <v>1383</v>
      </c>
      <c r="B782" s="73" t="s">
        <v>37</v>
      </c>
      <c r="C782" s="74" t="s">
        <v>38</v>
      </c>
      <c r="D782" s="75">
        <v>231.78</v>
      </c>
      <c r="E782" s="6" t="s">
        <v>39</v>
      </c>
      <c r="F782" s="76">
        <v>66.799188000000001</v>
      </c>
      <c r="G782" s="76" t="s">
        <v>40</v>
      </c>
      <c r="H782" s="76">
        <f t="shared" si="12"/>
        <v>-0.77718799999999533</v>
      </c>
      <c r="I782" s="77">
        <v>9.5850755824051601E-2</v>
      </c>
      <c r="J782" s="78">
        <v>8.972210884254082</v>
      </c>
      <c r="K782" s="79">
        <v>-0.42374577157426074</v>
      </c>
    </row>
    <row r="783" spans="1:11" x14ac:dyDescent="0.35">
      <c r="A783" t="s">
        <v>1383</v>
      </c>
      <c r="B783" s="73" t="s">
        <v>37</v>
      </c>
      <c r="C783" s="74" t="s">
        <v>38</v>
      </c>
      <c r="D783" s="75">
        <v>231.81</v>
      </c>
      <c r="E783" s="6" t="s">
        <v>39</v>
      </c>
      <c r="F783" s="76">
        <v>66.800668999999999</v>
      </c>
      <c r="G783" s="76" t="s">
        <v>40</v>
      </c>
      <c r="H783" s="76">
        <f t="shared" si="12"/>
        <v>-0.77866899999999362</v>
      </c>
      <c r="I783" s="77">
        <v>0.28970021628378101</v>
      </c>
      <c r="J783" s="78">
        <v>8.1192194999085245</v>
      </c>
      <c r="K783" s="79">
        <v>-1.2767371559198182</v>
      </c>
    </row>
    <row r="784" spans="1:11" x14ac:dyDescent="0.35">
      <c r="A784" t="s">
        <v>1383</v>
      </c>
      <c r="B784" s="73" t="s">
        <v>37</v>
      </c>
      <c r="C784" s="74" t="s">
        <v>38</v>
      </c>
      <c r="D784" s="75">
        <v>231.84</v>
      </c>
      <c r="E784" s="6" t="s">
        <v>39</v>
      </c>
      <c r="F784" s="76">
        <v>66.802149999999997</v>
      </c>
      <c r="G784" s="76" t="s">
        <v>40</v>
      </c>
      <c r="H784" s="76">
        <f t="shared" si="12"/>
        <v>-0.78014999999999191</v>
      </c>
      <c r="I784" s="77">
        <v>-2.50615415297448E-2</v>
      </c>
      <c r="J784" s="78">
        <v>9.5069677258055663</v>
      </c>
      <c r="K784" s="79">
        <v>0.11101106997722354</v>
      </c>
    </row>
    <row r="785" spans="1:11" x14ac:dyDescent="0.35">
      <c r="A785" t="s">
        <v>1383</v>
      </c>
      <c r="B785" s="73" t="s">
        <v>37</v>
      </c>
      <c r="C785" s="74" t="s">
        <v>38</v>
      </c>
      <c r="D785" s="75">
        <v>231.87</v>
      </c>
      <c r="E785" s="6" t="s">
        <v>39</v>
      </c>
      <c r="F785" s="76">
        <v>66.803630999999996</v>
      </c>
      <c r="G785" s="76" t="s">
        <v>40</v>
      </c>
      <c r="H785" s="76">
        <f t="shared" si="12"/>
        <v>-0.78163099999999019</v>
      </c>
      <c r="I785" s="77">
        <v>-3.7896500273624802E-3</v>
      </c>
      <c r="J785" s="78">
        <v>9.4127372829412366</v>
      </c>
      <c r="K785" s="79">
        <v>1.6780627112893853E-2</v>
      </c>
    </row>
    <row r="786" spans="1:11" x14ac:dyDescent="0.35">
      <c r="A786" t="s">
        <v>1383</v>
      </c>
      <c r="B786" s="73" t="s">
        <v>37</v>
      </c>
      <c r="C786" s="74" t="s">
        <v>38</v>
      </c>
      <c r="D786" s="75">
        <v>231.9</v>
      </c>
      <c r="E786" s="6" t="s">
        <v>39</v>
      </c>
      <c r="F786" s="76">
        <v>66.805111999999994</v>
      </c>
      <c r="G786" s="76" t="s">
        <v>40</v>
      </c>
      <c r="H786" s="76">
        <f t="shared" si="12"/>
        <v>-0.78311199999998848</v>
      </c>
      <c r="I786" s="77">
        <v>2.65651044902337E-4</v>
      </c>
      <c r="J786" s="78">
        <v>9.3947804261598549</v>
      </c>
      <c r="K786" s="79">
        <v>-1.1762296684878493E-3</v>
      </c>
    </row>
    <row r="787" spans="1:11" x14ac:dyDescent="0.35">
      <c r="A787" t="s">
        <v>1383</v>
      </c>
      <c r="B787" s="73" t="s">
        <v>37</v>
      </c>
      <c r="C787" s="74" t="s">
        <v>38</v>
      </c>
      <c r="D787" s="75">
        <v>231.93</v>
      </c>
      <c r="E787" s="6" t="s">
        <v>39</v>
      </c>
      <c r="F787" s="76">
        <v>66.806594000000004</v>
      </c>
      <c r="G787" s="76" t="s">
        <v>40</v>
      </c>
      <c r="H787" s="76">
        <f t="shared" si="12"/>
        <v>-0.78459399999999846</v>
      </c>
      <c r="I787" s="77">
        <v>7.4988755185418296E-2</v>
      </c>
      <c r="J787" s="78">
        <v>9.0643278171330053</v>
      </c>
      <c r="K787" s="79">
        <v>-0.33162883869533744</v>
      </c>
    </row>
    <row r="788" spans="1:11" x14ac:dyDescent="0.35">
      <c r="A788" t="s">
        <v>1383</v>
      </c>
      <c r="B788" s="73" t="s">
        <v>37</v>
      </c>
      <c r="C788" s="74" t="s">
        <v>38</v>
      </c>
      <c r="D788" s="75">
        <v>231.96</v>
      </c>
      <c r="E788" s="6" t="s">
        <v>39</v>
      </c>
      <c r="F788" s="76">
        <v>66.808075000000002</v>
      </c>
      <c r="G788" s="76" t="s">
        <v>40</v>
      </c>
      <c r="H788" s="76">
        <f t="shared" si="12"/>
        <v>-0.78607499999999675</v>
      </c>
      <c r="I788" s="77">
        <v>-4.2232136463602597E-2</v>
      </c>
      <c r="J788" s="78">
        <v>9.5830775196012041</v>
      </c>
      <c r="K788" s="79">
        <v>0.18712086377286141</v>
      </c>
    </row>
    <row r="789" spans="1:11" x14ac:dyDescent="0.35">
      <c r="A789" t="s">
        <v>1383</v>
      </c>
      <c r="B789" s="73" t="s">
        <v>37</v>
      </c>
      <c r="C789" s="74" t="s">
        <v>38</v>
      </c>
      <c r="D789" s="75">
        <v>231.99</v>
      </c>
      <c r="E789" s="6" t="s">
        <v>39</v>
      </c>
      <c r="F789" s="76">
        <v>66.809556000000001</v>
      </c>
      <c r="G789" s="76" t="s">
        <v>40</v>
      </c>
      <c r="H789" s="76">
        <f t="shared" si="12"/>
        <v>-0.78755599999999504</v>
      </c>
      <c r="I789" s="77">
        <v>5.2744158822081E-2</v>
      </c>
      <c r="J789" s="78">
        <v>9.1626180616286774</v>
      </c>
      <c r="K789" s="79">
        <v>-0.23333859419966529</v>
      </c>
    </row>
    <row r="790" spans="1:11" x14ac:dyDescent="0.35">
      <c r="A790" t="s">
        <v>1383</v>
      </c>
      <c r="B790" s="73" t="s">
        <v>37</v>
      </c>
      <c r="C790" s="74" t="s">
        <v>38</v>
      </c>
      <c r="D790" s="75">
        <v>232.02</v>
      </c>
      <c r="E790" s="6" t="s">
        <v>39</v>
      </c>
      <c r="F790" s="76">
        <v>66.811036999999999</v>
      </c>
      <c r="G790" s="76" t="s">
        <v>40</v>
      </c>
      <c r="H790" s="76">
        <f t="shared" si="12"/>
        <v>-0.78903699999999333</v>
      </c>
      <c r="I790" s="77">
        <v>-2.3844183990258401E-2</v>
      </c>
      <c r="J790" s="78">
        <v>9.5015733133952267</v>
      </c>
      <c r="K790" s="79">
        <v>0.10561665756688399</v>
      </c>
    </row>
    <row r="791" spans="1:11" x14ac:dyDescent="0.35">
      <c r="A791" t="s">
        <v>1383</v>
      </c>
      <c r="B791" s="73" t="s">
        <v>37</v>
      </c>
      <c r="C791" s="74" t="s">
        <v>38</v>
      </c>
      <c r="D791" s="75">
        <v>232.05</v>
      </c>
      <c r="E791" s="6" t="s">
        <v>39</v>
      </c>
      <c r="F791" s="76">
        <v>66.812518999999995</v>
      </c>
      <c r="G791" s="76" t="s">
        <v>40</v>
      </c>
      <c r="H791" s="76">
        <f t="shared" si="12"/>
        <v>-0.79051899999998909</v>
      </c>
      <c r="I791" s="77">
        <v>0.10818206004604999</v>
      </c>
      <c r="J791" s="78">
        <v>8.9177907312861748</v>
      </c>
      <c r="K791" s="79">
        <v>-0.47816592454216789</v>
      </c>
    </row>
    <row r="792" spans="1:11" x14ac:dyDescent="0.35">
      <c r="A792" t="s">
        <v>1383</v>
      </c>
      <c r="B792" s="73" t="s">
        <v>37</v>
      </c>
      <c r="C792" s="74" t="s">
        <v>38</v>
      </c>
      <c r="D792" s="75">
        <v>232.08</v>
      </c>
      <c r="E792" s="6" t="s">
        <v>39</v>
      </c>
      <c r="F792" s="76">
        <v>66.813999999999993</v>
      </c>
      <c r="G792" s="76" t="s">
        <v>40</v>
      </c>
      <c r="H792" s="76">
        <f t="shared" si="12"/>
        <v>-0.79199999999998738</v>
      </c>
      <c r="I792" s="77">
        <v>0.20632376741818401</v>
      </c>
      <c r="J792" s="78">
        <v>8.4854457680044106</v>
      </c>
      <c r="K792" s="79">
        <v>-0.91051088782393208</v>
      </c>
    </row>
    <row r="793" spans="1:11" x14ac:dyDescent="0.35">
      <c r="A793" t="s">
        <v>1383</v>
      </c>
      <c r="B793" s="73" t="s">
        <v>37</v>
      </c>
      <c r="C793" s="74" t="s">
        <v>38</v>
      </c>
      <c r="D793" s="75">
        <v>232.11</v>
      </c>
      <c r="E793" s="6" t="s">
        <v>39</v>
      </c>
      <c r="F793" s="76">
        <v>66.815973</v>
      </c>
      <c r="G793" s="76" t="s">
        <v>40</v>
      </c>
      <c r="H793" s="76">
        <f t="shared" si="12"/>
        <v>-0.79397299999999404</v>
      </c>
      <c r="I793" s="77">
        <v>-0.103287827665818</v>
      </c>
      <c r="J793" s="78">
        <v>9.8540538161658446</v>
      </c>
      <c r="K793" s="79">
        <v>0.45809716033750192</v>
      </c>
    </row>
    <row r="794" spans="1:11" x14ac:dyDescent="0.35">
      <c r="A794" t="s">
        <v>1383</v>
      </c>
      <c r="B794" s="73" t="s">
        <v>37</v>
      </c>
      <c r="C794" s="74" t="s">
        <v>38</v>
      </c>
      <c r="D794" s="75">
        <v>232.14</v>
      </c>
      <c r="E794" s="6" t="s">
        <v>39</v>
      </c>
      <c r="F794" s="76">
        <v>66.817944999999995</v>
      </c>
      <c r="G794" s="76" t="s">
        <v>40</v>
      </c>
      <c r="H794" s="76">
        <f t="shared" si="12"/>
        <v>-0.79594499999998902</v>
      </c>
      <c r="I794" s="77">
        <v>2.0325334716911399E-2</v>
      </c>
      <c r="J794" s="78">
        <v>9.3059908543627898</v>
      </c>
      <c r="K794" s="79">
        <v>-8.9965801465552886E-2</v>
      </c>
    </row>
    <row r="795" spans="1:11" x14ac:dyDescent="0.35">
      <c r="A795" t="s">
        <v>1383</v>
      </c>
      <c r="B795" s="73" t="s">
        <v>37</v>
      </c>
      <c r="C795" s="74" t="s">
        <v>38</v>
      </c>
      <c r="D795" s="75">
        <v>232.17</v>
      </c>
      <c r="E795" s="6" t="s">
        <v>39</v>
      </c>
      <c r="F795" s="76">
        <v>66.819918000000001</v>
      </c>
      <c r="G795" s="76" t="s">
        <v>40</v>
      </c>
      <c r="H795" s="76">
        <f t="shared" si="12"/>
        <v>-0.79791799999999569</v>
      </c>
      <c r="I795" s="77">
        <v>-2.0770915913832001E-2</v>
      </c>
      <c r="J795" s="78">
        <v>9.4879558474828514</v>
      </c>
      <c r="K795" s="79">
        <v>9.199919165450865E-2</v>
      </c>
    </row>
    <row r="796" spans="1:11" x14ac:dyDescent="0.35">
      <c r="A796" t="s">
        <v>1383</v>
      </c>
      <c r="B796" s="73" t="s">
        <v>37</v>
      </c>
      <c r="C796" s="74" t="s">
        <v>38</v>
      </c>
      <c r="D796" s="75">
        <v>232.2</v>
      </c>
      <c r="E796" s="6" t="s">
        <v>39</v>
      </c>
      <c r="F796" s="76">
        <v>66.821889999999996</v>
      </c>
      <c r="G796" s="76" t="s">
        <v>40</v>
      </c>
      <c r="H796" s="76">
        <f t="shared" si="12"/>
        <v>-0.79988999999999066</v>
      </c>
      <c r="I796" s="77">
        <v>-4.4689822295595601E-2</v>
      </c>
      <c r="J796" s="78">
        <v>9.5939748343265023</v>
      </c>
      <c r="K796" s="79">
        <v>0.19801817849815961</v>
      </c>
    </row>
    <row r="797" spans="1:11" x14ac:dyDescent="0.35">
      <c r="A797" t="s">
        <v>1383</v>
      </c>
      <c r="B797" s="73" t="s">
        <v>37</v>
      </c>
      <c r="C797" s="74" t="s">
        <v>38</v>
      </c>
      <c r="D797" s="75">
        <v>232.23</v>
      </c>
      <c r="E797" s="6" t="s">
        <v>39</v>
      </c>
      <c r="F797" s="76">
        <v>66.823863000000003</v>
      </c>
      <c r="G797" s="76" t="s">
        <v>40</v>
      </c>
      <c r="H797" s="76">
        <f t="shared" si="12"/>
        <v>-0.80186299999999733</v>
      </c>
      <c r="I797" s="77">
        <v>-2.40904000972741E-2</v>
      </c>
      <c r="J797" s="78">
        <v>9.5026643407335882</v>
      </c>
      <c r="K797" s="79">
        <v>0.10670768490524551</v>
      </c>
    </row>
    <row r="798" spans="1:11" x14ac:dyDescent="0.35">
      <c r="A798" t="s">
        <v>1383</v>
      </c>
      <c r="B798" s="73" t="s">
        <v>37</v>
      </c>
      <c r="C798" s="74" t="s">
        <v>38</v>
      </c>
      <c r="D798" s="75">
        <v>232.26</v>
      </c>
      <c r="E798" s="6" t="s">
        <v>39</v>
      </c>
      <c r="F798" s="76">
        <v>66.825835999999995</v>
      </c>
      <c r="G798" s="76" t="s">
        <v>40</v>
      </c>
      <c r="H798" s="76">
        <f t="shared" si="12"/>
        <v>-0.80383599999998978</v>
      </c>
      <c r="I798" s="77">
        <v>-9.2059013717320698E-2</v>
      </c>
      <c r="J798" s="78">
        <v>9.8041780766637885</v>
      </c>
      <c r="K798" s="79">
        <v>0.40822142083544577</v>
      </c>
    </row>
    <row r="799" spans="1:11" x14ac:dyDescent="0.35">
      <c r="A799" t="s">
        <v>1383</v>
      </c>
      <c r="B799" s="73" t="s">
        <v>37</v>
      </c>
      <c r="C799" s="74" t="s">
        <v>38</v>
      </c>
      <c r="D799" s="75">
        <v>232.29</v>
      </c>
      <c r="E799" s="6" t="s">
        <v>39</v>
      </c>
      <c r="F799" s="76">
        <v>66.827808000000005</v>
      </c>
      <c r="G799" s="76" t="s">
        <v>40</v>
      </c>
      <c r="H799" s="76">
        <f t="shared" si="12"/>
        <v>-0.80580799999999897</v>
      </c>
      <c r="I799" s="77">
        <v>1.4683483814421701E-2</v>
      </c>
      <c r="J799" s="78">
        <v>9.3309573876645686</v>
      </c>
      <c r="K799" s="79">
        <v>-6.4999268163774104E-2</v>
      </c>
    </row>
    <row r="800" spans="1:11" x14ac:dyDescent="0.35">
      <c r="A800" t="s">
        <v>1383</v>
      </c>
      <c r="B800" s="73" t="s">
        <v>37</v>
      </c>
      <c r="C800" s="74" t="s">
        <v>38</v>
      </c>
      <c r="D800" s="75">
        <v>232.32</v>
      </c>
      <c r="E800" s="6" t="s">
        <v>39</v>
      </c>
      <c r="F800" s="76">
        <v>66.829780999999997</v>
      </c>
      <c r="G800" s="76" t="s">
        <v>40</v>
      </c>
      <c r="H800" s="76">
        <f t="shared" si="12"/>
        <v>-0.80778099999999142</v>
      </c>
      <c r="I800" s="77">
        <v>0.134158351639387</v>
      </c>
      <c r="J800" s="78">
        <v>8.8032237776523061</v>
      </c>
      <c r="K800" s="79">
        <v>-0.59273287817603659</v>
      </c>
    </row>
    <row r="801" spans="1:11" x14ac:dyDescent="0.35">
      <c r="A801" t="s">
        <v>1383</v>
      </c>
      <c r="B801" s="73" t="s">
        <v>37</v>
      </c>
      <c r="C801" s="74" t="s">
        <v>38</v>
      </c>
      <c r="D801" s="75">
        <v>232.35</v>
      </c>
      <c r="E801" s="6" t="s">
        <v>39</v>
      </c>
      <c r="F801" s="76">
        <v>66.831753000000006</v>
      </c>
      <c r="G801" s="76" t="s">
        <v>40</v>
      </c>
      <c r="H801" s="76">
        <f t="shared" si="12"/>
        <v>-0.80975300000000061</v>
      </c>
      <c r="I801" s="77">
        <v>0.102489031611441</v>
      </c>
      <c r="J801" s="78">
        <v>8.9429123461684412</v>
      </c>
      <c r="K801" s="79">
        <v>-0.4530443096599015</v>
      </c>
    </row>
    <row r="802" spans="1:11" x14ac:dyDescent="0.35">
      <c r="A802" t="s">
        <v>1383</v>
      </c>
      <c r="B802" s="73" t="s">
        <v>37</v>
      </c>
      <c r="C802" s="74" t="s">
        <v>38</v>
      </c>
      <c r="D802" s="75">
        <v>232.38</v>
      </c>
      <c r="E802" s="6" t="s">
        <v>39</v>
      </c>
      <c r="F802" s="76">
        <v>66.833725999999999</v>
      </c>
      <c r="G802" s="76" t="s">
        <v>40</v>
      </c>
      <c r="H802" s="76">
        <f t="shared" si="12"/>
        <v>-0.81172599999999306</v>
      </c>
      <c r="I802" s="77">
        <v>8.7479875530734802E-2</v>
      </c>
      <c r="J802" s="78">
        <v>9.0091653593019032</v>
      </c>
      <c r="K802" s="79">
        <v>-0.38679129652643951</v>
      </c>
    </row>
    <row r="803" spans="1:11" x14ac:dyDescent="0.35">
      <c r="A803" t="s">
        <v>1383</v>
      </c>
      <c r="B803" s="73" t="s">
        <v>37</v>
      </c>
      <c r="C803" s="74" t="s">
        <v>38</v>
      </c>
      <c r="D803" s="75">
        <v>232.41</v>
      </c>
      <c r="E803" s="6" t="s">
        <v>39</v>
      </c>
      <c r="F803" s="76">
        <v>66.835699000000005</v>
      </c>
      <c r="G803" s="76" t="s">
        <v>40</v>
      </c>
      <c r="H803" s="76">
        <f t="shared" si="12"/>
        <v>-0.81369899999999973</v>
      </c>
      <c r="I803" s="77">
        <v>0.11167869993559799</v>
      </c>
      <c r="J803" s="78">
        <v>8.9023634044074242</v>
      </c>
      <c r="K803" s="79">
        <v>-0.49359325142091848</v>
      </c>
    </row>
    <row r="804" spans="1:11" x14ac:dyDescent="0.35">
      <c r="A804" t="s">
        <v>1383</v>
      </c>
      <c r="B804" s="73" t="s">
        <v>37</v>
      </c>
      <c r="C804" s="74" t="s">
        <v>38</v>
      </c>
      <c r="D804" s="75">
        <v>232.44</v>
      </c>
      <c r="E804" s="6" t="s">
        <v>39</v>
      </c>
      <c r="F804" s="76">
        <v>66.837671</v>
      </c>
      <c r="G804" s="76" t="s">
        <v>40</v>
      </c>
      <c r="H804" s="76">
        <f t="shared" si="12"/>
        <v>-0.81567099999999471</v>
      </c>
      <c r="I804" s="77">
        <v>4.7477480529200797E-2</v>
      </c>
      <c r="J804" s="78">
        <v>9.1858998155645963</v>
      </c>
      <c r="K804" s="79">
        <v>-0.21005684026374638</v>
      </c>
    </row>
    <row r="805" spans="1:11" x14ac:dyDescent="0.35">
      <c r="A805" t="s">
        <v>1383</v>
      </c>
      <c r="B805" s="73" t="s">
        <v>37</v>
      </c>
      <c r="C805" s="74" t="s">
        <v>38</v>
      </c>
      <c r="D805" s="75">
        <v>232.47</v>
      </c>
      <c r="E805" s="6" t="s">
        <v>39</v>
      </c>
      <c r="F805" s="76">
        <v>66.839644000000007</v>
      </c>
      <c r="G805" s="76" t="s">
        <v>40</v>
      </c>
      <c r="H805" s="76">
        <f t="shared" si="12"/>
        <v>-0.81764400000000137</v>
      </c>
      <c r="I805" s="77">
        <v>2.1669275731830601E-2</v>
      </c>
      <c r="J805" s="78">
        <v>9.300044267047781</v>
      </c>
      <c r="K805" s="79">
        <v>-9.5912388780561741E-2</v>
      </c>
    </row>
    <row r="806" spans="1:11" x14ac:dyDescent="0.35">
      <c r="A806" t="s">
        <v>1383</v>
      </c>
      <c r="B806" s="73" t="s">
        <v>37</v>
      </c>
      <c r="C806" s="74" t="s">
        <v>38</v>
      </c>
      <c r="D806" s="75">
        <v>232.5</v>
      </c>
      <c r="E806" s="6" t="s">
        <v>39</v>
      </c>
      <c r="F806" s="76">
        <v>66.841616000000002</v>
      </c>
      <c r="G806" s="76" t="s">
        <v>40</v>
      </c>
      <c r="H806" s="76">
        <f t="shared" si="12"/>
        <v>-0.81961599999999635</v>
      </c>
      <c r="I806" s="77">
        <v>-5.2811373428498697E-2</v>
      </c>
      <c r="J806" s="78">
        <v>9.629991745549205</v>
      </c>
      <c r="K806" s="79">
        <v>0.23403508972086229</v>
      </c>
    </row>
    <row r="807" spans="1:11" x14ac:dyDescent="0.35">
      <c r="A807" t="s">
        <v>1383</v>
      </c>
      <c r="B807" s="73" t="s">
        <v>37</v>
      </c>
      <c r="C807" s="74" t="s">
        <v>38</v>
      </c>
      <c r="D807" s="75">
        <v>232.53</v>
      </c>
      <c r="E807" s="6" t="s">
        <v>39</v>
      </c>
      <c r="F807" s="76">
        <v>66.843588999999994</v>
      </c>
      <c r="G807" s="76" t="s">
        <v>40</v>
      </c>
      <c r="H807" s="76">
        <f t="shared" si="12"/>
        <v>-0.8215889999999888</v>
      </c>
      <c r="I807" s="77">
        <v>-1.23844509606946E-2</v>
      </c>
      <c r="J807" s="78">
        <v>9.4508028135637119</v>
      </c>
      <c r="K807" s="79">
        <v>5.4846157735369161E-2</v>
      </c>
    </row>
    <row r="808" spans="1:11" x14ac:dyDescent="0.35">
      <c r="A808" t="s">
        <v>1383</v>
      </c>
      <c r="B808" s="73" t="s">
        <v>37</v>
      </c>
      <c r="C808" s="74" t="s">
        <v>38</v>
      </c>
      <c r="D808" s="75">
        <v>232.56</v>
      </c>
      <c r="E808" s="6" t="s">
        <v>39</v>
      </c>
      <c r="F808" s="76">
        <v>66.845562000000001</v>
      </c>
      <c r="G808" s="76" t="s">
        <v>40</v>
      </c>
      <c r="H808" s="76">
        <f t="shared" si="12"/>
        <v>-0.82356199999999546</v>
      </c>
      <c r="I808" s="77">
        <v>3.8929354946233299E-3</v>
      </c>
      <c r="J808" s="78">
        <v>9.3787208205289971</v>
      </c>
      <c r="K808" s="79">
        <v>-1.7235835299345581E-2</v>
      </c>
    </row>
    <row r="809" spans="1:11" x14ac:dyDescent="0.35">
      <c r="A809" t="s">
        <v>1383</v>
      </c>
      <c r="B809" s="73" t="s">
        <v>37</v>
      </c>
      <c r="C809" s="74" t="s">
        <v>38</v>
      </c>
      <c r="D809" s="75">
        <v>232.59</v>
      </c>
      <c r="E809" s="6" t="s">
        <v>39</v>
      </c>
      <c r="F809" s="76">
        <v>66.847533999999996</v>
      </c>
      <c r="G809" s="76" t="s">
        <v>40</v>
      </c>
      <c r="H809" s="76">
        <f t="shared" si="12"/>
        <v>-0.82553399999999044</v>
      </c>
      <c r="I809" s="77">
        <v>9.8998510777795395E-2</v>
      </c>
      <c r="J809" s="78">
        <v>8.9583172440042063</v>
      </c>
      <c r="K809" s="79">
        <v>-0.43763941182413646</v>
      </c>
    </row>
    <row r="810" spans="1:11" x14ac:dyDescent="0.35">
      <c r="A810" t="s">
        <v>1383</v>
      </c>
      <c r="B810" s="73" t="s">
        <v>37</v>
      </c>
      <c r="C810" s="74" t="s">
        <v>38</v>
      </c>
      <c r="D810" s="75">
        <v>232.62</v>
      </c>
      <c r="E810" s="6" t="s">
        <v>39</v>
      </c>
      <c r="F810" s="76">
        <v>66.849507000000003</v>
      </c>
      <c r="G810" s="76" t="s">
        <v>40</v>
      </c>
      <c r="H810" s="76">
        <f t="shared" si="12"/>
        <v>-0.82750699999999711</v>
      </c>
      <c r="I810" s="77">
        <v>-6.2477330430251703E-3</v>
      </c>
      <c r="J810" s="78">
        <v>9.4236228111518585</v>
      </c>
      <c r="K810" s="79">
        <v>2.7666155323515795E-2</v>
      </c>
    </row>
    <row r="811" spans="1:11" x14ac:dyDescent="0.35">
      <c r="A811" t="s">
        <v>1383</v>
      </c>
      <c r="B811" s="73" t="s">
        <v>37</v>
      </c>
      <c r="C811" s="74" t="s">
        <v>38</v>
      </c>
      <c r="D811" s="75">
        <v>232.65</v>
      </c>
      <c r="E811" s="6" t="s">
        <v>39</v>
      </c>
      <c r="F811" s="76">
        <v>66.851478999999998</v>
      </c>
      <c r="G811" s="76" t="s">
        <v>40</v>
      </c>
      <c r="H811" s="76">
        <f t="shared" si="12"/>
        <v>-0.82947899999999208</v>
      </c>
      <c r="I811" s="77">
        <v>1.98958901575222E-2</v>
      </c>
      <c r="J811" s="78">
        <v>9.3078910886370636</v>
      </c>
      <c r="K811" s="79">
        <v>-8.8065567191279115E-2</v>
      </c>
    </row>
    <row r="812" spans="1:11" x14ac:dyDescent="0.35">
      <c r="A812" t="s">
        <v>1383</v>
      </c>
      <c r="B812" s="73" t="s">
        <v>37</v>
      </c>
      <c r="C812" s="74" t="s">
        <v>38</v>
      </c>
      <c r="D812" s="75">
        <v>232.68</v>
      </c>
      <c r="E812" s="6" t="s">
        <v>39</v>
      </c>
      <c r="F812" s="76">
        <v>66.853452000000004</v>
      </c>
      <c r="G812" s="76" t="s">
        <v>40</v>
      </c>
      <c r="H812" s="76">
        <f t="shared" si="12"/>
        <v>-0.83145199999999875</v>
      </c>
      <c r="I812" s="77">
        <v>3.04416225972854E-2</v>
      </c>
      <c r="J812" s="78">
        <v>9.2612352743199722</v>
      </c>
      <c r="K812" s="79">
        <v>-0.13472138150837054</v>
      </c>
    </row>
    <row r="813" spans="1:11" x14ac:dyDescent="0.35">
      <c r="A813" t="s">
        <v>1383</v>
      </c>
      <c r="B813" s="73" t="s">
        <v>37</v>
      </c>
      <c r="C813" s="74" t="s">
        <v>38</v>
      </c>
      <c r="D813" s="75">
        <v>232.71</v>
      </c>
      <c r="E813" s="6" t="s">
        <v>39</v>
      </c>
      <c r="F813" s="76">
        <v>66.855424999999997</v>
      </c>
      <c r="G813" s="76" t="s">
        <v>40</v>
      </c>
      <c r="H813" s="76">
        <f t="shared" si="12"/>
        <v>-0.8334249999999912</v>
      </c>
      <c r="I813" s="77">
        <v>0.13404801051561999</v>
      </c>
      <c r="J813" s="78">
        <v>8.8037102277758095</v>
      </c>
      <c r="K813" s="79">
        <v>-0.59224642805253325</v>
      </c>
    </row>
    <row r="814" spans="1:11" x14ac:dyDescent="0.35">
      <c r="A814" t="s">
        <v>1383</v>
      </c>
      <c r="B814" s="73" t="s">
        <v>37</v>
      </c>
      <c r="C814" s="74" t="s">
        <v>38</v>
      </c>
      <c r="D814" s="75">
        <v>232.74</v>
      </c>
      <c r="E814" s="6" t="s">
        <v>39</v>
      </c>
      <c r="F814" s="76">
        <v>66.857397000000006</v>
      </c>
      <c r="G814" s="76" t="s">
        <v>40</v>
      </c>
      <c r="H814" s="76">
        <f t="shared" si="12"/>
        <v>-0.83539700000000039</v>
      </c>
      <c r="I814" s="77">
        <v>-4.2363670699756897E-2</v>
      </c>
      <c r="J814" s="78">
        <v>9.5836607170124921</v>
      </c>
      <c r="K814" s="79">
        <v>0.1877040611841494</v>
      </c>
    </row>
    <row r="815" spans="1:11" x14ac:dyDescent="0.35">
      <c r="A815" t="s">
        <v>1383</v>
      </c>
      <c r="B815" s="73" t="s">
        <v>37</v>
      </c>
      <c r="C815" s="74" t="s">
        <v>38</v>
      </c>
      <c r="D815" s="75">
        <v>232.77</v>
      </c>
      <c r="E815" s="6" t="s">
        <v>39</v>
      </c>
      <c r="F815" s="76">
        <v>66.859369999999998</v>
      </c>
      <c r="G815" s="76" t="s">
        <v>40</v>
      </c>
      <c r="H815" s="76">
        <f t="shared" si="12"/>
        <v>-0.83736999999999284</v>
      </c>
      <c r="I815" s="77">
        <v>-4.05764346159957E-2</v>
      </c>
      <c r="J815" s="78">
        <v>9.5757366695417545</v>
      </c>
      <c r="K815" s="79">
        <v>0.17978001371341179</v>
      </c>
    </row>
    <row r="816" spans="1:11" x14ac:dyDescent="0.35">
      <c r="A816" t="s">
        <v>1383</v>
      </c>
      <c r="B816" s="73" t="s">
        <v>37</v>
      </c>
      <c r="C816" s="74" t="s">
        <v>38</v>
      </c>
      <c r="D816" s="75">
        <v>232.8</v>
      </c>
      <c r="E816" s="6" t="s">
        <v>39</v>
      </c>
      <c r="F816" s="76">
        <v>66.861341999999993</v>
      </c>
      <c r="G816" s="76" t="s">
        <v>40</v>
      </c>
      <c r="H816" s="76">
        <f t="shared" si="12"/>
        <v>-0.83934199999998782</v>
      </c>
      <c r="I816" s="77">
        <v>-3.1887737149407798E-2</v>
      </c>
      <c r="J816" s="78">
        <v>9.5372202237800252</v>
      </c>
      <c r="K816" s="79">
        <v>0.14126356795168249</v>
      </c>
    </row>
    <row r="817" spans="1:11" x14ac:dyDescent="0.35">
      <c r="A817" t="s">
        <v>1383</v>
      </c>
      <c r="B817" s="73" t="s">
        <v>37</v>
      </c>
      <c r="C817" s="74" t="s">
        <v>38</v>
      </c>
      <c r="D817" s="75">
        <v>232.83</v>
      </c>
      <c r="E817" s="6" t="s">
        <v>39</v>
      </c>
      <c r="F817" s="76">
        <v>66.863315</v>
      </c>
      <c r="G817" s="76" t="s">
        <v>40</v>
      </c>
      <c r="H817" s="76">
        <f t="shared" si="12"/>
        <v>-0.84131499999999448</v>
      </c>
      <c r="I817" s="77">
        <v>-4.8511244814581703E-2</v>
      </c>
      <c r="J817" s="78">
        <v>9.610920643701661</v>
      </c>
      <c r="K817" s="79">
        <v>0.21496398787331827</v>
      </c>
    </row>
    <row r="818" spans="1:11" x14ac:dyDescent="0.35">
      <c r="A818" t="s">
        <v>1383</v>
      </c>
      <c r="B818" s="73" t="s">
        <v>37</v>
      </c>
      <c r="C818" s="74" t="s">
        <v>38</v>
      </c>
      <c r="D818" s="75">
        <v>232.86</v>
      </c>
      <c r="E818" s="6" t="s">
        <v>39</v>
      </c>
      <c r="F818" s="76">
        <v>66.865288000000007</v>
      </c>
      <c r="G818" s="76" t="s">
        <v>40</v>
      </c>
      <c r="H818" s="76">
        <f t="shared" si="12"/>
        <v>-0.84328800000000115</v>
      </c>
      <c r="I818" s="77">
        <v>2.5716526097869501E-2</v>
      </c>
      <c r="J818" s="78">
        <v>9.2821378038210582</v>
      </c>
      <c r="K818" s="79">
        <v>-0.11381885200728448</v>
      </c>
    </row>
    <row r="819" spans="1:11" x14ac:dyDescent="0.35">
      <c r="A819" t="s">
        <v>1383</v>
      </c>
      <c r="B819" s="73" t="s">
        <v>37</v>
      </c>
      <c r="C819" s="74" t="s">
        <v>38</v>
      </c>
      <c r="D819" s="75">
        <v>232.89</v>
      </c>
      <c r="E819" s="6" t="s">
        <v>39</v>
      </c>
      <c r="F819" s="76">
        <v>66.867260000000002</v>
      </c>
      <c r="G819" s="76" t="s">
        <v>40</v>
      </c>
      <c r="H819" s="76">
        <f t="shared" si="12"/>
        <v>-0.84525999999999613</v>
      </c>
      <c r="I819" s="77">
        <v>-0.156069299985961</v>
      </c>
      <c r="J819" s="78">
        <v>10.08873993694948</v>
      </c>
      <c r="K819" s="79">
        <v>0.69278328112113741</v>
      </c>
    </row>
    <row r="820" spans="1:11" x14ac:dyDescent="0.35">
      <c r="A820" t="s">
        <v>1383</v>
      </c>
      <c r="B820" s="73" t="s">
        <v>37</v>
      </c>
      <c r="C820" s="74" t="s">
        <v>38</v>
      </c>
      <c r="D820" s="75">
        <v>232.92</v>
      </c>
      <c r="E820" s="6" t="s">
        <v>39</v>
      </c>
      <c r="F820" s="76">
        <v>66.869232999999994</v>
      </c>
      <c r="G820" s="76" t="s">
        <v>40</v>
      </c>
      <c r="H820" s="76">
        <f t="shared" si="12"/>
        <v>-0.84723299999998858</v>
      </c>
      <c r="I820" s="77">
        <v>-3.3537360003225401E-2</v>
      </c>
      <c r="J820" s="78">
        <v>9.5445320646094842</v>
      </c>
      <c r="K820" s="79">
        <v>0.1485754087811415</v>
      </c>
    </row>
    <row r="821" spans="1:11" x14ac:dyDescent="0.35">
      <c r="A821" t="s">
        <v>1383</v>
      </c>
      <c r="B821" s="73" t="s">
        <v>37</v>
      </c>
      <c r="C821" s="74" t="s">
        <v>38</v>
      </c>
      <c r="D821" s="75">
        <v>232.95</v>
      </c>
      <c r="E821" s="6" t="s">
        <v>39</v>
      </c>
      <c r="F821" s="76">
        <v>66.871205000000003</v>
      </c>
      <c r="G821" s="76" t="s">
        <v>40</v>
      </c>
      <c r="H821" s="76">
        <f t="shared" si="12"/>
        <v>-0.84920499999999777</v>
      </c>
      <c r="I821" s="77">
        <v>-1.3209961693015601E-2</v>
      </c>
      <c r="J821" s="78">
        <v>9.4544594767278909</v>
      </c>
      <c r="K821" s="79">
        <v>5.8502820899548169E-2</v>
      </c>
    </row>
    <row r="822" spans="1:11" x14ac:dyDescent="0.35">
      <c r="A822" t="s">
        <v>1383</v>
      </c>
      <c r="B822" s="73" t="s">
        <v>37</v>
      </c>
      <c r="C822" s="74" t="s">
        <v>38</v>
      </c>
      <c r="D822" s="75">
        <v>232.98</v>
      </c>
      <c r="E822" s="6" t="s">
        <v>39</v>
      </c>
      <c r="F822" s="76">
        <v>66.873177999999996</v>
      </c>
      <c r="G822" s="76" t="s">
        <v>40</v>
      </c>
      <c r="H822" s="76">
        <f t="shared" si="12"/>
        <v>-0.85117799999999022</v>
      </c>
      <c r="I822" s="77">
        <v>0.11919064001551299</v>
      </c>
      <c r="J822" s="78">
        <v>8.8692262876093082</v>
      </c>
      <c r="K822" s="79">
        <v>-0.52673036821903452</v>
      </c>
    </row>
    <row r="823" spans="1:11" x14ac:dyDescent="0.35">
      <c r="A823" t="s">
        <v>1383</v>
      </c>
      <c r="B823" s="73" t="s">
        <v>37</v>
      </c>
      <c r="C823" s="74" t="s">
        <v>38</v>
      </c>
      <c r="D823" s="75">
        <v>233.01</v>
      </c>
      <c r="E823" s="6" t="s">
        <v>39</v>
      </c>
      <c r="F823" s="76">
        <v>66.875151000000002</v>
      </c>
      <c r="G823" s="76" t="s">
        <v>40</v>
      </c>
      <c r="H823" s="76">
        <f t="shared" si="12"/>
        <v>-0.85315099999999688</v>
      </c>
      <c r="I823" s="77">
        <v>-6.4671050666709307E-2</v>
      </c>
      <c r="J823" s="78">
        <v>9.6826032599805103</v>
      </c>
      <c r="K823" s="79">
        <v>0.28664660415216758</v>
      </c>
    </row>
    <row r="824" spans="1:11" x14ac:dyDescent="0.35">
      <c r="A824" t="s">
        <v>1383</v>
      </c>
      <c r="B824" s="73" t="s">
        <v>37</v>
      </c>
      <c r="C824" s="74" t="s">
        <v>38</v>
      </c>
      <c r="D824" s="75">
        <v>233.04</v>
      </c>
      <c r="E824" s="6" t="s">
        <v>39</v>
      </c>
      <c r="F824" s="76">
        <v>66.877122999999997</v>
      </c>
      <c r="G824" s="76" t="s">
        <v>40</v>
      </c>
      <c r="H824" s="76">
        <f t="shared" si="12"/>
        <v>-0.85512299999999186</v>
      </c>
      <c r="I824" s="77">
        <v>-4.94208406002829E-2</v>
      </c>
      <c r="J824" s="78">
        <v>9.6149544863058054</v>
      </c>
      <c r="K824" s="79">
        <v>0.21899783047746268</v>
      </c>
    </row>
    <row r="825" spans="1:11" x14ac:dyDescent="0.35">
      <c r="A825" t="s">
        <v>1383</v>
      </c>
      <c r="B825" s="73" t="s">
        <v>37</v>
      </c>
      <c r="C825" s="74" t="s">
        <v>38</v>
      </c>
      <c r="D825" s="75">
        <v>233.1</v>
      </c>
      <c r="E825" s="6" t="s">
        <v>39</v>
      </c>
      <c r="F825" s="76">
        <v>66.881067999999999</v>
      </c>
      <c r="G825" s="76" t="s">
        <v>40</v>
      </c>
      <c r="H825" s="76">
        <f t="shared" si="12"/>
        <v>-0.8590679999999935</v>
      </c>
      <c r="I825" s="77">
        <v>7.0986712462999604E-2</v>
      </c>
      <c r="J825" s="78">
        <v>9.0820060812588395</v>
      </c>
      <c r="K825" s="79">
        <v>-0.31395057456950326</v>
      </c>
    </row>
    <row r="826" spans="1:11" x14ac:dyDescent="0.35">
      <c r="A826" t="s">
        <v>1383</v>
      </c>
      <c r="B826" s="73" t="s">
        <v>37</v>
      </c>
      <c r="C826" s="74" t="s">
        <v>38</v>
      </c>
      <c r="D826" s="75">
        <v>233.13</v>
      </c>
      <c r="E826" s="6" t="s">
        <v>39</v>
      </c>
      <c r="F826" s="76">
        <v>66.883041000000006</v>
      </c>
      <c r="G826" s="76" t="s">
        <v>40</v>
      </c>
      <c r="H826" s="76">
        <f t="shared" si="12"/>
        <v>-0.86104100000000017</v>
      </c>
      <c r="I826" s="77">
        <v>9.55980038569237E-2</v>
      </c>
      <c r="J826" s="78">
        <v>8.9733265485162406</v>
      </c>
      <c r="K826" s="79">
        <v>-0.42263010731210215</v>
      </c>
    </row>
    <row r="827" spans="1:11" x14ac:dyDescent="0.35">
      <c r="A827" t="s">
        <v>1383</v>
      </c>
      <c r="B827" s="73" t="s">
        <v>37</v>
      </c>
      <c r="C827" s="74" t="s">
        <v>38</v>
      </c>
      <c r="D827" s="75">
        <v>233.16</v>
      </c>
      <c r="E827" s="6" t="s">
        <v>39</v>
      </c>
      <c r="F827" s="76">
        <v>66.885013999999998</v>
      </c>
      <c r="G827" s="76" t="s">
        <v>40</v>
      </c>
      <c r="H827" s="76">
        <f t="shared" si="12"/>
        <v>-0.86301399999999262</v>
      </c>
      <c r="I827" s="77">
        <v>0.163138874994638</v>
      </c>
      <c r="J827" s="78">
        <v>8.6755201228625083</v>
      </c>
      <c r="K827" s="79">
        <v>-0.72043653296583443</v>
      </c>
    </row>
    <row r="828" spans="1:11" x14ac:dyDescent="0.35">
      <c r="A828" t="s">
        <v>1383</v>
      </c>
      <c r="B828" s="73" t="s">
        <v>37</v>
      </c>
      <c r="C828" s="74" t="s">
        <v>38</v>
      </c>
      <c r="D828" s="75">
        <v>233.28</v>
      </c>
      <c r="E828" s="6" t="s">
        <v>39</v>
      </c>
      <c r="F828" s="76">
        <v>66.892904000000001</v>
      </c>
      <c r="G828" s="76" t="s">
        <v>40</v>
      </c>
      <c r="H828" s="76">
        <f t="shared" si="12"/>
        <v>-0.8709039999999959</v>
      </c>
      <c r="I828" s="77">
        <v>6.4710211196866305E-2</v>
      </c>
      <c r="J828" s="78">
        <v>9.1097359377778844</v>
      </c>
      <c r="K828" s="79">
        <v>-0.28622071805045834</v>
      </c>
    </row>
    <row r="829" spans="1:11" x14ac:dyDescent="0.35">
      <c r="A829" t="s">
        <v>1383</v>
      </c>
      <c r="B829" s="73" t="s">
        <v>37</v>
      </c>
      <c r="C829" s="74" t="s">
        <v>38</v>
      </c>
      <c r="D829" s="75">
        <v>233.31</v>
      </c>
      <c r="E829" s="6" t="s">
        <v>39</v>
      </c>
      <c r="F829" s="76">
        <v>66.894876999999994</v>
      </c>
      <c r="G829" s="76" t="s">
        <v>40</v>
      </c>
      <c r="H829" s="76">
        <f t="shared" si="12"/>
        <v>-0.87287699999998836</v>
      </c>
      <c r="I829" s="77">
        <v>-2.91005596471678E-2</v>
      </c>
      <c r="J829" s="78">
        <v>9.5248671363073072</v>
      </c>
      <c r="K829" s="79">
        <v>0.12891048047896447</v>
      </c>
    </row>
    <row r="830" spans="1:11" x14ac:dyDescent="0.35">
      <c r="A830" t="s">
        <v>1383</v>
      </c>
      <c r="B830" s="73" t="s">
        <v>37</v>
      </c>
      <c r="C830" s="74" t="s">
        <v>38</v>
      </c>
      <c r="D830" s="75">
        <v>233.34</v>
      </c>
      <c r="E830" s="6" t="s">
        <v>39</v>
      </c>
      <c r="F830" s="76">
        <v>66.896849000000003</v>
      </c>
      <c r="G830" s="76" t="s">
        <v>40</v>
      </c>
      <c r="H830" s="76">
        <f t="shared" si="12"/>
        <v>-0.87484899999999755</v>
      </c>
      <c r="I830" s="77">
        <v>1.3912647941793499E-2</v>
      </c>
      <c r="J830" s="78">
        <v>9.3343688735507726</v>
      </c>
      <c r="K830" s="79">
        <v>-6.1587782277570113E-2</v>
      </c>
    </row>
    <row r="831" spans="1:11" x14ac:dyDescent="0.35">
      <c r="A831" t="s">
        <v>1383</v>
      </c>
      <c r="B831" s="73" t="s">
        <v>37</v>
      </c>
      <c r="C831" s="74" t="s">
        <v>38</v>
      </c>
      <c r="D831" s="75">
        <v>233.37</v>
      </c>
      <c r="E831" s="6" t="s">
        <v>39</v>
      </c>
      <c r="F831" s="76">
        <v>66.898821999999996</v>
      </c>
      <c r="G831" s="76" t="s">
        <v>40</v>
      </c>
      <c r="H831" s="76">
        <f t="shared" si="12"/>
        <v>-0.87682199999999</v>
      </c>
      <c r="I831" s="77">
        <v>9.6721707339599994E-3</v>
      </c>
      <c r="J831" s="78">
        <v>9.3531374607306361</v>
      </c>
      <c r="K831" s="79">
        <v>-4.2819195097706597E-2</v>
      </c>
    </row>
    <row r="832" spans="1:11" x14ac:dyDescent="0.35">
      <c r="A832" t="s">
        <v>1383</v>
      </c>
      <c r="B832" s="73" t="s">
        <v>37</v>
      </c>
      <c r="C832" s="74" t="s">
        <v>38</v>
      </c>
      <c r="D832" s="75">
        <v>233.4</v>
      </c>
      <c r="E832" s="6" t="s">
        <v>39</v>
      </c>
      <c r="F832" s="76">
        <v>66.900795000000002</v>
      </c>
      <c r="G832" s="76" t="s">
        <v>40</v>
      </c>
      <c r="H832" s="76">
        <f t="shared" si="12"/>
        <v>-0.87879499999999666</v>
      </c>
      <c r="I832" s="77">
        <v>2.8426041966866301E-2</v>
      </c>
      <c r="J832" s="78">
        <v>9.2701512590993502</v>
      </c>
      <c r="K832" s="79">
        <v>-0.12580539672899249</v>
      </c>
    </row>
    <row r="833" spans="1:11" x14ac:dyDescent="0.35">
      <c r="A833" t="s">
        <v>1383</v>
      </c>
      <c r="B833" s="73" t="s">
        <v>37</v>
      </c>
      <c r="C833" s="74" t="s">
        <v>38</v>
      </c>
      <c r="D833" s="75">
        <v>233.43</v>
      </c>
      <c r="E833" s="6" t="s">
        <v>39</v>
      </c>
      <c r="F833" s="76">
        <v>66.902766999999997</v>
      </c>
      <c r="G833" s="76" t="s">
        <v>40</v>
      </c>
      <c r="H833" s="76">
        <f t="shared" si="12"/>
        <v>-0.88076699999999164</v>
      </c>
      <c r="I833" s="77">
        <v>8.2874907156595401E-2</v>
      </c>
      <c r="J833" s="78">
        <v>9.0294989255307314</v>
      </c>
      <c r="K833" s="79">
        <v>-0.36645773029761131</v>
      </c>
    </row>
    <row r="834" spans="1:11" x14ac:dyDescent="0.35">
      <c r="A834" t="s">
        <v>1383</v>
      </c>
      <c r="B834" s="73" t="s">
        <v>37</v>
      </c>
      <c r="C834" s="74" t="s">
        <v>38</v>
      </c>
      <c r="D834" s="75">
        <v>233.46</v>
      </c>
      <c r="E834" s="6" t="s">
        <v>39</v>
      </c>
      <c r="F834" s="76">
        <v>66.904740000000004</v>
      </c>
      <c r="G834" s="76" t="s">
        <v>40</v>
      </c>
      <c r="H834" s="76">
        <f t="shared" ref="H834:H897" si="13">66.022-F834</f>
        <v>-0.8827399999999983</v>
      </c>
      <c r="I834" s="77">
        <v>-4.0005417804254298E-3</v>
      </c>
      <c r="J834" s="78">
        <v>9.4136711752001929</v>
      </c>
      <c r="K834" s="79">
        <v>1.7714519371850201E-2</v>
      </c>
    </row>
    <row r="835" spans="1:11" x14ac:dyDescent="0.35">
      <c r="A835" t="s">
        <v>1383</v>
      </c>
      <c r="B835" s="73" t="s">
        <v>37</v>
      </c>
      <c r="C835" s="74" t="s">
        <v>38</v>
      </c>
      <c r="D835" s="75">
        <v>233.52</v>
      </c>
      <c r="E835" s="6" t="s">
        <v>39</v>
      </c>
      <c r="F835" s="76">
        <v>66.908685000000006</v>
      </c>
      <c r="G835" s="76" t="s">
        <v>40</v>
      </c>
      <c r="H835" s="76">
        <f t="shared" si="13"/>
        <v>-0.88668499999999995</v>
      </c>
      <c r="I835" s="77">
        <v>-0.15290203521527301</v>
      </c>
      <c r="J835" s="78">
        <v>10.074645769178289</v>
      </c>
      <c r="K835" s="79">
        <v>0.67868911334994664</v>
      </c>
    </row>
    <row r="836" spans="1:11" x14ac:dyDescent="0.35">
      <c r="A836" t="s">
        <v>1383</v>
      </c>
      <c r="B836" s="73" t="s">
        <v>37</v>
      </c>
      <c r="C836" s="74" t="s">
        <v>38</v>
      </c>
      <c r="D836" s="75">
        <v>233.55</v>
      </c>
      <c r="E836" s="6" t="s">
        <v>39</v>
      </c>
      <c r="F836" s="76">
        <v>66.910627000000005</v>
      </c>
      <c r="G836" s="76" t="s">
        <v>40</v>
      </c>
      <c r="H836" s="76">
        <f t="shared" si="13"/>
        <v>-0.88862699999999961</v>
      </c>
      <c r="I836" s="77">
        <v>-1.5534308226160501E-3</v>
      </c>
      <c r="J836" s="78">
        <v>9.4028350220431776</v>
      </c>
      <c r="K836" s="79">
        <v>6.8783662148348412E-3</v>
      </c>
    </row>
    <row r="837" spans="1:11" x14ac:dyDescent="0.35">
      <c r="A837" t="s">
        <v>1383</v>
      </c>
      <c r="B837" s="73" t="s">
        <v>37</v>
      </c>
      <c r="C837" s="74" t="s">
        <v>38</v>
      </c>
      <c r="D837" s="75">
        <v>233.58</v>
      </c>
      <c r="E837" s="6" t="s">
        <v>39</v>
      </c>
      <c r="F837" s="76">
        <v>66.912505999999993</v>
      </c>
      <c r="G837" s="76" t="s">
        <v>40</v>
      </c>
      <c r="H837" s="76">
        <f t="shared" si="13"/>
        <v>-0.89050599999998781</v>
      </c>
      <c r="I837" s="77">
        <v>0.39272855378951399</v>
      </c>
      <c r="J837" s="78">
        <v>7.6680289465626856</v>
      </c>
      <c r="K837" s="79">
        <v>-1.7279277092656571</v>
      </c>
    </row>
    <row r="838" spans="1:11" x14ac:dyDescent="0.35">
      <c r="A838" t="s">
        <v>1383</v>
      </c>
      <c r="B838" s="73" t="s">
        <v>37</v>
      </c>
      <c r="C838" s="74" t="s">
        <v>38</v>
      </c>
      <c r="D838" s="75">
        <v>233.61</v>
      </c>
      <c r="E838" s="6" t="s">
        <v>39</v>
      </c>
      <c r="F838" s="76">
        <v>66.914385999999993</v>
      </c>
      <c r="G838" s="76" t="s">
        <v>40</v>
      </c>
      <c r="H838" s="76">
        <f t="shared" si="13"/>
        <v>-0.89238599999998769</v>
      </c>
      <c r="I838" s="77">
        <v>-6.2764004011618094E-2</v>
      </c>
      <c r="J838" s="78">
        <v>9.6741419186786288</v>
      </c>
      <c r="K838" s="79">
        <v>0.27818526285028611</v>
      </c>
    </row>
    <row r="839" spans="1:11" x14ac:dyDescent="0.35">
      <c r="A839" t="s">
        <v>1383</v>
      </c>
      <c r="B839" s="73" t="s">
        <v>37</v>
      </c>
      <c r="C839" s="74" t="s">
        <v>38</v>
      </c>
      <c r="D839" s="75">
        <v>233.64</v>
      </c>
      <c r="E839" s="6" t="s">
        <v>39</v>
      </c>
      <c r="F839" s="76">
        <v>66.916264999999996</v>
      </c>
      <c r="G839" s="76" t="s">
        <v>40</v>
      </c>
      <c r="H839" s="76">
        <f t="shared" si="13"/>
        <v>-0.8942649999999901</v>
      </c>
      <c r="I839" s="77">
        <v>2.3012554981218399E-2</v>
      </c>
      <c r="J839" s="78">
        <v>9.2941008660556577</v>
      </c>
      <c r="K839" s="79">
        <v>-0.10185578977268506</v>
      </c>
    </row>
    <row r="840" spans="1:11" x14ac:dyDescent="0.35">
      <c r="A840" t="s">
        <v>1383</v>
      </c>
      <c r="B840" s="73" t="s">
        <v>37</v>
      </c>
      <c r="C840" s="74" t="s">
        <v>38</v>
      </c>
      <c r="D840" s="75">
        <v>233.67</v>
      </c>
      <c r="E840" s="6" t="s">
        <v>39</v>
      </c>
      <c r="F840" s="76">
        <v>66.918144999999996</v>
      </c>
      <c r="G840" s="76" t="s">
        <v>40</v>
      </c>
      <c r="H840" s="76">
        <f t="shared" si="13"/>
        <v>-0.89614499999998998</v>
      </c>
      <c r="I840" s="77">
        <v>5.8486364935524802E-2</v>
      </c>
      <c r="J840" s="78">
        <v>9.1372387152628107</v>
      </c>
      <c r="K840" s="79">
        <v>-0.25871794056553199</v>
      </c>
    </row>
    <row r="841" spans="1:11" x14ac:dyDescent="0.35">
      <c r="A841" t="s">
        <v>1383</v>
      </c>
      <c r="B841" s="73" t="s">
        <v>37</v>
      </c>
      <c r="C841" s="74" t="s">
        <v>38</v>
      </c>
      <c r="D841" s="75">
        <v>233.7</v>
      </c>
      <c r="E841" s="6" t="s">
        <v>39</v>
      </c>
      <c r="F841" s="76">
        <v>66.920023999999998</v>
      </c>
      <c r="G841" s="76" t="s">
        <v>40</v>
      </c>
      <c r="H841" s="76">
        <f t="shared" si="13"/>
        <v>-0.89802399999999238</v>
      </c>
      <c r="I841" s="77">
        <v>-8.3912034990822199E-2</v>
      </c>
      <c r="J841" s="78">
        <v>9.7680024749903964</v>
      </c>
      <c r="K841" s="79">
        <v>0.3720458191620537</v>
      </c>
    </row>
    <row r="842" spans="1:11" x14ac:dyDescent="0.35">
      <c r="A842" t="s">
        <v>1383</v>
      </c>
      <c r="B842" s="73" t="s">
        <v>37</v>
      </c>
      <c r="C842" s="74" t="s">
        <v>38</v>
      </c>
      <c r="D842" s="75">
        <v>233.73</v>
      </c>
      <c r="E842" s="6" t="s">
        <v>39</v>
      </c>
      <c r="F842" s="76">
        <v>66.921903999999998</v>
      </c>
      <c r="G842" s="76" t="s">
        <v>40</v>
      </c>
      <c r="H842" s="76">
        <f t="shared" si="13"/>
        <v>-0.89990399999999227</v>
      </c>
      <c r="I842" s="77">
        <v>-4.9487016613814098E-2</v>
      </c>
      <c r="J842" s="78">
        <v>9.6152479659394885</v>
      </c>
      <c r="K842" s="79">
        <v>0.21929131011114578</v>
      </c>
    </row>
    <row r="843" spans="1:11" x14ac:dyDescent="0.35">
      <c r="A843" t="s">
        <v>1383</v>
      </c>
      <c r="B843" s="73" t="s">
        <v>37</v>
      </c>
      <c r="C843" s="74" t="s">
        <v>38</v>
      </c>
      <c r="D843" s="75">
        <v>233.76</v>
      </c>
      <c r="E843" s="6" t="s">
        <v>39</v>
      </c>
      <c r="F843" s="76">
        <v>66.923783</v>
      </c>
      <c r="G843" s="76" t="s">
        <v>40</v>
      </c>
      <c r="H843" s="76">
        <f t="shared" si="13"/>
        <v>-0.90178299999999467</v>
      </c>
      <c r="I843" s="77">
        <v>2.9445946453171101E-3</v>
      </c>
      <c r="J843" s="78">
        <v>9.3829193664416266</v>
      </c>
      <c r="K843" s="79">
        <v>-1.3037289386716111E-2</v>
      </c>
    </row>
    <row r="844" spans="1:11" x14ac:dyDescent="0.35">
      <c r="A844" t="s">
        <v>1383</v>
      </c>
      <c r="B844" s="73" t="s">
        <v>37</v>
      </c>
      <c r="C844" s="74" t="s">
        <v>38</v>
      </c>
      <c r="D844" s="75">
        <v>233.79</v>
      </c>
      <c r="E844" s="6" t="s">
        <v>39</v>
      </c>
      <c r="F844" s="76">
        <v>66.925663</v>
      </c>
      <c r="G844" s="76" t="s">
        <v>40</v>
      </c>
      <c r="H844" s="76">
        <f t="shared" si="13"/>
        <v>-0.90366299999999455</v>
      </c>
      <c r="I844" s="77">
        <v>4.1040267950700801E-2</v>
      </c>
      <c r="J844" s="78">
        <v>9.2143613878826613</v>
      </c>
      <c r="K844" s="79">
        <v>-0.18159526794568137</v>
      </c>
    </row>
    <row r="845" spans="1:11" x14ac:dyDescent="0.35">
      <c r="A845" t="s">
        <v>1383</v>
      </c>
      <c r="B845" s="73" t="s">
        <v>37</v>
      </c>
      <c r="C845" s="74" t="s">
        <v>38</v>
      </c>
      <c r="D845" s="75">
        <v>233.82</v>
      </c>
      <c r="E845" s="6" t="s">
        <v>39</v>
      </c>
      <c r="F845" s="76">
        <v>66.927542000000003</v>
      </c>
      <c r="G845" s="76" t="s">
        <v>40</v>
      </c>
      <c r="H845" s="76">
        <f t="shared" si="13"/>
        <v>-0.90554199999999696</v>
      </c>
      <c r="I845" s="77">
        <v>6.5601153418678504E-2</v>
      </c>
      <c r="J845" s="78">
        <v>9.1057993737192646</v>
      </c>
      <c r="K845" s="79">
        <v>-0.2901572821090781</v>
      </c>
    </row>
    <row r="846" spans="1:11" x14ac:dyDescent="0.35">
      <c r="A846" t="s">
        <v>1383</v>
      </c>
      <c r="B846" s="73" t="s">
        <v>37</v>
      </c>
      <c r="C846" s="74" t="s">
        <v>38</v>
      </c>
      <c r="D846" s="75">
        <v>233.85</v>
      </c>
      <c r="E846" s="6" t="s">
        <v>39</v>
      </c>
      <c r="F846" s="76">
        <v>66.929422000000002</v>
      </c>
      <c r="G846" s="76" t="s">
        <v>40</v>
      </c>
      <c r="H846" s="76">
        <f t="shared" si="13"/>
        <v>-0.90742199999999684</v>
      </c>
      <c r="I846" s="77">
        <v>-0.13422750205033601</v>
      </c>
      <c r="J846" s="78">
        <v>9.991574457857439</v>
      </c>
      <c r="K846" s="79">
        <v>0.59561780202909631</v>
      </c>
    </row>
    <row r="847" spans="1:11" x14ac:dyDescent="0.35">
      <c r="A847" t="s">
        <v>1383</v>
      </c>
      <c r="B847" s="73" t="s">
        <v>37</v>
      </c>
      <c r="C847" s="74" t="s">
        <v>38</v>
      </c>
      <c r="D847" s="75">
        <v>233.88</v>
      </c>
      <c r="E847" s="6" t="s">
        <v>39</v>
      </c>
      <c r="F847" s="76">
        <v>66.931301000000005</v>
      </c>
      <c r="G847" s="76" t="s">
        <v>40</v>
      </c>
      <c r="H847" s="76">
        <f t="shared" si="13"/>
        <v>-0.90930099999999925</v>
      </c>
      <c r="I847" s="77">
        <v>-0.18920370191737099</v>
      </c>
      <c r="J847" s="78">
        <v>10.236273168209721</v>
      </c>
      <c r="K847" s="79">
        <v>0.84031651238137783</v>
      </c>
    </row>
    <row r="848" spans="1:11" x14ac:dyDescent="0.35">
      <c r="A848" t="s">
        <v>1383</v>
      </c>
      <c r="B848" s="73" t="s">
        <v>37</v>
      </c>
      <c r="C848" s="74" t="s">
        <v>38</v>
      </c>
      <c r="D848" s="75">
        <v>233.91</v>
      </c>
      <c r="E848" s="6" t="s">
        <v>39</v>
      </c>
      <c r="F848" s="76">
        <v>66.933181000000005</v>
      </c>
      <c r="G848" s="76" t="s">
        <v>40</v>
      </c>
      <c r="H848" s="76">
        <f t="shared" si="13"/>
        <v>-0.91118099999999913</v>
      </c>
      <c r="I848" s="77">
        <v>-8.7776466858679195E-2</v>
      </c>
      <c r="J848" s="78">
        <v>9.7851607931207809</v>
      </c>
      <c r="K848" s="79">
        <v>0.38920413729243819</v>
      </c>
    </row>
    <row r="849" spans="1:11" x14ac:dyDescent="0.35">
      <c r="A849" t="s">
        <v>1383</v>
      </c>
      <c r="B849" s="73" t="s">
        <v>37</v>
      </c>
      <c r="C849" s="74" t="s">
        <v>38</v>
      </c>
      <c r="D849" s="75">
        <v>233.94</v>
      </c>
      <c r="E849" s="6" t="s">
        <v>39</v>
      </c>
      <c r="F849" s="76">
        <v>66.935059999999993</v>
      </c>
      <c r="G849" s="76" t="s">
        <v>40</v>
      </c>
      <c r="H849" s="76">
        <f t="shared" si="13"/>
        <v>-0.91305999999998733</v>
      </c>
      <c r="I849" s="77">
        <v>-3.2455665560478401E-2</v>
      </c>
      <c r="J849" s="78">
        <v>9.5397374836850304</v>
      </c>
      <c r="K849" s="79">
        <v>0.14378082785668767</v>
      </c>
    </row>
    <row r="850" spans="1:11" x14ac:dyDescent="0.35">
      <c r="A850" t="s">
        <v>1383</v>
      </c>
      <c r="B850" s="73" t="s">
        <v>37</v>
      </c>
      <c r="C850" s="74" t="s">
        <v>38</v>
      </c>
      <c r="D850" s="75">
        <v>234</v>
      </c>
      <c r="E850" s="6" t="s">
        <v>39</v>
      </c>
      <c r="F850" s="76">
        <v>66.938818999999995</v>
      </c>
      <c r="G850" s="76" t="s">
        <v>40</v>
      </c>
      <c r="H850" s="76">
        <f t="shared" si="13"/>
        <v>-0.91681899999998961</v>
      </c>
      <c r="I850" s="77">
        <v>0.12633798218960199</v>
      </c>
      <c r="J850" s="78">
        <v>8.8377049655310884</v>
      </c>
      <c r="K850" s="79">
        <v>-0.5582516902972543</v>
      </c>
    </row>
    <row r="851" spans="1:11" x14ac:dyDescent="0.35">
      <c r="A851" t="s">
        <v>1383</v>
      </c>
      <c r="B851" s="73" t="s">
        <v>37</v>
      </c>
      <c r="C851" s="74" t="s">
        <v>38</v>
      </c>
      <c r="D851" s="75">
        <v>234.03</v>
      </c>
      <c r="E851" s="6" t="s">
        <v>39</v>
      </c>
      <c r="F851" s="76">
        <v>66.940698999999995</v>
      </c>
      <c r="G851" s="76" t="s">
        <v>40</v>
      </c>
      <c r="H851" s="76">
        <f t="shared" si="13"/>
        <v>-0.9186989999999895</v>
      </c>
      <c r="I851" s="77">
        <v>-8.5298482556806401E-2</v>
      </c>
      <c r="J851" s="78">
        <v>9.7741581415006635</v>
      </c>
      <c r="K851" s="79">
        <v>0.37820148567232081</v>
      </c>
    </row>
    <row r="852" spans="1:11" x14ac:dyDescent="0.35">
      <c r="A852" t="s">
        <v>1383</v>
      </c>
      <c r="B852" s="73" t="s">
        <v>37</v>
      </c>
      <c r="C852" s="74" t="s">
        <v>38</v>
      </c>
      <c r="D852" s="75">
        <v>234.06</v>
      </c>
      <c r="E852" s="6" t="s">
        <v>39</v>
      </c>
      <c r="F852" s="76">
        <v>66.942577999999997</v>
      </c>
      <c r="G852" s="76" t="s">
        <v>40</v>
      </c>
      <c r="H852" s="76">
        <f t="shared" si="13"/>
        <v>-0.9205779999999919</v>
      </c>
      <c r="I852" s="77">
        <v>-0.11062009684004501</v>
      </c>
      <c r="J852" s="78">
        <v>9.8866318169286842</v>
      </c>
      <c r="K852" s="79">
        <v>0.49067516110034148</v>
      </c>
    </row>
    <row r="853" spans="1:11" x14ac:dyDescent="0.35">
      <c r="A853" t="s">
        <v>1383</v>
      </c>
      <c r="B853" s="73" t="s">
        <v>37</v>
      </c>
      <c r="C853" s="74" t="s">
        <v>38</v>
      </c>
      <c r="D853" s="75">
        <v>234.09</v>
      </c>
      <c r="E853" s="6" t="s">
        <v>39</v>
      </c>
      <c r="F853" s="76">
        <v>66.944457999999997</v>
      </c>
      <c r="G853" s="76" t="s">
        <v>40</v>
      </c>
      <c r="H853" s="76">
        <f t="shared" si="13"/>
        <v>-0.92245799999999178</v>
      </c>
      <c r="I853" s="77">
        <v>-5.5593392072786497E-2</v>
      </c>
      <c r="J853" s="78">
        <v>9.6423314328881133</v>
      </c>
      <c r="K853" s="79">
        <v>0.24637477705977062</v>
      </c>
    </row>
    <row r="854" spans="1:11" x14ac:dyDescent="0.35">
      <c r="A854" t="s">
        <v>1383</v>
      </c>
      <c r="B854" s="73" t="s">
        <v>37</v>
      </c>
      <c r="C854" s="74" t="s">
        <v>38</v>
      </c>
      <c r="D854" s="75">
        <v>234.15</v>
      </c>
      <c r="E854" s="6" t="s">
        <v>39</v>
      </c>
      <c r="F854" s="76">
        <v>66.948217</v>
      </c>
      <c r="G854" s="76" t="s">
        <v>40</v>
      </c>
      <c r="H854" s="76">
        <f t="shared" si="13"/>
        <v>-0.92621699999999407</v>
      </c>
      <c r="I854" s="77">
        <v>-5.1963515755747397E-2</v>
      </c>
      <c r="J854" s="78">
        <v>9.6262312804730072</v>
      </c>
      <c r="K854" s="79">
        <v>0.23027462464466453</v>
      </c>
    </row>
    <row r="855" spans="1:11" x14ac:dyDescent="0.35">
      <c r="A855" t="s">
        <v>1383</v>
      </c>
      <c r="B855" s="73" t="s">
        <v>37</v>
      </c>
      <c r="C855" s="74" t="s">
        <v>38</v>
      </c>
      <c r="D855" s="75">
        <v>234.18</v>
      </c>
      <c r="E855" s="6" t="s">
        <v>39</v>
      </c>
      <c r="F855" s="76">
        <v>66.950096000000002</v>
      </c>
      <c r="G855" s="76" t="s">
        <v>40</v>
      </c>
      <c r="H855" s="76">
        <f t="shared" si="13"/>
        <v>-0.92809599999999648</v>
      </c>
      <c r="I855" s="77">
        <v>-9.6254944744014193E-3</v>
      </c>
      <c r="J855" s="78">
        <v>9.4385825124897451</v>
      </c>
      <c r="K855" s="79">
        <v>4.2625856661402395E-2</v>
      </c>
    </row>
    <row r="856" spans="1:11" x14ac:dyDescent="0.35">
      <c r="A856" t="s">
        <v>1383</v>
      </c>
      <c r="B856" s="73" t="s">
        <v>37</v>
      </c>
      <c r="C856" s="74" t="s">
        <v>38</v>
      </c>
      <c r="D856" s="75">
        <v>234.21</v>
      </c>
      <c r="E856" s="6" t="s">
        <v>39</v>
      </c>
      <c r="F856" s="76">
        <v>66.951976000000002</v>
      </c>
      <c r="G856" s="76" t="s">
        <v>40</v>
      </c>
      <c r="H856" s="76">
        <f t="shared" si="13"/>
        <v>-0.92997599999999636</v>
      </c>
      <c r="I856" s="77">
        <v>-1.24523894293034E-2</v>
      </c>
      <c r="J856" s="78">
        <v>9.4511037485385145</v>
      </c>
      <c r="K856" s="79">
        <v>5.5147092710171819E-2</v>
      </c>
    </row>
    <row r="857" spans="1:11" x14ac:dyDescent="0.35">
      <c r="A857" t="s">
        <v>1383</v>
      </c>
      <c r="B857" s="73" t="s">
        <v>37</v>
      </c>
      <c r="C857" s="74" t="s">
        <v>38</v>
      </c>
      <c r="D857" s="75">
        <v>234.24</v>
      </c>
      <c r="E857" s="6" t="s">
        <v>39</v>
      </c>
      <c r="F857" s="76">
        <v>66.953855000000004</v>
      </c>
      <c r="G857" s="76" t="s">
        <v>40</v>
      </c>
      <c r="H857" s="76">
        <f t="shared" si="13"/>
        <v>-0.93185499999999877</v>
      </c>
      <c r="I857" s="77">
        <v>-0.123265305654011</v>
      </c>
      <c r="J857" s="78">
        <v>9.9428339233010092</v>
      </c>
      <c r="K857" s="79">
        <v>0.54687726747266652</v>
      </c>
    </row>
    <row r="858" spans="1:11" x14ac:dyDescent="0.35">
      <c r="A858" t="s">
        <v>1383</v>
      </c>
      <c r="B858" s="73" t="s">
        <v>37</v>
      </c>
      <c r="C858" s="74" t="s">
        <v>38</v>
      </c>
      <c r="D858" s="75">
        <v>234.27</v>
      </c>
      <c r="E858" s="6" t="s">
        <v>39</v>
      </c>
      <c r="F858" s="76">
        <v>66.955735000000004</v>
      </c>
      <c r="G858" s="76" t="s">
        <v>40</v>
      </c>
      <c r="H858" s="76">
        <f t="shared" si="13"/>
        <v>-0.93373499999999865</v>
      </c>
      <c r="I858" s="77">
        <v>-0.25394246181285801</v>
      </c>
      <c r="J858" s="78">
        <v>10.524985103973677</v>
      </c>
      <c r="K858" s="79">
        <v>1.1290284481453341</v>
      </c>
    </row>
    <row r="859" spans="1:11" x14ac:dyDescent="0.35">
      <c r="A859" t="s">
        <v>1383</v>
      </c>
      <c r="B859" s="73" t="s">
        <v>37</v>
      </c>
      <c r="C859" s="74" t="s">
        <v>38</v>
      </c>
      <c r="D859" s="75">
        <v>234.3</v>
      </c>
      <c r="E859" s="6" t="s">
        <v>39</v>
      </c>
      <c r="F859" s="76">
        <v>66.957614000000007</v>
      </c>
      <c r="G859" s="76" t="s">
        <v>40</v>
      </c>
      <c r="H859" s="76">
        <f t="shared" si="13"/>
        <v>-0.93561400000000106</v>
      </c>
      <c r="I859" s="77">
        <v>-0.179907617286646</v>
      </c>
      <c r="J859" s="78">
        <v>10.194865701790661</v>
      </c>
      <c r="K859" s="79">
        <v>0.79890904596231849</v>
      </c>
    </row>
    <row r="860" spans="1:11" x14ac:dyDescent="0.35">
      <c r="A860" t="s">
        <v>1383</v>
      </c>
      <c r="B860" s="73" t="s">
        <v>37</v>
      </c>
      <c r="C860" s="74" t="s">
        <v>38</v>
      </c>
      <c r="D860" s="75">
        <v>234.33</v>
      </c>
      <c r="E860" s="6" t="s">
        <v>39</v>
      </c>
      <c r="F860" s="76">
        <v>66.959494000000007</v>
      </c>
      <c r="G860" s="76" t="s">
        <v>40</v>
      </c>
      <c r="H860" s="76">
        <f t="shared" si="13"/>
        <v>-0.93749400000000094</v>
      </c>
      <c r="I860" s="77">
        <v>-6.0372131751780501E-2</v>
      </c>
      <c r="J860" s="78">
        <v>9.663530201765127</v>
      </c>
      <c r="K860" s="79">
        <v>0.26757354593678429</v>
      </c>
    </row>
    <row r="861" spans="1:11" x14ac:dyDescent="0.35">
      <c r="A861" t="s">
        <v>1383</v>
      </c>
      <c r="B861" s="73" t="s">
        <v>37</v>
      </c>
      <c r="C861" s="74" t="s">
        <v>38</v>
      </c>
      <c r="D861" s="75">
        <v>234.36</v>
      </c>
      <c r="E861" s="6" t="s">
        <v>39</v>
      </c>
      <c r="F861" s="76">
        <v>66.961372999999995</v>
      </c>
      <c r="G861" s="76" t="s">
        <v>40</v>
      </c>
      <c r="H861" s="76">
        <f t="shared" si="13"/>
        <v>-0.93937299999998913</v>
      </c>
      <c r="I861" s="77">
        <v>-8.1147544708357305E-2</v>
      </c>
      <c r="J861" s="78">
        <v>9.7557292834947589</v>
      </c>
      <c r="K861" s="79">
        <v>0.35977262766641616</v>
      </c>
    </row>
    <row r="862" spans="1:11" x14ac:dyDescent="0.35">
      <c r="A862" t="s">
        <v>1383</v>
      </c>
      <c r="B862" s="73" t="s">
        <v>37</v>
      </c>
      <c r="C862" s="74" t="s">
        <v>38</v>
      </c>
      <c r="D862" s="75">
        <v>234.39</v>
      </c>
      <c r="E862" s="6" t="s">
        <v>39</v>
      </c>
      <c r="F862" s="76">
        <v>66.963252999999995</v>
      </c>
      <c r="G862" s="76" t="s">
        <v>40</v>
      </c>
      <c r="H862" s="76">
        <f t="shared" si="13"/>
        <v>-0.94125299999998902</v>
      </c>
      <c r="I862" s="77">
        <v>-7.6338726216090294E-2</v>
      </c>
      <c r="J862" s="78">
        <v>9.7343827395383187</v>
      </c>
      <c r="K862" s="79">
        <v>0.33842608370997596</v>
      </c>
    </row>
    <row r="863" spans="1:11" x14ac:dyDescent="0.35">
      <c r="A863" t="s">
        <v>1383</v>
      </c>
      <c r="B863" s="73" t="s">
        <v>37</v>
      </c>
      <c r="C863" s="74" t="s">
        <v>38</v>
      </c>
      <c r="D863" s="75">
        <v>234.42</v>
      </c>
      <c r="E863" s="6" t="s">
        <v>39</v>
      </c>
      <c r="F863" s="76">
        <v>66.965132999999994</v>
      </c>
      <c r="G863" s="76" t="s">
        <v>40</v>
      </c>
      <c r="H863" s="76">
        <f t="shared" si="13"/>
        <v>-0.9431329999999889</v>
      </c>
      <c r="I863" s="77">
        <v>-3.2005039749092003E-2</v>
      </c>
      <c r="J863" s="78">
        <v>9.5377401466644187</v>
      </c>
      <c r="K863" s="79">
        <v>0.141783490836076</v>
      </c>
    </row>
    <row r="864" spans="1:11" x14ac:dyDescent="0.35">
      <c r="A864" t="s">
        <v>1383</v>
      </c>
      <c r="B864" s="73" t="s">
        <v>37</v>
      </c>
      <c r="C864" s="74" t="s">
        <v>38</v>
      </c>
      <c r="D864" s="75">
        <v>234.45</v>
      </c>
      <c r="E864" s="6" t="s">
        <v>39</v>
      </c>
      <c r="F864" s="76">
        <v>66.967011999999997</v>
      </c>
      <c r="G864" s="76" t="s">
        <v>40</v>
      </c>
      <c r="H864" s="76">
        <f t="shared" si="13"/>
        <v>-0.9450119999999913</v>
      </c>
      <c r="I864" s="77">
        <v>-5.8395005167889799E-2</v>
      </c>
      <c r="J864" s="78">
        <v>9.6547591548081186</v>
      </c>
      <c r="K864" s="79">
        <v>0.25880249897977592</v>
      </c>
    </row>
    <row r="865" spans="1:11" x14ac:dyDescent="0.35">
      <c r="A865" t="s">
        <v>1383</v>
      </c>
      <c r="B865" s="73" t="s">
        <v>37</v>
      </c>
      <c r="C865" s="74" t="s">
        <v>38</v>
      </c>
      <c r="D865" s="75">
        <v>234.48</v>
      </c>
      <c r="E865" s="6" t="s">
        <v>39</v>
      </c>
      <c r="F865" s="76">
        <v>66.968891999999997</v>
      </c>
      <c r="G865" s="76" t="s">
        <v>40</v>
      </c>
      <c r="H865" s="76">
        <f t="shared" si="13"/>
        <v>-0.94689199999999119</v>
      </c>
      <c r="I865" s="77">
        <v>-5.3174427217440597E-2</v>
      </c>
      <c r="J865" s="78">
        <v>9.6316020132797462</v>
      </c>
      <c r="K865" s="79">
        <v>0.23564535745140347</v>
      </c>
    </row>
    <row r="866" spans="1:11" x14ac:dyDescent="0.35">
      <c r="A866" t="s">
        <v>1383</v>
      </c>
      <c r="B866" s="73" t="s">
        <v>37</v>
      </c>
      <c r="C866" s="74" t="s">
        <v>38</v>
      </c>
      <c r="D866" s="75">
        <v>234.54</v>
      </c>
      <c r="E866" s="6" t="s">
        <v>39</v>
      </c>
      <c r="F866" s="76">
        <v>66.972650999999999</v>
      </c>
      <c r="G866" s="76" t="s">
        <v>40</v>
      </c>
      <c r="H866" s="76">
        <f t="shared" si="13"/>
        <v>-0.95065099999999347</v>
      </c>
      <c r="I866" s="77">
        <v>6.7441405054162698E-2</v>
      </c>
      <c r="J866" s="78">
        <v>9.0976687130896607</v>
      </c>
      <c r="K866" s="79">
        <v>-0.29828794273868198</v>
      </c>
    </row>
    <row r="867" spans="1:11" x14ac:dyDescent="0.35">
      <c r="A867" t="s">
        <v>1383</v>
      </c>
      <c r="B867" s="73" t="s">
        <v>37</v>
      </c>
      <c r="C867" s="74" t="s">
        <v>38</v>
      </c>
      <c r="D867" s="75">
        <v>234.57</v>
      </c>
      <c r="E867" s="6" t="s">
        <v>39</v>
      </c>
      <c r="F867" s="76">
        <v>66.974530000000001</v>
      </c>
      <c r="G867" s="76" t="s">
        <v>40</v>
      </c>
      <c r="H867" s="76">
        <f t="shared" si="13"/>
        <v>-0.95252999999999588</v>
      </c>
      <c r="I867" s="77">
        <v>0.11298987198451001</v>
      </c>
      <c r="J867" s="78">
        <v>8.8965789053873436</v>
      </c>
      <c r="K867" s="79">
        <v>-0.49937775044099908</v>
      </c>
    </row>
    <row r="868" spans="1:11" x14ac:dyDescent="0.35">
      <c r="A868" t="s">
        <v>1383</v>
      </c>
      <c r="B868" s="73" t="s">
        <v>37</v>
      </c>
      <c r="C868" s="74" t="s">
        <v>38</v>
      </c>
      <c r="D868" s="75">
        <v>234.6</v>
      </c>
      <c r="E868" s="6" t="s">
        <v>39</v>
      </c>
      <c r="F868" s="76">
        <v>66.976410000000001</v>
      </c>
      <c r="G868" s="76" t="s">
        <v>40</v>
      </c>
      <c r="H868" s="76">
        <f t="shared" si="13"/>
        <v>-0.95440999999999576</v>
      </c>
      <c r="I868" s="77">
        <v>3.8607128601663397E-2</v>
      </c>
      <c r="J868" s="78">
        <v>9.2251208428410223</v>
      </c>
      <c r="K868" s="79">
        <v>-0.17083581298732042</v>
      </c>
    </row>
    <row r="869" spans="1:11" x14ac:dyDescent="0.35">
      <c r="A869" t="s">
        <v>1383</v>
      </c>
      <c r="B869" s="73" t="s">
        <v>37</v>
      </c>
      <c r="C869" s="74" t="s">
        <v>38</v>
      </c>
      <c r="D869" s="75">
        <v>234.63</v>
      </c>
      <c r="E869" s="6" t="s">
        <v>39</v>
      </c>
      <c r="F869" s="76">
        <v>66.978289000000004</v>
      </c>
      <c r="G869" s="76" t="s">
        <v>40</v>
      </c>
      <c r="H869" s="76">
        <f t="shared" si="13"/>
        <v>-0.95628899999999817</v>
      </c>
      <c r="I869" s="77">
        <v>-4.5120245065782598E-2</v>
      </c>
      <c r="J869" s="78">
        <v>9.5958834068343322</v>
      </c>
      <c r="K869" s="79">
        <v>0.19992675100598944</v>
      </c>
    </row>
    <row r="870" spans="1:11" x14ac:dyDescent="0.35">
      <c r="A870" t="s">
        <v>1383</v>
      </c>
      <c r="B870" s="73" t="s">
        <v>37</v>
      </c>
      <c r="C870" s="74" t="s">
        <v>38</v>
      </c>
      <c r="D870" s="75">
        <v>234.66</v>
      </c>
      <c r="E870" s="6" t="s">
        <v>39</v>
      </c>
      <c r="F870" s="76">
        <v>66.980169000000004</v>
      </c>
      <c r="G870" s="76" t="s">
        <v>40</v>
      </c>
      <c r="H870" s="76">
        <f t="shared" si="13"/>
        <v>-0.95816899999999805</v>
      </c>
      <c r="I870" s="77">
        <v>5.06221139092803E-2</v>
      </c>
      <c r="J870" s="78">
        <v>9.1719982467282648</v>
      </c>
      <c r="K870" s="79">
        <v>-0.22395840910007792</v>
      </c>
    </row>
    <row r="871" spans="1:11" x14ac:dyDescent="0.35">
      <c r="A871" t="s">
        <v>1383</v>
      </c>
      <c r="B871" s="73" t="s">
        <v>37</v>
      </c>
      <c r="C871" s="74" t="s">
        <v>38</v>
      </c>
      <c r="D871" s="75">
        <v>234.69</v>
      </c>
      <c r="E871" s="6" t="s">
        <v>39</v>
      </c>
      <c r="F871" s="76">
        <v>66.982048000000006</v>
      </c>
      <c r="G871" s="76" t="s">
        <v>40</v>
      </c>
      <c r="H871" s="76">
        <f t="shared" si="13"/>
        <v>-0.96004800000000046</v>
      </c>
      <c r="I871" s="77">
        <v>-7.0740431990467603E-2</v>
      </c>
      <c r="J871" s="78">
        <v>9.7095358672205521</v>
      </c>
      <c r="K871" s="79">
        <v>0.31357921139220934</v>
      </c>
    </row>
    <row r="872" spans="1:11" x14ac:dyDescent="0.35">
      <c r="A872" t="s">
        <v>1383</v>
      </c>
      <c r="B872" s="73" t="s">
        <v>37</v>
      </c>
      <c r="C872" s="74" t="s">
        <v>38</v>
      </c>
      <c r="D872" s="75">
        <v>234.72</v>
      </c>
      <c r="E872" s="6" t="s">
        <v>39</v>
      </c>
      <c r="F872" s="76">
        <v>66.983928000000006</v>
      </c>
      <c r="G872" s="76" t="s">
        <v>40</v>
      </c>
      <c r="H872" s="76">
        <f t="shared" si="13"/>
        <v>-0.96192800000000034</v>
      </c>
      <c r="I872" s="77">
        <v>-2.3647573286525399E-2</v>
      </c>
      <c r="J872" s="78">
        <v>9.5007021026574989</v>
      </c>
      <c r="K872" s="79">
        <v>0.10474544682915621</v>
      </c>
    </row>
    <row r="873" spans="1:11" x14ac:dyDescent="0.35">
      <c r="A873" t="s">
        <v>1383</v>
      </c>
      <c r="B873" s="73" t="s">
        <v>37</v>
      </c>
      <c r="C873" s="74" t="s">
        <v>38</v>
      </c>
      <c r="D873" s="75">
        <v>234.75</v>
      </c>
      <c r="E873" s="6" t="s">
        <v>39</v>
      </c>
      <c r="F873" s="76">
        <v>66.985806999999994</v>
      </c>
      <c r="G873" s="76" t="s">
        <v>40</v>
      </c>
      <c r="H873" s="76">
        <f t="shared" si="13"/>
        <v>-0.96380699999998853</v>
      </c>
      <c r="I873" s="77">
        <v>-6.2963665042278405E-2</v>
      </c>
      <c r="J873" s="78">
        <v>9.6750277666610032</v>
      </c>
      <c r="K873" s="79">
        <v>0.27907111083266045</v>
      </c>
    </row>
    <row r="874" spans="1:11" x14ac:dyDescent="0.35">
      <c r="A874" t="s">
        <v>1383</v>
      </c>
      <c r="B874" s="73" t="s">
        <v>37</v>
      </c>
      <c r="C874" s="74" t="s">
        <v>38</v>
      </c>
      <c r="D874" s="75">
        <v>234.78</v>
      </c>
      <c r="E874" s="6" t="s">
        <v>39</v>
      </c>
      <c r="F874" s="76">
        <v>66.987686999999994</v>
      </c>
      <c r="G874" s="76" t="s">
        <v>40</v>
      </c>
      <c r="H874" s="76">
        <f t="shared" si="13"/>
        <v>-0.96568699999998842</v>
      </c>
      <c r="I874" s="77">
        <v>-2.12553416494323E-2</v>
      </c>
      <c r="J874" s="78">
        <v>9.4901022188763591</v>
      </c>
      <c r="K874" s="79">
        <v>9.4145563048016356E-2</v>
      </c>
    </row>
    <row r="875" spans="1:11" x14ac:dyDescent="0.35">
      <c r="A875" t="s">
        <v>1383</v>
      </c>
      <c r="B875" s="73" t="s">
        <v>37</v>
      </c>
      <c r="C875" s="74" t="s">
        <v>38</v>
      </c>
      <c r="D875" s="75">
        <v>234.81</v>
      </c>
      <c r="E875" s="6" t="s">
        <v>39</v>
      </c>
      <c r="F875" s="76">
        <v>66.989565999999996</v>
      </c>
      <c r="G875" s="76" t="s">
        <v>40</v>
      </c>
      <c r="H875" s="76">
        <f t="shared" si="13"/>
        <v>-0.96756599999999082</v>
      </c>
      <c r="I875" s="77">
        <v>0.18600473739000001</v>
      </c>
      <c r="J875" s="78">
        <v>8.5748451512080237</v>
      </c>
      <c r="K875" s="79">
        <v>-0.82111150462031901</v>
      </c>
    </row>
    <row r="876" spans="1:11" x14ac:dyDescent="0.35">
      <c r="A876" t="s">
        <v>1383</v>
      </c>
      <c r="B876" s="73" t="s">
        <v>37</v>
      </c>
      <c r="C876" s="74" t="s">
        <v>38</v>
      </c>
      <c r="D876" s="75">
        <v>234.84</v>
      </c>
      <c r="E876" s="6" t="s">
        <v>39</v>
      </c>
      <c r="F876" s="76">
        <v>66.991445999999996</v>
      </c>
      <c r="G876" s="76" t="s">
        <v>40</v>
      </c>
      <c r="H876" s="76">
        <f t="shared" si="13"/>
        <v>-0.9694459999999907</v>
      </c>
      <c r="I876" s="77">
        <v>-0.166479939991483</v>
      </c>
      <c r="J876" s="78">
        <v>10.135076956862633</v>
      </c>
      <c r="K876" s="79">
        <v>0.73912030103429061</v>
      </c>
    </row>
    <row r="877" spans="1:11" x14ac:dyDescent="0.35">
      <c r="A877" t="s">
        <v>1383</v>
      </c>
      <c r="B877" s="73" t="s">
        <v>37</v>
      </c>
      <c r="C877" s="74" t="s">
        <v>38</v>
      </c>
      <c r="D877" s="75">
        <v>234.87</v>
      </c>
      <c r="E877" s="6" t="s">
        <v>39</v>
      </c>
      <c r="F877" s="76">
        <v>66.993324999999999</v>
      </c>
      <c r="G877" s="76" t="s">
        <v>40</v>
      </c>
      <c r="H877" s="76">
        <f t="shared" si="13"/>
        <v>-0.97132499999999311</v>
      </c>
      <c r="I877" s="77">
        <v>1.1419170739248899E-2</v>
      </c>
      <c r="J877" s="78">
        <v>9.3454048301449006</v>
      </c>
      <c r="K877" s="79">
        <v>-5.0551825683442075E-2</v>
      </c>
    </row>
    <row r="878" spans="1:11" x14ac:dyDescent="0.35">
      <c r="A878" t="s">
        <v>1383</v>
      </c>
      <c r="B878" s="73" t="s">
        <v>37</v>
      </c>
      <c r="C878" s="74" t="s">
        <v>38</v>
      </c>
      <c r="D878" s="75">
        <v>234.9</v>
      </c>
      <c r="E878" s="6" t="s">
        <v>39</v>
      </c>
      <c r="F878" s="76">
        <v>66.995204999999999</v>
      </c>
      <c r="G878" s="76" t="s">
        <v>40</v>
      </c>
      <c r="H878" s="76">
        <f t="shared" si="13"/>
        <v>-0.97320499999999299</v>
      </c>
      <c r="I878" s="77">
        <v>-9.3022185623510306E-2</v>
      </c>
      <c r="J878" s="78">
        <v>9.8084555475174398</v>
      </c>
      <c r="K878" s="79">
        <v>0.41249889168909704</v>
      </c>
    </row>
    <row r="879" spans="1:11" x14ac:dyDescent="0.35">
      <c r="A879" t="s">
        <v>1383</v>
      </c>
      <c r="B879" s="73" t="s">
        <v>37</v>
      </c>
      <c r="C879" s="74" t="s">
        <v>38</v>
      </c>
      <c r="D879" s="75">
        <v>234.93</v>
      </c>
      <c r="E879" s="6" t="s">
        <v>39</v>
      </c>
      <c r="F879" s="76">
        <v>66.997084000000001</v>
      </c>
      <c r="G879" s="76" t="s">
        <v>40</v>
      </c>
      <c r="H879" s="76">
        <f t="shared" si="13"/>
        <v>-0.9750839999999954</v>
      </c>
      <c r="I879" s="77">
        <v>-5.2601441927374301E-2</v>
      </c>
      <c r="J879" s="78">
        <v>9.6290606361726532</v>
      </c>
      <c r="K879" s="79">
        <v>0.23310398034431046</v>
      </c>
    </row>
    <row r="880" spans="1:11" x14ac:dyDescent="0.35">
      <c r="A880" t="s">
        <v>1383</v>
      </c>
      <c r="B880" s="73" t="s">
        <v>37</v>
      </c>
      <c r="C880" s="74" t="s">
        <v>38</v>
      </c>
      <c r="D880" s="75">
        <v>234.96</v>
      </c>
      <c r="E880" s="6" t="s">
        <v>39</v>
      </c>
      <c r="F880" s="76">
        <v>66.998964000000001</v>
      </c>
      <c r="G880" s="76" t="s">
        <v>40</v>
      </c>
      <c r="H880" s="76">
        <f t="shared" si="13"/>
        <v>-0.97696399999999528</v>
      </c>
      <c r="I880" s="77">
        <v>-2.5564518309882302E-2</v>
      </c>
      <c r="J880" s="78">
        <v>9.5091966023763916</v>
      </c>
      <c r="K880" s="79">
        <v>0.11323994654804892</v>
      </c>
    </row>
    <row r="881" spans="1:11" x14ac:dyDescent="0.35">
      <c r="A881" t="s">
        <v>1383</v>
      </c>
      <c r="B881" s="73" t="s">
        <v>37</v>
      </c>
      <c r="C881" s="74" t="s">
        <v>38</v>
      </c>
      <c r="D881" s="75">
        <v>234.99</v>
      </c>
      <c r="E881" s="6" t="s">
        <v>39</v>
      </c>
      <c r="F881" s="76">
        <v>67.000843000000003</v>
      </c>
      <c r="G881" s="76" t="s">
        <v>40</v>
      </c>
      <c r="H881" s="76">
        <f t="shared" si="13"/>
        <v>-0.97884299999999769</v>
      </c>
      <c r="I881" s="77">
        <v>-4.0438670565113202E-2</v>
      </c>
      <c r="J881" s="78">
        <v>9.5751258857254129</v>
      </c>
      <c r="K881" s="79">
        <v>0.17916922989707018</v>
      </c>
    </row>
    <row r="882" spans="1:11" x14ac:dyDescent="0.35">
      <c r="A882" t="s">
        <v>1383</v>
      </c>
      <c r="B882" s="73" t="s">
        <v>37</v>
      </c>
      <c r="C882" s="74" t="s">
        <v>38</v>
      </c>
      <c r="D882" s="75">
        <v>235.02</v>
      </c>
      <c r="E882" s="6" t="s">
        <v>39</v>
      </c>
      <c r="F882" s="76">
        <v>67.002723000000003</v>
      </c>
      <c r="G882" s="76" t="s">
        <v>40</v>
      </c>
      <c r="H882" s="76">
        <f t="shared" si="13"/>
        <v>-0.98072299999999757</v>
      </c>
      <c r="I882" s="77">
        <v>-0.12710826461510799</v>
      </c>
      <c r="J882" s="78">
        <v>9.9599186624460572</v>
      </c>
      <c r="K882" s="79">
        <v>0.56396200661771445</v>
      </c>
    </row>
    <row r="883" spans="1:11" x14ac:dyDescent="0.35">
      <c r="A883" t="s">
        <v>1383</v>
      </c>
      <c r="B883" s="73" t="s">
        <v>37</v>
      </c>
      <c r="C883" s="74" t="s">
        <v>38</v>
      </c>
      <c r="D883" s="75">
        <v>235.05</v>
      </c>
      <c r="E883" s="6" t="s">
        <v>39</v>
      </c>
      <c r="F883" s="76">
        <v>67.004602000000006</v>
      </c>
      <c r="G883" s="76" t="s">
        <v>40</v>
      </c>
      <c r="H883" s="76">
        <f t="shared" si="13"/>
        <v>-0.98260199999999998</v>
      </c>
      <c r="I883" s="77">
        <v>-0.22074767439227699</v>
      </c>
      <c r="J883" s="78">
        <v>10.376872327629314</v>
      </c>
      <c r="K883" s="79">
        <v>0.98091567180097172</v>
      </c>
    </row>
    <row r="884" spans="1:11" x14ac:dyDescent="0.35">
      <c r="A884" t="s">
        <v>1383</v>
      </c>
      <c r="B884" s="73" t="s">
        <v>37</v>
      </c>
      <c r="C884" s="74" t="s">
        <v>38</v>
      </c>
      <c r="D884" s="75">
        <v>235.08</v>
      </c>
      <c r="E884" s="6" t="s">
        <v>39</v>
      </c>
      <c r="F884" s="76">
        <v>67.006482000000005</v>
      </c>
      <c r="G884" s="76" t="s">
        <v>40</v>
      </c>
      <c r="H884" s="76">
        <f t="shared" si="13"/>
        <v>-0.98448199999999986</v>
      </c>
      <c r="I884" s="77">
        <v>-0.12453568317286901</v>
      </c>
      <c r="J884" s="78">
        <v>9.9484814371077732</v>
      </c>
      <c r="K884" s="79">
        <v>0.5525247812794305</v>
      </c>
    </row>
    <row r="885" spans="1:11" x14ac:dyDescent="0.35">
      <c r="A885" t="s">
        <v>1383</v>
      </c>
      <c r="B885" s="73" t="s">
        <v>37</v>
      </c>
      <c r="C885" s="74" t="s">
        <v>38</v>
      </c>
      <c r="D885" s="75">
        <v>235.11</v>
      </c>
      <c r="E885" s="6" t="s">
        <v>39</v>
      </c>
      <c r="F885" s="76">
        <v>67.008360999999994</v>
      </c>
      <c r="G885" s="76" t="s">
        <v>40</v>
      </c>
      <c r="H885" s="76">
        <f t="shared" si="13"/>
        <v>-0.98636099999998805</v>
      </c>
      <c r="I885" s="77">
        <v>4.5318678716175002E-2</v>
      </c>
      <c r="J885" s="78">
        <v>9.1954441090492196</v>
      </c>
      <c r="K885" s="79">
        <v>-0.20051254677912311</v>
      </c>
    </row>
    <row r="886" spans="1:11" x14ac:dyDescent="0.35">
      <c r="A886" t="s">
        <v>1383</v>
      </c>
      <c r="B886" s="73" t="s">
        <v>37</v>
      </c>
      <c r="C886" s="74" t="s">
        <v>38</v>
      </c>
      <c r="D886" s="75">
        <v>235.14</v>
      </c>
      <c r="E886" s="6" t="s">
        <v>39</v>
      </c>
      <c r="F886" s="76">
        <v>67.010240999999994</v>
      </c>
      <c r="G886" s="76" t="s">
        <v>40</v>
      </c>
      <c r="H886" s="76">
        <f t="shared" si="13"/>
        <v>-0.98824099999998793</v>
      </c>
      <c r="I886" s="77">
        <v>3.6021263340906898E-2</v>
      </c>
      <c r="J886" s="78">
        <v>9.236556586385916</v>
      </c>
      <c r="K886" s="79">
        <v>-0.15940006944242668</v>
      </c>
    </row>
    <row r="887" spans="1:11" x14ac:dyDescent="0.35">
      <c r="A887" t="s">
        <v>1383</v>
      </c>
      <c r="B887" s="73" t="s">
        <v>37</v>
      </c>
      <c r="C887" s="74" t="s">
        <v>38</v>
      </c>
      <c r="D887" s="75">
        <v>235.17</v>
      </c>
      <c r="E887" s="6" t="s">
        <v>39</v>
      </c>
      <c r="F887" s="76">
        <v>67.012119999999996</v>
      </c>
      <c r="G887" s="76" t="s">
        <v>40</v>
      </c>
      <c r="H887" s="76">
        <f t="shared" si="13"/>
        <v>-0.99011999999999034</v>
      </c>
      <c r="I887" s="77">
        <v>0.12214665908495501</v>
      </c>
      <c r="J887" s="78">
        <v>8.856188723468108</v>
      </c>
      <c r="K887" s="79">
        <v>-0.53976793236023468</v>
      </c>
    </row>
    <row r="888" spans="1:11" x14ac:dyDescent="0.35">
      <c r="A888" t="s">
        <v>1383</v>
      </c>
      <c r="B888" s="73" t="s">
        <v>37</v>
      </c>
      <c r="C888" s="74" t="s">
        <v>38</v>
      </c>
      <c r="D888" s="75">
        <v>235.2</v>
      </c>
      <c r="E888" s="6" t="s">
        <v>39</v>
      </c>
      <c r="F888" s="76">
        <v>67.013999999999996</v>
      </c>
      <c r="G888" s="76" t="s">
        <v>40</v>
      </c>
      <c r="H888" s="76">
        <f t="shared" si="13"/>
        <v>-0.99199999999999022</v>
      </c>
      <c r="I888" s="77">
        <v>0.18021558392210599</v>
      </c>
      <c r="J888" s="78">
        <v>8.6003269097988095</v>
      </c>
      <c r="K888" s="79">
        <v>-0.79562974602953318</v>
      </c>
    </row>
    <row r="889" spans="1:11" x14ac:dyDescent="0.35">
      <c r="A889" t="s">
        <v>1383</v>
      </c>
      <c r="B889" s="73" t="s">
        <v>37</v>
      </c>
      <c r="C889" s="74" t="s">
        <v>38</v>
      </c>
      <c r="D889" s="75">
        <v>235.23</v>
      </c>
      <c r="E889" s="6" t="s">
        <v>39</v>
      </c>
      <c r="F889" s="76">
        <v>67.015879999999996</v>
      </c>
      <c r="G889" s="76" t="s">
        <v>40</v>
      </c>
      <c r="H889" s="76">
        <f t="shared" si="13"/>
        <v>-0.9938799999999901</v>
      </c>
      <c r="I889" s="77">
        <v>5.8909293978534602E-2</v>
      </c>
      <c r="J889" s="78">
        <v>9.1353696437977874</v>
      </c>
      <c r="K889" s="79">
        <v>-0.26058701203055534</v>
      </c>
    </row>
    <row r="890" spans="1:11" x14ac:dyDescent="0.35">
      <c r="A890" t="s">
        <v>1383</v>
      </c>
      <c r="B890" s="73" t="s">
        <v>37</v>
      </c>
      <c r="C890" s="74" t="s">
        <v>38</v>
      </c>
      <c r="D890" s="75">
        <v>235.26</v>
      </c>
      <c r="E890" s="6" t="s">
        <v>39</v>
      </c>
      <c r="F890" s="76">
        <v>67.017758999999998</v>
      </c>
      <c r="G890" s="76" t="s">
        <v>40</v>
      </c>
      <c r="H890" s="76">
        <f t="shared" si="13"/>
        <v>-0.99575899999999251</v>
      </c>
      <c r="I890" s="77">
        <v>0.17719032958873401</v>
      </c>
      <c r="J890" s="78">
        <v>8.6136448772001586</v>
      </c>
      <c r="K890" s="79">
        <v>-0.78231177862818413</v>
      </c>
    </row>
    <row r="891" spans="1:11" x14ac:dyDescent="0.35">
      <c r="A891" t="s">
        <v>1383</v>
      </c>
      <c r="B891" s="73" t="s">
        <v>37</v>
      </c>
      <c r="C891" s="74" t="s">
        <v>38</v>
      </c>
      <c r="D891" s="75">
        <v>235.32</v>
      </c>
      <c r="E891" s="6" t="s">
        <v>39</v>
      </c>
      <c r="F891" s="76">
        <v>67.021518</v>
      </c>
      <c r="G891" s="76" t="s">
        <v>40</v>
      </c>
      <c r="H891" s="76">
        <f t="shared" si="13"/>
        <v>-0.9995179999999948</v>
      </c>
      <c r="I891" s="77">
        <v>7.8308362160632403E-2</v>
      </c>
      <c r="J891" s="78">
        <v>9.0496658173464652</v>
      </c>
      <c r="K891" s="79">
        <v>-0.34629083848187747</v>
      </c>
    </row>
    <row r="892" spans="1:11" x14ac:dyDescent="0.35">
      <c r="A892" t="s">
        <v>1383</v>
      </c>
      <c r="B892" s="73" t="s">
        <v>37</v>
      </c>
      <c r="C892" s="74" t="s">
        <v>38</v>
      </c>
      <c r="D892" s="75">
        <v>235.35</v>
      </c>
      <c r="E892" s="6" t="s">
        <v>39</v>
      </c>
      <c r="F892" s="76">
        <v>67.023398</v>
      </c>
      <c r="G892" s="76" t="s">
        <v>40</v>
      </c>
      <c r="H892" s="76">
        <f t="shared" si="13"/>
        <v>-1.0013979999999947</v>
      </c>
      <c r="I892" s="77">
        <v>0.11291892370628</v>
      </c>
      <c r="J892" s="78">
        <v>8.8968919017113421</v>
      </c>
      <c r="K892" s="79">
        <v>-0.49906475411700058</v>
      </c>
    </row>
    <row r="893" spans="1:11" x14ac:dyDescent="0.35">
      <c r="A893" t="s">
        <v>1383</v>
      </c>
      <c r="B893" s="73" t="s">
        <v>37</v>
      </c>
      <c r="C893" s="74" t="s">
        <v>38</v>
      </c>
      <c r="D893" s="75">
        <v>235.38</v>
      </c>
      <c r="E893" s="6" t="s">
        <v>39</v>
      </c>
      <c r="F893" s="76">
        <v>67.025277000000003</v>
      </c>
      <c r="G893" s="76" t="s">
        <v>40</v>
      </c>
      <c r="H893" s="76">
        <f t="shared" si="13"/>
        <v>-1.0032769999999971</v>
      </c>
      <c r="I893" s="77">
        <v>0.186121348702315</v>
      </c>
      <c r="J893" s="78">
        <v>8.574331919283054</v>
      </c>
      <c r="K893" s="79">
        <v>-0.82162473654528867</v>
      </c>
    </row>
    <row r="894" spans="1:11" x14ac:dyDescent="0.35">
      <c r="A894" t="s">
        <v>1383</v>
      </c>
      <c r="B894" s="73" t="s">
        <v>37</v>
      </c>
      <c r="C894" s="74" t="s">
        <v>38</v>
      </c>
      <c r="D894" s="75">
        <v>235.41</v>
      </c>
      <c r="E894" s="6" t="s">
        <v>39</v>
      </c>
      <c r="F894" s="76">
        <v>67.027157000000003</v>
      </c>
      <c r="G894" s="76" t="s">
        <v>40</v>
      </c>
      <c r="H894" s="76">
        <f t="shared" si="13"/>
        <v>-1.005156999999997</v>
      </c>
      <c r="I894" s="77">
        <v>4.2646506491988097E-2</v>
      </c>
      <c r="J894" s="78">
        <v>9.2072589902571735</v>
      </c>
      <c r="K894" s="79">
        <v>-0.18869766557116918</v>
      </c>
    </row>
    <row r="895" spans="1:11" x14ac:dyDescent="0.35">
      <c r="A895" t="s">
        <v>1383</v>
      </c>
      <c r="B895" s="73" t="s">
        <v>37</v>
      </c>
      <c r="C895" s="74" t="s">
        <v>38</v>
      </c>
      <c r="D895" s="75">
        <v>235.44</v>
      </c>
      <c r="E895" s="6" t="s">
        <v>39</v>
      </c>
      <c r="F895" s="76">
        <v>67.029036000000005</v>
      </c>
      <c r="G895" s="76" t="s">
        <v>40</v>
      </c>
      <c r="H895" s="76">
        <f t="shared" si="13"/>
        <v>-1.0070359999999994</v>
      </c>
      <c r="I895" s="77">
        <v>4.2079191079817301E-2</v>
      </c>
      <c r="J895" s="78">
        <v>9.2097674794292743</v>
      </c>
      <c r="K895" s="79">
        <v>-0.1861891763990684</v>
      </c>
    </row>
    <row r="896" spans="1:11" x14ac:dyDescent="0.35">
      <c r="A896" t="s">
        <v>1383</v>
      </c>
      <c r="B896" s="73" t="s">
        <v>37</v>
      </c>
      <c r="C896" s="74" t="s">
        <v>38</v>
      </c>
      <c r="D896" s="75">
        <v>235.47</v>
      </c>
      <c r="E896" s="6" t="s">
        <v>39</v>
      </c>
      <c r="F896" s="76">
        <v>67.030916000000005</v>
      </c>
      <c r="G896" s="76" t="s">
        <v>40</v>
      </c>
      <c r="H896" s="76">
        <f t="shared" si="13"/>
        <v>-1.0089159999999993</v>
      </c>
      <c r="I896" s="77">
        <v>-2.5683951855659901E-2</v>
      </c>
      <c r="J896" s="78">
        <v>9.5097258620222078</v>
      </c>
      <c r="K896" s="79">
        <v>0.1137692061938651</v>
      </c>
    </row>
    <row r="897" spans="1:11" x14ac:dyDescent="0.35">
      <c r="A897" t="s">
        <v>1383</v>
      </c>
      <c r="B897" s="73" t="s">
        <v>37</v>
      </c>
      <c r="C897" s="74" t="s">
        <v>38</v>
      </c>
      <c r="D897" s="75">
        <v>235.5</v>
      </c>
      <c r="E897" s="6" t="s">
        <v>39</v>
      </c>
      <c r="F897" s="76">
        <v>67.032794999999993</v>
      </c>
      <c r="G897" s="76" t="s">
        <v>40</v>
      </c>
      <c r="H897" s="76">
        <f t="shared" si="13"/>
        <v>-1.0107949999999875</v>
      </c>
      <c r="I897" s="77">
        <v>0.19023271873209999</v>
      </c>
      <c r="J897" s="78">
        <v>8.5562381126700302</v>
      </c>
      <c r="K897" s="79">
        <v>-0.83971854315831251</v>
      </c>
    </row>
    <row r="898" spans="1:11" x14ac:dyDescent="0.35">
      <c r="A898" t="s">
        <v>1383</v>
      </c>
      <c r="B898" s="73" t="s">
        <v>37</v>
      </c>
      <c r="C898" s="74" t="s">
        <v>38</v>
      </c>
      <c r="D898" s="75">
        <v>235.53</v>
      </c>
      <c r="E898" s="6" t="s">
        <v>39</v>
      </c>
      <c r="F898" s="76">
        <v>67.034674999999993</v>
      </c>
      <c r="G898" s="76" t="s">
        <v>40</v>
      </c>
      <c r="H898" s="76">
        <f t="shared" ref="H898:H915" si="14">66.022-F898</f>
        <v>-1.0126749999999873</v>
      </c>
      <c r="I898" s="77">
        <v>0.300285471544322</v>
      </c>
      <c r="J898" s="78">
        <v>8.0727946785133895</v>
      </c>
      <c r="K898" s="79">
        <v>-1.3231619773149532</v>
      </c>
    </row>
    <row r="899" spans="1:11" x14ac:dyDescent="0.35">
      <c r="A899" t="s">
        <v>1383</v>
      </c>
      <c r="B899" s="73" t="s">
        <v>37</v>
      </c>
      <c r="C899" s="74" t="s">
        <v>38</v>
      </c>
      <c r="D899" s="75">
        <v>235.56</v>
      </c>
      <c r="E899" s="6" t="s">
        <v>39</v>
      </c>
      <c r="F899" s="76">
        <v>67.036553999999995</v>
      </c>
      <c r="G899" s="76" t="s">
        <v>40</v>
      </c>
      <c r="H899" s="76">
        <f t="shared" si="14"/>
        <v>-1.0145539999999897</v>
      </c>
      <c r="I899" s="77">
        <v>0.11702296504776601</v>
      </c>
      <c r="J899" s="78">
        <v>8.8787876395182366</v>
      </c>
      <c r="K899" s="79">
        <v>-0.51716901631010614</v>
      </c>
    </row>
    <row r="900" spans="1:11" x14ac:dyDescent="0.35">
      <c r="A900" t="s">
        <v>1383</v>
      </c>
      <c r="B900" s="73" t="s">
        <v>37</v>
      </c>
      <c r="C900" s="74" t="s">
        <v>38</v>
      </c>
      <c r="D900" s="75">
        <v>235.59</v>
      </c>
      <c r="E900" s="6" t="s">
        <v>39</v>
      </c>
      <c r="F900" s="76">
        <v>67.038433999999995</v>
      </c>
      <c r="G900" s="76" t="s">
        <v>40</v>
      </c>
      <c r="H900" s="76">
        <f t="shared" si="14"/>
        <v>-1.0164339999999896</v>
      </c>
      <c r="I900" s="77">
        <v>0.12318160583064</v>
      </c>
      <c r="J900" s="78">
        <v>8.851624370133834</v>
      </c>
      <c r="K900" s="79">
        <v>-0.54433228569450876</v>
      </c>
    </row>
    <row r="901" spans="1:11" x14ac:dyDescent="0.35">
      <c r="A901" t="s">
        <v>1383</v>
      </c>
      <c r="B901" s="73" t="s">
        <v>37</v>
      </c>
      <c r="C901" s="74" t="s">
        <v>38</v>
      </c>
      <c r="D901" s="75">
        <v>235.62</v>
      </c>
      <c r="E901" s="6" t="s">
        <v>39</v>
      </c>
      <c r="F901" s="76">
        <v>67.040312999999998</v>
      </c>
      <c r="G901" s="76" t="s">
        <v>40</v>
      </c>
      <c r="H901" s="76">
        <f t="shared" si="14"/>
        <v>-1.018312999999992</v>
      </c>
      <c r="I901" s="77">
        <v>6.9624330127934106E-2</v>
      </c>
      <c r="J901" s="78">
        <v>9.0880246681027188</v>
      </c>
      <c r="K901" s="79">
        <v>-0.30793198772562391</v>
      </c>
    </row>
    <row r="902" spans="1:11" x14ac:dyDescent="0.35">
      <c r="A902" t="s">
        <v>1383</v>
      </c>
      <c r="B902" s="73" t="s">
        <v>37</v>
      </c>
      <c r="C902" s="74" t="s">
        <v>38</v>
      </c>
      <c r="D902" s="75">
        <v>235.65</v>
      </c>
      <c r="E902" s="6" t="s">
        <v>39</v>
      </c>
      <c r="F902" s="76">
        <v>67.042192999999997</v>
      </c>
      <c r="G902" s="76" t="s">
        <v>40</v>
      </c>
      <c r="H902" s="76">
        <f t="shared" si="14"/>
        <v>-1.0201929999999919</v>
      </c>
      <c r="I902" s="77">
        <v>9.1898363055417903E-2</v>
      </c>
      <c r="J902" s="78">
        <v>8.9896580551995271</v>
      </c>
      <c r="K902" s="79">
        <v>-0.40629860062881562</v>
      </c>
    </row>
    <row r="903" spans="1:11" x14ac:dyDescent="0.35">
      <c r="A903" t="s">
        <v>1383</v>
      </c>
      <c r="B903" s="73" t="s">
        <v>37</v>
      </c>
      <c r="C903" s="74" t="s">
        <v>38</v>
      </c>
      <c r="D903" s="75">
        <v>235.68</v>
      </c>
      <c r="E903" s="6" t="s">
        <v>39</v>
      </c>
      <c r="F903" s="76">
        <v>67.044072</v>
      </c>
      <c r="G903" s="76" t="s">
        <v>40</v>
      </c>
      <c r="H903" s="76">
        <f t="shared" si="14"/>
        <v>-1.0220719999999943</v>
      </c>
      <c r="I903" s="77">
        <v>0.19928966609763599</v>
      </c>
      <c r="J903" s="78">
        <v>8.5163876810270835</v>
      </c>
      <c r="K903" s="79">
        <v>-0.87956897480125917</v>
      </c>
    </row>
    <row r="904" spans="1:11" x14ac:dyDescent="0.35">
      <c r="A904" t="s">
        <v>1383</v>
      </c>
      <c r="B904" s="73" t="s">
        <v>37</v>
      </c>
      <c r="C904" s="74" t="s">
        <v>38</v>
      </c>
      <c r="D904" s="75">
        <v>235.71</v>
      </c>
      <c r="E904" s="6" t="s">
        <v>39</v>
      </c>
      <c r="F904" s="76">
        <v>67.045952</v>
      </c>
      <c r="G904" s="76" t="s">
        <v>40</v>
      </c>
      <c r="H904" s="76">
        <f t="shared" si="14"/>
        <v>-1.0239519999999942</v>
      </c>
      <c r="I904" s="77">
        <v>-2.3506056596128401E-2</v>
      </c>
      <c r="J904" s="78">
        <v>9.5000750249674297</v>
      </c>
      <c r="K904" s="79">
        <v>0.10411836913908701</v>
      </c>
    </row>
    <row r="905" spans="1:11" x14ac:dyDescent="0.35">
      <c r="A905" t="s">
        <v>1383</v>
      </c>
      <c r="B905" s="73" t="s">
        <v>37</v>
      </c>
      <c r="C905" s="74" t="s">
        <v>38</v>
      </c>
      <c r="D905" s="75">
        <v>235.74</v>
      </c>
      <c r="E905" s="6" t="s">
        <v>39</v>
      </c>
      <c r="F905" s="76">
        <v>67.047831000000002</v>
      </c>
      <c r="G905" s="76" t="s">
        <v>40</v>
      </c>
      <c r="H905" s="76">
        <f t="shared" si="14"/>
        <v>-1.0258309999999966</v>
      </c>
      <c r="I905" s="77">
        <v>7.9803711410083703E-2</v>
      </c>
      <c r="J905" s="78">
        <v>9.0430616905214265</v>
      </c>
      <c r="K905" s="79">
        <v>-0.35289496530691622</v>
      </c>
    </row>
    <row r="906" spans="1:11" x14ac:dyDescent="0.35">
      <c r="A906" t="s">
        <v>1383</v>
      </c>
      <c r="B906" s="73" t="s">
        <v>37</v>
      </c>
      <c r="C906" s="74" t="s">
        <v>38</v>
      </c>
      <c r="D906" s="75">
        <v>235.77</v>
      </c>
      <c r="E906" s="6" t="s">
        <v>39</v>
      </c>
      <c r="F906" s="76">
        <v>67.049711000000002</v>
      </c>
      <c r="G906" s="76" t="s">
        <v>40</v>
      </c>
      <c r="H906" s="76">
        <f t="shared" si="14"/>
        <v>-1.0277109999999965</v>
      </c>
      <c r="I906" s="77">
        <v>7.2895526491351795E-2</v>
      </c>
      <c r="J906" s="78">
        <v>9.0735739725127473</v>
      </c>
      <c r="K906" s="79">
        <v>-0.32238268331559539</v>
      </c>
    </row>
    <row r="907" spans="1:11" x14ac:dyDescent="0.35">
      <c r="A907" t="s">
        <v>1383</v>
      </c>
      <c r="B907" s="73" t="s">
        <v>37</v>
      </c>
      <c r="C907" s="74" t="s">
        <v>38</v>
      </c>
      <c r="D907" s="75">
        <v>235.83</v>
      </c>
      <c r="E907" s="6" t="s">
        <v>39</v>
      </c>
      <c r="F907" s="76">
        <v>67.053470000000004</v>
      </c>
      <c r="G907" s="76" t="s">
        <v>40</v>
      </c>
      <c r="H907" s="76">
        <f t="shared" si="14"/>
        <v>-1.0314699999999988</v>
      </c>
      <c r="I907" s="77">
        <v>8.9849697368438106E-2</v>
      </c>
      <c r="J907" s="78">
        <v>8.9987024205071293</v>
      </c>
      <c r="K907" s="79">
        <v>-0.3972542353212134</v>
      </c>
    </row>
    <row r="908" spans="1:11" x14ac:dyDescent="0.35">
      <c r="A908" t="s">
        <v>1383</v>
      </c>
      <c r="B908" s="73" t="s">
        <v>37</v>
      </c>
      <c r="C908" s="74" t="s">
        <v>38</v>
      </c>
      <c r="D908" s="75">
        <v>235.86</v>
      </c>
      <c r="E908" s="6" t="s">
        <v>39</v>
      </c>
      <c r="F908" s="76">
        <v>67.055349000000007</v>
      </c>
      <c r="G908" s="76" t="s">
        <v>40</v>
      </c>
      <c r="H908" s="76">
        <f t="shared" si="14"/>
        <v>-1.0333490000000012</v>
      </c>
      <c r="I908" s="77">
        <v>8.8696647421905306E-2</v>
      </c>
      <c r="J908" s="78">
        <v>9.0037931213293518</v>
      </c>
      <c r="K908" s="79">
        <v>-0.39216353449899088</v>
      </c>
    </row>
    <row r="909" spans="1:11" x14ac:dyDescent="0.35">
      <c r="A909" t="s">
        <v>1383</v>
      </c>
      <c r="B909" s="73" t="s">
        <v>37</v>
      </c>
      <c r="C909" s="74" t="s">
        <v>38</v>
      </c>
      <c r="D909" s="75">
        <v>235.89</v>
      </c>
      <c r="E909" s="6" t="s">
        <v>39</v>
      </c>
      <c r="F909" s="76">
        <v>67.057229000000007</v>
      </c>
      <c r="G909" s="76" t="s">
        <v>40</v>
      </c>
      <c r="H909" s="76">
        <f t="shared" si="14"/>
        <v>-1.0352290000000011</v>
      </c>
      <c r="I909" s="77">
        <v>0.131980988612968</v>
      </c>
      <c r="J909" s="78">
        <v>8.8128232253042711</v>
      </c>
      <c r="K909" s="79">
        <v>-0.58313343052407163</v>
      </c>
    </row>
    <row r="910" spans="1:11" x14ac:dyDescent="0.35">
      <c r="A910" t="s">
        <v>1383</v>
      </c>
      <c r="B910" s="73" t="s">
        <v>37</v>
      </c>
      <c r="C910" s="74" t="s">
        <v>38</v>
      </c>
      <c r="D910" s="75">
        <v>235.92</v>
      </c>
      <c r="E910" s="6" t="s">
        <v>39</v>
      </c>
      <c r="F910" s="76">
        <v>67.059107999999995</v>
      </c>
      <c r="G910" s="76" t="s">
        <v>40</v>
      </c>
      <c r="H910" s="76">
        <f t="shared" si="14"/>
        <v>-1.0371079999999893</v>
      </c>
      <c r="I910" s="77">
        <v>0.110819825765244</v>
      </c>
      <c r="J910" s="78">
        <v>8.906152633159536</v>
      </c>
      <c r="K910" s="79">
        <v>-0.48980402266880674</v>
      </c>
    </row>
    <row r="911" spans="1:11" x14ac:dyDescent="0.35">
      <c r="A911" t="s">
        <v>1383</v>
      </c>
      <c r="B911" s="73" t="s">
        <v>37</v>
      </c>
      <c r="C911" s="74" t="s">
        <v>38</v>
      </c>
      <c r="D911" s="75">
        <v>235.95</v>
      </c>
      <c r="E911" s="6" t="s">
        <v>39</v>
      </c>
      <c r="F911" s="76">
        <v>67.060987999999995</v>
      </c>
      <c r="G911" s="76" t="s">
        <v>40</v>
      </c>
      <c r="H911" s="76">
        <f t="shared" si="14"/>
        <v>-1.0389879999999891</v>
      </c>
      <c r="I911" s="77">
        <v>6.7825959871187294E-2</v>
      </c>
      <c r="J911" s="78">
        <v>9.0959697213408504</v>
      </c>
      <c r="K911" s="79">
        <v>-0.29998693448749236</v>
      </c>
    </row>
    <row r="912" spans="1:11" x14ac:dyDescent="0.35">
      <c r="A912" t="s">
        <v>1383</v>
      </c>
      <c r="B912" s="73" t="s">
        <v>37</v>
      </c>
      <c r="C912" s="74" t="s">
        <v>38</v>
      </c>
      <c r="D912" s="75">
        <v>235.98</v>
      </c>
      <c r="E912" s="6" t="s">
        <v>39</v>
      </c>
      <c r="F912" s="76">
        <v>67.062866999999997</v>
      </c>
      <c r="G912" s="76" t="s">
        <v>40</v>
      </c>
      <c r="H912" s="76">
        <f t="shared" si="14"/>
        <v>-1.0408669999999915</v>
      </c>
      <c r="I912" s="77">
        <v>6.5806212058440103E-2</v>
      </c>
      <c r="J912" s="78">
        <v>9.1048933529242504</v>
      </c>
      <c r="K912" s="79">
        <v>-0.29106330290409232</v>
      </c>
    </row>
    <row r="913" spans="1:11" x14ac:dyDescent="0.35">
      <c r="A913" t="s">
        <v>1383</v>
      </c>
      <c r="B913" s="73" t="s">
        <v>37</v>
      </c>
      <c r="C913" s="74" t="s">
        <v>38</v>
      </c>
      <c r="D913" s="75">
        <v>236.01</v>
      </c>
      <c r="E913" s="6" t="s">
        <v>39</v>
      </c>
      <c r="F913" s="76">
        <v>67.064746999999997</v>
      </c>
      <c r="G913" s="76" t="s">
        <v>40</v>
      </c>
      <c r="H913" s="76">
        <f t="shared" si="14"/>
        <v>-1.0427469999999914</v>
      </c>
      <c r="I913" s="77">
        <v>0.140395108181402</v>
      </c>
      <c r="J913" s="78">
        <v>8.7757312145729998</v>
      </c>
      <c r="K913" s="79">
        <v>-0.62022544125534296</v>
      </c>
    </row>
    <row r="914" spans="1:11" x14ac:dyDescent="0.35">
      <c r="A914" t="s">
        <v>1383</v>
      </c>
      <c r="B914" s="73" t="s">
        <v>37</v>
      </c>
      <c r="C914" s="74" t="s">
        <v>38</v>
      </c>
      <c r="D914" s="75">
        <v>236.04</v>
      </c>
      <c r="E914" s="6" t="s">
        <v>39</v>
      </c>
      <c r="F914" s="76">
        <v>67.066626999999997</v>
      </c>
      <c r="G914" s="76" t="s">
        <v>40</v>
      </c>
      <c r="H914" s="76">
        <f t="shared" si="14"/>
        <v>-1.0446269999999913</v>
      </c>
      <c r="I914" s="77">
        <v>-2.15670607510417E-2</v>
      </c>
      <c r="J914" s="78">
        <v>9.4914833874033206</v>
      </c>
      <c r="K914" s="79">
        <v>9.552673157497793E-2</v>
      </c>
    </row>
    <row r="915" spans="1:11" x14ac:dyDescent="0.35">
      <c r="A915" t="s">
        <v>1383</v>
      </c>
      <c r="B915" s="73" t="s">
        <v>37</v>
      </c>
      <c r="C915" s="74" t="s">
        <v>38</v>
      </c>
      <c r="D915" s="75">
        <v>236.07</v>
      </c>
      <c r="E915" s="6" t="s">
        <v>39</v>
      </c>
      <c r="F915" s="76">
        <v>67.068505999999999</v>
      </c>
      <c r="G915" s="76" t="s">
        <v>40</v>
      </c>
      <c r="H915" s="76">
        <f t="shared" si="14"/>
        <v>-1.0465059999999937</v>
      </c>
      <c r="I915" s="77">
        <v>0.12520240823827999</v>
      </c>
      <c r="J915" s="78">
        <v>8.8427126059401076</v>
      </c>
      <c r="K915" s="79">
        <v>-0.55324404988823517</v>
      </c>
    </row>
    <row r="916" spans="1:11" x14ac:dyDescent="0.35">
      <c r="B916" s="73"/>
      <c r="C916" s="74"/>
      <c r="D916" s="75"/>
      <c r="F916" s="76"/>
      <c r="G916" s="76"/>
      <c r="H916" s="76"/>
      <c r="I916" s="77"/>
      <c r="J916" s="78"/>
      <c r="K916" s="79"/>
    </row>
    <row r="917" spans="1:11" x14ac:dyDescent="0.35">
      <c r="B917" s="149" t="s">
        <v>848</v>
      </c>
      <c r="C917" s="6" t="s">
        <v>849</v>
      </c>
      <c r="D917" s="78">
        <v>233.57</v>
      </c>
      <c r="E917" s="78" t="s">
        <v>850</v>
      </c>
      <c r="F917" s="160">
        <v>63.130680999143401</v>
      </c>
      <c r="G917" s="76" t="s">
        <v>40</v>
      </c>
      <c r="H917" s="76">
        <f t="shared" ref="H917:H980" si="15">66.022-F917</f>
        <v>2.8913190008566048</v>
      </c>
      <c r="I917" s="78">
        <v>-1.0413084769065535</v>
      </c>
      <c r="J917" s="161">
        <v>14.085571893205838</v>
      </c>
      <c r="K917" s="79">
        <f t="shared" ref="K917:K980" si="16">J917-$J$1214</f>
        <v>2.8229119346570997</v>
      </c>
    </row>
    <row r="918" spans="1:11" x14ac:dyDescent="0.35">
      <c r="B918" s="149" t="s">
        <v>848</v>
      </c>
      <c r="C918" s="6" t="s">
        <v>849</v>
      </c>
      <c r="D918" s="78">
        <v>233.77</v>
      </c>
      <c r="E918" s="78" t="s">
        <v>850</v>
      </c>
      <c r="F918" s="160">
        <v>63.173404995716901</v>
      </c>
      <c r="G918" s="76" t="s">
        <v>40</v>
      </c>
      <c r="H918" s="76">
        <f t="shared" si="15"/>
        <v>2.848595004283105</v>
      </c>
      <c r="I918" s="78">
        <v>-1.07</v>
      </c>
      <c r="J918" s="161">
        <v>14.217061611176007</v>
      </c>
      <c r="K918" s="79">
        <f t="shared" si="16"/>
        <v>2.9544016526272685</v>
      </c>
    </row>
    <row r="919" spans="1:11" x14ac:dyDescent="0.35">
      <c r="B919" s="149" t="s">
        <v>848</v>
      </c>
      <c r="C919" s="6" t="s">
        <v>849</v>
      </c>
      <c r="D919" s="78">
        <v>233.97</v>
      </c>
      <c r="E919" s="78" t="s">
        <v>850</v>
      </c>
      <c r="F919" s="160">
        <v>63.2161289922905</v>
      </c>
      <c r="G919" s="76" t="s">
        <v>40</v>
      </c>
      <c r="H919" s="76">
        <f t="shared" si="15"/>
        <v>2.8058710077095057</v>
      </c>
      <c r="I919" s="78">
        <v>-1.1943016491754135</v>
      </c>
      <c r="J919" s="161">
        <v>14.78815790144705</v>
      </c>
      <c r="K919" s="79">
        <f t="shared" si="16"/>
        <v>3.525497942898312</v>
      </c>
    </row>
    <row r="920" spans="1:11" x14ac:dyDescent="0.35">
      <c r="B920" s="149" t="s">
        <v>848</v>
      </c>
      <c r="C920" s="6" t="s">
        <v>849</v>
      </c>
      <c r="D920" s="78">
        <v>234.17</v>
      </c>
      <c r="E920" s="78" t="s">
        <v>850</v>
      </c>
      <c r="F920" s="160">
        <v>63.258852988864</v>
      </c>
      <c r="G920" s="76" t="s">
        <v>40</v>
      </c>
      <c r="H920" s="76">
        <f t="shared" si="15"/>
        <v>2.7631470111360059</v>
      </c>
      <c r="I920" s="78">
        <v>-1.0937261019649478</v>
      </c>
      <c r="J920" s="161">
        <v>14.325889243473512</v>
      </c>
      <c r="K920" s="79">
        <f t="shared" si="16"/>
        <v>3.0632292849247733</v>
      </c>
    </row>
    <row r="921" spans="1:11" x14ac:dyDescent="0.35">
      <c r="B921" s="149" t="s">
        <v>848</v>
      </c>
      <c r="C921" s="6" t="s">
        <v>849</v>
      </c>
      <c r="D921" s="78">
        <v>234.32</v>
      </c>
      <c r="E921" s="78" t="s">
        <v>850</v>
      </c>
      <c r="F921" s="160">
        <v>63.290895986294103</v>
      </c>
      <c r="G921" s="76" t="s">
        <v>40</v>
      </c>
      <c r="H921" s="76">
        <f t="shared" si="15"/>
        <v>2.7311040137059024</v>
      </c>
      <c r="I921" s="78">
        <v>-1.4414225969198071</v>
      </c>
      <c r="J921" s="161">
        <v>15.930522159293162</v>
      </c>
      <c r="K921" s="79">
        <f t="shared" si="16"/>
        <v>4.6678622007444233</v>
      </c>
    </row>
    <row r="922" spans="1:11" x14ac:dyDescent="0.35">
      <c r="B922" s="149" t="s">
        <v>848</v>
      </c>
      <c r="C922" s="6" t="s">
        <v>849</v>
      </c>
      <c r="D922" s="78">
        <v>234.52</v>
      </c>
      <c r="E922" s="78" t="s">
        <v>850</v>
      </c>
      <c r="F922" s="160">
        <v>63.333619982867702</v>
      </c>
      <c r="G922" s="76" t="s">
        <v>40</v>
      </c>
      <c r="H922" s="76">
        <f t="shared" si="15"/>
        <v>2.6883800171323031</v>
      </c>
      <c r="I922" s="78">
        <v>-0.91794950805585551</v>
      </c>
      <c r="J922" s="161">
        <v>13.521643943141385</v>
      </c>
      <c r="K922" s="79">
        <f t="shared" si="16"/>
        <v>2.2589839845926463</v>
      </c>
    </row>
    <row r="923" spans="1:11" x14ac:dyDescent="0.35">
      <c r="B923" s="149" t="s">
        <v>848</v>
      </c>
      <c r="C923" s="6" t="s">
        <v>849</v>
      </c>
      <c r="D923" s="78">
        <v>234.72</v>
      </c>
      <c r="E923" s="78" t="s">
        <v>850</v>
      </c>
      <c r="F923" s="160">
        <v>63.376343979441202</v>
      </c>
      <c r="G923" s="76" t="s">
        <v>40</v>
      </c>
      <c r="H923" s="76">
        <f t="shared" si="15"/>
        <v>2.6456560205588033</v>
      </c>
      <c r="I923" s="78">
        <v>-1.74</v>
      </c>
      <c r="J923" s="161">
        <v>17.323286468304616</v>
      </c>
      <c r="K923" s="79">
        <f t="shared" si="16"/>
        <v>6.0606265097558776</v>
      </c>
    </row>
    <row r="924" spans="1:11" x14ac:dyDescent="0.35">
      <c r="B924" s="149" t="s">
        <v>848</v>
      </c>
      <c r="C924" s="6" t="s">
        <v>849</v>
      </c>
      <c r="D924" s="78">
        <v>234.92</v>
      </c>
      <c r="E924" s="78" t="s">
        <v>850</v>
      </c>
      <c r="F924" s="160">
        <v>63.419067976014702</v>
      </c>
      <c r="G924" s="76" t="s">
        <v>40</v>
      </c>
      <c r="H924" s="76">
        <f t="shared" si="15"/>
        <v>2.6029320239853035</v>
      </c>
      <c r="I924" s="78">
        <v>-1.8461161919040499</v>
      </c>
      <c r="J924" s="161">
        <v>17.821622372411639</v>
      </c>
      <c r="K924" s="79">
        <f t="shared" si="16"/>
        <v>6.5589624138629006</v>
      </c>
    </row>
    <row r="925" spans="1:11" x14ac:dyDescent="0.35">
      <c r="B925" s="149" t="s">
        <v>848</v>
      </c>
      <c r="C925" s="6" t="s">
        <v>849</v>
      </c>
      <c r="D925" s="78">
        <v>235.12</v>
      </c>
      <c r="E925" s="78" t="s">
        <v>850</v>
      </c>
      <c r="F925" s="160">
        <v>63.461791972588301</v>
      </c>
      <c r="G925" s="76" t="s">
        <v>40</v>
      </c>
      <c r="H925" s="76">
        <f t="shared" si="15"/>
        <v>2.5602080274117043</v>
      </c>
      <c r="I925" s="78">
        <v>-1.3748240773361995</v>
      </c>
      <c r="J925" s="161">
        <v>15.621738479868668</v>
      </c>
      <c r="K925" s="79">
        <f t="shared" si="16"/>
        <v>4.3590785213199297</v>
      </c>
    </row>
    <row r="926" spans="1:11" x14ac:dyDescent="0.35">
      <c r="B926" s="149" t="s">
        <v>848</v>
      </c>
      <c r="C926" s="6" t="s">
        <v>849</v>
      </c>
      <c r="D926" s="78">
        <v>235.32</v>
      </c>
      <c r="E926" s="78" t="s">
        <v>850</v>
      </c>
      <c r="F926" s="160">
        <v>63.504515969161801</v>
      </c>
      <c r="G926" s="76" t="s">
        <v>40</v>
      </c>
      <c r="H926" s="76">
        <f t="shared" si="15"/>
        <v>2.5174840308382045</v>
      </c>
      <c r="I926" s="78">
        <v>-1.7425001499250392</v>
      </c>
      <c r="J926" s="161">
        <v>17.335007264674573</v>
      </c>
      <c r="K926" s="79">
        <f t="shared" si="16"/>
        <v>6.0723473061258346</v>
      </c>
    </row>
    <row r="927" spans="1:11" x14ac:dyDescent="0.35">
      <c r="B927" s="149" t="s">
        <v>848</v>
      </c>
      <c r="C927" s="6" t="s">
        <v>849</v>
      </c>
      <c r="D927" s="78">
        <v>235.52</v>
      </c>
      <c r="E927" s="78" t="s">
        <v>850</v>
      </c>
      <c r="F927" s="160">
        <v>63.542773101960101</v>
      </c>
      <c r="G927" s="76" t="s">
        <v>40</v>
      </c>
      <c r="H927" s="76">
        <f t="shared" si="15"/>
        <v>2.4792268980399044</v>
      </c>
      <c r="I927" s="78">
        <v>-1.9844647046186914</v>
      </c>
      <c r="J927" s="161">
        <v>18.473979232248212</v>
      </c>
      <c r="K927" s="79">
        <f t="shared" si="16"/>
        <v>7.2113192736994733</v>
      </c>
    </row>
    <row r="928" spans="1:11" x14ac:dyDescent="0.35">
      <c r="B928" s="149" t="s">
        <v>848</v>
      </c>
      <c r="C928" s="6" t="s">
        <v>849</v>
      </c>
      <c r="D928" s="78">
        <v>235.7</v>
      </c>
      <c r="E928" s="78" t="s">
        <v>850</v>
      </c>
      <c r="F928" s="160">
        <v>63.571261915422802</v>
      </c>
      <c r="G928" s="76" t="s">
        <v>40</v>
      </c>
      <c r="H928" s="76">
        <f t="shared" si="15"/>
        <v>2.4507380845772033</v>
      </c>
      <c r="I928" s="78">
        <v>-1.8916675517790744</v>
      </c>
      <c r="J928" s="161">
        <v>18.036078901498001</v>
      </c>
      <c r="K928" s="79">
        <f t="shared" si="16"/>
        <v>6.7734189429492631</v>
      </c>
    </row>
    <row r="929" spans="2:11" x14ac:dyDescent="0.35">
      <c r="B929" s="149" t="s">
        <v>848</v>
      </c>
      <c r="C929" s="6" t="s">
        <v>849</v>
      </c>
      <c r="D929" s="78">
        <v>235.82</v>
      </c>
      <c r="E929" s="78" t="s">
        <v>850</v>
      </c>
      <c r="F929" s="160">
        <v>63.590254457731298</v>
      </c>
      <c r="G929" s="76" t="s">
        <v>40</v>
      </c>
      <c r="H929" s="76">
        <f t="shared" si="15"/>
        <v>2.4317455422687075</v>
      </c>
      <c r="I929" s="78">
        <v>-2.3869516728624518</v>
      </c>
      <c r="J929" s="161">
        <v>20.389097365779037</v>
      </c>
      <c r="K929" s="79">
        <f t="shared" si="16"/>
        <v>9.1264374072302985</v>
      </c>
    </row>
    <row r="930" spans="2:11" x14ac:dyDescent="0.35">
      <c r="B930" s="149" t="s">
        <v>848</v>
      </c>
      <c r="C930" s="6" t="s">
        <v>849</v>
      </c>
      <c r="D930" s="78">
        <v>236.02</v>
      </c>
      <c r="E930" s="78" t="s">
        <v>850</v>
      </c>
      <c r="F930" s="160">
        <v>63.6219086949122</v>
      </c>
      <c r="G930" s="76" t="s">
        <v>40</v>
      </c>
      <c r="H930" s="76">
        <f t="shared" si="15"/>
        <v>2.4000913050878054</v>
      </c>
      <c r="I930" s="78">
        <v>-2.55507833244822</v>
      </c>
      <c r="J930" s="161">
        <v>21.196779688934839</v>
      </c>
      <c r="K930" s="79">
        <f t="shared" si="16"/>
        <v>9.9341197303861009</v>
      </c>
    </row>
    <row r="931" spans="2:11" x14ac:dyDescent="0.35">
      <c r="B931" s="149" t="s">
        <v>848</v>
      </c>
      <c r="C931" s="6" t="s">
        <v>849</v>
      </c>
      <c r="D931" s="78">
        <v>236.22</v>
      </c>
      <c r="E931" s="78" t="s">
        <v>850</v>
      </c>
      <c r="F931" s="160">
        <v>63.653562932093003</v>
      </c>
      <c r="G931" s="76" t="s">
        <v>40</v>
      </c>
      <c r="H931" s="76">
        <f t="shared" si="15"/>
        <v>2.3684370679070028</v>
      </c>
      <c r="I931" s="78">
        <v>-1.6318487785448734</v>
      </c>
      <c r="J931" s="161">
        <v>16.817201330801993</v>
      </c>
      <c r="K931" s="79">
        <f t="shared" si="16"/>
        <v>5.5545413722532544</v>
      </c>
    </row>
    <row r="932" spans="2:11" x14ac:dyDescent="0.35">
      <c r="B932" s="149" t="s">
        <v>848</v>
      </c>
      <c r="C932" s="6" t="s">
        <v>849</v>
      </c>
      <c r="D932" s="78">
        <v>236.42</v>
      </c>
      <c r="E932" s="78" t="s">
        <v>850</v>
      </c>
      <c r="F932" s="160">
        <v>63.685217169273798</v>
      </c>
      <c r="G932" s="76" t="s">
        <v>40</v>
      </c>
      <c r="H932" s="76">
        <f t="shared" si="15"/>
        <v>2.3367828307262073</v>
      </c>
      <c r="I932" s="78">
        <v>-1.9734136713211616</v>
      </c>
      <c r="J932" s="161">
        <v>18.421759319284376</v>
      </c>
      <c r="K932" s="79">
        <f t="shared" si="16"/>
        <v>7.1590993607356381</v>
      </c>
    </row>
    <row r="933" spans="2:11" x14ac:dyDescent="0.35">
      <c r="B933" s="149" t="s">
        <v>848</v>
      </c>
      <c r="C933" s="6" t="s">
        <v>849</v>
      </c>
      <c r="D933" s="78">
        <v>236.62</v>
      </c>
      <c r="E933" s="78" t="s">
        <v>850</v>
      </c>
      <c r="F933" s="160">
        <v>63.7168714064547</v>
      </c>
      <c r="G933" s="76" t="s">
        <v>40</v>
      </c>
      <c r="H933" s="76">
        <f t="shared" si="15"/>
        <v>2.3051285935453052</v>
      </c>
      <c r="I933" s="78">
        <v>-1.6</v>
      </c>
      <c r="J933" s="161">
        <v>16.668513847342751</v>
      </c>
      <c r="K933" s="79">
        <f t="shared" si="16"/>
        <v>5.4058538887940131</v>
      </c>
    </row>
    <row r="934" spans="2:11" x14ac:dyDescent="0.35">
      <c r="B934" s="149" t="s">
        <v>848</v>
      </c>
      <c r="C934" s="6" t="s">
        <v>849</v>
      </c>
      <c r="D934" s="78">
        <v>237.21</v>
      </c>
      <c r="E934" s="78" t="s">
        <v>850</v>
      </c>
      <c r="F934" s="160">
        <v>63.815545372820502</v>
      </c>
      <c r="G934" s="76" t="s">
        <v>40</v>
      </c>
      <c r="H934" s="76">
        <f t="shared" si="15"/>
        <v>2.2064546271795038</v>
      </c>
      <c r="I934" s="78">
        <v>-1.94</v>
      </c>
      <c r="J934" s="161">
        <v>18.263985500661761</v>
      </c>
      <c r="K934" s="79">
        <f t="shared" si="16"/>
        <v>7.0013255421130225</v>
      </c>
    </row>
    <row r="935" spans="2:11" x14ac:dyDescent="0.35">
      <c r="B935" s="149" t="s">
        <v>848</v>
      </c>
      <c r="C935" s="6" t="s">
        <v>849</v>
      </c>
      <c r="D935" s="78">
        <v>237.32</v>
      </c>
      <c r="E935" s="78" t="s">
        <v>850</v>
      </c>
      <c r="F935" s="160">
        <v>63.8341482826836</v>
      </c>
      <c r="G935" s="76" t="s">
        <v>40</v>
      </c>
      <c r="H935" s="76">
        <f t="shared" si="15"/>
        <v>2.1878517173164056</v>
      </c>
      <c r="I935" s="78">
        <v>-2.3441131173659038</v>
      </c>
      <c r="J935" s="161">
        <v>20.184030237433149</v>
      </c>
      <c r="K935" s="79">
        <f t="shared" si="16"/>
        <v>8.9213702788844103</v>
      </c>
    </row>
    <row r="936" spans="2:11" x14ac:dyDescent="0.35">
      <c r="B936" s="149" t="s">
        <v>848</v>
      </c>
      <c r="C936" s="6" t="s">
        <v>849</v>
      </c>
      <c r="D936" s="78">
        <v>237.52</v>
      </c>
      <c r="E936" s="78" t="s">
        <v>850</v>
      </c>
      <c r="F936" s="160">
        <v>63.867971755162202</v>
      </c>
      <c r="G936" s="76" t="s">
        <v>40</v>
      </c>
      <c r="H936" s="76">
        <f t="shared" si="15"/>
        <v>2.1540282448378036</v>
      </c>
      <c r="I936" s="78">
        <v>-1.9639942910249586</v>
      </c>
      <c r="J936" s="161">
        <v>18.377264742542081</v>
      </c>
      <c r="K936" s="79">
        <f t="shared" si="16"/>
        <v>7.1146047839933431</v>
      </c>
    </row>
    <row r="937" spans="2:11" x14ac:dyDescent="0.35">
      <c r="B937" s="149" t="s">
        <v>848</v>
      </c>
      <c r="C937" s="6" t="s">
        <v>849</v>
      </c>
      <c r="D937" s="78">
        <v>237.72</v>
      </c>
      <c r="E937" s="78" t="s">
        <v>850</v>
      </c>
      <c r="F937" s="160">
        <v>63.901795227640697</v>
      </c>
      <c r="G937" s="76" t="s">
        <v>40</v>
      </c>
      <c r="H937" s="76">
        <f t="shared" si="15"/>
        <v>2.1202047723593083</v>
      </c>
      <c r="I937" s="78">
        <v>-1.7921999468932537</v>
      </c>
      <c r="J937" s="161">
        <v>17.568204322634074</v>
      </c>
      <c r="K937" s="79">
        <f t="shared" si="16"/>
        <v>6.3055443640853355</v>
      </c>
    </row>
    <row r="938" spans="2:11" x14ac:dyDescent="0.35">
      <c r="B938" s="149" t="s">
        <v>848</v>
      </c>
      <c r="C938" s="6" t="s">
        <v>849</v>
      </c>
      <c r="D938" s="78">
        <v>237.92</v>
      </c>
      <c r="E938" s="78" t="s">
        <v>850</v>
      </c>
      <c r="F938" s="160">
        <v>63.9356187001192</v>
      </c>
      <c r="G938" s="76" t="s">
        <v>40</v>
      </c>
      <c r="H938" s="76">
        <f t="shared" si="15"/>
        <v>2.0863812998808058</v>
      </c>
      <c r="I938" s="78">
        <v>-2.0474707912904924</v>
      </c>
      <c r="J938" s="161">
        <v>18.772073313847045</v>
      </c>
      <c r="K938" s="79">
        <f t="shared" si="16"/>
        <v>7.5094133552983067</v>
      </c>
    </row>
    <row r="939" spans="2:11" x14ac:dyDescent="0.35">
      <c r="B939" s="149" t="s">
        <v>848</v>
      </c>
      <c r="C939" s="6" t="s">
        <v>849</v>
      </c>
      <c r="D939" s="78">
        <v>238.12</v>
      </c>
      <c r="E939" s="78" t="s">
        <v>850</v>
      </c>
      <c r="F939" s="160">
        <v>63.970557475405101</v>
      </c>
      <c r="G939" s="76" t="s">
        <v>40</v>
      </c>
      <c r="H939" s="76">
        <f t="shared" si="15"/>
        <v>2.0514425245949042</v>
      </c>
      <c r="I939" s="78">
        <v>-2.3272417684545919</v>
      </c>
      <c r="J939" s="161">
        <v>20.103348532369807</v>
      </c>
      <c r="K939" s="79">
        <f t="shared" si="16"/>
        <v>8.840688573821069</v>
      </c>
    </row>
    <row r="940" spans="2:11" x14ac:dyDescent="0.35">
      <c r="B940" s="149" t="s">
        <v>848</v>
      </c>
      <c r="C940" s="6" t="s">
        <v>849</v>
      </c>
      <c r="D940" s="78">
        <v>238.32</v>
      </c>
      <c r="E940" s="78" t="s">
        <v>850</v>
      </c>
      <c r="F940" s="160">
        <v>64.005543737265199</v>
      </c>
      <c r="G940" s="76" t="s">
        <v>40</v>
      </c>
      <c r="H940" s="76">
        <f t="shared" si="15"/>
        <v>2.0164562627348062</v>
      </c>
      <c r="I940" s="78">
        <v>-2.0809200743494407</v>
      </c>
      <c r="J940" s="161">
        <v>18.930583839105907</v>
      </c>
      <c r="K940" s="79">
        <f t="shared" si="16"/>
        <v>7.6679238805571686</v>
      </c>
    </row>
    <row r="941" spans="2:11" x14ac:dyDescent="0.35">
      <c r="B941" s="149" t="s">
        <v>848</v>
      </c>
      <c r="C941" s="6" t="s">
        <v>849</v>
      </c>
      <c r="D941" s="78">
        <v>238.52</v>
      </c>
      <c r="E941" s="78" t="s">
        <v>850</v>
      </c>
      <c r="F941" s="160">
        <v>64.040529999125297</v>
      </c>
      <c r="G941" s="76" t="s">
        <v>40</v>
      </c>
      <c r="H941" s="76">
        <f t="shared" si="15"/>
        <v>1.9814700008747081</v>
      </c>
      <c r="I941" s="78">
        <v>-2.4040588455772127</v>
      </c>
      <c r="J941" s="161">
        <v>20.471071585199638</v>
      </c>
      <c r="K941" s="79">
        <f t="shared" si="16"/>
        <v>9.2084116266509</v>
      </c>
    </row>
    <row r="942" spans="2:11" x14ac:dyDescent="0.35">
      <c r="B942" s="149" t="s">
        <v>848</v>
      </c>
      <c r="C942" s="6" t="s">
        <v>849</v>
      </c>
      <c r="D942" s="78">
        <v>238.71</v>
      </c>
      <c r="E942" s="78" t="s">
        <v>850</v>
      </c>
      <c r="F942" s="160">
        <v>64.073766947892494</v>
      </c>
      <c r="G942" s="76" t="s">
        <v>40</v>
      </c>
      <c r="H942" s="76">
        <f t="shared" si="15"/>
        <v>1.9482330521075113</v>
      </c>
      <c r="I942" s="78">
        <v>-1.9302832738990352</v>
      </c>
      <c r="J942" s="161">
        <v>18.218137762156402</v>
      </c>
      <c r="K942" s="79">
        <f t="shared" si="16"/>
        <v>6.9554778036076641</v>
      </c>
    </row>
    <row r="943" spans="2:11" x14ac:dyDescent="0.35">
      <c r="B943" s="149" t="s">
        <v>848</v>
      </c>
      <c r="C943" s="6" t="s">
        <v>849</v>
      </c>
      <c r="D943" s="78">
        <v>238.82</v>
      </c>
      <c r="E943" s="78" t="s">
        <v>850</v>
      </c>
      <c r="F943" s="160">
        <v>64.093009391915501</v>
      </c>
      <c r="G943" s="76" t="s">
        <v>40</v>
      </c>
      <c r="H943" s="76">
        <f t="shared" si="15"/>
        <v>1.9289906080845043</v>
      </c>
      <c r="I943" s="78">
        <v>-1.9233940779610212</v>
      </c>
      <c r="J943" s="161">
        <v>18.185640549802827</v>
      </c>
      <c r="K943" s="79">
        <f t="shared" si="16"/>
        <v>6.9229805912540883</v>
      </c>
    </row>
    <row r="944" spans="2:11" x14ac:dyDescent="0.35">
      <c r="B944" s="149" t="s">
        <v>848</v>
      </c>
      <c r="C944" s="6" t="s">
        <v>849</v>
      </c>
      <c r="D944" s="78">
        <v>239.02</v>
      </c>
      <c r="E944" s="78" t="s">
        <v>850</v>
      </c>
      <c r="F944" s="160">
        <v>64.127995653775599</v>
      </c>
      <c r="G944" s="76" t="s">
        <v>40</v>
      </c>
      <c r="H944" s="76">
        <f t="shared" si="15"/>
        <v>1.8940043462244063</v>
      </c>
      <c r="I944" s="78">
        <v>-2.3435262878385541</v>
      </c>
      <c r="J944" s="161">
        <v>20.181223149118694</v>
      </c>
      <c r="K944" s="79">
        <f t="shared" si="16"/>
        <v>8.9185631905699552</v>
      </c>
    </row>
    <row r="945" spans="2:11" x14ac:dyDescent="0.35">
      <c r="B945" s="149" t="s">
        <v>848</v>
      </c>
      <c r="C945" s="6" t="s">
        <v>849</v>
      </c>
      <c r="D945" s="78">
        <v>239.22</v>
      </c>
      <c r="E945" s="78" t="s">
        <v>850</v>
      </c>
      <c r="F945" s="160">
        <v>64.167724216635605</v>
      </c>
      <c r="G945" s="76" t="s">
        <v>40</v>
      </c>
      <c r="H945" s="76">
        <f t="shared" si="15"/>
        <v>1.8542757833644004</v>
      </c>
      <c r="I945" s="78">
        <v>-2.5409944237918203</v>
      </c>
      <c r="J945" s="161">
        <v>21.128944668206032</v>
      </c>
      <c r="K945" s="79">
        <f t="shared" si="16"/>
        <v>9.8662847096572932</v>
      </c>
    </row>
    <row r="946" spans="2:11" x14ac:dyDescent="0.35">
      <c r="B946" s="149" t="s">
        <v>848</v>
      </c>
      <c r="C946" s="6" t="s">
        <v>849</v>
      </c>
      <c r="D946" s="78">
        <v>239.42</v>
      </c>
      <c r="E946" s="78" t="s">
        <v>850</v>
      </c>
      <c r="F946" s="160">
        <v>64.209929867306897</v>
      </c>
      <c r="G946" s="76" t="s">
        <v>40</v>
      </c>
      <c r="H946" s="76">
        <f t="shared" si="15"/>
        <v>1.8120701326931083</v>
      </c>
      <c r="I946" s="78">
        <v>-2.1453246149761003</v>
      </c>
      <c r="J946" s="161">
        <v>19.236286441746415</v>
      </c>
      <c r="K946" s="79">
        <f t="shared" si="16"/>
        <v>7.9736264831976769</v>
      </c>
    </row>
    <row r="947" spans="2:11" x14ac:dyDescent="0.35">
      <c r="B947" s="149" t="s">
        <v>848</v>
      </c>
      <c r="C947" s="6" t="s">
        <v>849</v>
      </c>
      <c r="D947" s="78">
        <v>239.82</v>
      </c>
      <c r="E947" s="78" t="s">
        <v>850</v>
      </c>
      <c r="F947" s="160">
        <v>64.294341168649495</v>
      </c>
      <c r="G947" s="76" t="s">
        <v>40</v>
      </c>
      <c r="H947" s="76">
        <f t="shared" si="15"/>
        <v>1.7276588313505101</v>
      </c>
      <c r="I947" s="78">
        <v>-2.1457647371216133</v>
      </c>
      <c r="J947" s="161">
        <v>19.238377795012923</v>
      </c>
      <c r="K947" s="79">
        <f t="shared" si="16"/>
        <v>7.9757178364641845</v>
      </c>
    </row>
    <row r="948" spans="2:11" x14ac:dyDescent="0.35">
      <c r="B948" s="149" t="s">
        <v>848</v>
      </c>
      <c r="C948" s="6" t="s">
        <v>849</v>
      </c>
      <c r="D948" s="78">
        <v>240.02</v>
      </c>
      <c r="E948" s="78" t="s">
        <v>850</v>
      </c>
      <c r="F948" s="160">
        <v>64.336546819320802</v>
      </c>
      <c r="G948" s="76" t="s">
        <v>40</v>
      </c>
      <c r="H948" s="76">
        <f t="shared" si="15"/>
        <v>1.6854531806792039</v>
      </c>
      <c r="I948" s="78">
        <v>-2.0430778860569725</v>
      </c>
      <c r="J948" s="161">
        <v>18.75126924956669</v>
      </c>
      <c r="K948" s="79">
        <f t="shared" si="16"/>
        <v>7.4886092910179514</v>
      </c>
    </row>
    <row r="949" spans="2:11" x14ac:dyDescent="0.35">
      <c r="B949" s="149" t="s">
        <v>848</v>
      </c>
      <c r="C949" s="6" t="s">
        <v>849</v>
      </c>
      <c r="D949" s="78">
        <v>240.21</v>
      </c>
      <c r="E949" s="78" t="s">
        <v>850</v>
      </c>
      <c r="F949" s="160">
        <v>64.383357236479398</v>
      </c>
      <c r="G949" s="76" t="s">
        <v>40</v>
      </c>
      <c r="H949" s="76">
        <f t="shared" si="15"/>
        <v>1.6386427635206076</v>
      </c>
      <c r="I949" s="78">
        <v>-1.825431166487649</v>
      </c>
      <c r="J949" s="161">
        <v>17.724344428143695</v>
      </c>
      <c r="K949" s="79">
        <f t="shared" si="16"/>
        <v>6.4616844695949567</v>
      </c>
    </row>
    <row r="950" spans="2:11" x14ac:dyDescent="0.35">
      <c r="B950" s="149" t="s">
        <v>848</v>
      </c>
      <c r="C950" s="6" t="s">
        <v>849</v>
      </c>
      <c r="D950" s="78">
        <v>240.32</v>
      </c>
      <c r="E950" s="78" t="s">
        <v>850</v>
      </c>
      <c r="F950" s="160">
        <v>64.411203727878203</v>
      </c>
      <c r="G950" s="76" t="s">
        <v>40</v>
      </c>
      <c r="H950" s="76">
        <f t="shared" si="15"/>
        <v>1.610796272121803</v>
      </c>
      <c r="I950" s="78">
        <v>-2.0935369091874652</v>
      </c>
      <c r="J950" s="161">
        <v>18.990418997663937</v>
      </c>
      <c r="K950" s="79">
        <f t="shared" si="16"/>
        <v>7.7277590391151989</v>
      </c>
    </row>
    <row r="951" spans="2:11" x14ac:dyDescent="0.35">
      <c r="B951" s="149" t="s">
        <v>848</v>
      </c>
      <c r="C951" s="6" t="s">
        <v>849</v>
      </c>
      <c r="D951" s="78">
        <v>240.52</v>
      </c>
      <c r="E951" s="78" t="s">
        <v>850</v>
      </c>
      <c r="F951" s="160">
        <v>64.461833712239596</v>
      </c>
      <c r="G951" s="76" t="s">
        <v>40</v>
      </c>
      <c r="H951" s="76">
        <f t="shared" si="15"/>
        <v>1.5601662877604099</v>
      </c>
      <c r="I951" s="78">
        <v>-1.8263827668613895</v>
      </c>
      <c r="J951" s="161">
        <v>17.728818161521872</v>
      </c>
      <c r="K951" s="79">
        <f t="shared" si="16"/>
        <v>6.4661582029731335</v>
      </c>
    </row>
    <row r="952" spans="2:11" x14ac:dyDescent="0.35">
      <c r="B952" s="149" t="s">
        <v>848</v>
      </c>
      <c r="C952" s="6" t="s">
        <v>849</v>
      </c>
      <c r="D952" s="78">
        <v>240.72</v>
      </c>
      <c r="E952" s="78" t="s">
        <v>850</v>
      </c>
      <c r="F952" s="160">
        <v>64.512463696600904</v>
      </c>
      <c r="G952" s="76" t="s">
        <v>40</v>
      </c>
      <c r="H952" s="76">
        <f t="shared" si="15"/>
        <v>1.5095363033991021</v>
      </c>
      <c r="I952" s="78">
        <v>-2.1266927774827389</v>
      </c>
      <c r="J952" s="161">
        <v>19.147780764977597</v>
      </c>
      <c r="K952" s="79">
        <f t="shared" si="16"/>
        <v>7.8851208064288585</v>
      </c>
    </row>
    <row r="953" spans="2:11" x14ac:dyDescent="0.35">
      <c r="B953" s="149" t="s">
        <v>848</v>
      </c>
      <c r="C953" s="6" t="s">
        <v>849</v>
      </c>
      <c r="D953" s="78">
        <v>240.86</v>
      </c>
      <c r="E953" s="78" t="s">
        <v>850</v>
      </c>
      <c r="F953" s="160">
        <v>64.547562169612505</v>
      </c>
      <c r="G953" s="76" t="s">
        <v>40</v>
      </c>
      <c r="H953" s="76">
        <f t="shared" si="15"/>
        <v>1.474437830387501</v>
      </c>
      <c r="I953" s="78">
        <v>-2.0141682156133811</v>
      </c>
      <c r="J953" s="161">
        <v>18.614434102637972</v>
      </c>
      <c r="K953" s="79">
        <f t="shared" si="16"/>
        <v>7.3517741440892337</v>
      </c>
    </row>
    <row r="954" spans="2:11" x14ac:dyDescent="0.35">
      <c r="B954" s="149" t="s">
        <v>848</v>
      </c>
      <c r="C954" s="6" t="s">
        <v>849</v>
      </c>
      <c r="D954" s="78">
        <v>241.02</v>
      </c>
      <c r="E954" s="78" t="s">
        <v>850</v>
      </c>
      <c r="F954" s="160">
        <v>64.584513178273895</v>
      </c>
      <c r="G954" s="76" t="s">
        <v>40</v>
      </c>
      <c r="H954" s="76">
        <f t="shared" si="15"/>
        <v>1.437486821726111</v>
      </c>
      <c r="I954" s="78">
        <v>-1.9340659851301101</v>
      </c>
      <c r="J954" s="161">
        <v>18.235984470383357</v>
      </c>
      <c r="K954" s="79">
        <f t="shared" si="16"/>
        <v>6.973324511834619</v>
      </c>
    </row>
    <row r="955" spans="2:11" x14ac:dyDescent="0.35">
      <c r="B955" s="149" t="s">
        <v>848</v>
      </c>
      <c r="C955" s="6" t="s">
        <v>849</v>
      </c>
      <c r="D955" s="78">
        <v>241.22</v>
      </c>
      <c r="E955" s="78" t="s">
        <v>850</v>
      </c>
      <c r="F955" s="160">
        <v>64.630701939100703</v>
      </c>
      <c r="G955" s="76" t="s">
        <v>40</v>
      </c>
      <c r="H955" s="76">
        <f t="shared" si="15"/>
        <v>1.3912980608993024</v>
      </c>
      <c r="I955" s="78">
        <v>-1.6526019334049424</v>
      </c>
      <c r="J955" s="161">
        <v>16.914173065225953</v>
      </c>
      <c r="K955" s="79">
        <f t="shared" si="16"/>
        <v>5.6515131066772142</v>
      </c>
    </row>
    <row r="956" spans="2:11" x14ac:dyDescent="0.35">
      <c r="B956" s="149" t="s">
        <v>848</v>
      </c>
      <c r="C956" s="6" t="s">
        <v>849</v>
      </c>
      <c r="D956" s="78">
        <v>241.58</v>
      </c>
      <c r="E956" s="78" t="s">
        <v>850</v>
      </c>
      <c r="F956" s="160">
        <v>64.713841708588902</v>
      </c>
      <c r="G956" s="76" t="s">
        <v>40</v>
      </c>
      <c r="H956" s="76">
        <f t="shared" si="15"/>
        <v>1.3081582914111038</v>
      </c>
      <c r="I956" s="78">
        <v>-1.536166707780918</v>
      </c>
      <c r="J956" s="161">
        <v>16.37097805019954</v>
      </c>
      <c r="K956" s="79">
        <f t="shared" si="16"/>
        <v>5.1083180916508013</v>
      </c>
    </row>
    <row r="957" spans="2:11" x14ac:dyDescent="0.35">
      <c r="B957" s="149" t="s">
        <v>848</v>
      </c>
      <c r="C957" s="6" t="s">
        <v>849</v>
      </c>
      <c r="D957" s="78">
        <v>241.58</v>
      </c>
      <c r="E957" s="78" t="s">
        <v>850</v>
      </c>
      <c r="F957" s="160">
        <v>64.713841708588902</v>
      </c>
      <c r="G957" s="76" t="s">
        <v>40</v>
      </c>
      <c r="H957" s="76">
        <f t="shared" si="15"/>
        <v>1.3081582914111038</v>
      </c>
      <c r="I957" s="78">
        <v>-1.4229522295017922</v>
      </c>
      <c r="J957" s="161">
        <v>15.84481617872882</v>
      </c>
      <c r="K957" s="79">
        <f t="shared" si="16"/>
        <v>4.5821562201800816</v>
      </c>
    </row>
    <row r="958" spans="2:11" x14ac:dyDescent="0.35">
      <c r="B958" s="149" t="s">
        <v>848</v>
      </c>
      <c r="C958" s="6" t="s">
        <v>849</v>
      </c>
      <c r="D958" s="78">
        <v>241.58</v>
      </c>
      <c r="E958" s="78" t="s">
        <v>850</v>
      </c>
      <c r="F958" s="160">
        <v>64.713841708588902</v>
      </c>
      <c r="G958" s="76" t="s">
        <v>40</v>
      </c>
      <c r="H958" s="76">
        <f t="shared" si="15"/>
        <v>1.3081582914111038</v>
      </c>
      <c r="I958" s="78">
        <v>-1.4910039802426667</v>
      </c>
      <c r="J958" s="161">
        <v>16.160848547824742</v>
      </c>
      <c r="K958" s="79">
        <f t="shared" si="16"/>
        <v>4.8981885892760033</v>
      </c>
    </row>
    <row r="959" spans="2:11" x14ac:dyDescent="0.35">
      <c r="B959" s="149" t="s">
        <v>848</v>
      </c>
      <c r="C959" s="6" t="s">
        <v>849</v>
      </c>
      <c r="D959" s="78">
        <v>241.58</v>
      </c>
      <c r="E959" s="78" t="s">
        <v>850</v>
      </c>
      <c r="F959" s="160">
        <v>64.713841708588902</v>
      </c>
      <c r="G959" s="76" t="s">
        <v>40</v>
      </c>
      <c r="H959" s="76">
        <f t="shared" si="15"/>
        <v>1.3081582914111038</v>
      </c>
      <c r="I959" s="78">
        <v>-1.5177329414389149</v>
      </c>
      <c r="J959" s="161">
        <v>16.285172901547526</v>
      </c>
      <c r="K959" s="79">
        <f t="shared" si="16"/>
        <v>5.0225129429987874</v>
      </c>
    </row>
    <row r="960" spans="2:11" x14ac:dyDescent="0.35">
      <c r="B960" s="149" t="s">
        <v>848</v>
      </c>
      <c r="C960" s="6" t="s">
        <v>849</v>
      </c>
      <c r="D960" s="78">
        <v>241.68</v>
      </c>
      <c r="E960" s="78" t="s">
        <v>850</v>
      </c>
      <c r="F960" s="160">
        <v>64.736936089002299</v>
      </c>
      <c r="G960" s="76" t="s">
        <v>40</v>
      </c>
      <c r="H960" s="76">
        <f t="shared" si="15"/>
        <v>1.2850639109977067</v>
      </c>
      <c r="I960" s="78">
        <v>-1.9120215015144773</v>
      </c>
      <c r="J960" s="161">
        <v>18.132011010128963</v>
      </c>
      <c r="K960" s="79">
        <f t="shared" si="16"/>
        <v>6.8693510515802245</v>
      </c>
    </row>
    <row r="961" spans="2:11" x14ac:dyDescent="0.35">
      <c r="B961" s="149" t="s">
        <v>848</v>
      </c>
      <c r="C961" s="6" t="s">
        <v>849</v>
      </c>
      <c r="D961" s="78">
        <v>241.73</v>
      </c>
      <c r="E961" s="78" t="s">
        <v>850</v>
      </c>
      <c r="F961" s="160">
        <v>64.748069764798799</v>
      </c>
      <c r="G961" s="76" t="s">
        <v>40</v>
      </c>
      <c r="H961" s="76">
        <f t="shared" si="15"/>
        <v>1.2739302352012061</v>
      </c>
      <c r="I961" s="78">
        <v>-1.5</v>
      </c>
      <c r="J961" s="161">
        <v>16.202679415754062</v>
      </c>
      <c r="K961" s="79">
        <f t="shared" si="16"/>
        <v>4.9400194572053238</v>
      </c>
    </row>
    <row r="962" spans="2:11" x14ac:dyDescent="0.35">
      <c r="B962" s="149" t="s">
        <v>848</v>
      </c>
      <c r="C962" s="6" t="s">
        <v>849</v>
      </c>
      <c r="D962" s="78">
        <v>241.88</v>
      </c>
      <c r="E962" s="78" t="s">
        <v>850</v>
      </c>
      <c r="F962" s="160">
        <v>64.778598892004297</v>
      </c>
      <c r="G962" s="76" t="s">
        <v>40</v>
      </c>
      <c r="H962" s="76">
        <f t="shared" si="15"/>
        <v>1.2434011079957088</v>
      </c>
      <c r="I962" s="78">
        <v>-2.1101844896921769</v>
      </c>
      <c r="J962" s="161">
        <v>19.069408593097421</v>
      </c>
      <c r="K962" s="79">
        <f t="shared" si="16"/>
        <v>7.8067486345486827</v>
      </c>
    </row>
    <row r="963" spans="2:11" x14ac:dyDescent="0.35">
      <c r="B963" s="149" t="s">
        <v>848</v>
      </c>
      <c r="C963" s="6" t="s">
        <v>849</v>
      </c>
      <c r="D963" s="78">
        <v>241.98</v>
      </c>
      <c r="E963" s="78" t="s">
        <v>850</v>
      </c>
      <c r="F963" s="160">
        <v>64.798951643474595</v>
      </c>
      <c r="G963" s="76" t="s">
        <v>40</v>
      </c>
      <c r="H963" s="76">
        <f t="shared" si="15"/>
        <v>1.2230483565254104</v>
      </c>
      <c r="I963" s="78">
        <v>-1.8010308241702582</v>
      </c>
      <c r="J963" s="161">
        <v>17.609680191676432</v>
      </c>
      <c r="K963" s="79">
        <f t="shared" si="16"/>
        <v>6.3470202331276937</v>
      </c>
    </row>
    <row r="964" spans="2:11" x14ac:dyDescent="0.35">
      <c r="B964" s="149" t="s">
        <v>848</v>
      </c>
      <c r="C964" s="6" t="s">
        <v>849</v>
      </c>
      <c r="D964" s="78">
        <v>241.98</v>
      </c>
      <c r="E964" s="78" t="s">
        <v>850</v>
      </c>
      <c r="F964" s="160">
        <v>64.798951643474595</v>
      </c>
      <c r="G964" s="76" t="s">
        <v>40</v>
      </c>
      <c r="H964" s="76">
        <f t="shared" si="15"/>
        <v>1.2230483565254104</v>
      </c>
      <c r="I964" s="78">
        <v>-1.6</v>
      </c>
      <c r="J964" s="161">
        <v>16.668513847342751</v>
      </c>
      <c r="K964" s="79">
        <f t="shared" si="16"/>
        <v>5.4058538887940131</v>
      </c>
    </row>
    <row r="965" spans="2:11" x14ac:dyDescent="0.35">
      <c r="B965" s="149" t="s">
        <v>848</v>
      </c>
      <c r="C965" s="6" t="s">
        <v>849</v>
      </c>
      <c r="D965" s="78">
        <v>242.08</v>
      </c>
      <c r="E965" s="78" t="s">
        <v>850</v>
      </c>
      <c r="F965" s="160">
        <v>64.819304394944993</v>
      </c>
      <c r="G965" s="76" t="s">
        <v>40</v>
      </c>
      <c r="H965" s="76">
        <f t="shared" si="15"/>
        <v>1.2026956050550126</v>
      </c>
      <c r="I965" s="78">
        <v>-1.0451978942320537</v>
      </c>
      <c r="J965" s="161">
        <v>14.103389341941465</v>
      </c>
      <c r="K965" s="79">
        <f t="shared" si="16"/>
        <v>2.840729383392727</v>
      </c>
    </row>
    <row r="966" spans="2:11" x14ac:dyDescent="0.35">
      <c r="B966" s="149" t="s">
        <v>848</v>
      </c>
      <c r="C966" s="6" t="s">
        <v>849</v>
      </c>
      <c r="D966" s="78">
        <v>242.08</v>
      </c>
      <c r="E966" s="78" t="s">
        <v>850</v>
      </c>
      <c r="F966" s="160">
        <v>64.819304394944993</v>
      </c>
      <c r="G966" s="76" t="s">
        <v>40</v>
      </c>
      <c r="H966" s="76">
        <f t="shared" si="15"/>
        <v>1.2026956050550126</v>
      </c>
      <c r="I966" s="78">
        <v>-1.8</v>
      </c>
      <c r="J966" s="161">
        <v>17.60483810390366</v>
      </c>
      <c r="K966" s="79">
        <f t="shared" si="16"/>
        <v>6.3421781453549215</v>
      </c>
    </row>
    <row r="967" spans="2:11" x14ac:dyDescent="0.35">
      <c r="B967" s="149" t="s">
        <v>848</v>
      </c>
      <c r="C967" s="6" t="s">
        <v>849</v>
      </c>
      <c r="D967" s="78">
        <v>242.18</v>
      </c>
      <c r="E967" s="78" t="s">
        <v>850</v>
      </c>
      <c r="F967" s="160">
        <v>64.839657146415306</v>
      </c>
      <c r="G967" s="76" t="s">
        <v>40</v>
      </c>
      <c r="H967" s="76">
        <f t="shared" si="15"/>
        <v>1.1823428535847</v>
      </c>
      <c r="I967" s="78">
        <v>-1.5</v>
      </c>
      <c r="J967" s="161">
        <v>16.202679415754062</v>
      </c>
      <c r="K967" s="79">
        <f t="shared" si="16"/>
        <v>4.9400194572053238</v>
      </c>
    </row>
    <row r="968" spans="2:11" x14ac:dyDescent="0.35">
      <c r="B968" s="149" t="s">
        <v>848</v>
      </c>
      <c r="C968" s="6" t="s">
        <v>849</v>
      </c>
      <c r="D968" s="78">
        <v>242.23</v>
      </c>
      <c r="E968" s="78" t="s">
        <v>850</v>
      </c>
      <c r="F968" s="160">
        <v>64.849833522150405</v>
      </c>
      <c r="G968" s="76" t="s">
        <v>40</v>
      </c>
      <c r="H968" s="76">
        <f t="shared" si="15"/>
        <v>1.1721664778496006</v>
      </c>
      <c r="I968" s="78">
        <v>-2.7</v>
      </c>
      <c r="J968" s="161">
        <v>21.896670402246343</v>
      </c>
      <c r="K968" s="79">
        <f t="shared" si="16"/>
        <v>10.634010443697605</v>
      </c>
    </row>
    <row r="969" spans="2:11" x14ac:dyDescent="0.35">
      <c r="B969" s="149" t="s">
        <v>848</v>
      </c>
      <c r="C969" s="6" t="s">
        <v>849</v>
      </c>
      <c r="D969" s="78">
        <v>242.28</v>
      </c>
      <c r="E969" s="78" t="s">
        <v>850</v>
      </c>
      <c r="F969" s="160">
        <v>64.860009897885604</v>
      </c>
      <c r="G969" s="76" t="s">
        <v>40</v>
      </c>
      <c r="H969" s="76">
        <f t="shared" si="15"/>
        <v>1.1619901021144017</v>
      </c>
      <c r="I969" s="78">
        <v>-2.1</v>
      </c>
      <c r="J969" s="161">
        <v>19.02107990312453</v>
      </c>
      <c r="K969" s="79">
        <f t="shared" si="16"/>
        <v>7.7584199445757918</v>
      </c>
    </row>
    <row r="970" spans="2:11" x14ac:dyDescent="0.35">
      <c r="B970" s="149" t="s">
        <v>848</v>
      </c>
      <c r="C970" s="6" t="s">
        <v>849</v>
      </c>
      <c r="D970" s="78">
        <v>242.38</v>
      </c>
      <c r="E970" s="78" t="s">
        <v>850</v>
      </c>
      <c r="F970" s="160">
        <v>64.880362649355902</v>
      </c>
      <c r="G970" s="76" t="s">
        <v>40</v>
      </c>
      <c r="H970" s="76">
        <f t="shared" si="15"/>
        <v>1.1416373506441033</v>
      </c>
      <c r="I970" s="78">
        <v>-1.1215524948175357</v>
      </c>
      <c r="J970" s="161">
        <v>14.453632589297683</v>
      </c>
      <c r="K970" s="79">
        <f t="shared" si="16"/>
        <v>3.190972630748945</v>
      </c>
    </row>
    <row r="971" spans="2:11" x14ac:dyDescent="0.35">
      <c r="B971" s="149" t="s">
        <v>848</v>
      </c>
      <c r="C971" s="6" t="s">
        <v>849</v>
      </c>
      <c r="D971" s="78">
        <v>242.38</v>
      </c>
      <c r="E971" s="78" t="s">
        <v>850</v>
      </c>
      <c r="F971" s="160">
        <v>64.880362649355902</v>
      </c>
      <c r="G971" s="76" t="s">
        <v>40</v>
      </c>
      <c r="H971" s="76">
        <f t="shared" si="15"/>
        <v>1.1416373506441033</v>
      </c>
      <c r="I971" s="78">
        <v>-1.5</v>
      </c>
      <c r="J971" s="161">
        <v>16.202679415754062</v>
      </c>
      <c r="K971" s="79">
        <f t="shared" si="16"/>
        <v>4.9400194572053238</v>
      </c>
    </row>
    <row r="972" spans="2:11" x14ac:dyDescent="0.35">
      <c r="B972" s="149" t="s">
        <v>848</v>
      </c>
      <c r="C972" s="6" t="s">
        <v>849</v>
      </c>
      <c r="D972" s="78">
        <v>242.53</v>
      </c>
      <c r="E972" s="78" t="s">
        <v>850</v>
      </c>
      <c r="F972" s="160">
        <v>64.910891776561499</v>
      </c>
      <c r="G972" s="76" t="s">
        <v>40</v>
      </c>
      <c r="H972" s="76">
        <f t="shared" si="15"/>
        <v>1.1111082234385066</v>
      </c>
      <c r="I972" s="78">
        <v>-1.4</v>
      </c>
      <c r="J972" s="161">
        <v>15.738386508518033</v>
      </c>
      <c r="K972" s="79">
        <f t="shared" si="16"/>
        <v>4.4757265499692949</v>
      </c>
    </row>
    <row r="973" spans="2:11" x14ac:dyDescent="0.35">
      <c r="B973" s="149" t="s">
        <v>848</v>
      </c>
      <c r="C973" s="6" t="s">
        <v>849</v>
      </c>
      <c r="D973" s="78">
        <v>242.58</v>
      </c>
      <c r="E973" s="78" t="s">
        <v>850</v>
      </c>
      <c r="F973" s="160">
        <v>64.921068152296598</v>
      </c>
      <c r="G973" s="76" t="s">
        <v>40</v>
      </c>
      <c r="H973" s="76">
        <f t="shared" si="15"/>
        <v>1.1009318477034071</v>
      </c>
      <c r="I973" s="78">
        <v>-0.9</v>
      </c>
      <c r="J973" s="161">
        <v>13.439779144005229</v>
      </c>
      <c r="K973" s="79">
        <f t="shared" si="16"/>
        <v>2.1771191854564904</v>
      </c>
    </row>
    <row r="974" spans="2:11" x14ac:dyDescent="0.35">
      <c r="B974" s="149" t="s">
        <v>848</v>
      </c>
      <c r="C974" s="6" t="s">
        <v>849</v>
      </c>
      <c r="D974" s="78">
        <v>242.68</v>
      </c>
      <c r="E974" s="78" t="s">
        <v>850</v>
      </c>
      <c r="F974" s="160">
        <v>64.941420903766996</v>
      </c>
      <c r="G974" s="76" t="s">
        <v>40</v>
      </c>
      <c r="H974" s="76">
        <f t="shared" si="15"/>
        <v>1.0805790962330093</v>
      </c>
      <c r="I974" s="78">
        <v>-2.1100389599579366</v>
      </c>
      <c r="J974" s="161">
        <v>19.06871789147533</v>
      </c>
      <c r="K974" s="79">
        <f t="shared" si="16"/>
        <v>7.806057932926592</v>
      </c>
    </row>
    <row r="975" spans="2:11" x14ac:dyDescent="0.35">
      <c r="B975" s="149" t="s">
        <v>848</v>
      </c>
      <c r="C975" s="6" t="s">
        <v>849</v>
      </c>
      <c r="D975" s="78">
        <v>242.68</v>
      </c>
      <c r="E975" s="78" t="s">
        <v>850</v>
      </c>
      <c r="F975" s="160">
        <v>64.941420903766996</v>
      </c>
      <c r="G975" s="76" t="s">
        <v>40</v>
      </c>
      <c r="H975" s="76">
        <f t="shared" si="15"/>
        <v>1.0805790962330093</v>
      </c>
      <c r="I975" s="78">
        <v>-1.8251402501492606</v>
      </c>
      <c r="J975" s="161">
        <v>17.722976779261614</v>
      </c>
      <c r="K975" s="79">
        <f t="shared" si="16"/>
        <v>6.4603168207128761</v>
      </c>
    </row>
    <row r="976" spans="2:11" x14ac:dyDescent="0.35">
      <c r="B976" s="149" t="s">
        <v>848</v>
      </c>
      <c r="C976" s="6" t="s">
        <v>849</v>
      </c>
      <c r="D976" s="78">
        <v>242.68</v>
      </c>
      <c r="E976" s="78" t="s">
        <v>850</v>
      </c>
      <c r="F976" s="160">
        <v>64.941420903766996</v>
      </c>
      <c r="G976" s="76" t="s">
        <v>40</v>
      </c>
      <c r="H976" s="76">
        <f t="shared" si="15"/>
        <v>1.0805790962330093</v>
      </c>
      <c r="I976" s="78">
        <v>-2.9</v>
      </c>
      <c r="J976" s="161">
        <v>22.868211437677644</v>
      </c>
      <c r="K976" s="79">
        <f t="shared" si="16"/>
        <v>11.605551479128906</v>
      </c>
    </row>
    <row r="977" spans="2:11" x14ac:dyDescent="0.35">
      <c r="B977" s="149" t="s">
        <v>848</v>
      </c>
      <c r="C977" s="6" t="s">
        <v>849</v>
      </c>
      <c r="D977" s="78">
        <v>242.73</v>
      </c>
      <c r="E977" s="78" t="s">
        <v>850</v>
      </c>
      <c r="F977" s="160">
        <v>64.951482126726901</v>
      </c>
      <c r="G977" s="76" t="s">
        <v>40</v>
      </c>
      <c r="H977" s="76">
        <f t="shared" si="15"/>
        <v>1.0705178732731042</v>
      </c>
      <c r="I977" s="78">
        <v>-1.9</v>
      </c>
      <c r="J977" s="161">
        <v>18.075343467626283</v>
      </c>
      <c r="K977" s="79">
        <f t="shared" si="16"/>
        <v>6.8126835090775444</v>
      </c>
    </row>
    <row r="978" spans="2:11" x14ac:dyDescent="0.35">
      <c r="B978" s="149" t="s">
        <v>848</v>
      </c>
      <c r="C978" s="6" t="s">
        <v>849</v>
      </c>
      <c r="D978" s="78">
        <v>242.78</v>
      </c>
      <c r="E978" s="78" t="s">
        <v>850</v>
      </c>
      <c r="F978" s="160">
        <v>64.961403604340902</v>
      </c>
      <c r="G978" s="76" t="s">
        <v>40</v>
      </c>
      <c r="H978" s="76">
        <f t="shared" si="15"/>
        <v>1.060596395659104</v>
      </c>
      <c r="I978" s="78">
        <v>-1.2683919967060646</v>
      </c>
      <c r="J978" s="161">
        <v>15.129676413650543</v>
      </c>
      <c r="K978" s="79">
        <f t="shared" si="16"/>
        <v>3.8670164551018047</v>
      </c>
    </row>
    <row r="979" spans="2:11" x14ac:dyDescent="0.35">
      <c r="B979" s="149" t="s">
        <v>848</v>
      </c>
      <c r="C979" s="6" t="s">
        <v>849</v>
      </c>
      <c r="D979" s="78">
        <v>242.78</v>
      </c>
      <c r="E979" s="78" t="s">
        <v>850</v>
      </c>
      <c r="F979" s="160">
        <v>64.961403604340902</v>
      </c>
      <c r="G979" s="76" t="s">
        <v>40</v>
      </c>
      <c r="H979" s="76">
        <f t="shared" si="15"/>
        <v>1.060596395659104</v>
      </c>
      <c r="I979" s="78">
        <v>-1.4</v>
      </c>
      <c r="J979" s="161">
        <v>15.738386508518033</v>
      </c>
      <c r="K979" s="79">
        <f t="shared" si="16"/>
        <v>4.4757265499692949</v>
      </c>
    </row>
    <row r="980" spans="2:11" x14ac:dyDescent="0.35">
      <c r="B980" s="149" t="s">
        <v>848</v>
      </c>
      <c r="C980" s="6" t="s">
        <v>849</v>
      </c>
      <c r="D980" s="78">
        <v>242.78</v>
      </c>
      <c r="E980" s="78" t="s">
        <v>850</v>
      </c>
      <c r="F980" s="160">
        <v>64.961403604340902</v>
      </c>
      <c r="G980" s="76" t="s">
        <v>40</v>
      </c>
      <c r="H980" s="76">
        <f t="shared" si="15"/>
        <v>1.060596395659104</v>
      </c>
      <c r="I980" s="78">
        <v>-0.87202377624029581</v>
      </c>
      <c r="J980" s="161">
        <v>13.312280234816058</v>
      </c>
      <c r="K980" s="79">
        <f t="shared" si="16"/>
        <v>2.0496202762673192</v>
      </c>
    </row>
    <row r="981" spans="2:11" x14ac:dyDescent="0.35">
      <c r="B981" s="149" t="s">
        <v>848</v>
      </c>
      <c r="C981" s="6" t="s">
        <v>849</v>
      </c>
      <c r="D981" s="78">
        <v>242.83</v>
      </c>
      <c r="E981" s="78" t="s">
        <v>850</v>
      </c>
      <c r="F981" s="160">
        <v>64.971325081954802</v>
      </c>
      <c r="G981" s="76" t="s">
        <v>40</v>
      </c>
      <c r="H981" s="76">
        <f t="shared" ref="H981:H1044" si="17">66.022-F981</f>
        <v>1.0506749180452033</v>
      </c>
      <c r="I981" s="78">
        <v>-1.1000000000000001</v>
      </c>
      <c r="J981" s="161">
        <v>14.354680770424238</v>
      </c>
      <c r="K981" s="79">
        <f t="shared" ref="K981:K1044" si="18">J981-$J$1214</f>
        <v>3.0920208118754999</v>
      </c>
    </row>
    <row r="982" spans="2:11" x14ac:dyDescent="0.35">
      <c r="B982" s="149" t="s">
        <v>848</v>
      </c>
      <c r="C982" s="6" t="s">
        <v>849</v>
      </c>
      <c r="D982" s="78">
        <v>242.88</v>
      </c>
      <c r="E982" s="78" t="s">
        <v>850</v>
      </c>
      <c r="F982" s="160">
        <v>64.981246559568802</v>
      </c>
      <c r="G982" s="76" t="s">
        <v>40</v>
      </c>
      <c r="H982" s="76">
        <f t="shared" si="17"/>
        <v>1.0407534404312031</v>
      </c>
      <c r="I982" s="78">
        <v>-0.68937769391782666</v>
      </c>
      <c r="J982" s="161">
        <v>12.48275562209102</v>
      </c>
      <c r="K982" s="79">
        <f t="shared" si="18"/>
        <v>1.2200956635422813</v>
      </c>
    </row>
    <row r="983" spans="2:11" x14ac:dyDescent="0.35">
      <c r="B983" s="149" t="s">
        <v>848</v>
      </c>
      <c r="C983" s="6" t="s">
        <v>849</v>
      </c>
      <c r="D983" s="78">
        <v>242.88</v>
      </c>
      <c r="E983" s="78" t="s">
        <v>850</v>
      </c>
      <c r="F983" s="160">
        <v>64.981246559568802</v>
      </c>
      <c r="G983" s="76" t="s">
        <v>40</v>
      </c>
      <c r="H983" s="76">
        <f t="shared" si="17"/>
        <v>1.0407534404312031</v>
      </c>
      <c r="I983" s="78">
        <v>-1.5</v>
      </c>
      <c r="J983" s="161">
        <v>16.202679415754062</v>
      </c>
      <c r="K983" s="79">
        <f t="shared" si="18"/>
        <v>4.9400194572053238</v>
      </c>
    </row>
    <row r="984" spans="2:11" x14ac:dyDescent="0.35">
      <c r="B984" s="149" t="s">
        <v>848</v>
      </c>
      <c r="C984" s="6" t="s">
        <v>849</v>
      </c>
      <c r="D984" s="78">
        <v>242.93</v>
      </c>
      <c r="E984" s="78" t="s">
        <v>850</v>
      </c>
      <c r="F984" s="160">
        <v>64.991168037182803</v>
      </c>
      <c r="G984" s="76" t="s">
        <v>40</v>
      </c>
      <c r="H984" s="76">
        <f t="shared" si="17"/>
        <v>1.0308319628172029</v>
      </c>
      <c r="I984" s="78">
        <v>-0.7</v>
      </c>
      <c r="J984" s="161">
        <v>12.530863261646914</v>
      </c>
      <c r="K984" s="79">
        <f t="shared" si="18"/>
        <v>1.2682033030981756</v>
      </c>
    </row>
    <row r="985" spans="2:11" x14ac:dyDescent="0.35">
      <c r="B985" s="149" t="s">
        <v>848</v>
      </c>
      <c r="C985" s="6" t="s">
        <v>849</v>
      </c>
      <c r="D985" s="78">
        <v>242.93</v>
      </c>
      <c r="E985" s="78" t="s">
        <v>850</v>
      </c>
      <c r="F985" s="160">
        <v>64.991168037182803</v>
      </c>
      <c r="G985" s="76" t="s">
        <v>40</v>
      </c>
      <c r="H985" s="76">
        <f t="shared" si="17"/>
        <v>1.0308319628172029</v>
      </c>
      <c r="I985" s="78">
        <v>-1.4</v>
      </c>
      <c r="J985" s="161">
        <v>15.738386508518033</v>
      </c>
      <c r="K985" s="79">
        <f t="shared" si="18"/>
        <v>4.4757265499692949</v>
      </c>
    </row>
    <row r="986" spans="2:11" x14ac:dyDescent="0.35">
      <c r="B986" s="149" t="s">
        <v>848</v>
      </c>
      <c r="C986" s="6" t="s">
        <v>849</v>
      </c>
      <c r="D986" s="78">
        <v>242.93</v>
      </c>
      <c r="E986" s="78" t="s">
        <v>850</v>
      </c>
      <c r="F986" s="160">
        <v>64.991168037182803</v>
      </c>
      <c r="G986" s="76" t="s">
        <v>40</v>
      </c>
      <c r="H986" s="76">
        <f t="shared" si="17"/>
        <v>1.0308319628172029</v>
      </c>
      <c r="I986" s="78">
        <v>-0.8</v>
      </c>
      <c r="J986" s="161">
        <v>12.984576663383336</v>
      </c>
      <c r="K986" s="79">
        <f t="shared" si="18"/>
        <v>1.721916704834598</v>
      </c>
    </row>
    <row r="987" spans="2:11" x14ac:dyDescent="0.35">
      <c r="B987" s="149" t="s">
        <v>848</v>
      </c>
      <c r="C987" s="6" t="s">
        <v>849</v>
      </c>
      <c r="D987" s="78">
        <v>242.98</v>
      </c>
      <c r="E987" s="78" t="s">
        <v>850</v>
      </c>
      <c r="F987" s="160">
        <v>65.001089514796703</v>
      </c>
      <c r="G987" s="76" t="s">
        <v>40</v>
      </c>
      <c r="H987" s="76">
        <f t="shared" si="17"/>
        <v>1.0209104852033022</v>
      </c>
      <c r="I987" s="78">
        <v>-1.1000000000000001</v>
      </c>
      <c r="J987" s="161">
        <v>14.354680770424238</v>
      </c>
      <c r="K987" s="79">
        <f t="shared" si="18"/>
        <v>3.0920208118754999</v>
      </c>
    </row>
    <row r="988" spans="2:11" x14ac:dyDescent="0.35">
      <c r="B988" s="149" t="s">
        <v>848</v>
      </c>
      <c r="C988" s="6" t="s">
        <v>849</v>
      </c>
      <c r="D988" s="78">
        <v>242.98</v>
      </c>
      <c r="E988" s="78" t="s">
        <v>850</v>
      </c>
      <c r="F988" s="160">
        <v>65.001089514796703</v>
      </c>
      <c r="G988" s="76" t="s">
        <v>40</v>
      </c>
      <c r="H988" s="76">
        <f t="shared" si="17"/>
        <v>1.0209104852033022</v>
      </c>
      <c r="I988" s="78">
        <v>-0.7470074686925976</v>
      </c>
      <c r="J988" s="161">
        <v>12.743957443427576</v>
      </c>
      <c r="K988" s="79">
        <f t="shared" si="18"/>
        <v>1.4812974848788372</v>
      </c>
    </row>
    <row r="989" spans="2:11" x14ac:dyDescent="0.35">
      <c r="B989" s="149" t="s">
        <v>848</v>
      </c>
      <c r="C989" s="6" t="s">
        <v>849</v>
      </c>
      <c r="D989" s="78">
        <v>242.98</v>
      </c>
      <c r="E989" s="78" t="s">
        <v>850</v>
      </c>
      <c r="F989" s="160">
        <v>65.001089514796703</v>
      </c>
      <c r="G989" s="76" t="s">
        <v>40</v>
      </c>
      <c r="H989" s="76">
        <f t="shared" si="17"/>
        <v>1.0209104852033022</v>
      </c>
      <c r="I989" s="78">
        <v>-0.32435609354622447</v>
      </c>
      <c r="J989" s="161">
        <v>10.839694880050729</v>
      </c>
      <c r="K989" s="79">
        <f t="shared" si="18"/>
        <v>-0.42296507849800946</v>
      </c>
    </row>
    <row r="990" spans="2:11" x14ac:dyDescent="0.35">
      <c r="B990" s="149" t="s">
        <v>848</v>
      </c>
      <c r="C990" s="6" t="s">
        <v>849</v>
      </c>
      <c r="D990" s="78">
        <v>243.03</v>
      </c>
      <c r="E990" s="78" t="s">
        <v>850</v>
      </c>
      <c r="F990" s="160">
        <v>65.011010992410704</v>
      </c>
      <c r="G990" s="76" t="s">
        <v>40</v>
      </c>
      <c r="H990" s="76">
        <f t="shared" si="17"/>
        <v>1.010989007589302</v>
      </c>
      <c r="I990" s="78">
        <v>-1.5</v>
      </c>
      <c r="J990" s="161">
        <v>16.202679415754062</v>
      </c>
      <c r="K990" s="79">
        <f t="shared" si="18"/>
        <v>4.9400194572053238</v>
      </c>
    </row>
    <row r="991" spans="2:11" x14ac:dyDescent="0.35">
      <c r="B991" s="149" t="s">
        <v>848</v>
      </c>
      <c r="C991" s="6" t="s">
        <v>849</v>
      </c>
      <c r="D991" s="78">
        <v>243.08</v>
      </c>
      <c r="E991" s="78" t="s">
        <v>850</v>
      </c>
      <c r="F991" s="160">
        <v>65.020932470024704</v>
      </c>
      <c r="G991" s="76" t="s">
        <v>40</v>
      </c>
      <c r="H991" s="76">
        <f t="shared" si="17"/>
        <v>1.0010675299753018</v>
      </c>
      <c r="I991" s="78">
        <v>-0.90427660153781275</v>
      </c>
      <c r="J991" s="161">
        <v>13.459279654332136</v>
      </c>
      <c r="K991" s="79">
        <f t="shared" si="18"/>
        <v>2.1966196957833972</v>
      </c>
    </row>
    <row r="992" spans="2:11" x14ac:dyDescent="0.35">
      <c r="B992" s="149" t="s">
        <v>848</v>
      </c>
      <c r="C992" s="6" t="s">
        <v>849</v>
      </c>
      <c r="D992" s="78">
        <v>243.13</v>
      </c>
      <c r="E992" s="78" t="s">
        <v>850</v>
      </c>
      <c r="F992" s="160">
        <v>65.030853947638604</v>
      </c>
      <c r="G992" s="76" t="s">
        <v>40</v>
      </c>
      <c r="H992" s="76">
        <f t="shared" si="17"/>
        <v>0.99114605236140108</v>
      </c>
      <c r="I992" s="78">
        <v>-0.18882145604802816</v>
      </c>
      <c r="J992" s="161">
        <v>10.234570287684221</v>
      </c>
      <c r="K992" s="79">
        <f t="shared" si="18"/>
        <v>-1.0280896708645173</v>
      </c>
    </row>
    <row r="993" spans="2:11" x14ac:dyDescent="0.35">
      <c r="B993" s="149" t="s">
        <v>848</v>
      </c>
      <c r="C993" s="6" t="s">
        <v>849</v>
      </c>
      <c r="D993" s="78">
        <v>243.13</v>
      </c>
      <c r="E993" s="78" t="s">
        <v>850</v>
      </c>
      <c r="F993" s="160">
        <v>65.030853947638604</v>
      </c>
      <c r="G993" s="76" t="s">
        <v>40</v>
      </c>
      <c r="H993" s="76">
        <f t="shared" si="17"/>
        <v>0.99114605236140108</v>
      </c>
      <c r="I993" s="78">
        <v>-1</v>
      </c>
      <c r="J993" s="161">
        <v>13.896478048545532</v>
      </c>
      <c r="K993" s="79">
        <f t="shared" si="18"/>
        <v>2.6338180899967938</v>
      </c>
    </row>
    <row r="994" spans="2:11" x14ac:dyDescent="0.35">
      <c r="B994" s="149" t="s">
        <v>848</v>
      </c>
      <c r="C994" s="6" t="s">
        <v>849</v>
      </c>
      <c r="D994" s="78">
        <v>243.18</v>
      </c>
      <c r="E994" s="78" t="s">
        <v>850</v>
      </c>
      <c r="F994" s="160">
        <v>65.040775425252605</v>
      </c>
      <c r="G994" s="76" t="s">
        <v>40</v>
      </c>
      <c r="H994" s="76">
        <f t="shared" si="17"/>
        <v>0.98122457474740088</v>
      </c>
      <c r="I994" s="78">
        <v>-1</v>
      </c>
      <c r="J994" s="161">
        <v>13.896478048545532</v>
      </c>
      <c r="K994" s="79">
        <f t="shared" si="18"/>
        <v>2.6338180899967938</v>
      </c>
    </row>
    <row r="995" spans="2:11" x14ac:dyDescent="0.35">
      <c r="B995" s="149" t="s">
        <v>848</v>
      </c>
      <c r="C995" s="6" t="s">
        <v>849</v>
      </c>
      <c r="D995" s="78">
        <v>243.18</v>
      </c>
      <c r="E995" s="78" t="s">
        <v>850</v>
      </c>
      <c r="F995" s="160">
        <v>65.040775425252605</v>
      </c>
      <c r="G995" s="76" t="s">
        <v>40</v>
      </c>
      <c r="H995" s="76">
        <f t="shared" si="17"/>
        <v>0.98122457474740088</v>
      </c>
      <c r="I995" s="78">
        <v>-0.47973889971570477</v>
      </c>
      <c r="J995" s="161">
        <v>11.536725207573454</v>
      </c>
      <c r="K995" s="79">
        <f t="shared" si="18"/>
        <v>0.27406524902471574</v>
      </c>
    </row>
    <row r="996" spans="2:11" x14ac:dyDescent="0.35">
      <c r="B996" s="149" t="s">
        <v>848</v>
      </c>
      <c r="C996" s="6" t="s">
        <v>849</v>
      </c>
      <c r="D996" s="78">
        <v>243.18</v>
      </c>
      <c r="E996" s="78" t="s">
        <v>850</v>
      </c>
      <c r="F996" s="160">
        <v>65.040775425252605</v>
      </c>
      <c r="G996" s="76" t="s">
        <v>40</v>
      </c>
      <c r="H996" s="76">
        <f t="shared" si="17"/>
        <v>0.98122457474740088</v>
      </c>
      <c r="I996" s="78">
        <v>-0.65357737928492909</v>
      </c>
      <c r="J996" s="161">
        <v>12.320741658550389</v>
      </c>
      <c r="K996" s="79">
        <f t="shared" si="18"/>
        <v>1.0580817000016509</v>
      </c>
    </row>
    <row r="997" spans="2:11" x14ac:dyDescent="0.35">
      <c r="B997" s="149" t="s">
        <v>848</v>
      </c>
      <c r="C997" s="6" t="s">
        <v>849</v>
      </c>
      <c r="D997" s="78">
        <v>243.23</v>
      </c>
      <c r="E997" s="78" t="s">
        <v>850</v>
      </c>
      <c r="F997" s="160">
        <v>65.050696902866605</v>
      </c>
      <c r="G997" s="76" t="s">
        <v>40</v>
      </c>
      <c r="H997" s="76">
        <f t="shared" si="17"/>
        <v>0.97130309713340068</v>
      </c>
      <c r="I997" s="78">
        <v>-0.9</v>
      </c>
      <c r="J997" s="161">
        <v>13.439779144005229</v>
      </c>
      <c r="K997" s="79">
        <f t="shared" si="18"/>
        <v>2.1771191854564904</v>
      </c>
    </row>
    <row r="998" spans="2:11" x14ac:dyDescent="0.35">
      <c r="B998" s="149" t="s">
        <v>848</v>
      </c>
      <c r="C998" s="6" t="s">
        <v>849</v>
      </c>
      <c r="D998" s="78">
        <v>243.28</v>
      </c>
      <c r="E998" s="78" t="s">
        <v>850</v>
      </c>
      <c r="F998" s="160">
        <v>65.060618380480605</v>
      </c>
      <c r="G998" s="76" t="s">
        <v>40</v>
      </c>
      <c r="H998" s="76">
        <f t="shared" si="17"/>
        <v>0.96138161951940049</v>
      </c>
      <c r="I998" s="78">
        <v>-0.7793635796142091</v>
      </c>
      <c r="J998" s="161">
        <v>12.890824760252201</v>
      </c>
      <c r="K998" s="79">
        <f t="shared" si="18"/>
        <v>1.6281648017034627</v>
      </c>
    </row>
    <row r="999" spans="2:11" x14ac:dyDescent="0.35">
      <c r="B999" s="149" t="s">
        <v>848</v>
      </c>
      <c r="C999" s="6" t="s">
        <v>849</v>
      </c>
      <c r="D999" s="78">
        <v>243.33</v>
      </c>
      <c r="E999" s="78" t="s">
        <v>850</v>
      </c>
      <c r="F999" s="160">
        <v>65.070539858094506</v>
      </c>
      <c r="G999" s="76" t="s">
        <v>40</v>
      </c>
      <c r="H999" s="76">
        <f t="shared" si="17"/>
        <v>0.95146014190549977</v>
      </c>
      <c r="I999" s="78">
        <v>-0.52212891709223219</v>
      </c>
      <c r="J999" s="161">
        <v>11.727495539179756</v>
      </c>
      <c r="K999" s="79">
        <f t="shared" si="18"/>
        <v>0.46483558063101782</v>
      </c>
    </row>
    <row r="1000" spans="2:11" x14ac:dyDescent="0.35">
      <c r="B1000" s="149" t="s">
        <v>848</v>
      </c>
      <c r="C1000" s="6" t="s">
        <v>849</v>
      </c>
      <c r="D1000" s="78">
        <v>243.33</v>
      </c>
      <c r="E1000" s="78" t="s">
        <v>850</v>
      </c>
      <c r="F1000" s="160">
        <v>65.070539858094506</v>
      </c>
      <c r="G1000" s="76" t="s">
        <v>40</v>
      </c>
      <c r="H1000" s="76">
        <f t="shared" si="17"/>
        <v>0.95146014190549977</v>
      </c>
      <c r="I1000" s="78">
        <v>-0.9</v>
      </c>
      <c r="J1000" s="161">
        <v>13.439779144005229</v>
      </c>
      <c r="K1000" s="79">
        <f t="shared" si="18"/>
        <v>2.1771191854564904</v>
      </c>
    </row>
    <row r="1001" spans="2:11" x14ac:dyDescent="0.35">
      <c r="B1001" s="149" t="s">
        <v>848</v>
      </c>
      <c r="C1001" s="6" t="s">
        <v>849</v>
      </c>
      <c r="D1001" s="78">
        <v>243.38</v>
      </c>
      <c r="E1001" s="78" t="s">
        <v>850</v>
      </c>
      <c r="F1001" s="160">
        <v>65.080461335708506</v>
      </c>
      <c r="G1001" s="76" t="s">
        <v>40</v>
      </c>
      <c r="H1001" s="76">
        <f t="shared" si="17"/>
        <v>0.94153866429149957</v>
      </c>
      <c r="I1001" s="78">
        <v>-0.7026694096486068</v>
      </c>
      <c r="J1001" s="161">
        <v>12.542955449159138</v>
      </c>
      <c r="K1001" s="79">
        <f t="shared" si="18"/>
        <v>1.2802954906103992</v>
      </c>
    </row>
    <row r="1002" spans="2:11" x14ac:dyDescent="0.35">
      <c r="B1002" s="149" t="s">
        <v>848</v>
      </c>
      <c r="C1002" s="6" t="s">
        <v>849</v>
      </c>
      <c r="D1002" s="78">
        <v>243.43</v>
      </c>
      <c r="E1002" s="78" t="s">
        <v>850</v>
      </c>
      <c r="F1002" s="160">
        <v>65.090382813322506</v>
      </c>
      <c r="G1002" s="76" t="s">
        <v>40</v>
      </c>
      <c r="H1002" s="76">
        <f t="shared" si="17"/>
        <v>0.93161718667749938</v>
      </c>
      <c r="I1002" s="78">
        <v>-1</v>
      </c>
      <c r="J1002" s="161">
        <v>13.896478048545532</v>
      </c>
      <c r="K1002" s="79">
        <f t="shared" si="18"/>
        <v>2.6338180899967938</v>
      </c>
    </row>
    <row r="1003" spans="2:11" x14ac:dyDescent="0.35">
      <c r="B1003" s="149" t="s">
        <v>848</v>
      </c>
      <c r="C1003" s="6" t="s">
        <v>849</v>
      </c>
      <c r="D1003" s="78">
        <v>243.49</v>
      </c>
      <c r="E1003" s="78" t="s">
        <v>850</v>
      </c>
      <c r="F1003" s="160">
        <v>65.102288586459196</v>
      </c>
      <c r="G1003" s="76" t="s">
        <v>40</v>
      </c>
      <c r="H1003" s="76">
        <f t="shared" si="17"/>
        <v>0.91971141354080999</v>
      </c>
      <c r="I1003" s="78">
        <v>-0.58605158257902445</v>
      </c>
      <c r="J1003" s="161">
        <v>12.015669833469531</v>
      </c>
      <c r="K1003" s="79">
        <f t="shared" si="18"/>
        <v>0.7530098749207923</v>
      </c>
    </row>
    <row r="1004" spans="2:11" x14ac:dyDescent="0.35">
      <c r="B1004" s="149" t="s">
        <v>848</v>
      </c>
      <c r="C1004" s="6" t="s">
        <v>849</v>
      </c>
      <c r="D1004" s="78">
        <v>243.53</v>
      </c>
      <c r="E1004" s="78" t="s">
        <v>850</v>
      </c>
      <c r="F1004" s="160">
        <v>65.110225768550393</v>
      </c>
      <c r="G1004" s="76" t="s">
        <v>40</v>
      </c>
      <c r="H1004" s="76">
        <f t="shared" si="17"/>
        <v>0.91177423144961267</v>
      </c>
      <c r="I1004" s="78">
        <v>-0.62817484685023584</v>
      </c>
      <c r="J1004" s="161">
        <v>12.205897697739204</v>
      </c>
      <c r="K1004" s="79">
        <f t="shared" si="18"/>
        <v>0.94323773919046516</v>
      </c>
    </row>
    <row r="1005" spans="2:11" x14ac:dyDescent="0.35">
      <c r="B1005" s="149" t="s">
        <v>848</v>
      </c>
      <c r="C1005" s="6" t="s">
        <v>849</v>
      </c>
      <c r="D1005" s="78">
        <v>243.53</v>
      </c>
      <c r="E1005" s="78" t="s">
        <v>850</v>
      </c>
      <c r="F1005" s="160">
        <v>65.110225768550393</v>
      </c>
      <c r="G1005" s="76" t="s">
        <v>40</v>
      </c>
      <c r="H1005" s="76">
        <f t="shared" si="17"/>
        <v>0.91177423144961267</v>
      </c>
      <c r="I1005" s="78">
        <v>-1</v>
      </c>
      <c r="J1005" s="161">
        <v>13.896478048545532</v>
      </c>
      <c r="K1005" s="79">
        <f t="shared" si="18"/>
        <v>2.6338180899967938</v>
      </c>
    </row>
    <row r="1006" spans="2:11" x14ac:dyDescent="0.35">
      <c r="B1006" s="149" t="s">
        <v>848</v>
      </c>
      <c r="C1006" s="6" t="s">
        <v>849</v>
      </c>
      <c r="D1006" s="78">
        <v>243.58</v>
      </c>
      <c r="E1006" s="78" t="s">
        <v>850</v>
      </c>
      <c r="F1006" s="160">
        <v>65.120147246164393</v>
      </c>
      <c r="G1006" s="76" t="s">
        <v>40</v>
      </c>
      <c r="H1006" s="76">
        <f t="shared" si="17"/>
        <v>0.90185275383561248</v>
      </c>
      <c r="I1006" s="78">
        <v>-0.56921864331413019</v>
      </c>
      <c r="J1006" s="161">
        <v>11.939725745107523</v>
      </c>
      <c r="K1006" s="79">
        <f t="shared" si="18"/>
        <v>0.67706578655878502</v>
      </c>
    </row>
    <row r="1007" spans="2:11" x14ac:dyDescent="0.35">
      <c r="B1007" s="149" t="s">
        <v>848</v>
      </c>
      <c r="C1007" s="6" t="s">
        <v>849</v>
      </c>
      <c r="D1007" s="78">
        <v>243.63</v>
      </c>
      <c r="E1007" s="78" t="s">
        <v>850</v>
      </c>
      <c r="F1007" s="160">
        <v>65.130068723778393</v>
      </c>
      <c r="G1007" s="76" t="s">
        <v>40</v>
      </c>
      <c r="H1007" s="76">
        <f t="shared" si="17"/>
        <v>0.89193127622161228</v>
      </c>
      <c r="I1007" s="78">
        <v>-1.2</v>
      </c>
      <c r="J1007" s="161">
        <v>14.814394751850159</v>
      </c>
      <c r="K1007" s="79">
        <f t="shared" si="18"/>
        <v>3.5517347933014207</v>
      </c>
    </row>
    <row r="1008" spans="2:11" x14ac:dyDescent="0.35">
      <c r="B1008" s="149" t="s">
        <v>848</v>
      </c>
      <c r="C1008" s="6" t="s">
        <v>849</v>
      </c>
      <c r="D1008" s="78">
        <v>243.68</v>
      </c>
      <c r="E1008" s="78" t="s">
        <v>850</v>
      </c>
      <c r="F1008" s="160">
        <v>65.139990201392294</v>
      </c>
      <c r="G1008" s="76" t="s">
        <v>40</v>
      </c>
      <c r="H1008" s="76">
        <f t="shared" si="17"/>
        <v>0.88200979860771156</v>
      </c>
      <c r="I1008" s="78">
        <v>-1.2369575741015417</v>
      </c>
      <c r="J1008" s="161">
        <v>14.984677854202289</v>
      </c>
      <c r="K1008" s="79">
        <f t="shared" si="18"/>
        <v>3.7220178956535506</v>
      </c>
    </row>
    <row r="1009" spans="2:11" x14ac:dyDescent="0.35">
      <c r="B1009" s="149" t="s">
        <v>848</v>
      </c>
      <c r="C1009" s="6" t="s">
        <v>849</v>
      </c>
      <c r="D1009" s="78">
        <v>243.73</v>
      </c>
      <c r="E1009" s="78" t="s">
        <v>850</v>
      </c>
      <c r="F1009" s="160">
        <v>65.149911679006294</v>
      </c>
      <c r="G1009" s="76" t="s">
        <v>40</v>
      </c>
      <c r="H1009" s="76">
        <f t="shared" si="17"/>
        <v>0.87208832099371136</v>
      </c>
      <c r="I1009" s="78">
        <v>-1.1992350140497494</v>
      </c>
      <c r="J1009" s="161">
        <v>14.810872249386478</v>
      </c>
      <c r="K1009" s="79">
        <f t="shared" si="18"/>
        <v>3.5482122908377391</v>
      </c>
    </row>
    <row r="1010" spans="2:11" x14ac:dyDescent="0.35">
      <c r="B1010" s="149" t="s">
        <v>848</v>
      </c>
      <c r="C1010" s="6" t="s">
        <v>849</v>
      </c>
      <c r="D1010" s="78">
        <v>243.73</v>
      </c>
      <c r="E1010" s="78" t="s">
        <v>850</v>
      </c>
      <c r="F1010" s="160">
        <v>65.149911679006294</v>
      </c>
      <c r="G1010" s="76" t="s">
        <v>40</v>
      </c>
      <c r="H1010" s="76">
        <f t="shared" si="17"/>
        <v>0.87208832099371136</v>
      </c>
      <c r="I1010" s="78">
        <v>-1.9</v>
      </c>
      <c r="J1010" s="161">
        <v>18.075343467626283</v>
      </c>
      <c r="K1010" s="79">
        <f t="shared" si="18"/>
        <v>6.8126835090775444</v>
      </c>
    </row>
    <row r="1011" spans="2:11" x14ac:dyDescent="0.35">
      <c r="B1011" s="149" t="s">
        <v>848</v>
      </c>
      <c r="C1011" s="6" t="s">
        <v>849</v>
      </c>
      <c r="D1011" s="78">
        <v>243.78</v>
      </c>
      <c r="E1011" s="78" t="s">
        <v>850</v>
      </c>
      <c r="F1011" s="160">
        <v>65.159548136695093</v>
      </c>
      <c r="G1011" s="76" t="s">
        <v>40</v>
      </c>
      <c r="H1011" s="76">
        <f t="shared" si="17"/>
        <v>0.86245186330491208</v>
      </c>
      <c r="I1011" s="78">
        <v>-1.0137149617161185</v>
      </c>
      <c r="J1011" s="161">
        <v>13.959231229457146</v>
      </c>
      <c r="K1011" s="79">
        <f t="shared" si="18"/>
        <v>2.6965712709084073</v>
      </c>
    </row>
    <row r="1012" spans="2:11" x14ac:dyDescent="0.35">
      <c r="B1012" s="149" t="s">
        <v>848</v>
      </c>
      <c r="C1012" s="6" t="s">
        <v>849</v>
      </c>
      <c r="D1012" s="78">
        <v>243.83</v>
      </c>
      <c r="E1012" s="78" t="s">
        <v>850</v>
      </c>
      <c r="F1012" s="160">
        <v>65.169182034347003</v>
      </c>
      <c r="G1012" s="76" t="s">
        <v>40</v>
      </c>
      <c r="H1012" s="76">
        <f t="shared" si="17"/>
        <v>0.85281796565300283</v>
      </c>
      <c r="I1012" s="78">
        <v>-1</v>
      </c>
      <c r="J1012" s="161">
        <v>13.896478048545532</v>
      </c>
      <c r="K1012" s="79">
        <f t="shared" si="18"/>
        <v>2.6338180899967938</v>
      </c>
    </row>
    <row r="1013" spans="2:11" x14ac:dyDescent="0.35">
      <c r="B1013" s="149" t="s">
        <v>848</v>
      </c>
      <c r="C1013" s="6" t="s">
        <v>849</v>
      </c>
      <c r="D1013" s="78">
        <v>243.88</v>
      </c>
      <c r="E1013" s="78" t="s">
        <v>850</v>
      </c>
      <c r="F1013" s="160">
        <v>65.178815931998898</v>
      </c>
      <c r="G1013" s="76" t="s">
        <v>40</v>
      </c>
      <c r="H1013" s="76">
        <f t="shared" si="17"/>
        <v>0.84318406800110779</v>
      </c>
      <c r="I1013" s="78">
        <v>-1.1345531510800519</v>
      </c>
      <c r="J1013" s="161">
        <v>14.513355180358644</v>
      </c>
      <c r="K1013" s="79">
        <f t="shared" si="18"/>
        <v>3.2506952218099059</v>
      </c>
    </row>
    <row r="1014" spans="2:11" x14ac:dyDescent="0.35">
      <c r="B1014" s="149" t="s">
        <v>848</v>
      </c>
      <c r="C1014" s="6" t="s">
        <v>849</v>
      </c>
      <c r="D1014" s="78">
        <v>243.93</v>
      </c>
      <c r="E1014" s="78" t="s">
        <v>850</v>
      </c>
      <c r="F1014" s="160">
        <v>65.188449829650907</v>
      </c>
      <c r="G1014" s="76" t="s">
        <v>40</v>
      </c>
      <c r="H1014" s="76">
        <f t="shared" si="17"/>
        <v>0.83355017034909906</v>
      </c>
      <c r="I1014" s="78">
        <v>-1.0086925948054233</v>
      </c>
      <c r="J1014" s="161">
        <v>13.93624796901571</v>
      </c>
      <c r="K1014" s="79">
        <f t="shared" si="18"/>
        <v>2.6735880104669718</v>
      </c>
    </row>
    <row r="1015" spans="2:11" x14ac:dyDescent="0.35">
      <c r="B1015" s="149" t="s">
        <v>848</v>
      </c>
      <c r="C1015" s="6" t="s">
        <v>849</v>
      </c>
      <c r="D1015" s="78">
        <v>243.93</v>
      </c>
      <c r="E1015" s="78" t="s">
        <v>850</v>
      </c>
      <c r="F1015" s="160">
        <v>65.188449829650907</v>
      </c>
      <c r="G1015" s="76" t="s">
        <v>40</v>
      </c>
      <c r="H1015" s="76">
        <f t="shared" si="17"/>
        <v>0.83355017034909906</v>
      </c>
      <c r="I1015" s="78">
        <v>-1.2</v>
      </c>
      <c r="J1015" s="161">
        <v>14.814394751850159</v>
      </c>
      <c r="K1015" s="79">
        <f t="shared" si="18"/>
        <v>3.5517347933014207</v>
      </c>
    </row>
    <row r="1016" spans="2:11" x14ac:dyDescent="0.35">
      <c r="B1016" s="149" t="s">
        <v>848</v>
      </c>
      <c r="C1016" s="6" t="s">
        <v>849</v>
      </c>
      <c r="D1016" s="78">
        <v>243.98</v>
      </c>
      <c r="E1016" s="78" t="s">
        <v>850</v>
      </c>
      <c r="F1016" s="160">
        <v>65.198083727302802</v>
      </c>
      <c r="G1016" s="76" t="s">
        <v>40</v>
      </c>
      <c r="H1016" s="76">
        <f t="shared" si="17"/>
        <v>0.82391627269720402</v>
      </c>
      <c r="I1016" s="78">
        <v>-1.2471446555011596</v>
      </c>
      <c r="J1016" s="161">
        <v>15.031651650164065</v>
      </c>
      <c r="K1016" s="79">
        <f t="shared" si="18"/>
        <v>3.7689916916153265</v>
      </c>
    </row>
    <row r="1017" spans="2:11" x14ac:dyDescent="0.35">
      <c r="B1017" s="149" t="s">
        <v>848</v>
      </c>
      <c r="C1017" s="6" t="s">
        <v>849</v>
      </c>
      <c r="D1017" s="78">
        <v>244.03</v>
      </c>
      <c r="E1017" s="78" t="s">
        <v>850</v>
      </c>
      <c r="F1017" s="160">
        <v>65.207717624954697</v>
      </c>
      <c r="G1017" s="76" t="s">
        <v>40</v>
      </c>
      <c r="H1017" s="76">
        <f t="shared" si="17"/>
        <v>0.81428237504530898</v>
      </c>
      <c r="I1017" s="78">
        <v>-0.86180148913582499</v>
      </c>
      <c r="J1017" s="161">
        <v>13.265722343178993</v>
      </c>
      <c r="K1017" s="79">
        <f t="shared" si="18"/>
        <v>2.0030623846302547</v>
      </c>
    </row>
    <row r="1018" spans="2:11" x14ac:dyDescent="0.35">
      <c r="B1018" s="149" t="s">
        <v>848</v>
      </c>
      <c r="C1018" s="6" t="s">
        <v>849</v>
      </c>
      <c r="D1018" s="78">
        <v>244.08</v>
      </c>
      <c r="E1018" s="78" t="s">
        <v>850</v>
      </c>
      <c r="F1018" s="160">
        <v>65.217351522606705</v>
      </c>
      <c r="G1018" s="76" t="s">
        <v>40</v>
      </c>
      <c r="H1018" s="76">
        <f t="shared" si="17"/>
        <v>0.80464847739330025</v>
      </c>
      <c r="I1018" s="78">
        <v>-0.78465371548588081</v>
      </c>
      <c r="J1018" s="161">
        <v>12.914851972059637</v>
      </c>
      <c r="K1018" s="79">
        <f t="shared" si="18"/>
        <v>1.6521920135108985</v>
      </c>
    </row>
    <row r="1019" spans="2:11" x14ac:dyDescent="0.35">
      <c r="B1019" s="149" t="s">
        <v>848</v>
      </c>
      <c r="C1019" s="6" t="s">
        <v>849</v>
      </c>
      <c r="D1019" s="78">
        <v>244.08</v>
      </c>
      <c r="E1019" s="78" t="s">
        <v>850</v>
      </c>
      <c r="F1019" s="160">
        <v>65.217351522606705</v>
      </c>
      <c r="G1019" s="76" t="s">
        <v>40</v>
      </c>
      <c r="H1019" s="76">
        <f t="shared" si="17"/>
        <v>0.80464847739330025</v>
      </c>
      <c r="I1019" s="78">
        <v>-0.73459830621160904</v>
      </c>
      <c r="J1019" s="161">
        <v>12.687672396403229</v>
      </c>
      <c r="K1019" s="79">
        <f t="shared" si="18"/>
        <v>1.4250124378544911</v>
      </c>
    </row>
    <row r="1020" spans="2:11" x14ac:dyDescent="0.35">
      <c r="B1020" s="149" t="s">
        <v>848</v>
      </c>
      <c r="C1020" s="6" t="s">
        <v>849</v>
      </c>
      <c r="D1020" s="78">
        <v>244.08</v>
      </c>
      <c r="E1020" s="78" t="s">
        <v>850</v>
      </c>
      <c r="F1020" s="160">
        <v>65.217351522606705</v>
      </c>
      <c r="G1020" s="76" t="s">
        <v>40</v>
      </c>
      <c r="H1020" s="76">
        <f t="shared" si="17"/>
        <v>0.80464847739330025</v>
      </c>
      <c r="I1020" s="78">
        <v>-0.78646658745144649</v>
      </c>
      <c r="J1020" s="161">
        <v>12.923086793895664</v>
      </c>
      <c r="K1020" s="79">
        <f t="shared" si="18"/>
        <v>1.6604268353469251</v>
      </c>
    </row>
    <row r="1021" spans="2:11" x14ac:dyDescent="0.35">
      <c r="B1021" s="149" t="s">
        <v>848</v>
      </c>
      <c r="C1021" s="6" t="s">
        <v>849</v>
      </c>
      <c r="D1021" s="78">
        <v>244.13</v>
      </c>
      <c r="E1021" s="78" t="s">
        <v>850</v>
      </c>
      <c r="F1021" s="160">
        <v>65.2269854202586</v>
      </c>
      <c r="G1021" s="76" t="s">
        <v>40</v>
      </c>
      <c r="H1021" s="76">
        <f t="shared" si="17"/>
        <v>0.79501457974140521</v>
      </c>
      <c r="I1021" s="78">
        <v>-0.87726936367484909</v>
      </c>
      <c r="J1021" s="161">
        <v>13.336177573657551</v>
      </c>
      <c r="K1021" s="79">
        <f t="shared" si="18"/>
        <v>2.0735176151088126</v>
      </c>
    </row>
    <row r="1022" spans="2:11" x14ac:dyDescent="0.35">
      <c r="B1022" s="149" t="s">
        <v>848</v>
      </c>
      <c r="C1022" s="6" t="s">
        <v>849</v>
      </c>
      <c r="D1022" s="78">
        <v>244.13</v>
      </c>
      <c r="E1022" s="78" t="s">
        <v>850</v>
      </c>
      <c r="F1022" s="160">
        <v>65.2269854202586</v>
      </c>
      <c r="G1022" s="76" t="s">
        <v>40</v>
      </c>
      <c r="H1022" s="76">
        <f t="shared" si="17"/>
        <v>0.79501457974140521</v>
      </c>
      <c r="I1022" s="78">
        <v>-1.2</v>
      </c>
      <c r="J1022" s="161">
        <v>14.814394751850159</v>
      </c>
      <c r="K1022" s="79">
        <f t="shared" si="18"/>
        <v>3.5517347933014207</v>
      </c>
    </row>
    <row r="1023" spans="2:11" x14ac:dyDescent="0.35">
      <c r="B1023" s="149" t="s">
        <v>848</v>
      </c>
      <c r="C1023" s="6" t="s">
        <v>849</v>
      </c>
      <c r="D1023" s="78">
        <v>244.18</v>
      </c>
      <c r="E1023" s="78" t="s">
        <v>850</v>
      </c>
      <c r="F1023" s="160">
        <v>65.236619317910595</v>
      </c>
      <c r="G1023" s="76" t="s">
        <v>40</v>
      </c>
      <c r="H1023" s="76">
        <f t="shared" si="17"/>
        <v>0.7853806820894107</v>
      </c>
      <c r="I1023" s="78">
        <v>-1.002509172176584</v>
      </c>
      <c r="J1023" s="161">
        <v>13.907956719467393</v>
      </c>
      <c r="K1023" s="79">
        <f t="shared" si="18"/>
        <v>2.6452967609186544</v>
      </c>
    </row>
    <row r="1024" spans="2:11" x14ac:dyDescent="0.35">
      <c r="B1024" s="149" t="s">
        <v>848</v>
      </c>
      <c r="C1024" s="6" t="s">
        <v>849</v>
      </c>
      <c r="D1024" s="78">
        <v>244.23</v>
      </c>
      <c r="E1024" s="78" t="s">
        <v>850</v>
      </c>
      <c r="F1024" s="160">
        <v>65.246253215562504</v>
      </c>
      <c r="G1024" s="76" t="s">
        <v>40</v>
      </c>
      <c r="H1024" s="76">
        <f t="shared" si="17"/>
        <v>0.77574678443750145</v>
      </c>
      <c r="I1024" s="78">
        <v>-0.96725020847218346</v>
      </c>
      <c r="J1024" s="161">
        <v>13.746744868015355</v>
      </c>
      <c r="K1024" s="79">
        <f t="shared" si="18"/>
        <v>2.4840849094666169</v>
      </c>
    </row>
    <row r="1025" spans="2:11" x14ac:dyDescent="0.35">
      <c r="B1025" s="149" t="s">
        <v>848</v>
      </c>
      <c r="C1025" s="6" t="s">
        <v>849</v>
      </c>
      <c r="D1025" s="78">
        <v>244.28</v>
      </c>
      <c r="E1025" s="78" t="s">
        <v>850</v>
      </c>
      <c r="F1025" s="160">
        <v>65.255887113214399</v>
      </c>
      <c r="G1025" s="76" t="s">
        <v>40</v>
      </c>
      <c r="H1025" s="76">
        <f t="shared" si="17"/>
        <v>0.76611288678560641</v>
      </c>
      <c r="I1025" s="78">
        <v>-1.1282936680888227</v>
      </c>
      <c r="J1025" s="161">
        <v>14.484597089596036</v>
      </c>
      <c r="K1025" s="79">
        <f t="shared" si="18"/>
        <v>3.221937131047298</v>
      </c>
    </row>
    <row r="1026" spans="2:11" x14ac:dyDescent="0.35">
      <c r="B1026" s="149" t="s">
        <v>848</v>
      </c>
      <c r="C1026" s="6" t="s">
        <v>849</v>
      </c>
      <c r="D1026" s="78">
        <v>244.33</v>
      </c>
      <c r="E1026" s="78" t="s">
        <v>850</v>
      </c>
      <c r="F1026" s="160">
        <v>65.265521010866394</v>
      </c>
      <c r="G1026" s="76" t="s">
        <v>40</v>
      </c>
      <c r="H1026" s="76">
        <f t="shared" si="17"/>
        <v>0.75647898913361189</v>
      </c>
      <c r="I1026" s="78">
        <v>-0.73337014080804097</v>
      </c>
      <c r="J1026" s="161">
        <v>12.682102969781681</v>
      </c>
      <c r="K1026" s="79">
        <f t="shared" si="18"/>
        <v>1.4194430112329428</v>
      </c>
    </row>
    <row r="1027" spans="2:11" x14ac:dyDescent="0.35">
      <c r="B1027" s="149" t="s">
        <v>848</v>
      </c>
      <c r="C1027" s="6" t="s">
        <v>849</v>
      </c>
      <c r="D1027" s="78">
        <v>244.33</v>
      </c>
      <c r="E1027" s="78" t="s">
        <v>850</v>
      </c>
      <c r="F1027" s="160">
        <v>65.265521010866394</v>
      </c>
      <c r="G1027" s="76" t="s">
        <v>40</v>
      </c>
      <c r="H1027" s="76">
        <f t="shared" si="17"/>
        <v>0.75647898913361189</v>
      </c>
      <c r="I1027" s="78">
        <v>-1</v>
      </c>
      <c r="J1027" s="161">
        <v>13.896478048545532</v>
      </c>
      <c r="K1027" s="79">
        <f t="shared" si="18"/>
        <v>2.6338180899967938</v>
      </c>
    </row>
    <row r="1028" spans="2:11" x14ac:dyDescent="0.35">
      <c r="B1028" s="149" t="s">
        <v>848</v>
      </c>
      <c r="C1028" s="6" t="s">
        <v>849</v>
      </c>
      <c r="D1028" s="78">
        <v>244.38</v>
      </c>
      <c r="E1028" s="78" t="s">
        <v>850</v>
      </c>
      <c r="F1028" s="160">
        <v>65.275154908518303</v>
      </c>
      <c r="G1028" s="76" t="s">
        <v>40</v>
      </c>
      <c r="H1028" s="76">
        <f t="shared" si="17"/>
        <v>0.74684509148170264</v>
      </c>
      <c r="I1028" s="78">
        <v>-0.83806057244031251</v>
      </c>
      <c r="J1028" s="161">
        <v>13.157653414440801</v>
      </c>
      <c r="K1028" s="79">
        <f t="shared" si="18"/>
        <v>1.8949934558920631</v>
      </c>
    </row>
    <row r="1029" spans="2:11" x14ac:dyDescent="0.35">
      <c r="B1029" s="149" t="s">
        <v>848</v>
      </c>
      <c r="C1029" s="6" t="s">
        <v>849</v>
      </c>
      <c r="D1029" s="78">
        <v>244.38</v>
      </c>
      <c r="E1029" s="78" t="s">
        <v>850</v>
      </c>
      <c r="F1029" s="160">
        <v>65.275154908518303</v>
      </c>
      <c r="G1029" s="76" t="s">
        <v>40</v>
      </c>
      <c r="H1029" s="76">
        <f t="shared" si="17"/>
        <v>0.74684509148170264</v>
      </c>
      <c r="I1029" s="78">
        <v>-0.85843473523954472</v>
      </c>
      <c r="J1029" s="161">
        <v>13.250391719899994</v>
      </c>
      <c r="K1029" s="79">
        <f t="shared" si="18"/>
        <v>1.987731761351256</v>
      </c>
    </row>
    <row r="1030" spans="2:11" x14ac:dyDescent="0.35">
      <c r="B1030" s="149" t="s">
        <v>848</v>
      </c>
      <c r="C1030" s="6" t="s">
        <v>849</v>
      </c>
      <c r="D1030" s="78">
        <v>244.38</v>
      </c>
      <c r="E1030" s="78" t="s">
        <v>850</v>
      </c>
      <c r="F1030" s="160">
        <v>65.275154908518303</v>
      </c>
      <c r="G1030" s="76" t="s">
        <v>40</v>
      </c>
      <c r="H1030" s="76">
        <f t="shared" si="17"/>
        <v>0.74684509148170264</v>
      </c>
      <c r="I1030" s="78">
        <v>-0.80099900011042635</v>
      </c>
      <c r="J1030" s="161">
        <v>12.989116760834349</v>
      </c>
      <c r="K1030" s="79">
        <f t="shared" si="18"/>
        <v>1.726456802285611</v>
      </c>
    </row>
    <row r="1031" spans="2:11" x14ac:dyDescent="0.35">
      <c r="B1031" s="149" t="s">
        <v>848</v>
      </c>
      <c r="C1031" s="6" t="s">
        <v>849</v>
      </c>
      <c r="D1031" s="78">
        <v>244.43</v>
      </c>
      <c r="E1031" s="78" t="s">
        <v>850</v>
      </c>
      <c r="F1031" s="160">
        <v>65.284788806170297</v>
      </c>
      <c r="G1031" s="76" t="s">
        <v>40</v>
      </c>
      <c r="H1031" s="76">
        <f t="shared" si="17"/>
        <v>0.73721119382970812</v>
      </c>
      <c r="I1031" s="78">
        <v>-0.92948204252067157</v>
      </c>
      <c r="J1031" s="161">
        <v>13.574267424179823</v>
      </c>
      <c r="K1031" s="79">
        <f t="shared" si="18"/>
        <v>2.3116074656310843</v>
      </c>
    </row>
    <row r="1032" spans="2:11" x14ac:dyDescent="0.35">
      <c r="B1032" s="149" t="s">
        <v>848</v>
      </c>
      <c r="C1032" s="6" t="s">
        <v>849</v>
      </c>
      <c r="D1032" s="78">
        <v>244.48</v>
      </c>
      <c r="E1032" s="78" t="s">
        <v>850</v>
      </c>
      <c r="F1032" s="160">
        <v>65.294422703822207</v>
      </c>
      <c r="G1032" s="76" t="s">
        <v>40</v>
      </c>
      <c r="H1032" s="76">
        <f t="shared" si="17"/>
        <v>0.72757729617779887</v>
      </c>
      <c r="I1032" s="78">
        <v>-1.1184235873868857</v>
      </c>
      <c r="J1032" s="161">
        <v>14.439262790085365</v>
      </c>
      <c r="K1032" s="79">
        <f t="shared" si="18"/>
        <v>3.176602831536627</v>
      </c>
    </row>
    <row r="1033" spans="2:11" x14ac:dyDescent="0.35">
      <c r="B1033" s="149" t="s">
        <v>848</v>
      </c>
      <c r="C1033" s="6" t="s">
        <v>849</v>
      </c>
      <c r="D1033" s="78">
        <v>244.53</v>
      </c>
      <c r="E1033" s="78" t="s">
        <v>850</v>
      </c>
      <c r="F1033" s="160">
        <v>65.304056601474102</v>
      </c>
      <c r="G1033" s="76" t="s">
        <v>40</v>
      </c>
      <c r="H1033" s="76">
        <f t="shared" si="17"/>
        <v>0.71794339852590383</v>
      </c>
      <c r="I1033" s="78">
        <v>-0.80298050379090091</v>
      </c>
      <c r="J1033" s="161">
        <v>12.998122424616952</v>
      </c>
      <c r="K1033" s="79">
        <f t="shared" si="18"/>
        <v>1.7354624660682134</v>
      </c>
    </row>
    <row r="1034" spans="2:11" x14ac:dyDescent="0.35">
      <c r="B1034" s="149" t="s">
        <v>848</v>
      </c>
      <c r="C1034" s="6" t="s">
        <v>849</v>
      </c>
      <c r="D1034" s="78">
        <v>244.53</v>
      </c>
      <c r="E1034" s="78" t="s">
        <v>850</v>
      </c>
      <c r="F1034" s="160">
        <v>65.304056601474102</v>
      </c>
      <c r="G1034" s="76" t="s">
        <v>40</v>
      </c>
      <c r="H1034" s="76">
        <f t="shared" si="17"/>
        <v>0.71794339852590383</v>
      </c>
      <c r="I1034" s="78">
        <v>-1.1000000000000001</v>
      </c>
      <c r="J1034" s="161">
        <v>14.354680770424238</v>
      </c>
      <c r="K1034" s="79">
        <f t="shared" si="18"/>
        <v>3.0920208118754999</v>
      </c>
    </row>
    <row r="1035" spans="2:11" x14ac:dyDescent="0.35">
      <c r="B1035" s="149" t="s">
        <v>848</v>
      </c>
      <c r="C1035" s="6" t="s">
        <v>849</v>
      </c>
      <c r="D1035" s="78">
        <v>244.58</v>
      </c>
      <c r="E1035" s="78" t="s">
        <v>850</v>
      </c>
      <c r="F1035" s="160">
        <v>65.313690499126096</v>
      </c>
      <c r="G1035" s="76" t="s">
        <v>40</v>
      </c>
      <c r="H1035" s="76">
        <f t="shared" si="17"/>
        <v>0.70830950087390931</v>
      </c>
      <c r="I1035" s="78">
        <v>-0.52434697524436302</v>
      </c>
      <c r="J1035" s="161">
        <v>11.737484861210021</v>
      </c>
      <c r="K1035" s="79">
        <f t="shared" si="18"/>
        <v>0.47482490266128252</v>
      </c>
    </row>
    <row r="1036" spans="2:11" x14ac:dyDescent="0.35">
      <c r="B1036" s="149" t="s">
        <v>848</v>
      </c>
      <c r="C1036" s="6" t="s">
        <v>849</v>
      </c>
      <c r="D1036" s="78">
        <v>244.63</v>
      </c>
      <c r="E1036" s="78" t="s">
        <v>850</v>
      </c>
      <c r="F1036" s="160">
        <v>65.323324396778006</v>
      </c>
      <c r="G1036" s="76" t="s">
        <v>40</v>
      </c>
      <c r="H1036" s="76">
        <f t="shared" si="17"/>
        <v>0.69867560322200006</v>
      </c>
      <c r="I1036" s="78">
        <v>-0.9</v>
      </c>
      <c r="J1036" s="161">
        <v>13.439779144005229</v>
      </c>
      <c r="K1036" s="79">
        <f t="shared" si="18"/>
        <v>2.1771191854564904</v>
      </c>
    </row>
    <row r="1037" spans="2:11" x14ac:dyDescent="0.35">
      <c r="B1037" s="149" t="s">
        <v>848</v>
      </c>
      <c r="C1037" s="6" t="s">
        <v>849</v>
      </c>
      <c r="D1037" s="78">
        <v>244.68</v>
      </c>
      <c r="E1037" s="78" t="s">
        <v>850</v>
      </c>
      <c r="F1037" s="160">
        <v>65.332958294429901</v>
      </c>
      <c r="G1037" s="76" t="s">
        <v>40</v>
      </c>
      <c r="H1037" s="76">
        <f t="shared" si="17"/>
        <v>0.68904170557010502</v>
      </c>
      <c r="I1037" s="78">
        <v>-0.77649579164040716</v>
      </c>
      <c r="J1037" s="161">
        <v>12.87780132474154</v>
      </c>
      <c r="K1037" s="79">
        <f t="shared" si="18"/>
        <v>1.6151413661928018</v>
      </c>
    </row>
    <row r="1038" spans="2:11" x14ac:dyDescent="0.35">
      <c r="B1038" s="149" t="s">
        <v>848</v>
      </c>
      <c r="C1038" s="6" t="s">
        <v>849</v>
      </c>
      <c r="D1038" s="78">
        <v>244.68</v>
      </c>
      <c r="E1038" s="78" t="s">
        <v>850</v>
      </c>
      <c r="F1038" s="160">
        <v>65.332958294429901</v>
      </c>
      <c r="G1038" s="76" t="s">
        <v>40</v>
      </c>
      <c r="H1038" s="76">
        <f t="shared" si="17"/>
        <v>0.68904170557010502</v>
      </c>
      <c r="I1038" s="78">
        <v>-0.69693085536941624</v>
      </c>
      <c r="J1038" s="161">
        <v>12.516961615213518</v>
      </c>
      <c r="K1038" s="79">
        <f t="shared" si="18"/>
        <v>1.2543016566647793</v>
      </c>
    </row>
    <row r="1039" spans="2:11" x14ac:dyDescent="0.35">
      <c r="B1039" s="149" t="s">
        <v>848</v>
      </c>
      <c r="C1039" s="6" t="s">
        <v>849</v>
      </c>
      <c r="D1039" s="78">
        <v>244.68</v>
      </c>
      <c r="E1039" s="78" t="s">
        <v>850</v>
      </c>
      <c r="F1039" s="160">
        <v>65.332958294429901</v>
      </c>
      <c r="G1039" s="76" t="s">
        <v>40</v>
      </c>
      <c r="H1039" s="76">
        <f t="shared" si="17"/>
        <v>0.68904170557010502</v>
      </c>
      <c r="I1039" s="78">
        <v>-0.58120919489428147</v>
      </c>
      <c r="J1039" s="161">
        <v>11.993818468378777</v>
      </c>
      <c r="K1039" s="79">
        <f t="shared" si="18"/>
        <v>0.73115850983003838</v>
      </c>
    </row>
    <row r="1040" spans="2:11" x14ac:dyDescent="0.35">
      <c r="B1040" s="149" t="s">
        <v>848</v>
      </c>
      <c r="C1040" s="6" t="s">
        <v>849</v>
      </c>
      <c r="D1040" s="78">
        <v>244.73</v>
      </c>
      <c r="E1040" s="78" t="s">
        <v>850</v>
      </c>
      <c r="F1040" s="160">
        <v>65.342592192081895</v>
      </c>
      <c r="G1040" s="76" t="s">
        <v>40</v>
      </c>
      <c r="H1040" s="76">
        <f t="shared" si="17"/>
        <v>0.67940780791811051</v>
      </c>
      <c r="I1040" s="78">
        <v>-0.51997440849844523</v>
      </c>
      <c r="J1040" s="161">
        <v>11.71779311301168</v>
      </c>
      <c r="K1040" s="79">
        <f t="shared" si="18"/>
        <v>0.455133154462942</v>
      </c>
    </row>
    <row r="1041" spans="2:11" x14ac:dyDescent="0.35">
      <c r="B1041" s="149" t="s">
        <v>848</v>
      </c>
      <c r="C1041" s="6" t="s">
        <v>849</v>
      </c>
      <c r="D1041" s="78">
        <v>244.78</v>
      </c>
      <c r="E1041" s="78" t="s">
        <v>850</v>
      </c>
      <c r="F1041" s="160">
        <v>65.352226089733804</v>
      </c>
      <c r="G1041" s="76" t="s">
        <v>40</v>
      </c>
      <c r="H1041" s="76">
        <f t="shared" si="17"/>
        <v>0.66977391026620126</v>
      </c>
      <c r="I1041" s="78">
        <v>-0.52982859523570269</v>
      </c>
      <c r="J1041" s="161">
        <v>11.762175171594095</v>
      </c>
      <c r="K1041" s="79">
        <f t="shared" si="18"/>
        <v>0.49951521304535618</v>
      </c>
    </row>
    <row r="1042" spans="2:11" x14ac:dyDescent="0.35">
      <c r="B1042" s="149" t="s">
        <v>848</v>
      </c>
      <c r="C1042" s="6" t="s">
        <v>849</v>
      </c>
      <c r="D1042" s="78">
        <v>244.83</v>
      </c>
      <c r="E1042" s="78" t="s">
        <v>850</v>
      </c>
      <c r="F1042" s="160">
        <v>65.361652826923304</v>
      </c>
      <c r="G1042" s="76" t="s">
        <v>40</v>
      </c>
      <c r="H1042" s="76">
        <f t="shared" si="17"/>
        <v>0.66034717307670121</v>
      </c>
      <c r="I1042" s="78">
        <v>-0.57089870297024492</v>
      </c>
      <c r="J1042" s="161">
        <v>11.94730368744797</v>
      </c>
      <c r="K1042" s="79">
        <f t="shared" si="18"/>
        <v>0.68464372889923197</v>
      </c>
    </row>
    <row r="1043" spans="2:11" x14ac:dyDescent="0.35">
      <c r="B1043" s="149" t="s">
        <v>848</v>
      </c>
      <c r="C1043" s="6" t="s">
        <v>849</v>
      </c>
      <c r="D1043" s="78">
        <v>244.83</v>
      </c>
      <c r="E1043" s="78" t="s">
        <v>850</v>
      </c>
      <c r="F1043" s="160">
        <v>65.361652826923304</v>
      </c>
      <c r="G1043" s="76" t="s">
        <v>40</v>
      </c>
      <c r="H1043" s="76">
        <f t="shared" si="17"/>
        <v>0.66034717307670121</v>
      </c>
      <c r="I1043" s="78">
        <v>-0.8</v>
      </c>
      <c r="J1043" s="161">
        <v>12.984576663383336</v>
      </c>
      <c r="K1043" s="79">
        <f t="shared" si="18"/>
        <v>1.721916704834598</v>
      </c>
    </row>
    <row r="1044" spans="2:11" x14ac:dyDescent="0.35">
      <c r="B1044" s="149" t="s">
        <v>848</v>
      </c>
      <c r="C1044" s="6" t="s">
        <v>849</v>
      </c>
      <c r="D1044" s="78">
        <v>244.88</v>
      </c>
      <c r="E1044" s="78" t="s">
        <v>850</v>
      </c>
      <c r="F1044" s="160">
        <v>65.371061468871602</v>
      </c>
      <c r="G1044" s="76" t="s">
        <v>40</v>
      </c>
      <c r="H1044" s="76">
        <f t="shared" si="17"/>
        <v>0.6509385311284035</v>
      </c>
      <c r="I1044" s="78">
        <v>-0.6</v>
      </c>
      <c r="J1044" s="161">
        <v>12.078631641752622</v>
      </c>
      <c r="K1044" s="79">
        <f t="shared" si="18"/>
        <v>0.81597168320388391</v>
      </c>
    </row>
    <row r="1045" spans="2:11" x14ac:dyDescent="0.35">
      <c r="B1045" s="149" t="s">
        <v>848</v>
      </c>
      <c r="C1045" s="6" t="s">
        <v>849</v>
      </c>
      <c r="D1045" s="78">
        <v>244.88</v>
      </c>
      <c r="E1045" s="78" t="s">
        <v>850</v>
      </c>
      <c r="F1045" s="160">
        <v>65.371061468871602</v>
      </c>
      <c r="G1045" s="76" t="s">
        <v>40</v>
      </c>
      <c r="H1045" s="76">
        <f t="shared" ref="H1045:H1108" si="19">66.022-F1045</f>
        <v>0.6509385311284035</v>
      </c>
      <c r="I1045" s="78">
        <v>-0.8</v>
      </c>
      <c r="J1045" s="161">
        <v>12.984576663383336</v>
      </c>
      <c r="K1045" s="79">
        <f t="shared" ref="K1045:K1108" si="20">J1045-$J$1214</f>
        <v>1.721916704834598</v>
      </c>
    </row>
    <row r="1046" spans="2:11" x14ac:dyDescent="0.35">
      <c r="B1046" s="149" t="s">
        <v>848</v>
      </c>
      <c r="C1046" s="6" t="s">
        <v>849</v>
      </c>
      <c r="D1046" s="78">
        <v>244.88</v>
      </c>
      <c r="E1046" s="78" t="s">
        <v>850</v>
      </c>
      <c r="F1046" s="160">
        <v>65.371061468871602</v>
      </c>
      <c r="G1046" s="76" t="s">
        <v>40</v>
      </c>
      <c r="H1046" s="76">
        <f t="shared" si="19"/>
        <v>0.6509385311284035</v>
      </c>
      <c r="I1046" s="78">
        <v>-0.8</v>
      </c>
      <c r="J1046" s="161">
        <v>12.984576663383336</v>
      </c>
      <c r="K1046" s="79">
        <f t="shared" si="20"/>
        <v>1.721916704834598</v>
      </c>
    </row>
    <row r="1047" spans="2:11" x14ac:dyDescent="0.35">
      <c r="B1047" s="149" t="s">
        <v>848</v>
      </c>
      <c r="C1047" s="6" t="s">
        <v>849</v>
      </c>
      <c r="D1047" s="78">
        <v>244.93</v>
      </c>
      <c r="E1047" s="78" t="s">
        <v>850</v>
      </c>
      <c r="F1047" s="160">
        <v>65.380470110819999</v>
      </c>
      <c r="G1047" s="76" t="s">
        <v>40</v>
      </c>
      <c r="H1047" s="76">
        <f t="shared" si="19"/>
        <v>0.64152988918000631</v>
      </c>
      <c r="I1047" s="78">
        <v>-0.5547211211738734</v>
      </c>
      <c r="J1047" s="161">
        <v>11.874351646222976</v>
      </c>
      <c r="K1047" s="79">
        <f t="shared" si="20"/>
        <v>0.61169168767423798</v>
      </c>
    </row>
    <row r="1048" spans="2:11" x14ac:dyDescent="0.35">
      <c r="B1048" s="149" t="s">
        <v>848</v>
      </c>
      <c r="C1048" s="6" t="s">
        <v>849</v>
      </c>
      <c r="D1048" s="78">
        <v>244.98</v>
      </c>
      <c r="E1048" s="78" t="s">
        <v>850</v>
      </c>
      <c r="F1048" s="160">
        <v>65.389878752768297</v>
      </c>
      <c r="G1048" s="76" t="s">
        <v>40</v>
      </c>
      <c r="H1048" s="76">
        <f t="shared" si="19"/>
        <v>0.63212124723170859</v>
      </c>
      <c r="I1048" s="78">
        <v>-0.65226761167652469</v>
      </c>
      <c r="J1048" s="161">
        <v>12.314817913388879</v>
      </c>
      <c r="K1048" s="79">
        <f t="shared" si="20"/>
        <v>1.0521579548401405</v>
      </c>
    </row>
    <row r="1049" spans="2:11" x14ac:dyDescent="0.35">
      <c r="B1049" s="149" t="s">
        <v>848</v>
      </c>
      <c r="C1049" s="6" t="s">
        <v>849</v>
      </c>
      <c r="D1049" s="78">
        <v>245.03</v>
      </c>
      <c r="E1049" s="78" t="s">
        <v>850</v>
      </c>
      <c r="F1049" s="160">
        <v>65.399287394716595</v>
      </c>
      <c r="G1049" s="76" t="s">
        <v>40</v>
      </c>
      <c r="H1049" s="76">
        <f t="shared" si="19"/>
        <v>0.62271260528341088</v>
      </c>
      <c r="I1049" s="78">
        <v>-0.90037830291355825</v>
      </c>
      <c r="J1049" s="161">
        <v>13.441504024821654</v>
      </c>
      <c r="K1049" s="79">
        <f t="shared" si="20"/>
        <v>2.1788440662729158</v>
      </c>
    </row>
    <row r="1050" spans="2:11" x14ac:dyDescent="0.35">
      <c r="B1050" s="149" t="s">
        <v>848</v>
      </c>
      <c r="C1050" s="6" t="s">
        <v>849</v>
      </c>
      <c r="D1050" s="78">
        <v>245.03</v>
      </c>
      <c r="E1050" s="78" t="s">
        <v>850</v>
      </c>
      <c r="F1050" s="160">
        <v>65.399287394716595</v>
      </c>
      <c r="G1050" s="76" t="s">
        <v>40</v>
      </c>
      <c r="H1050" s="76">
        <f t="shared" si="19"/>
        <v>0.62271260528341088</v>
      </c>
      <c r="I1050" s="78">
        <v>-0.6</v>
      </c>
      <c r="J1050" s="161">
        <v>12.078631641752622</v>
      </c>
      <c r="K1050" s="79">
        <f t="shared" si="20"/>
        <v>0.81597168320388391</v>
      </c>
    </row>
    <row r="1051" spans="2:11" x14ac:dyDescent="0.35">
      <c r="B1051" s="149" t="s">
        <v>848</v>
      </c>
      <c r="C1051" s="6" t="s">
        <v>849</v>
      </c>
      <c r="D1051" s="78">
        <v>245.08</v>
      </c>
      <c r="E1051" s="78" t="s">
        <v>850</v>
      </c>
      <c r="F1051" s="160">
        <v>65.408696036664907</v>
      </c>
      <c r="G1051" s="76" t="s">
        <v>40</v>
      </c>
      <c r="H1051" s="76">
        <f t="shared" si="19"/>
        <v>0.61330396333509896</v>
      </c>
      <c r="I1051" s="78">
        <v>-0.84669422275517903</v>
      </c>
      <c r="J1051" s="161">
        <v>13.196944156594839</v>
      </c>
      <c r="K1051" s="79">
        <f t="shared" si="20"/>
        <v>1.9342841980461003</v>
      </c>
    </row>
    <row r="1052" spans="2:11" x14ac:dyDescent="0.35">
      <c r="B1052" s="149" t="s">
        <v>848</v>
      </c>
      <c r="C1052" s="6" t="s">
        <v>849</v>
      </c>
      <c r="D1052" s="78">
        <v>245.13</v>
      </c>
      <c r="E1052" s="78" t="s">
        <v>850</v>
      </c>
      <c r="F1052" s="160">
        <v>65.418104678613204</v>
      </c>
      <c r="G1052" s="76" t="s">
        <v>40</v>
      </c>
      <c r="H1052" s="76">
        <f t="shared" si="19"/>
        <v>0.60389532138680124</v>
      </c>
      <c r="I1052" s="78">
        <v>-0.68464361204665636</v>
      </c>
      <c r="J1052" s="161">
        <v>12.46132069886778</v>
      </c>
      <c r="K1052" s="79">
        <f t="shared" si="20"/>
        <v>1.1986607403190419</v>
      </c>
    </row>
    <row r="1053" spans="2:11" x14ac:dyDescent="0.35">
      <c r="B1053" s="149" t="s">
        <v>848</v>
      </c>
      <c r="C1053" s="6" t="s">
        <v>849</v>
      </c>
      <c r="D1053" s="78">
        <v>245.18</v>
      </c>
      <c r="E1053" s="78" t="s">
        <v>850</v>
      </c>
      <c r="F1053" s="160">
        <v>65.427513320561602</v>
      </c>
      <c r="G1053" s="76" t="s">
        <v>40</v>
      </c>
      <c r="H1053" s="76">
        <f t="shared" si="19"/>
        <v>0.59448667943840405</v>
      </c>
      <c r="I1053" s="78">
        <v>-0.56752079641419328</v>
      </c>
      <c r="J1053" s="161">
        <v>11.932067995247621</v>
      </c>
      <c r="K1053" s="79">
        <f t="shared" si="20"/>
        <v>0.66940803669888282</v>
      </c>
    </row>
    <row r="1054" spans="2:11" x14ac:dyDescent="0.35">
      <c r="B1054" s="149" t="s">
        <v>848</v>
      </c>
      <c r="C1054" s="6" t="s">
        <v>849</v>
      </c>
      <c r="D1054" s="78">
        <v>245.23</v>
      </c>
      <c r="E1054" s="78" t="s">
        <v>850</v>
      </c>
      <c r="F1054" s="160">
        <v>65.436921962509899</v>
      </c>
      <c r="G1054" s="76" t="s">
        <v>40</v>
      </c>
      <c r="H1054" s="76">
        <f t="shared" si="19"/>
        <v>0.58507803749010634</v>
      </c>
      <c r="I1054" s="78">
        <v>-0.50596683688847266</v>
      </c>
      <c r="J1054" s="161">
        <v>11.654729258767361</v>
      </c>
      <c r="K1054" s="79">
        <f t="shared" si="20"/>
        <v>0.39206930021862263</v>
      </c>
    </row>
    <row r="1055" spans="2:11" x14ac:dyDescent="0.35">
      <c r="B1055" s="149" t="s">
        <v>848</v>
      </c>
      <c r="C1055" s="6" t="s">
        <v>849</v>
      </c>
      <c r="D1055" s="78">
        <v>245.23</v>
      </c>
      <c r="E1055" s="78" t="s">
        <v>850</v>
      </c>
      <c r="F1055" s="160">
        <v>65.436921962509899</v>
      </c>
      <c r="G1055" s="76" t="s">
        <v>40</v>
      </c>
      <c r="H1055" s="76">
        <f t="shared" si="19"/>
        <v>0.58507803749010634</v>
      </c>
      <c r="I1055" s="78">
        <v>-0.8</v>
      </c>
      <c r="J1055" s="161">
        <v>12.984576663383336</v>
      </c>
      <c r="K1055" s="79">
        <f t="shared" si="20"/>
        <v>1.721916704834598</v>
      </c>
    </row>
    <row r="1056" spans="2:11" x14ac:dyDescent="0.35">
      <c r="B1056" s="149" t="s">
        <v>848</v>
      </c>
      <c r="C1056" s="6" t="s">
        <v>849</v>
      </c>
      <c r="D1056" s="78">
        <v>245.28</v>
      </c>
      <c r="E1056" s="78" t="s">
        <v>850</v>
      </c>
      <c r="F1056" s="160">
        <v>65.446330604458197</v>
      </c>
      <c r="G1056" s="76" t="s">
        <v>40</v>
      </c>
      <c r="H1056" s="76">
        <f t="shared" si="19"/>
        <v>0.57566939554180863</v>
      </c>
      <c r="I1056" s="78">
        <v>-0.69501726829453503</v>
      </c>
      <c r="J1056" s="161">
        <v>12.508294756434225</v>
      </c>
      <c r="K1056" s="79">
        <f t="shared" si="20"/>
        <v>1.2456347978854865</v>
      </c>
    </row>
    <row r="1057" spans="2:11" x14ac:dyDescent="0.35">
      <c r="B1057" s="149" t="s">
        <v>848</v>
      </c>
      <c r="C1057" s="6" t="s">
        <v>849</v>
      </c>
      <c r="D1057" s="78">
        <v>245.33</v>
      </c>
      <c r="E1057" s="78" t="s">
        <v>850</v>
      </c>
      <c r="F1057" s="160">
        <v>65.455739246406495</v>
      </c>
      <c r="G1057" s="76" t="s">
        <v>40</v>
      </c>
      <c r="H1057" s="76">
        <f t="shared" si="19"/>
        <v>0.56626075359351091</v>
      </c>
      <c r="I1057" s="78">
        <v>-0.40092914941970292</v>
      </c>
      <c r="J1057" s="161">
        <v>11.182752638489319</v>
      </c>
      <c r="K1057" s="79">
        <f t="shared" si="20"/>
        <v>-7.9907320059419362E-2</v>
      </c>
    </row>
    <row r="1058" spans="2:11" x14ac:dyDescent="0.35">
      <c r="B1058" s="149" t="s">
        <v>848</v>
      </c>
      <c r="C1058" s="6" t="s">
        <v>849</v>
      </c>
      <c r="D1058" s="78">
        <v>245.38</v>
      </c>
      <c r="E1058" s="78" t="s">
        <v>850</v>
      </c>
      <c r="F1058" s="160">
        <v>65.465147888354807</v>
      </c>
      <c r="G1058" s="76" t="s">
        <v>40</v>
      </c>
      <c r="H1058" s="76">
        <f t="shared" si="19"/>
        <v>0.55685211164519899</v>
      </c>
      <c r="I1058" s="78">
        <v>-0.33171411696941888</v>
      </c>
      <c r="J1058" s="161">
        <v>10.872622735085145</v>
      </c>
      <c r="K1058" s="79">
        <f t="shared" si="20"/>
        <v>-0.39003722346359382</v>
      </c>
    </row>
    <row r="1059" spans="2:11" x14ac:dyDescent="0.35">
      <c r="B1059" s="149" t="s">
        <v>848</v>
      </c>
      <c r="C1059" s="6" t="s">
        <v>849</v>
      </c>
      <c r="D1059" s="78">
        <v>245.4</v>
      </c>
      <c r="E1059" s="78" t="s">
        <v>850</v>
      </c>
      <c r="F1059" s="160">
        <v>65.468911345134202</v>
      </c>
      <c r="G1059" s="76" t="s">
        <v>40</v>
      </c>
      <c r="H1059" s="76">
        <f t="shared" si="19"/>
        <v>0.55308865486580316</v>
      </c>
      <c r="I1059" s="78">
        <v>-0.32690800094681777</v>
      </c>
      <c r="J1059" s="161">
        <v>10.851114016241581</v>
      </c>
      <c r="K1059" s="79">
        <f t="shared" si="20"/>
        <v>-0.41154594230715702</v>
      </c>
    </row>
    <row r="1060" spans="2:11" x14ac:dyDescent="0.35">
      <c r="B1060" s="149" t="s">
        <v>848</v>
      </c>
      <c r="C1060" s="6" t="s">
        <v>849</v>
      </c>
      <c r="D1060" s="78">
        <v>245.4</v>
      </c>
      <c r="E1060" s="78" t="s">
        <v>850</v>
      </c>
      <c r="F1060" s="160">
        <v>65.468911345134202</v>
      </c>
      <c r="G1060" s="76" t="s">
        <v>40</v>
      </c>
      <c r="H1060" s="76">
        <f t="shared" si="19"/>
        <v>0.55308865486580316</v>
      </c>
      <c r="I1060" s="78">
        <v>-0.5</v>
      </c>
      <c r="J1060" s="161">
        <v>11.627874554256493</v>
      </c>
      <c r="K1060" s="79">
        <f t="shared" si="20"/>
        <v>0.36521459570775505</v>
      </c>
    </row>
    <row r="1061" spans="2:11" x14ac:dyDescent="0.35">
      <c r="B1061" s="149" t="s">
        <v>848</v>
      </c>
      <c r="C1061" s="6" t="s">
        <v>849</v>
      </c>
      <c r="D1061" s="78">
        <v>245.42</v>
      </c>
      <c r="E1061" s="78" t="s">
        <v>850</v>
      </c>
      <c r="F1061" s="160">
        <v>65.472674801913499</v>
      </c>
      <c r="G1061" s="76" t="s">
        <v>40</v>
      </c>
      <c r="H1061" s="76">
        <f t="shared" si="19"/>
        <v>0.54932519808650682</v>
      </c>
      <c r="I1061" s="78">
        <v>-0.48371696918519902</v>
      </c>
      <c r="J1061" s="161">
        <v>11.554616743499253</v>
      </c>
      <c r="K1061" s="79">
        <f t="shared" si="20"/>
        <v>0.29195678495051425</v>
      </c>
    </row>
    <row r="1062" spans="2:11" x14ac:dyDescent="0.35">
      <c r="B1062" s="149" t="s">
        <v>848</v>
      </c>
      <c r="C1062" s="6" t="s">
        <v>849</v>
      </c>
      <c r="D1062" s="78">
        <v>245.44</v>
      </c>
      <c r="E1062" s="78" t="s">
        <v>850</v>
      </c>
      <c r="F1062" s="160">
        <v>65.476438258692795</v>
      </c>
      <c r="G1062" s="76" t="s">
        <v>40</v>
      </c>
      <c r="H1062" s="76">
        <f t="shared" si="19"/>
        <v>0.54556174130721047</v>
      </c>
      <c r="I1062" s="78">
        <v>-0.298501883359652</v>
      </c>
      <c r="J1062" s="161">
        <v>10.724057269942307</v>
      </c>
      <c r="K1062" s="79">
        <f t="shared" si="20"/>
        <v>-0.53860268860643146</v>
      </c>
    </row>
    <row r="1063" spans="2:11" x14ac:dyDescent="0.35">
      <c r="B1063" s="149" t="s">
        <v>848</v>
      </c>
      <c r="C1063" s="6" t="s">
        <v>849</v>
      </c>
      <c r="D1063" s="78">
        <v>245.46</v>
      </c>
      <c r="E1063" s="78" t="s">
        <v>850</v>
      </c>
      <c r="F1063" s="160">
        <v>65.480201715472106</v>
      </c>
      <c r="G1063" s="76" t="s">
        <v>40</v>
      </c>
      <c r="H1063" s="76">
        <f t="shared" si="19"/>
        <v>0.54179828452789991</v>
      </c>
      <c r="I1063" s="78">
        <v>-0.2655465977833309</v>
      </c>
      <c r="J1063" s="161">
        <v>10.576799602888627</v>
      </c>
      <c r="K1063" s="79">
        <f t="shared" si="20"/>
        <v>-0.68586035566011105</v>
      </c>
    </row>
    <row r="1064" spans="2:11" x14ac:dyDescent="0.35">
      <c r="B1064" s="149" t="s">
        <v>848</v>
      </c>
      <c r="C1064" s="6" t="s">
        <v>849</v>
      </c>
      <c r="D1064" s="78">
        <v>245.48</v>
      </c>
      <c r="E1064" s="78" t="s">
        <v>850</v>
      </c>
      <c r="F1064" s="160">
        <v>65.483965172251501</v>
      </c>
      <c r="G1064" s="76" t="s">
        <v>40</v>
      </c>
      <c r="H1064" s="76">
        <f t="shared" si="19"/>
        <v>0.53803482774850409</v>
      </c>
      <c r="I1064" s="78">
        <v>-0.17336823901109913</v>
      </c>
      <c r="J1064" s="161">
        <v>10.16574488774296</v>
      </c>
      <c r="K1064" s="79">
        <f t="shared" si="20"/>
        <v>-1.0969150708057782</v>
      </c>
    </row>
    <row r="1065" spans="2:11" x14ac:dyDescent="0.35">
      <c r="B1065" s="149" t="s">
        <v>848</v>
      </c>
      <c r="C1065" s="6" t="s">
        <v>849</v>
      </c>
      <c r="D1065" s="78">
        <v>245.48</v>
      </c>
      <c r="E1065" s="78" t="s">
        <v>850</v>
      </c>
      <c r="F1065" s="160">
        <v>65.483965172251501</v>
      </c>
      <c r="G1065" s="76" t="s">
        <v>40</v>
      </c>
      <c r="H1065" s="76">
        <f t="shared" si="19"/>
        <v>0.53803482774850409</v>
      </c>
      <c r="I1065" s="78">
        <v>-0.4</v>
      </c>
      <c r="J1065" s="161">
        <v>11.178584796933194</v>
      </c>
      <c r="K1065" s="79">
        <f t="shared" si="20"/>
        <v>-8.4075161615544403E-2</v>
      </c>
    </row>
    <row r="1066" spans="2:11" x14ac:dyDescent="0.35">
      <c r="B1066" s="149" t="s">
        <v>848</v>
      </c>
      <c r="C1066" s="6" t="s">
        <v>849</v>
      </c>
      <c r="D1066" s="78">
        <v>245.5</v>
      </c>
      <c r="E1066" s="78" t="s">
        <v>850</v>
      </c>
      <c r="F1066" s="160">
        <v>65.487728629030798</v>
      </c>
      <c r="G1066" s="76" t="s">
        <v>40</v>
      </c>
      <c r="H1066" s="76">
        <f t="shared" si="19"/>
        <v>0.53427137096920774</v>
      </c>
      <c r="I1066" s="78">
        <v>-0.26899235636293639</v>
      </c>
      <c r="J1066" s="161">
        <v>10.592189279120873</v>
      </c>
      <c r="K1066" s="79">
        <f t="shared" si="20"/>
        <v>-0.67047067942786498</v>
      </c>
    </row>
    <row r="1067" spans="2:11" x14ac:dyDescent="0.35">
      <c r="B1067" s="149" t="s">
        <v>848</v>
      </c>
      <c r="C1067" s="6" t="s">
        <v>849</v>
      </c>
      <c r="D1067" s="78">
        <v>245.52</v>
      </c>
      <c r="E1067" s="78" t="s">
        <v>850</v>
      </c>
      <c r="F1067" s="160">
        <v>65.491492085810094</v>
      </c>
      <c r="G1067" s="76" t="s">
        <v>40</v>
      </c>
      <c r="H1067" s="76">
        <f t="shared" si="19"/>
        <v>0.53050791418991139</v>
      </c>
      <c r="I1067" s="78">
        <v>-0.19295244891419472</v>
      </c>
      <c r="J1067" s="161">
        <v>10.252974711766342</v>
      </c>
      <c r="K1067" s="79">
        <f t="shared" si="20"/>
        <v>-1.0096852467823965</v>
      </c>
    </row>
    <row r="1068" spans="2:11" x14ac:dyDescent="0.35">
      <c r="B1068" s="149" t="s">
        <v>848</v>
      </c>
      <c r="C1068" s="6" t="s">
        <v>849</v>
      </c>
      <c r="D1068" s="78">
        <v>245.54</v>
      </c>
      <c r="E1068" s="78" t="s">
        <v>850</v>
      </c>
      <c r="F1068" s="160">
        <v>65.495255542589504</v>
      </c>
      <c r="G1068" s="76" t="s">
        <v>40</v>
      </c>
      <c r="H1068" s="76">
        <f t="shared" si="19"/>
        <v>0.52674445741050135</v>
      </c>
      <c r="I1068" s="78">
        <v>-0.3721713830991753</v>
      </c>
      <c r="J1068" s="161">
        <v>11.053813690150776</v>
      </c>
      <c r="K1068" s="79">
        <f t="shared" si="20"/>
        <v>-0.20884626839796283</v>
      </c>
    </row>
    <row r="1069" spans="2:11" x14ac:dyDescent="0.35">
      <c r="B1069" s="149" t="s">
        <v>848</v>
      </c>
      <c r="C1069" s="6" t="s">
        <v>849</v>
      </c>
      <c r="D1069" s="78">
        <v>245.54</v>
      </c>
      <c r="E1069" s="78" t="s">
        <v>850</v>
      </c>
      <c r="F1069" s="160">
        <v>65.495255542589504</v>
      </c>
      <c r="G1069" s="76" t="s">
        <v>40</v>
      </c>
      <c r="H1069" s="76">
        <f t="shared" si="19"/>
        <v>0.52674445741050135</v>
      </c>
      <c r="I1069" s="78">
        <v>-0.27572808030157869</v>
      </c>
      <c r="J1069" s="161">
        <v>10.622277792802493</v>
      </c>
      <c r="K1069" s="79">
        <f t="shared" si="20"/>
        <v>-0.64038216574624585</v>
      </c>
    </row>
    <row r="1070" spans="2:11" x14ac:dyDescent="0.35">
      <c r="B1070" s="149" t="s">
        <v>848</v>
      </c>
      <c r="C1070" s="6" t="s">
        <v>849</v>
      </c>
      <c r="D1070" s="78">
        <v>245.54</v>
      </c>
      <c r="E1070" s="78" t="s">
        <v>850</v>
      </c>
      <c r="F1070" s="160">
        <v>65.495255542589504</v>
      </c>
      <c r="G1070" s="76" t="s">
        <v>40</v>
      </c>
      <c r="H1070" s="76">
        <f t="shared" si="19"/>
        <v>0.52674445741050135</v>
      </c>
      <c r="I1070" s="78">
        <v>-0.6</v>
      </c>
      <c r="J1070" s="161">
        <v>12.078631641752622</v>
      </c>
      <c r="K1070" s="79">
        <f t="shared" si="20"/>
        <v>0.81597168320388391</v>
      </c>
    </row>
    <row r="1071" spans="2:11" x14ac:dyDescent="0.35">
      <c r="B1071" s="149" t="s">
        <v>848</v>
      </c>
      <c r="C1071" s="6" t="s">
        <v>849</v>
      </c>
      <c r="D1071" s="78">
        <v>245.56</v>
      </c>
      <c r="E1071" s="78" t="s">
        <v>850</v>
      </c>
      <c r="F1071" s="160">
        <v>65.499018999368801</v>
      </c>
      <c r="G1071" s="76" t="s">
        <v>40</v>
      </c>
      <c r="H1071" s="76">
        <f t="shared" si="19"/>
        <v>0.52298100063120501</v>
      </c>
      <c r="I1071" s="78">
        <v>-0.1956265424496115</v>
      </c>
      <c r="J1071" s="161">
        <v>10.264889664443444</v>
      </c>
      <c r="K1071" s="79">
        <f t="shared" si="20"/>
        <v>-0.99777029410529394</v>
      </c>
    </row>
    <row r="1072" spans="2:11" x14ac:dyDescent="0.35">
      <c r="B1072" s="149" t="s">
        <v>848</v>
      </c>
      <c r="C1072" s="6" t="s">
        <v>849</v>
      </c>
      <c r="D1072" s="78">
        <v>245.56</v>
      </c>
      <c r="E1072" s="78" t="s">
        <v>850</v>
      </c>
      <c r="F1072" s="160">
        <v>65.499018999368801</v>
      </c>
      <c r="G1072" s="76" t="s">
        <v>40</v>
      </c>
      <c r="H1072" s="76">
        <f t="shared" si="19"/>
        <v>0.52298100063120501</v>
      </c>
      <c r="I1072" s="78">
        <v>-0.4</v>
      </c>
      <c r="J1072" s="161">
        <v>11.178584796933194</v>
      </c>
      <c r="K1072" s="79">
        <f t="shared" si="20"/>
        <v>-8.4075161615544403E-2</v>
      </c>
    </row>
    <row r="1073" spans="2:11" x14ac:dyDescent="0.35">
      <c r="B1073" s="149" t="s">
        <v>848</v>
      </c>
      <c r="C1073" s="6" t="s">
        <v>849</v>
      </c>
      <c r="D1073" s="78">
        <v>245.58</v>
      </c>
      <c r="E1073" s="78" t="s">
        <v>850</v>
      </c>
      <c r="F1073" s="160">
        <v>65.502782456148097</v>
      </c>
      <c r="G1073" s="76" t="s">
        <v>40</v>
      </c>
      <c r="H1073" s="76">
        <f t="shared" si="19"/>
        <v>0.51921754385190866</v>
      </c>
      <c r="I1073" s="78">
        <v>-0.5236001524297933</v>
      </c>
      <c r="J1073" s="161">
        <v>11.734121363912493</v>
      </c>
      <c r="K1073" s="79">
        <f t="shared" si="20"/>
        <v>0.47146140536375469</v>
      </c>
    </row>
    <row r="1074" spans="2:11" x14ac:dyDescent="0.35">
      <c r="B1074" s="149" t="s">
        <v>848</v>
      </c>
      <c r="C1074" s="6" t="s">
        <v>849</v>
      </c>
      <c r="D1074" s="78">
        <v>245.58</v>
      </c>
      <c r="E1074" s="78" t="s">
        <v>850</v>
      </c>
      <c r="F1074" s="160">
        <v>65.502782456148097</v>
      </c>
      <c r="G1074" s="76" t="s">
        <v>40</v>
      </c>
      <c r="H1074" s="76">
        <f t="shared" si="19"/>
        <v>0.51921754385190866</v>
      </c>
      <c r="I1074" s="78">
        <v>-0.28593570990395323</v>
      </c>
      <c r="J1074" s="161">
        <v>10.667887878352872</v>
      </c>
      <c r="K1074" s="79">
        <f t="shared" si="20"/>
        <v>-0.59477208019586669</v>
      </c>
    </row>
    <row r="1075" spans="2:11" x14ac:dyDescent="0.35">
      <c r="B1075" s="149" t="s">
        <v>848</v>
      </c>
      <c r="C1075" s="6" t="s">
        <v>849</v>
      </c>
      <c r="D1075" s="78">
        <v>245.58</v>
      </c>
      <c r="E1075" s="78" t="s">
        <v>850</v>
      </c>
      <c r="F1075" s="160">
        <v>65.502782456148097</v>
      </c>
      <c r="G1075" s="76" t="s">
        <v>40</v>
      </c>
      <c r="H1075" s="76">
        <f t="shared" si="19"/>
        <v>0.51921754385190866</v>
      </c>
      <c r="I1075" s="78">
        <v>-0.5</v>
      </c>
      <c r="J1075" s="161">
        <v>11.627874554256493</v>
      </c>
      <c r="K1075" s="79">
        <f t="shared" si="20"/>
        <v>0.36521459570775505</v>
      </c>
    </row>
    <row r="1076" spans="2:11" x14ac:dyDescent="0.35">
      <c r="B1076" s="149" t="s">
        <v>848</v>
      </c>
      <c r="C1076" s="6" t="s">
        <v>849</v>
      </c>
      <c r="D1076" s="78">
        <v>245.6</v>
      </c>
      <c r="E1076" s="78" t="s">
        <v>850</v>
      </c>
      <c r="F1076" s="160">
        <v>65.506545912927507</v>
      </c>
      <c r="G1076" s="76" t="s">
        <v>40</v>
      </c>
      <c r="H1076" s="76">
        <f t="shared" si="19"/>
        <v>0.51545408707249862</v>
      </c>
      <c r="I1076" s="78">
        <v>-0.38098755779740756</v>
      </c>
      <c r="J1076" s="161">
        <v>11.093329257388064</v>
      </c>
      <c r="K1076" s="79">
        <f t="shared" si="20"/>
        <v>-0.16933070116067483</v>
      </c>
    </row>
    <row r="1077" spans="2:11" x14ac:dyDescent="0.35">
      <c r="B1077" s="149" t="s">
        <v>848</v>
      </c>
      <c r="C1077" s="6" t="s">
        <v>849</v>
      </c>
      <c r="D1077" s="78">
        <v>245.6</v>
      </c>
      <c r="E1077" s="78" t="s">
        <v>850</v>
      </c>
      <c r="F1077" s="160">
        <v>65.506545912927507</v>
      </c>
      <c r="G1077" s="76" t="s">
        <v>40</v>
      </c>
      <c r="H1077" s="76">
        <f t="shared" si="19"/>
        <v>0.51545408707249862</v>
      </c>
      <c r="I1077" s="78">
        <v>-0.35030048545225995</v>
      </c>
      <c r="J1077" s="161">
        <v>10.955833597636968</v>
      </c>
      <c r="K1077" s="79">
        <f t="shared" si="20"/>
        <v>-0.30682636091177073</v>
      </c>
    </row>
    <row r="1078" spans="2:11" x14ac:dyDescent="0.35">
      <c r="B1078" s="149" t="s">
        <v>848</v>
      </c>
      <c r="C1078" s="6" t="s">
        <v>849</v>
      </c>
      <c r="D1078" s="78">
        <v>245.6</v>
      </c>
      <c r="E1078" s="78" t="s">
        <v>850</v>
      </c>
      <c r="F1078" s="160">
        <v>65.506545912927507</v>
      </c>
      <c r="G1078" s="76" t="s">
        <v>40</v>
      </c>
      <c r="H1078" s="76">
        <f t="shared" si="19"/>
        <v>0.51545408707249862</v>
      </c>
      <c r="I1078" s="78">
        <v>-0.5</v>
      </c>
      <c r="J1078" s="161">
        <v>11.627874554256493</v>
      </c>
      <c r="K1078" s="79">
        <f t="shared" si="20"/>
        <v>0.36521459570775505</v>
      </c>
    </row>
    <row r="1079" spans="2:11" x14ac:dyDescent="0.35">
      <c r="B1079" s="149" t="s">
        <v>848</v>
      </c>
      <c r="C1079" s="6" t="s">
        <v>849</v>
      </c>
      <c r="D1079" s="78">
        <v>245.62</v>
      </c>
      <c r="E1079" s="78" t="s">
        <v>850</v>
      </c>
      <c r="F1079" s="160">
        <v>65.510309369706803</v>
      </c>
      <c r="G1079" s="76" t="s">
        <v>40</v>
      </c>
      <c r="H1079" s="76">
        <f t="shared" si="19"/>
        <v>0.51169063029320228</v>
      </c>
      <c r="I1079" s="78">
        <v>-0.48285789764976339</v>
      </c>
      <c r="J1079" s="161">
        <v>11.55075283647426</v>
      </c>
      <c r="K1079" s="79">
        <f t="shared" si="20"/>
        <v>0.28809287792552141</v>
      </c>
    </row>
    <row r="1080" spans="2:11" x14ac:dyDescent="0.35">
      <c r="B1080" s="149" t="s">
        <v>848</v>
      </c>
      <c r="C1080" s="6" t="s">
        <v>849</v>
      </c>
      <c r="D1080" s="78">
        <v>245.62</v>
      </c>
      <c r="E1080" s="78" t="s">
        <v>850</v>
      </c>
      <c r="F1080" s="160">
        <v>65.510309369706803</v>
      </c>
      <c r="G1080" s="76" t="s">
        <v>40</v>
      </c>
      <c r="H1080" s="76">
        <f t="shared" si="19"/>
        <v>0.51169063029320228</v>
      </c>
      <c r="I1080" s="78">
        <v>-0.33287835484357942</v>
      </c>
      <c r="J1080" s="161">
        <v>10.877833532268653</v>
      </c>
      <c r="K1080" s="79">
        <f t="shared" si="20"/>
        <v>-0.38482642628008534</v>
      </c>
    </row>
    <row r="1081" spans="2:11" x14ac:dyDescent="0.35">
      <c r="B1081" s="149" t="s">
        <v>848</v>
      </c>
      <c r="C1081" s="6" t="s">
        <v>849</v>
      </c>
      <c r="D1081" s="78">
        <v>245.62</v>
      </c>
      <c r="E1081" s="78" t="s">
        <v>850</v>
      </c>
      <c r="F1081" s="160">
        <v>65.510309369706803</v>
      </c>
      <c r="G1081" s="76" t="s">
        <v>40</v>
      </c>
      <c r="H1081" s="76">
        <f t="shared" si="19"/>
        <v>0.51169063029320228</v>
      </c>
      <c r="I1081" s="78">
        <v>-0.5</v>
      </c>
      <c r="J1081" s="161">
        <v>11.627874554256493</v>
      </c>
      <c r="K1081" s="79">
        <f t="shared" si="20"/>
        <v>0.36521459570775505</v>
      </c>
    </row>
    <row r="1082" spans="2:11" x14ac:dyDescent="0.35">
      <c r="B1082" s="149" t="s">
        <v>848</v>
      </c>
      <c r="C1082" s="6" t="s">
        <v>849</v>
      </c>
      <c r="D1082" s="78">
        <v>245.64</v>
      </c>
      <c r="E1082" s="78" t="s">
        <v>850</v>
      </c>
      <c r="F1082" s="160">
        <v>65.5140728264861</v>
      </c>
      <c r="G1082" s="76" t="s">
        <v>40</v>
      </c>
      <c r="H1082" s="76">
        <f t="shared" si="19"/>
        <v>0.50792717351390593</v>
      </c>
      <c r="I1082" s="78">
        <v>-0.5</v>
      </c>
      <c r="J1082" s="161">
        <v>11.627874554256493</v>
      </c>
      <c r="K1082" s="79">
        <f t="shared" si="20"/>
        <v>0.36521459570775505</v>
      </c>
    </row>
    <row r="1083" spans="2:11" x14ac:dyDescent="0.35">
      <c r="B1083" s="149" t="s">
        <v>848</v>
      </c>
      <c r="C1083" s="6" t="s">
        <v>849</v>
      </c>
      <c r="D1083" s="78">
        <v>245.66</v>
      </c>
      <c r="E1083" s="78" t="s">
        <v>850</v>
      </c>
      <c r="F1083" s="160">
        <v>65.517836283265396</v>
      </c>
      <c r="G1083" s="76" t="s">
        <v>40</v>
      </c>
      <c r="H1083" s="76">
        <f t="shared" si="19"/>
        <v>0.50416371673460958</v>
      </c>
      <c r="I1083" s="78">
        <v>-0.48210552743805479</v>
      </c>
      <c r="J1083" s="161">
        <v>11.547368936441956</v>
      </c>
      <c r="K1083" s="79">
        <f t="shared" si="20"/>
        <v>0.28470897789321725</v>
      </c>
    </row>
    <row r="1084" spans="2:11" x14ac:dyDescent="0.35">
      <c r="B1084" s="149" t="s">
        <v>848</v>
      </c>
      <c r="C1084" s="6" t="s">
        <v>849</v>
      </c>
      <c r="D1084" s="78">
        <v>245.66</v>
      </c>
      <c r="E1084" s="78" t="s">
        <v>850</v>
      </c>
      <c r="F1084" s="160">
        <v>65.517836283265396</v>
      </c>
      <c r="G1084" s="76" t="s">
        <v>40</v>
      </c>
      <c r="H1084" s="76">
        <f t="shared" si="19"/>
        <v>0.50416371673460958</v>
      </c>
      <c r="I1084" s="78">
        <v>-0.5</v>
      </c>
      <c r="J1084" s="161">
        <v>11.627874554256493</v>
      </c>
      <c r="K1084" s="79">
        <f t="shared" si="20"/>
        <v>0.36521459570775505</v>
      </c>
    </row>
    <row r="1085" spans="2:11" x14ac:dyDescent="0.35">
      <c r="B1085" s="149" t="s">
        <v>848</v>
      </c>
      <c r="C1085" s="6" t="s">
        <v>849</v>
      </c>
      <c r="D1085" s="78">
        <v>245.68</v>
      </c>
      <c r="E1085" s="78" t="s">
        <v>850</v>
      </c>
      <c r="F1085" s="160">
        <v>65.521599740044806</v>
      </c>
      <c r="G1085" s="76" t="s">
        <v>40</v>
      </c>
      <c r="H1085" s="76">
        <f t="shared" si="19"/>
        <v>0.50040025995519954</v>
      </c>
      <c r="I1085" s="78">
        <v>-0.48753639455085207</v>
      </c>
      <c r="J1085" s="161">
        <v>11.57179695409485</v>
      </c>
      <c r="K1085" s="79">
        <f t="shared" si="20"/>
        <v>0.30913699554611185</v>
      </c>
    </row>
    <row r="1086" spans="2:11" x14ac:dyDescent="0.35">
      <c r="B1086" s="149" t="s">
        <v>848</v>
      </c>
      <c r="C1086" s="6" t="s">
        <v>849</v>
      </c>
      <c r="D1086" s="78">
        <v>245.68</v>
      </c>
      <c r="E1086" s="78" t="s">
        <v>850</v>
      </c>
      <c r="F1086" s="160">
        <v>65.521599740044806</v>
      </c>
      <c r="G1086" s="76" t="s">
        <v>40</v>
      </c>
      <c r="H1086" s="76">
        <f t="shared" si="19"/>
        <v>0.50040025995519954</v>
      </c>
      <c r="I1086" s="78">
        <v>-0.2705030830009818</v>
      </c>
      <c r="J1086" s="161">
        <v>10.598937130128888</v>
      </c>
      <c r="K1086" s="79">
        <f t="shared" si="20"/>
        <v>-0.66372282841984998</v>
      </c>
    </row>
    <row r="1087" spans="2:11" x14ac:dyDescent="0.35">
      <c r="B1087" s="149" t="s">
        <v>848</v>
      </c>
      <c r="C1087" s="6" t="s">
        <v>849</v>
      </c>
      <c r="D1087" s="78">
        <v>245.68</v>
      </c>
      <c r="E1087" s="78" t="s">
        <v>850</v>
      </c>
      <c r="F1087" s="160">
        <v>65.521599740044806</v>
      </c>
      <c r="G1087" s="76" t="s">
        <v>40</v>
      </c>
      <c r="H1087" s="76">
        <f t="shared" si="19"/>
        <v>0.50040025995519954</v>
      </c>
      <c r="I1087" s="78">
        <v>-0.5</v>
      </c>
      <c r="J1087" s="161">
        <v>11.627874554256493</v>
      </c>
      <c r="K1087" s="79">
        <f t="shared" si="20"/>
        <v>0.36521459570775505</v>
      </c>
    </row>
    <row r="1088" spans="2:11" x14ac:dyDescent="0.35">
      <c r="B1088" s="149" t="s">
        <v>848</v>
      </c>
      <c r="C1088" s="6" t="s">
        <v>849</v>
      </c>
      <c r="D1088" s="78">
        <v>245.7</v>
      </c>
      <c r="E1088" s="78" t="s">
        <v>850</v>
      </c>
      <c r="F1088" s="160">
        <v>65.525363196824102</v>
      </c>
      <c r="G1088" s="76" t="s">
        <v>40</v>
      </c>
      <c r="H1088" s="76">
        <f t="shared" si="19"/>
        <v>0.4966368031759032</v>
      </c>
      <c r="I1088" s="78">
        <v>-0.2223727766137209</v>
      </c>
      <c r="J1088" s="161">
        <v>10.384119702828798</v>
      </c>
      <c r="K1088" s="79">
        <f t="shared" si="20"/>
        <v>-0.87854025571994043</v>
      </c>
    </row>
    <row r="1089" spans="2:11" x14ac:dyDescent="0.35">
      <c r="B1089" s="149" t="s">
        <v>848</v>
      </c>
      <c r="C1089" s="6" t="s">
        <v>849</v>
      </c>
      <c r="D1089" s="78">
        <v>245.7</v>
      </c>
      <c r="E1089" s="78" t="s">
        <v>850</v>
      </c>
      <c r="F1089" s="160">
        <v>65.525363196824102</v>
      </c>
      <c r="G1089" s="76" t="s">
        <v>40</v>
      </c>
      <c r="H1089" s="76">
        <f t="shared" si="19"/>
        <v>0.4966368031759032</v>
      </c>
      <c r="I1089" s="78">
        <v>-0.37284233415750423</v>
      </c>
      <c r="J1089" s="161">
        <v>11.056820606323186</v>
      </c>
      <c r="K1089" s="79">
        <f t="shared" si="20"/>
        <v>-0.20583935222555283</v>
      </c>
    </row>
    <row r="1090" spans="2:11" x14ac:dyDescent="0.35">
      <c r="B1090" s="149" t="s">
        <v>848</v>
      </c>
      <c r="C1090" s="6" t="s">
        <v>849</v>
      </c>
      <c r="D1090" s="78">
        <v>245.7</v>
      </c>
      <c r="E1090" s="78" t="s">
        <v>850</v>
      </c>
      <c r="F1090" s="160">
        <v>65.525363196824102</v>
      </c>
      <c r="G1090" s="76" t="s">
        <v>40</v>
      </c>
      <c r="H1090" s="76">
        <f t="shared" si="19"/>
        <v>0.4966368031759032</v>
      </c>
      <c r="I1090" s="78">
        <v>-0.8</v>
      </c>
      <c r="J1090" s="161">
        <v>12.984576663383336</v>
      </c>
      <c r="K1090" s="79">
        <f t="shared" si="20"/>
        <v>1.721916704834598</v>
      </c>
    </row>
    <row r="1091" spans="2:11" x14ac:dyDescent="0.35">
      <c r="B1091" s="149" t="s">
        <v>848</v>
      </c>
      <c r="C1091" s="6" t="s">
        <v>849</v>
      </c>
      <c r="D1091" s="78">
        <v>245.72</v>
      </c>
      <c r="E1091" s="78" t="s">
        <v>850</v>
      </c>
      <c r="F1091" s="160">
        <v>65.529126653603399</v>
      </c>
      <c r="G1091" s="76" t="s">
        <v>40</v>
      </c>
      <c r="H1091" s="76">
        <f t="shared" si="19"/>
        <v>0.49287334639660685</v>
      </c>
      <c r="I1091" s="78">
        <v>-0.43281215807145429</v>
      </c>
      <c r="J1091" s="161">
        <v>11.325845160614108</v>
      </c>
      <c r="K1091" s="79">
        <f t="shared" si="20"/>
        <v>6.3185202065369594E-2</v>
      </c>
    </row>
    <row r="1092" spans="2:11" x14ac:dyDescent="0.35">
      <c r="B1092" s="149" t="s">
        <v>848</v>
      </c>
      <c r="C1092" s="6" t="s">
        <v>849</v>
      </c>
      <c r="D1092" s="78">
        <v>245.72</v>
      </c>
      <c r="E1092" s="78" t="s">
        <v>850</v>
      </c>
      <c r="F1092" s="160">
        <v>65.529126653603399</v>
      </c>
      <c r="G1092" s="76" t="s">
        <v>40</v>
      </c>
      <c r="H1092" s="76">
        <f t="shared" si="19"/>
        <v>0.49287334639660685</v>
      </c>
      <c r="I1092" s="78">
        <v>-0.4</v>
      </c>
      <c r="J1092" s="161">
        <v>11.178584796933194</v>
      </c>
      <c r="K1092" s="79">
        <f t="shared" si="20"/>
        <v>-8.4075161615544403E-2</v>
      </c>
    </row>
    <row r="1093" spans="2:11" x14ac:dyDescent="0.35">
      <c r="B1093" s="149" t="s">
        <v>848</v>
      </c>
      <c r="C1093" s="6" t="s">
        <v>849</v>
      </c>
      <c r="D1093" s="78">
        <v>245.74</v>
      </c>
      <c r="E1093" s="78" t="s">
        <v>850</v>
      </c>
      <c r="F1093" s="160">
        <v>65.532890110382695</v>
      </c>
      <c r="G1093" s="76" t="s">
        <v>40</v>
      </c>
      <c r="H1093" s="76">
        <f t="shared" si="19"/>
        <v>0.4891098896173105</v>
      </c>
      <c r="I1093" s="78">
        <v>-0.36859959936532505</v>
      </c>
      <c r="J1093" s="161">
        <v>11.037807585296434</v>
      </c>
      <c r="K1093" s="79">
        <f t="shared" si="20"/>
        <v>-0.22485237325230401</v>
      </c>
    </row>
    <row r="1094" spans="2:11" x14ac:dyDescent="0.35">
      <c r="B1094" s="149" t="s">
        <v>848</v>
      </c>
      <c r="C1094" s="6" t="s">
        <v>849</v>
      </c>
      <c r="D1094" s="78">
        <v>245.74</v>
      </c>
      <c r="E1094" s="78" t="s">
        <v>850</v>
      </c>
      <c r="F1094" s="160">
        <v>65.532890110382695</v>
      </c>
      <c r="G1094" s="76" t="s">
        <v>40</v>
      </c>
      <c r="H1094" s="76">
        <f t="shared" si="19"/>
        <v>0.4891098896173105</v>
      </c>
      <c r="I1094" s="78">
        <v>-0.7</v>
      </c>
      <c r="J1094" s="161">
        <v>12.530863261646914</v>
      </c>
      <c r="K1094" s="79">
        <f t="shared" si="20"/>
        <v>1.2682033030981756</v>
      </c>
    </row>
    <row r="1095" spans="2:11" x14ac:dyDescent="0.35">
      <c r="B1095" s="149" t="s">
        <v>848</v>
      </c>
      <c r="C1095" s="6" t="s">
        <v>849</v>
      </c>
      <c r="D1095" s="78">
        <v>245.76</v>
      </c>
      <c r="E1095" s="78" t="s">
        <v>850</v>
      </c>
      <c r="F1095" s="160">
        <v>65.536653567162105</v>
      </c>
      <c r="G1095" s="76" t="s">
        <v>40</v>
      </c>
      <c r="H1095" s="76">
        <f t="shared" si="19"/>
        <v>0.48534643283790047</v>
      </c>
      <c r="I1095" s="78">
        <v>-0.21581477870347854</v>
      </c>
      <c r="J1095" s="161">
        <v>10.354875716695005</v>
      </c>
      <c r="K1095" s="79">
        <f t="shared" si="20"/>
        <v>-0.90778424185373296</v>
      </c>
    </row>
    <row r="1096" spans="2:11" x14ac:dyDescent="0.35">
      <c r="B1096" s="149" t="s">
        <v>848</v>
      </c>
      <c r="C1096" s="6" t="s">
        <v>849</v>
      </c>
      <c r="D1096" s="78">
        <v>245.76</v>
      </c>
      <c r="E1096" s="78" t="s">
        <v>850</v>
      </c>
      <c r="F1096" s="160">
        <v>65.536653567162105</v>
      </c>
      <c r="G1096" s="76" t="s">
        <v>40</v>
      </c>
      <c r="H1096" s="76">
        <f t="shared" si="19"/>
        <v>0.48534643283790047</v>
      </c>
      <c r="I1096" s="78">
        <v>-0.24381357906215229</v>
      </c>
      <c r="J1096" s="161">
        <v>10.479773826722067</v>
      </c>
      <c r="K1096" s="79">
        <f t="shared" si="20"/>
        <v>-0.78288613182667177</v>
      </c>
    </row>
    <row r="1097" spans="2:11" x14ac:dyDescent="0.35">
      <c r="B1097" s="149" t="s">
        <v>848</v>
      </c>
      <c r="C1097" s="6" t="s">
        <v>849</v>
      </c>
      <c r="D1097" s="78">
        <v>245.76</v>
      </c>
      <c r="E1097" s="78" t="s">
        <v>850</v>
      </c>
      <c r="F1097" s="160">
        <v>65.536653567162105</v>
      </c>
      <c r="G1097" s="76" t="s">
        <v>40</v>
      </c>
      <c r="H1097" s="76">
        <f t="shared" si="19"/>
        <v>0.48534643283790047</v>
      </c>
      <c r="I1097" s="78">
        <v>-0.26381917909880837</v>
      </c>
      <c r="J1097" s="161">
        <v>10.569085138800574</v>
      </c>
      <c r="K1097" s="79">
        <f t="shared" si="20"/>
        <v>-0.69357481974816437</v>
      </c>
    </row>
    <row r="1098" spans="2:11" x14ac:dyDescent="0.35">
      <c r="B1098" s="149" t="s">
        <v>848</v>
      </c>
      <c r="C1098" s="6" t="s">
        <v>849</v>
      </c>
      <c r="D1098" s="78">
        <v>245.76</v>
      </c>
      <c r="E1098" s="78" t="s">
        <v>850</v>
      </c>
      <c r="F1098" s="160">
        <v>65.536653567162105</v>
      </c>
      <c r="G1098" s="76" t="s">
        <v>40</v>
      </c>
      <c r="H1098" s="76">
        <f t="shared" si="19"/>
        <v>0.48534643283790047</v>
      </c>
      <c r="I1098" s="78">
        <v>-0.11358894286162879</v>
      </c>
      <c r="J1098" s="161">
        <v>9.8998248962624302</v>
      </c>
      <c r="K1098" s="79">
        <f t="shared" si="20"/>
        <v>-1.3628350622863081</v>
      </c>
    </row>
    <row r="1099" spans="2:11" x14ac:dyDescent="0.35">
      <c r="B1099" s="149" t="s">
        <v>848</v>
      </c>
      <c r="C1099" s="6" t="s">
        <v>849</v>
      </c>
      <c r="D1099" s="78">
        <v>245.76</v>
      </c>
      <c r="E1099" s="78" t="s">
        <v>850</v>
      </c>
      <c r="F1099" s="160">
        <v>65.536653567162105</v>
      </c>
      <c r="G1099" s="76" t="s">
        <v>40</v>
      </c>
      <c r="H1099" s="76">
        <f t="shared" si="19"/>
        <v>0.48534643283790047</v>
      </c>
      <c r="I1099" s="78">
        <v>-0.7</v>
      </c>
      <c r="J1099" s="161">
        <v>12.530863261646914</v>
      </c>
      <c r="K1099" s="79">
        <f t="shared" si="20"/>
        <v>1.2682033030981756</v>
      </c>
    </row>
    <row r="1100" spans="2:11" x14ac:dyDescent="0.35">
      <c r="B1100" s="149" t="s">
        <v>848</v>
      </c>
      <c r="C1100" s="6" t="s">
        <v>849</v>
      </c>
      <c r="D1100" s="78">
        <v>245.78</v>
      </c>
      <c r="E1100" s="78" t="s">
        <v>850</v>
      </c>
      <c r="F1100" s="160">
        <v>65.540417023941401</v>
      </c>
      <c r="G1100" s="76" t="s">
        <v>40</v>
      </c>
      <c r="H1100" s="76">
        <f t="shared" si="19"/>
        <v>0.48158297605860412</v>
      </c>
      <c r="I1100" s="78">
        <v>-0.4</v>
      </c>
      <c r="J1100" s="161">
        <v>11.178584796933194</v>
      </c>
      <c r="K1100" s="79">
        <f t="shared" si="20"/>
        <v>-8.4075161615544403E-2</v>
      </c>
    </row>
    <row r="1101" spans="2:11" x14ac:dyDescent="0.35">
      <c r="B1101" s="149" t="s">
        <v>848</v>
      </c>
      <c r="C1101" s="6" t="s">
        <v>849</v>
      </c>
      <c r="D1101" s="78">
        <v>245.78</v>
      </c>
      <c r="E1101" s="78" t="s">
        <v>850</v>
      </c>
      <c r="F1101" s="160">
        <v>65.540417023941401</v>
      </c>
      <c r="G1101" s="76" t="s">
        <v>40</v>
      </c>
      <c r="H1101" s="76">
        <f t="shared" si="19"/>
        <v>0.48158297605860412</v>
      </c>
      <c r="I1101" s="78">
        <v>-0.1347153666658798</v>
      </c>
      <c r="J1101" s="161">
        <v>9.9937440225810974</v>
      </c>
      <c r="K1101" s="79">
        <f t="shared" si="20"/>
        <v>-1.268915935967641</v>
      </c>
    </row>
    <row r="1102" spans="2:11" x14ac:dyDescent="0.35">
      <c r="B1102" s="149" t="s">
        <v>848</v>
      </c>
      <c r="C1102" s="6" t="s">
        <v>849</v>
      </c>
      <c r="D1102" s="78">
        <v>245.78</v>
      </c>
      <c r="E1102" s="78" t="s">
        <v>850</v>
      </c>
      <c r="F1102" s="160">
        <v>65.540417023941401</v>
      </c>
      <c r="G1102" s="76" t="s">
        <v>40</v>
      </c>
      <c r="H1102" s="76">
        <f t="shared" si="19"/>
        <v>0.48158297605860412</v>
      </c>
      <c r="I1102" s="78">
        <v>-0.19137336344862141</v>
      </c>
      <c r="J1102" s="161">
        <v>10.245939269552082</v>
      </c>
      <c r="K1102" s="79">
        <f t="shared" si="20"/>
        <v>-1.0167206889966565</v>
      </c>
    </row>
    <row r="1103" spans="2:11" x14ac:dyDescent="0.35">
      <c r="B1103" s="149" t="s">
        <v>848</v>
      </c>
      <c r="C1103" s="6" t="s">
        <v>849</v>
      </c>
      <c r="D1103" s="78">
        <v>245.8</v>
      </c>
      <c r="E1103" s="78" t="s">
        <v>850</v>
      </c>
      <c r="F1103" s="160">
        <v>65.544180480720698</v>
      </c>
      <c r="G1103" s="76" t="s">
        <v>40</v>
      </c>
      <c r="H1103" s="76">
        <f t="shared" si="19"/>
        <v>0.47781951927930777</v>
      </c>
      <c r="I1103" s="78">
        <v>-0.3</v>
      </c>
      <c r="J1103" s="161">
        <v>10.730755214380792</v>
      </c>
      <c r="K1103" s="79">
        <f t="shared" si="20"/>
        <v>-0.53190474416794586</v>
      </c>
    </row>
    <row r="1104" spans="2:11" x14ac:dyDescent="0.35">
      <c r="B1104" s="149" t="s">
        <v>848</v>
      </c>
      <c r="C1104" s="6" t="s">
        <v>849</v>
      </c>
      <c r="D1104" s="78">
        <v>245.8</v>
      </c>
      <c r="E1104" s="78" t="s">
        <v>850</v>
      </c>
      <c r="F1104" s="160">
        <v>65.544180480720698</v>
      </c>
      <c r="G1104" s="76" t="s">
        <v>40</v>
      </c>
      <c r="H1104" s="76">
        <f t="shared" si="19"/>
        <v>0.47781951927930777</v>
      </c>
      <c r="I1104" s="78">
        <v>-0.17762141801208878</v>
      </c>
      <c r="J1104" s="161">
        <v>10.184684217667098</v>
      </c>
      <c r="K1104" s="79">
        <f t="shared" si="20"/>
        <v>-1.0779757408816408</v>
      </c>
    </row>
    <row r="1105" spans="2:11" x14ac:dyDescent="0.35">
      <c r="B1105" s="149" t="s">
        <v>848</v>
      </c>
      <c r="C1105" s="6" t="s">
        <v>849</v>
      </c>
      <c r="D1105" s="78">
        <v>245.82</v>
      </c>
      <c r="E1105" s="78" t="s">
        <v>850</v>
      </c>
      <c r="F1105" s="160">
        <v>65.547943937500094</v>
      </c>
      <c r="G1105" s="76" t="s">
        <v>40</v>
      </c>
      <c r="H1105" s="76">
        <f t="shared" si="19"/>
        <v>0.47405606249991195</v>
      </c>
      <c r="I1105" s="78">
        <v>-0.3060555165498684</v>
      </c>
      <c r="J1105" s="161">
        <v>10.757832206431885</v>
      </c>
      <c r="K1105" s="79">
        <f t="shared" si="20"/>
        <v>-0.50482775211685293</v>
      </c>
    </row>
    <row r="1106" spans="2:11" x14ac:dyDescent="0.35">
      <c r="B1106" s="149" t="s">
        <v>848</v>
      </c>
      <c r="C1106" s="6" t="s">
        <v>849</v>
      </c>
      <c r="D1106" s="78">
        <v>245.82</v>
      </c>
      <c r="E1106" s="78" t="s">
        <v>850</v>
      </c>
      <c r="F1106" s="160">
        <v>65.547943937500094</v>
      </c>
      <c r="G1106" s="76" t="s">
        <v>40</v>
      </c>
      <c r="H1106" s="76">
        <f t="shared" si="19"/>
        <v>0.47405606249991195</v>
      </c>
      <c r="I1106" s="78">
        <v>-0.4</v>
      </c>
      <c r="J1106" s="161">
        <v>11.178584796933194</v>
      </c>
      <c r="K1106" s="79">
        <f t="shared" si="20"/>
        <v>-8.4075161615544403E-2</v>
      </c>
    </row>
    <row r="1107" spans="2:11" x14ac:dyDescent="0.35">
      <c r="B1107" s="149" t="s">
        <v>848</v>
      </c>
      <c r="C1107" s="6" t="s">
        <v>849</v>
      </c>
      <c r="D1107" s="78">
        <v>245.82</v>
      </c>
      <c r="E1107" s="78" t="s">
        <v>850</v>
      </c>
      <c r="F1107" s="160">
        <v>65.547943937500094</v>
      </c>
      <c r="G1107" s="76" t="s">
        <v>40</v>
      </c>
      <c r="H1107" s="76">
        <f t="shared" si="19"/>
        <v>0.47405606249991195</v>
      </c>
      <c r="I1107" s="78">
        <v>-0.19108981818188941</v>
      </c>
      <c r="J1107" s="161">
        <v>10.244676002864594</v>
      </c>
      <c r="K1107" s="79">
        <f t="shared" si="20"/>
        <v>-1.0179839556841443</v>
      </c>
    </row>
    <row r="1108" spans="2:11" x14ac:dyDescent="0.35">
      <c r="B1108" s="149" t="s">
        <v>848</v>
      </c>
      <c r="C1108" s="6" t="s">
        <v>849</v>
      </c>
      <c r="D1108" s="78">
        <v>245.84</v>
      </c>
      <c r="E1108" s="78" t="s">
        <v>850</v>
      </c>
      <c r="F1108" s="160">
        <v>65.551707394279404</v>
      </c>
      <c r="G1108" s="76" t="s">
        <v>40</v>
      </c>
      <c r="H1108" s="76">
        <f t="shared" si="19"/>
        <v>0.47029260572060139</v>
      </c>
      <c r="I1108" s="78">
        <v>-0.3</v>
      </c>
      <c r="J1108" s="161">
        <v>10.730755214380792</v>
      </c>
      <c r="K1108" s="79">
        <f t="shared" si="20"/>
        <v>-0.53190474416794586</v>
      </c>
    </row>
    <row r="1109" spans="2:11" x14ac:dyDescent="0.35">
      <c r="B1109" s="149" t="s">
        <v>848</v>
      </c>
      <c r="C1109" s="6" t="s">
        <v>849</v>
      </c>
      <c r="D1109" s="78">
        <v>245.84</v>
      </c>
      <c r="E1109" s="78" t="s">
        <v>850</v>
      </c>
      <c r="F1109" s="160">
        <v>65.551707394279404</v>
      </c>
      <c r="G1109" s="76" t="s">
        <v>40</v>
      </c>
      <c r="H1109" s="76">
        <f t="shared" ref="H1109:H1172" si="21">66.022-F1109</f>
        <v>0.47029260572060139</v>
      </c>
      <c r="I1109" s="78">
        <v>-0.14047987701909648</v>
      </c>
      <c r="J1109" s="161">
        <v>10.01938176157654</v>
      </c>
      <c r="K1109" s="79">
        <f t="shared" ref="K1109:K1172" si="22">J1109-$J$1214</f>
        <v>-1.2432781969721987</v>
      </c>
    </row>
    <row r="1110" spans="2:11" x14ac:dyDescent="0.35">
      <c r="B1110" s="149" t="s">
        <v>848</v>
      </c>
      <c r="C1110" s="6" t="s">
        <v>849</v>
      </c>
      <c r="D1110" s="78">
        <v>245.86</v>
      </c>
      <c r="E1110" s="78" t="s">
        <v>850</v>
      </c>
      <c r="F1110" s="160">
        <v>65.555470851058701</v>
      </c>
      <c r="G1110" s="76" t="s">
        <v>40</v>
      </c>
      <c r="H1110" s="76">
        <f t="shared" si="21"/>
        <v>0.46652914894130504</v>
      </c>
      <c r="I1110" s="78">
        <v>-6.8062748365651515E-2</v>
      </c>
      <c r="J1110" s="161">
        <v>9.6976531138923292</v>
      </c>
      <c r="K1110" s="79">
        <f t="shared" si="22"/>
        <v>-1.5650068446564092</v>
      </c>
    </row>
    <row r="1111" spans="2:11" x14ac:dyDescent="0.35">
      <c r="B1111" s="149" t="s">
        <v>848</v>
      </c>
      <c r="C1111" s="6" t="s">
        <v>849</v>
      </c>
      <c r="D1111" s="78">
        <v>245.86</v>
      </c>
      <c r="E1111" s="78" t="s">
        <v>850</v>
      </c>
      <c r="F1111" s="160">
        <v>65.555470851058701</v>
      </c>
      <c r="G1111" s="76" t="s">
        <v>40</v>
      </c>
      <c r="H1111" s="76">
        <f t="shared" si="21"/>
        <v>0.46652914894130504</v>
      </c>
      <c r="I1111" s="78">
        <v>-0.2</v>
      </c>
      <c r="J1111" s="161">
        <v>10.284378697647185</v>
      </c>
      <c r="K1111" s="79">
        <f t="shared" si="22"/>
        <v>-0.97828126090155365</v>
      </c>
    </row>
    <row r="1112" spans="2:11" x14ac:dyDescent="0.35">
      <c r="B1112" s="149" t="s">
        <v>848</v>
      </c>
      <c r="C1112" s="6" t="s">
        <v>849</v>
      </c>
      <c r="D1112" s="78">
        <v>245.88</v>
      </c>
      <c r="E1112" s="78" t="s">
        <v>850</v>
      </c>
      <c r="F1112" s="160">
        <v>65.559332880125595</v>
      </c>
      <c r="G1112" s="76" t="s">
        <v>40</v>
      </c>
      <c r="H1112" s="76">
        <f t="shared" si="21"/>
        <v>0.46266711987441056</v>
      </c>
      <c r="I1112" s="78">
        <v>-0.2</v>
      </c>
      <c r="J1112" s="161">
        <v>10.284378697647185</v>
      </c>
      <c r="K1112" s="79">
        <f t="shared" si="22"/>
        <v>-0.97828126090155365</v>
      </c>
    </row>
    <row r="1113" spans="2:11" x14ac:dyDescent="0.35">
      <c r="B1113" s="149" t="s">
        <v>848</v>
      </c>
      <c r="C1113" s="6" t="s">
        <v>849</v>
      </c>
      <c r="D1113" s="78">
        <v>245.9</v>
      </c>
      <c r="E1113" s="78" t="s">
        <v>850</v>
      </c>
      <c r="F1113" s="160">
        <v>65.5632623715656</v>
      </c>
      <c r="G1113" s="76" t="s">
        <v>40</v>
      </c>
      <c r="H1113" s="76">
        <f t="shared" si="21"/>
        <v>0.45873762843440602</v>
      </c>
      <c r="I1113" s="78">
        <v>-0.1</v>
      </c>
      <c r="J1113" s="161">
        <v>9.8394481838563479</v>
      </c>
      <c r="K1113" s="79">
        <f t="shared" si="22"/>
        <v>-1.4232117746923905</v>
      </c>
    </row>
    <row r="1114" spans="2:11" x14ac:dyDescent="0.35">
      <c r="B1114" s="149" t="s">
        <v>848</v>
      </c>
      <c r="C1114" s="6" t="s">
        <v>849</v>
      </c>
      <c r="D1114" s="78">
        <v>245.9</v>
      </c>
      <c r="E1114" s="78" t="s">
        <v>850</v>
      </c>
      <c r="F1114" s="160">
        <v>65.5632623715656</v>
      </c>
      <c r="G1114" s="76" t="s">
        <v>40</v>
      </c>
      <c r="H1114" s="76">
        <f t="shared" si="21"/>
        <v>0.45873762843440602</v>
      </c>
      <c r="I1114" s="78">
        <v>-0.19849177992042755</v>
      </c>
      <c r="J1114" s="161">
        <v>10.277657443999601</v>
      </c>
      <c r="K1114" s="79">
        <f t="shared" si="22"/>
        <v>-0.98500251454913723</v>
      </c>
    </row>
    <row r="1115" spans="2:11" x14ac:dyDescent="0.35">
      <c r="B1115" s="149" t="s">
        <v>848</v>
      </c>
      <c r="C1115" s="6" t="s">
        <v>849</v>
      </c>
      <c r="D1115" s="78">
        <v>245.92</v>
      </c>
      <c r="E1115" s="78" t="s">
        <v>850</v>
      </c>
      <c r="F1115" s="160">
        <v>65.567191863005604</v>
      </c>
      <c r="G1115" s="76" t="s">
        <v>40</v>
      </c>
      <c r="H1115" s="76">
        <f t="shared" si="21"/>
        <v>0.45480813699440148</v>
      </c>
      <c r="I1115" s="78">
        <v>-0.3</v>
      </c>
      <c r="J1115" s="161">
        <v>10.730755214380792</v>
      </c>
      <c r="K1115" s="79">
        <f t="shared" si="22"/>
        <v>-0.53190474416794586</v>
      </c>
    </row>
    <row r="1116" spans="2:11" x14ac:dyDescent="0.35">
      <c r="B1116" s="149" t="s">
        <v>848</v>
      </c>
      <c r="C1116" s="6" t="s">
        <v>849</v>
      </c>
      <c r="D1116" s="78">
        <v>245.92</v>
      </c>
      <c r="E1116" s="78" t="s">
        <v>850</v>
      </c>
      <c r="F1116" s="160">
        <v>65.567191863005604</v>
      </c>
      <c r="G1116" s="76" t="s">
        <v>40</v>
      </c>
      <c r="H1116" s="76">
        <f t="shared" si="21"/>
        <v>0.45480813699440148</v>
      </c>
      <c r="I1116" s="78">
        <v>-0.28097745435817956</v>
      </c>
      <c r="J1116" s="161">
        <v>10.645731339271038</v>
      </c>
      <c r="K1116" s="79">
        <f t="shared" si="22"/>
        <v>-0.61692861927770082</v>
      </c>
    </row>
    <row r="1117" spans="2:11" x14ac:dyDescent="0.35">
      <c r="B1117" s="149" t="s">
        <v>848</v>
      </c>
      <c r="C1117" s="6" t="s">
        <v>849</v>
      </c>
      <c r="D1117" s="78">
        <v>245.94</v>
      </c>
      <c r="E1117" s="78" t="s">
        <v>850</v>
      </c>
      <c r="F1117" s="160">
        <v>65.571121354445594</v>
      </c>
      <c r="G1117" s="76" t="s">
        <v>40</v>
      </c>
      <c r="H1117" s="76">
        <f t="shared" si="21"/>
        <v>0.45087864555441115</v>
      </c>
      <c r="I1117" s="78">
        <v>-0.3</v>
      </c>
      <c r="J1117" s="161">
        <v>10.730755214380792</v>
      </c>
      <c r="K1117" s="79">
        <f t="shared" si="22"/>
        <v>-0.53190474416794586</v>
      </c>
    </row>
    <row r="1118" spans="2:11" x14ac:dyDescent="0.35">
      <c r="B1118" s="149" t="s">
        <v>848</v>
      </c>
      <c r="C1118" s="6" t="s">
        <v>849</v>
      </c>
      <c r="D1118" s="78">
        <v>245.94</v>
      </c>
      <c r="E1118" s="78" t="s">
        <v>850</v>
      </c>
      <c r="F1118" s="160">
        <v>65.571121354445594</v>
      </c>
      <c r="G1118" s="76" t="s">
        <v>40</v>
      </c>
      <c r="H1118" s="76">
        <f t="shared" si="21"/>
        <v>0.45087864555441115</v>
      </c>
      <c r="I1118" s="78">
        <v>-7.8619482852673173E-3</v>
      </c>
      <c r="J1118" s="161">
        <v>9.4307717734638459</v>
      </c>
      <c r="K1118" s="79">
        <f t="shared" si="22"/>
        <v>-1.8318881850848925</v>
      </c>
    </row>
    <row r="1119" spans="2:11" x14ac:dyDescent="0.35">
      <c r="B1119" s="149" t="s">
        <v>848</v>
      </c>
      <c r="C1119" s="6" t="s">
        <v>849</v>
      </c>
      <c r="D1119" s="78">
        <v>245.96</v>
      </c>
      <c r="E1119" s="78" t="s">
        <v>850</v>
      </c>
      <c r="F1119" s="160">
        <v>65.575050845885599</v>
      </c>
      <c r="G1119" s="76" t="s">
        <v>40</v>
      </c>
      <c r="H1119" s="76">
        <f t="shared" si="21"/>
        <v>0.44694915411440661</v>
      </c>
      <c r="I1119" s="78">
        <v>-0.3</v>
      </c>
      <c r="J1119" s="161">
        <v>10.730755214380792</v>
      </c>
      <c r="K1119" s="79">
        <f t="shared" si="22"/>
        <v>-0.53190474416794586</v>
      </c>
    </row>
    <row r="1120" spans="2:11" x14ac:dyDescent="0.35">
      <c r="B1120" s="149" t="s">
        <v>848</v>
      </c>
      <c r="C1120" s="6" t="s">
        <v>849</v>
      </c>
      <c r="D1120" s="78">
        <v>245.98</v>
      </c>
      <c r="E1120" s="78" t="s">
        <v>850</v>
      </c>
      <c r="F1120" s="160">
        <v>65.578980337325604</v>
      </c>
      <c r="G1120" s="76" t="s">
        <v>40</v>
      </c>
      <c r="H1120" s="76">
        <f t="shared" si="21"/>
        <v>0.44301966267440207</v>
      </c>
      <c r="I1120" s="78">
        <v>-0.6</v>
      </c>
      <c r="J1120" s="161">
        <v>12.078631641752622</v>
      </c>
      <c r="K1120" s="79">
        <f t="shared" si="22"/>
        <v>0.81597168320388391</v>
      </c>
    </row>
    <row r="1121" spans="2:11" x14ac:dyDescent="0.35">
      <c r="B1121" s="149" t="s">
        <v>848</v>
      </c>
      <c r="C1121" s="6" t="s">
        <v>849</v>
      </c>
      <c r="D1121" s="78">
        <v>245.98</v>
      </c>
      <c r="E1121" s="78" t="s">
        <v>850</v>
      </c>
      <c r="F1121" s="160">
        <v>65.578980337325604</v>
      </c>
      <c r="G1121" s="76" t="s">
        <v>40</v>
      </c>
      <c r="H1121" s="76">
        <f t="shared" si="21"/>
        <v>0.44301966267440207</v>
      </c>
      <c r="I1121" s="78">
        <v>-0.25630225260333361</v>
      </c>
      <c r="J1121" s="161">
        <v>10.535520401325357</v>
      </c>
      <c r="K1121" s="79">
        <f t="shared" si="22"/>
        <v>-0.72713955722338142</v>
      </c>
    </row>
    <row r="1122" spans="2:11" x14ac:dyDescent="0.35">
      <c r="B1122" s="149" t="s">
        <v>848</v>
      </c>
      <c r="C1122" s="6" t="s">
        <v>849</v>
      </c>
      <c r="D1122" s="78">
        <v>246</v>
      </c>
      <c r="E1122" s="78" t="s">
        <v>850</v>
      </c>
      <c r="F1122" s="160">
        <v>65.582909828765693</v>
      </c>
      <c r="G1122" s="76" t="s">
        <v>40</v>
      </c>
      <c r="H1122" s="76">
        <f t="shared" si="21"/>
        <v>0.43909017123431227</v>
      </c>
      <c r="I1122" s="78">
        <v>-0.5</v>
      </c>
      <c r="J1122" s="161">
        <v>11.627874554256493</v>
      </c>
      <c r="K1122" s="79">
        <f t="shared" si="22"/>
        <v>0.36521459570775505</v>
      </c>
    </row>
    <row r="1123" spans="2:11" x14ac:dyDescent="0.35">
      <c r="B1123" s="149" t="s">
        <v>848</v>
      </c>
      <c r="C1123" s="6" t="s">
        <v>849</v>
      </c>
      <c r="D1123" s="78">
        <v>246</v>
      </c>
      <c r="E1123" s="78" t="s">
        <v>850</v>
      </c>
      <c r="F1123" s="160">
        <v>65.582909828765693</v>
      </c>
      <c r="G1123" s="76" t="s">
        <v>40</v>
      </c>
      <c r="H1123" s="76">
        <f t="shared" si="21"/>
        <v>0.43909017123431227</v>
      </c>
      <c r="I1123" s="78">
        <v>-0.14360204540450283</v>
      </c>
      <c r="J1123" s="161">
        <v>10.033269648491398</v>
      </c>
      <c r="K1123" s="79">
        <f t="shared" si="22"/>
        <v>-1.2293903100573402</v>
      </c>
    </row>
    <row r="1124" spans="2:11" x14ac:dyDescent="0.35">
      <c r="B1124" s="149" t="s">
        <v>848</v>
      </c>
      <c r="C1124" s="6" t="s">
        <v>849</v>
      </c>
      <c r="D1124" s="78">
        <v>246.02</v>
      </c>
      <c r="E1124" s="78" t="s">
        <v>850</v>
      </c>
      <c r="F1124" s="160">
        <v>65.586839320205698</v>
      </c>
      <c r="G1124" s="76" t="s">
        <v>40</v>
      </c>
      <c r="H1124" s="76">
        <f t="shared" si="21"/>
        <v>0.43516067979430773</v>
      </c>
      <c r="I1124" s="78">
        <v>-0.16047412963340335</v>
      </c>
      <c r="J1124" s="161">
        <v>10.1083436121001</v>
      </c>
      <c r="K1124" s="79">
        <f t="shared" si="22"/>
        <v>-1.1543163464486383</v>
      </c>
    </row>
    <row r="1125" spans="2:11" x14ac:dyDescent="0.35">
      <c r="B1125" s="149" t="s">
        <v>848</v>
      </c>
      <c r="C1125" s="6" t="s">
        <v>849</v>
      </c>
      <c r="D1125" s="78">
        <v>246.02</v>
      </c>
      <c r="E1125" s="78" t="s">
        <v>850</v>
      </c>
      <c r="F1125" s="160">
        <v>65.586839320205698</v>
      </c>
      <c r="G1125" s="76" t="s">
        <v>40</v>
      </c>
      <c r="H1125" s="76">
        <f t="shared" si="21"/>
        <v>0.43516067979430773</v>
      </c>
      <c r="I1125" s="78">
        <v>-0.3</v>
      </c>
      <c r="J1125" s="161">
        <v>10.730755214380792</v>
      </c>
      <c r="K1125" s="79">
        <f t="shared" si="22"/>
        <v>-0.53190474416794586</v>
      </c>
    </row>
    <row r="1126" spans="2:11" x14ac:dyDescent="0.35">
      <c r="B1126" s="149" t="s">
        <v>848</v>
      </c>
      <c r="C1126" s="6" t="s">
        <v>849</v>
      </c>
      <c r="D1126" s="78">
        <v>246.04</v>
      </c>
      <c r="E1126" s="78" t="s">
        <v>850</v>
      </c>
      <c r="F1126" s="160">
        <v>65.590768811645702</v>
      </c>
      <c r="G1126" s="76" t="s">
        <v>40</v>
      </c>
      <c r="H1126" s="76">
        <f t="shared" si="21"/>
        <v>0.43123118835430319</v>
      </c>
      <c r="I1126" s="78">
        <v>-0.2</v>
      </c>
      <c r="J1126" s="161">
        <v>10.284378697647185</v>
      </c>
      <c r="K1126" s="79">
        <f t="shared" si="22"/>
        <v>-0.97828126090155365</v>
      </c>
    </row>
    <row r="1127" spans="2:11" x14ac:dyDescent="0.35">
      <c r="B1127" s="149" t="s">
        <v>848</v>
      </c>
      <c r="C1127" s="6" t="s">
        <v>849</v>
      </c>
      <c r="D1127" s="78">
        <v>246.06</v>
      </c>
      <c r="E1127" s="78" t="s">
        <v>850</v>
      </c>
      <c r="F1127" s="160">
        <v>65.594698303085707</v>
      </c>
      <c r="G1127" s="76" t="s">
        <v>40</v>
      </c>
      <c r="H1127" s="76">
        <f t="shared" si="21"/>
        <v>0.42730169691429865</v>
      </c>
      <c r="I1127" s="78">
        <v>-0.4</v>
      </c>
      <c r="J1127" s="161">
        <v>11.178584796933194</v>
      </c>
      <c r="K1127" s="79">
        <f t="shared" si="22"/>
        <v>-8.4075161615544403E-2</v>
      </c>
    </row>
    <row r="1128" spans="2:11" x14ac:dyDescent="0.35">
      <c r="B1128" s="149" t="s">
        <v>848</v>
      </c>
      <c r="C1128" s="6" t="s">
        <v>849</v>
      </c>
      <c r="D1128" s="78">
        <v>246.06</v>
      </c>
      <c r="E1128" s="78" t="s">
        <v>850</v>
      </c>
      <c r="F1128" s="160">
        <v>65.594698303085707</v>
      </c>
      <c r="G1128" s="76" t="s">
        <v>40</v>
      </c>
      <c r="H1128" s="76">
        <f t="shared" si="21"/>
        <v>0.42730169691429865</v>
      </c>
      <c r="I1128" s="78">
        <v>-0.20100965765056955</v>
      </c>
      <c r="J1128" s="161">
        <v>10.288878334317417</v>
      </c>
      <c r="K1128" s="79">
        <f t="shared" si="22"/>
        <v>-0.97378162423132153</v>
      </c>
    </row>
    <row r="1129" spans="2:11" x14ac:dyDescent="0.35">
      <c r="B1129" s="149" t="s">
        <v>848</v>
      </c>
      <c r="C1129" s="6" t="s">
        <v>849</v>
      </c>
      <c r="D1129" s="78">
        <v>246.08</v>
      </c>
      <c r="E1129" s="78" t="s">
        <v>850</v>
      </c>
      <c r="F1129" s="160">
        <v>65.598627794525697</v>
      </c>
      <c r="G1129" s="76" t="s">
        <v>40</v>
      </c>
      <c r="H1129" s="76">
        <f t="shared" si="21"/>
        <v>0.42337220547430832</v>
      </c>
      <c r="I1129" s="78">
        <v>-0.24613002657387639</v>
      </c>
      <c r="J1129" s="161">
        <v>10.490112209488814</v>
      </c>
      <c r="K1129" s="79">
        <f t="shared" si="22"/>
        <v>-0.77254774905992463</v>
      </c>
    </row>
    <row r="1130" spans="2:11" x14ac:dyDescent="0.35">
      <c r="B1130" s="149" t="s">
        <v>848</v>
      </c>
      <c r="C1130" s="6" t="s">
        <v>849</v>
      </c>
      <c r="D1130" s="78">
        <v>246.1</v>
      </c>
      <c r="E1130" s="78" t="s">
        <v>850</v>
      </c>
      <c r="F1130" s="160">
        <v>65.602557285965801</v>
      </c>
      <c r="G1130" s="76" t="s">
        <v>40</v>
      </c>
      <c r="H1130" s="76">
        <f t="shared" si="21"/>
        <v>0.4194427140342043</v>
      </c>
      <c r="I1130" s="78">
        <v>-0.29140238057390278</v>
      </c>
      <c r="J1130" s="161">
        <v>10.692320466963736</v>
      </c>
      <c r="K1130" s="79">
        <f t="shared" si="22"/>
        <v>-0.57033949158500263</v>
      </c>
    </row>
    <row r="1131" spans="2:11" x14ac:dyDescent="0.35">
      <c r="B1131" s="149" t="s">
        <v>848</v>
      </c>
      <c r="C1131" s="6" t="s">
        <v>849</v>
      </c>
      <c r="D1131" s="78">
        <v>246.14</v>
      </c>
      <c r="E1131" s="78" t="s">
        <v>850</v>
      </c>
      <c r="F1131" s="160">
        <v>65.610416268845796</v>
      </c>
      <c r="G1131" s="76" t="s">
        <v>40</v>
      </c>
      <c r="H1131" s="76">
        <f t="shared" si="21"/>
        <v>0.41158373115420943</v>
      </c>
      <c r="I1131" s="78">
        <v>-0.31250128353909901</v>
      </c>
      <c r="J1131" s="161">
        <v>10.786660043377765</v>
      </c>
      <c r="K1131" s="79">
        <f t="shared" si="22"/>
        <v>-0.47599991517097351</v>
      </c>
    </row>
    <row r="1132" spans="2:11" x14ac:dyDescent="0.35">
      <c r="B1132" s="149" t="s">
        <v>848</v>
      </c>
      <c r="C1132" s="6" t="s">
        <v>849</v>
      </c>
      <c r="D1132" s="78">
        <v>246.16</v>
      </c>
      <c r="E1132" s="78" t="s">
        <v>850</v>
      </c>
      <c r="F1132" s="160">
        <v>65.614345760285801</v>
      </c>
      <c r="G1132" s="76" t="s">
        <v>40</v>
      </c>
      <c r="H1132" s="76">
        <f t="shared" si="21"/>
        <v>0.40765423971420489</v>
      </c>
      <c r="I1132" s="78">
        <v>-0.16616222986604612</v>
      </c>
      <c r="J1132" s="161">
        <v>10.133662620218388</v>
      </c>
      <c r="K1132" s="79">
        <f t="shared" si="22"/>
        <v>-1.1289973383303504</v>
      </c>
    </row>
    <row r="1133" spans="2:11" x14ac:dyDescent="0.35">
      <c r="B1133" s="149" t="s">
        <v>848</v>
      </c>
      <c r="C1133" s="6" t="s">
        <v>849</v>
      </c>
      <c r="D1133" s="78">
        <v>246.18</v>
      </c>
      <c r="E1133" s="78" t="s">
        <v>850</v>
      </c>
      <c r="F1133" s="160">
        <v>65.618275251725805</v>
      </c>
      <c r="G1133" s="76" t="s">
        <v>40</v>
      </c>
      <c r="H1133" s="76">
        <f t="shared" si="21"/>
        <v>0.40372474827420035</v>
      </c>
      <c r="I1133" s="78">
        <v>-0.3161909453127052</v>
      </c>
      <c r="J1133" s="161">
        <v>10.803164284212983</v>
      </c>
      <c r="K1133" s="79">
        <f t="shared" si="22"/>
        <v>-0.45949567433575567</v>
      </c>
    </row>
    <row r="1134" spans="2:11" x14ac:dyDescent="0.35">
      <c r="B1134" s="149" t="s">
        <v>848</v>
      </c>
      <c r="C1134" s="6" t="s">
        <v>849</v>
      </c>
      <c r="D1134" s="78">
        <v>246.18</v>
      </c>
      <c r="E1134" s="78" t="s">
        <v>850</v>
      </c>
      <c r="F1134" s="160">
        <v>65.618275251725805</v>
      </c>
      <c r="G1134" s="76" t="s">
        <v>40</v>
      </c>
      <c r="H1134" s="76">
        <f t="shared" si="21"/>
        <v>0.40372474827420035</v>
      </c>
      <c r="I1134" s="78">
        <v>-0.28795817686261671</v>
      </c>
      <c r="J1134" s="161">
        <v>10.676926531148979</v>
      </c>
      <c r="K1134" s="79">
        <f t="shared" si="22"/>
        <v>-0.58573342739975942</v>
      </c>
    </row>
    <row r="1135" spans="2:11" x14ac:dyDescent="0.35">
      <c r="B1135" s="149" t="s">
        <v>848</v>
      </c>
      <c r="C1135" s="6" t="s">
        <v>849</v>
      </c>
      <c r="D1135" s="78">
        <v>246.18</v>
      </c>
      <c r="E1135" s="78" t="s">
        <v>850</v>
      </c>
      <c r="F1135" s="160">
        <v>65.618275251725805</v>
      </c>
      <c r="G1135" s="76" t="s">
        <v>40</v>
      </c>
      <c r="H1135" s="76">
        <f t="shared" si="21"/>
        <v>0.40372474827420035</v>
      </c>
      <c r="I1135" s="78">
        <v>-0.17987809420391088</v>
      </c>
      <c r="J1135" s="161">
        <v>10.194734217276221</v>
      </c>
      <c r="K1135" s="79">
        <f t="shared" si="22"/>
        <v>-1.0679257412725178</v>
      </c>
    </row>
    <row r="1136" spans="2:11" x14ac:dyDescent="0.35">
      <c r="B1136" s="149" t="s">
        <v>848</v>
      </c>
      <c r="C1136" s="6" t="s">
        <v>849</v>
      </c>
      <c r="D1136" s="78">
        <v>246.22</v>
      </c>
      <c r="E1136" s="78" t="s">
        <v>850</v>
      </c>
      <c r="F1136" s="160">
        <v>65.6261342346059</v>
      </c>
      <c r="G1136" s="76" t="s">
        <v>40</v>
      </c>
      <c r="H1136" s="76">
        <f t="shared" si="21"/>
        <v>0.39586576539410601</v>
      </c>
      <c r="I1136" s="78">
        <v>-0.32015563183841422</v>
      </c>
      <c r="J1136" s="161">
        <v>10.820900945929452</v>
      </c>
      <c r="K1136" s="79">
        <f t="shared" si="22"/>
        <v>-0.4417590126192863</v>
      </c>
    </row>
    <row r="1137" spans="2:11" x14ac:dyDescent="0.35">
      <c r="B1137" s="149" t="s">
        <v>848</v>
      </c>
      <c r="C1137" s="6" t="s">
        <v>849</v>
      </c>
      <c r="D1137" s="78">
        <v>246.22</v>
      </c>
      <c r="E1137" s="78" t="s">
        <v>850</v>
      </c>
      <c r="F1137" s="160">
        <v>65.6261342346059</v>
      </c>
      <c r="G1137" s="76" t="s">
        <v>40</v>
      </c>
      <c r="H1137" s="76">
        <f t="shared" si="21"/>
        <v>0.39586576539410601</v>
      </c>
      <c r="I1137" s="78">
        <v>-0.42127360147906145</v>
      </c>
      <c r="J1137" s="161">
        <v>11.274042393278933</v>
      </c>
      <c r="K1137" s="79">
        <f t="shared" si="22"/>
        <v>1.1382434730194291E-2</v>
      </c>
    </row>
    <row r="1138" spans="2:11" x14ac:dyDescent="0.35">
      <c r="B1138" s="149" t="s">
        <v>848</v>
      </c>
      <c r="C1138" s="6" t="s">
        <v>849</v>
      </c>
      <c r="D1138" s="78">
        <v>246.22</v>
      </c>
      <c r="E1138" s="78" t="s">
        <v>850</v>
      </c>
      <c r="F1138" s="160">
        <v>65.6261342346059</v>
      </c>
      <c r="G1138" s="76" t="s">
        <v>40</v>
      </c>
      <c r="H1138" s="76">
        <f t="shared" si="21"/>
        <v>0.39586576539410601</v>
      </c>
      <c r="I1138" s="78">
        <v>-0.35681593158850333</v>
      </c>
      <c r="J1138" s="161">
        <v>10.985015050853292</v>
      </c>
      <c r="K1138" s="79">
        <f t="shared" si="22"/>
        <v>-0.27764490769544636</v>
      </c>
    </row>
    <row r="1139" spans="2:11" x14ac:dyDescent="0.35">
      <c r="B1139" s="149" t="s">
        <v>848</v>
      </c>
      <c r="C1139" s="6" t="s">
        <v>849</v>
      </c>
      <c r="D1139" s="78">
        <v>246.24</v>
      </c>
      <c r="E1139" s="78" t="s">
        <v>850</v>
      </c>
      <c r="F1139" s="160">
        <v>65.630063726045904</v>
      </c>
      <c r="G1139" s="76" t="s">
        <v>40</v>
      </c>
      <c r="H1139" s="76">
        <f t="shared" si="21"/>
        <v>0.39193627395410147</v>
      </c>
      <c r="I1139" s="78">
        <v>-0.22316698167527349</v>
      </c>
      <c r="J1139" s="161">
        <v>10.387661712674515</v>
      </c>
      <c r="K1139" s="79">
        <f t="shared" si="22"/>
        <v>-0.87499824587422381</v>
      </c>
    </row>
    <row r="1140" spans="2:11" x14ac:dyDescent="0.35">
      <c r="B1140" s="149" t="s">
        <v>848</v>
      </c>
      <c r="C1140" s="6" t="s">
        <v>849</v>
      </c>
      <c r="D1140" s="78">
        <v>246.26</v>
      </c>
      <c r="E1140" s="78" t="s">
        <v>850</v>
      </c>
      <c r="F1140" s="160">
        <v>65.633993217485894</v>
      </c>
      <c r="G1140" s="76" t="s">
        <v>40</v>
      </c>
      <c r="H1140" s="76">
        <f t="shared" si="21"/>
        <v>0.38800678251411114</v>
      </c>
      <c r="I1140" s="78">
        <v>-0.12229682934055219</v>
      </c>
      <c r="J1140" s="161">
        <v>9.9385286794976651</v>
      </c>
      <c r="K1140" s="79">
        <f t="shared" si="22"/>
        <v>-1.3241312790510733</v>
      </c>
    </row>
    <row r="1141" spans="2:11" x14ac:dyDescent="0.35">
      <c r="B1141" s="149" t="s">
        <v>848</v>
      </c>
      <c r="C1141" s="6" t="s">
        <v>849</v>
      </c>
      <c r="D1141" s="78">
        <v>246.3</v>
      </c>
      <c r="E1141" s="78" t="s">
        <v>850</v>
      </c>
      <c r="F1141" s="160">
        <v>65.641852200365904</v>
      </c>
      <c r="G1141" s="76" t="s">
        <v>40</v>
      </c>
      <c r="H1141" s="76">
        <f t="shared" si="21"/>
        <v>0.38014779963410206</v>
      </c>
      <c r="I1141" s="78">
        <v>-0.1539757016523815</v>
      </c>
      <c r="J1141" s="161">
        <v>10.079423368272273</v>
      </c>
      <c r="K1141" s="79">
        <f t="shared" si="22"/>
        <v>-1.183236590276465</v>
      </c>
    </row>
    <row r="1142" spans="2:11" x14ac:dyDescent="0.35">
      <c r="B1142" s="149" t="s">
        <v>848</v>
      </c>
      <c r="C1142" s="6" t="s">
        <v>849</v>
      </c>
      <c r="D1142" s="78">
        <v>246.32</v>
      </c>
      <c r="E1142" s="78" t="s">
        <v>850</v>
      </c>
      <c r="F1142" s="160">
        <v>65.645781691805894</v>
      </c>
      <c r="G1142" s="76" t="s">
        <v>40</v>
      </c>
      <c r="H1142" s="76">
        <f t="shared" si="21"/>
        <v>0.37621830819411173</v>
      </c>
      <c r="I1142" s="78">
        <v>-6.1116370966530553E-2</v>
      </c>
      <c r="J1142" s="161">
        <v>9.6668319856280505</v>
      </c>
      <c r="K1142" s="79">
        <f t="shared" si="22"/>
        <v>-1.5958279729206879</v>
      </c>
    </row>
    <row r="1143" spans="2:11" x14ac:dyDescent="0.35">
      <c r="B1143" s="149" t="s">
        <v>848</v>
      </c>
      <c r="C1143" s="6" t="s">
        <v>849</v>
      </c>
      <c r="D1143" s="78">
        <v>246.34</v>
      </c>
      <c r="E1143" s="78" t="s">
        <v>850</v>
      </c>
      <c r="F1143" s="160">
        <v>65.649711183245998</v>
      </c>
      <c r="G1143" s="76" t="s">
        <v>40</v>
      </c>
      <c r="H1143" s="76">
        <f t="shared" si="21"/>
        <v>0.37228881675400771</v>
      </c>
      <c r="I1143" s="78">
        <v>0.10215853083044735</v>
      </c>
      <c r="J1143" s="161">
        <v>8.9443708881073576</v>
      </c>
      <c r="K1143" s="79">
        <f t="shared" si="22"/>
        <v>-2.3182890704413808</v>
      </c>
    </row>
    <row r="1144" spans="2:11" x14ac:dyDescent="0.35">
      <c r="B1144" s="149" t="s">
        <v>848</v>
      </c>
      <c r="C1144" s="6" t="s">
        <v>849</v>
      </c>
      <c r="D1144" s="78">
        <v>246.38</v>
      </c>
      <c r="E1144" s="78" t="s">
        <v>850</v>
      </c>
      <c r="F1144" s="160">
        <v>65.657570166126007</v>
      </c>
      <c r="G1144" s="76" t="s">
        <v>40</v>
      </c>
      <c r="H1144" s="76">
        <f t="shared" si="21"/>
        <v>0.36442983387399863</v>
      </c>
      <c r="I1144" s="78">
        <v>-3.6541884321003693E-2</v>
      </c>
      <c r="J1144" s="161">
        <v>9.5578504166787752</v>
      </c>
      <c r="K1144" s="79">
        <f t="shared" si="22"/>
        <v>-1.7048095418699631</v>
      </c>
    </row>
    <row r="1145" spans="2:11" x14ac:dyDescent="0.35">
      <c r="B1145" s="149" t="s">
        <v>848</v>
      </c>
      <c r="C1145" s="6" t="s">
        <v>849</v>
      </c>
      <c r="D1145" s="78">
        <v>246.4</v>
      </c>
      <c r="E1145" s="78" t="s">
        <v>850</v>
      </c>
      <c r="F1145" s="160">
        <v>65.661499657565997</v>
      </c>
      <c r="G1145" s="76" t="s">
        <v>40</v>
      </c>
      <c r="H1145" s="76">
        <f t="shared" si="21"/>
        <v>0.3605003424340083</v>
      </c>
      <c r="I1145" s="78">
        <v>-0.124264744437248</v>
      </c>
      <c r="J1145" s="161">
        <v>9.9472769486724246</v>
      </c>
      <c r="K1145" s="79">
        <f t="shared" si="22"/>
        <v>-1.3153830098763137</v>
      </c>
    </row>
    <row r="1146" spans="2:11" x14ac:dyDescent="0.35">
      <c r="B1146" s="149" t="s">
        <v>848</v>
      </c>
      <c r="C1146" s="6" t="s">
        <v>849</v>
      </c>
      <c r="D1146" s="78">
        <v>246.42</v>
      </c>
      <c r="E1146" s="78" t="s">
        <v>850</v>
      </c>
      <c r="F1146" s="160">
        <v>65.665429149006002</v>
      </c>
      <c r="G1146" s="76" t="s">
        <v>40</v>
      </c>
      <c r="H1146" s="76">
        <f t="shared" si="21"/>
        <v>0.35657085099400376</v>
      </c>
      <c r="I1146" s="78">
        <v>4.7633390386842223E-2</v>
      </c>
      <c r="J1146" s="161">
        <v>9.1852105472062817</v>
      </c>
      <c r="K1146" s="79">
        <f t="shared" si="22"/>
        <v>-2.0774494113424566</v>
      </c>
    </row>
    <row r="1147" spans="2:11" x14ac:dyDescent="0.35">
      <c r="B1147" s="149" t="s">
        <v>848</v>
      </c>
      <c r="C1147" s="6" t="s">
        <v>849</v>
      </c>
      <c r="D1147" s="78">
        <v>246.46</v>
      </c>
      <c r="E1147" s="78" t="s">
        <v>850</v>
      </c>
      <c r="F1147" s="160">
        <v>65.673288131886096</v>
      </c>
      <c r="G1147" s="76" t="s">
        <v>40</v>
      </c>
      <c r="H1147" s="76">
        <f t="shared" si="21"/>
        <v>0.34871186811390942</v>
      </c>
      <c r="I1147" s="78">
        <v>-0.10663960032667319</v>
      </c>
      <c r="J1147" s="161">
        <v>9.8689451150175955</v>
      </c>
      <c r="K1147" s="79">
        <f t="shared" si="22"/>
        <v>-1.3937148435311428</v>
      </c>
    </row>
    <row r="1148" spans="2:11" x14ac:dyDescent="0.35">
      <c r="B1148" s="149" t="s">
        <v>848</v>
      </c>
      <c r="C1148" s="6" t="s">
        <v>849</v>
      </c>
      <c r="D1148" s="78">
        <v>246.48</v>
      </c>
      <c r="E1148" s="78" t="s">
        <v>850</v>
      </c>
      <c r="F1148" s="160">
        <v>65.677217623326101</v>
      </c>
      <c r="G1148" s="76" t="s">
        <v>40</v>
      </c>
      <c r="H1148" s="76">
        <f t="shared" si="21"/>
        <v>0.34478237667390488</v>
      </c>
      <c r="I1148" s="78">
        <v>-0.27806215493148656</v>
      </c>
      <c r="J1148" s="161">
        <v>10.632705652357004</v>
      </c>
      <c r="K1148" s="79">
        <f t="shared" si="22"/>
        <v>-0.62995430619173476</v>
      </c>
    </row>
    <row r="1149" spans="2:11" x14ac:dyDescent="0.35">
      <c r="B1149" s="149" t="s">
        <v>848</v>
      </c>
      <c r="C1149" s="6" t="s">
        <v>849</v>
      </c>
      <c r="D1149" s="78">
        <v>246.48</v>
      </c>
      <c r="E1149" s="78" t="s">
        <v>850</v>
      </c>
      <c r="F1149" s="160">
        <v>65.677217623326101</v>
      </c>
      <c r="G1149" s="76" t="s">
        <v>40</v>
      </c>
      <c r="H1149" s="76">
        <f t="shared" si="21"/>
        <v>0.34478237667390488</v>
      </c>
      <c r="I1149" s="78">
        <v>-0.17613302567730571</v>
      </c>
      <c r="J1149" s="161">
        <v>10.178056136085161</v>
      </c>
      <c r="K1149" s="79">
        <f t="shared" si="22"/>
        <v>-1.0846038224635777</v>
      </c>
    </row>
    <row r="1150" spans="2:11" x14ac:dyDescent="0.35">
      <c r="B1150" s="149" t="s">
        <v>848</v>
      </c>
      <c r="C1150" s="6" t="s">
        <v>849</v>
      </c>
      <c r="D1150" s="78">
        <v>246.52</v>
      </c>
      <c r="E1150" s="78" t="s">
        <v>850</v>
      </c>
      <c r="F1150" s="160">
        <v>65.685076606206096</v>
      </c>
      <c r="G1150" s="76" t="s">
        <v>40</v>
      </c>
      <c r="H1150" s="76">
        <f t="shared" si="21"/>
        <v>0.33692339379391001</v>
      </c>
      <c r="I1150" s="78">
        <v>-0.26651285913276807</v>
      </c>
      <c r="J1150" s="161">
        <v>10.581115009833297</v>
      </c>
      <c r="K1150" s="79">
        <f t="shared" si="22"/>
        <v>-0.68154494871544102</v>
      </c>
    </row>
    <row r="1151" spans="2:11" x14ac:dyDescent="0.35">
      <c r="B1151" s="149" t="s">
        <v>848</v>
      </c>
      <c r="C1151" s="6" t="s">
        <v>849</v>
      </c>
      <c r="D1151" s="78">
        <v>246.54</v>
      </c>
      <c r="E1151" s="78" t="s">
        <v>850</v>
      </c>
      <c r="F1151" s="160">
        <v>65.6890060976461</v>
      </c>
      <c r="G1151" s="76" t="s">
        <v>40</v>
      </c>
      <c r="H1151" s="76">
        <f t="shared" si="21"/>
        <v>0.33299390235390547</v>
      </c>
      <c r="I1151" s="78">
        <v>-0.24079212578606501</v>
      </c>
      <c r="J1151" s="161">
        <v>10.466290148182907</v>
      </c>
      <c r="K1151" s="79">
        <f t="shared" si="22"/>
        <v>-0.79636981036583165</v>
      </c>
    </row>
    <row r="1152" spans="2:11" x14ac:dyDescent="0.35">
      <c r="B1152" s="149" t="s">
        <v>848</v>
      </c>
      <c r="C1152" s="6" t="s">
        <v>849</v>
      </c>
      <c r="D1152" s="78">
        <v>246.56</v>
      </c>
      <c r="E1152" s="78" t="s">
        <v>850</v>
      </c>
      <c r="F1152" s="160">
        <v>65.692935589086105</v>
      </c>
      <c r="G1152" s="76" t="s">
        <v>40</v>
      </c>
      <c r="H1152" s="76">
        <f t="shared" si="21"/>
        <v>0.32906441091390093</v>
      </c>
      <c r="I1152" s="78">
        <v>-0.31451558572308258</v>
      </c>
      <c r="J1152" s="161">
        <v>10.795669981180026</v>
      </c>
      <c r="K1152" s="79">
        <f t="shared" si="22"/>
        <v>-0.46698997736871206</v>
      </c>
    </row>
    <row r="1153" spans="2:11" x14ac:dyDescent="0.35">
      <c r="B1153" s="149" t="s">
        <v>848</v>
      </c>
      <c r="C1153" s="6" t="s">
        <v>849</v>
      </c>
      <c r="D1153" s="78">
        <v>246.58</v>
      </c>
      <c r="E1153" s="78" t="s">
        <v>850</v>
      </c>
      <c r="F1153" s="160">
        <v>65.696865080526194</v>
      </c>
      <c r="G1153" s="76" t="s">
        <v>40</v>
      </c>
      <c r="H1153" s="76">
        <f t="shared" si="21"/>
        <v>0.32513491947381112</v>
      </c>
      <c r="I1153" s="78">
        <v>-0.56228172598014226</v>
      </c>
      <c r="J1153" s="161">
        <v>11.90844104213437</v>
      </c>
      <c r="K1153" s="79">
        <f t="shared" si="22"/>
        <v>0.64578108358563213</v>
      </c>
    </row>
    <row r="1154" spans="2:11" x14ac:dyDescent="0.35">
      <c r="B1154" s="149" t="s">
        <v>848</v>
      </c>
      <c r="C1154" s="6" t="s">
        <v>849</v>
      </c>
      <c r="D1154" s="78">
        <v>246.6</v>
      </c>
      <c r="E1154" s="78" t="s">
        <v>850</v>
      </c>
      <c r="F1154" s="160">
        <v>65.700794571966199</v>
      </c>
      <c r="G1154" s="76" t="s">
        <v>40</v>
      </c>
      <c r="H1154" s="76">
        <f t="shared" si="21"/>
        <v>0.32120542803380658</v>
      </c>
      <c r="I1154" s="78">
        <v>-0.36206761402166382</v>
      </c>
      <c r="J1154" s="161">
        <v>11.008540847153938</v>
      </c>
      <c r="K1154" s="79">
        <f t="shared" si="22"/>
        <v>-0.25411911139480026</v>
      </c>
    </row>
    <row r="1155" spans="2:11" x14ac:dyDescent="0.35">
      <c r="B1155" s="149" t="s">
        <v>848</v>
      </c>
      <c r="C1155" s="6" t="s">
        <v>849</v>
      </c>
      <c r="D1155" s="78">
        <v>246.62</v>
      </c>
      <c r="E1155" s="78" t="s">
        <v>850</v>
      </c>
      <c r="F1155" s="160">
        <v>65.704724063406204</v>
      </c>
      <c r="G1155" s="76" t="s">
        <v>40</v>
      </c>
      <c r="H1155" s="76">
        <f t="shared" si="21"/>
        <v>0.31727593659380204</v>
      </c>
      <c r="I1155" s="78">
        <v>-0.43658229807791216</v>
      </c>
      <c r="J1155" s="161">
        <v>11.342775560575319</v>
      </c>
      <c r="K1155" s="79">
        <f t="shared" si="22"/>
        <v>8.0115602026580746E-2</v>
      </c>
    </row>
    <row r="1156" spans="2:11" x14ac:dyDescent="0.35">
      <c r="B1156" s="149" t="s">
        <v>848</v>
      </c>
      <c r="C1156" s="6" t="s">
        <v>849</v>
      </c>
      <c r="D1156" s="78">
        <v>246.64</v>
      </c>
      <c r="E1156" s="78" t="s">
        <v>850</v>
      </c>
      <c r="F1156" s="160">
        <v>65.708653554846194</v>
      </c>
      <c r="G1156" s="76" t="s">
        <v>40</v>
      </c>
      <c r="H1156" s="76">
        <f t="shared" si="21"/>
        <v>0.31334644515381171</v>
      </c>
      <c r="I1156" s="78">
        <v>-0.45189099467697957</v>
      </c>
      <c r="J1156" s="161">
        <v>11.411543009102161</v>
      </c>
      <c r="K1156" s="79">
        <f t="shared" si="22"/>
        <v>0.14888305055342244</v>
      </c>
    </row>
    <row r="1157" spans="2:11" x14ac:dyDescent="0.35">
      <c r="B1157" s="149" t="s">
        <v>848</v>
      </c>
      <c r="C1157" s="6" t="s">
        <v>849</v>
      </c>
      <c r="D1157" s="78">
        <v>246.66</v>
      </c>
      <c r="E1157" s="78" t="s">
        <v>850</v>
      </c>
      <c r="F1157" s="160">
        <v>65.712583046286198</v>
      </c>
      <c r="G1157" s="76" t="s">
        <v>40</v>
      </c>
      <c r="H1157" s="76">
        <f t="shared" si="21"/>
        <v>0.30941695371380717</v>
      </c>
      <c r="I1157" s="78">
        <v>-0.5049430106738555</v>
      </c>
      <c r="J1157" s="161">
        <v>11.650120993650887</v>
      </c>
      <c r="K1157" s="79">
        <f t="shared" si="22"/>
        <v>0.3874610351021488</v>
      </c>
    </row>
    <row r="1158" spans="2:11" x14ac:dyDescent="0.35">
      <c r="B1158" s="149" t="s">
        <v>848</v>
      </c>
      <c r="C1158" s="6" t="s">
        <v>849</v>
      </c>
      <c r="D1158" s="78">
        <v>246.68</v>
      </c>
      <c r="E1158" s="78" t="s">
        <v>850</v>
      </c>
      <c r="F1158" s="160">
        <v>65.716512537726203</v>
      </c>
      <c r="G1158" s="76" t="s">
        <v>40</v>
      </c>
      <c r="H1158" s="76">
        <f t="shared" si="21"/>
        <v>0.30548746227380263</v>
      </c>
      <c r="I1158" s="78">
        <v>-0.52893400349381603</v>
      </c>
      <c r="J1158" s="161">
        <v>11.758145450390657</v>
      </c>
      <c r="K1158" s="79">
        <f t="shared" si="22"/>
        <v>0.4954854918419187</v>
      </c>
    </row>
    <row r="1159" spans="2:11" x14ac:dyDescent="0.35">
      <c r="B1159" s="149" t="s">
        <v>848</v>
      </c>
      <c r="C1159" s="6" t="s">
        <v>849</v>
      </c>
      <c r="D1159" s="78">
        <v>246.7</v>
      </c>
      <c r="E1159" s="78" t="s">
        <v>850</v>
      </c>
      <c r="F1159" s="160">
        <v>65.720442029166307</v>
      </c>
      <c r="G1159" s="76" t="s">
        <v>40</v>
      </c>
      <c r="H1159" s="76">
        <f t="shared" si="21"/>
        <v>0.30155797083369862</v>
      </c>
      <c r="I1159" s="78">
        <v>-0.58231706109570425</v>
      </c>
      <c r="J1159" s="161">
        <v>11.998817430574093</v>
      </c>
      <c r="K1159" s="79">
        <f t="shared" si="22"/>
        <v>0.73615747202535431</v>
      </c>
    </row>
    <row r="1160" spans="2:11" x14ac:dyDescent="0.35">
      <c r="B1160" s="149" t="s">
        <v>848</v>
      </c>
      <c r="C1160" s="6" t="s">
        <v>849</v>
      </c>
      <c r="D1160" s="78">
        <v>246.72</v>
      </c>
      <c r="E1160" s="78" t="s">
        <v>850</v>
      </c>
      <c r="F1160" s="160">
        <v>65.724371520606297</v>
      </c>
      <c r="G1160" s="76" t="s">
        <v>40</v>
      </c>
      <c r="H1160" s="76">
        <f t="shared" si="21"/>
        <v>0.29762847939370829</v>
      </c>
      <c r="I1160" s="78">
        <v>-0.60105007140747801</v>
      </c>
      <c r="J1160" s="161">
        <v>12.083372723516504</v>
      </c>
      <c r="K1160" s="79">
        <f t="shared" si="22"/>
        <v>0.82071276496776591</v>
      </c>
    </row>
    <row r="1161" spans="2:11" x14ac:dyDescent="0.35">
      <c r="B1161" s="149" t="s">
        <v>848</v>
      </c>
      <c r="C1161" s="6" t="s">
        <v>849</v>
      </c>
      <c r="D1161" s="78">
        <v>246.74</v>
      </c>
      <c r="E1161" s="78" t="s">
        <v>850</v>
      </c>
      <c r="F1161" s="160">
        <v>65.728301012046302</v>
      </c>
      <c r="G1161" s="76" t="s">
        <v>40</v>
      </c>
      <c r="H1161" s="76">
        <f t="shared" si="21"/>
        <v>0.29369898795370375</v>
      </c>
      <c r="I1161" s="78">
        <v>-0.60167177405856975</v>
      </c>
      <c r="J1161" s="161">
        <v>12.086179793158692</v>
      </c>
      <c r="K1161" s="79">
        <f t="shared" si="22"/>
        <v>0.8235198346099537</v>
      </c>
    </row>
    <row r="1162" spans="2:11" x14ac:dyDescent="0.35">
      <c r="B1162" s="149" t="s">
        <v>848</v>
      </c>
      <c r="C1162" s="6" t="s">
        <v>849</v>
      </c>
      <c r="D1162" s="78">
        <v>246.76</v>
      </c>
      <c r="E1162" s="78" t="s">
        <v>850</v>
      </c>
      <c r="F1162" s="160">
        <v>65.732230503486306</v>
      </c>
      <c r="G1162" s="76" t="s">
        <v>40</v>
      </c>
      <c r="H1162" s="76">
        <f t="shared" si="21"/>
        <v>0.28976949651369921</v>
      </c>
      <c r="I1162" s="78">
        <v>-0.57912151570549053</v>
      </c>
      <c r="J1162" s="161">
        <v>11.984398842673215</v>
      </c>
      <c r="K1162" s="79">
        <f t="shared" si="22"/>
        <v>0.72173888412447695</v>
      </c>
    </row>
    <row r="1163" spans="2:11" x14ac:dyDescent="0.35">
      <c r="B1163" s="149" t="s">
        <v>848</v>
      </c>
      <c r="C1163" s="6" t="s">
        <v>849</v>
      </c>
      <c r="D1163" s="78">
        <v>246.78</v>
      </c>
      <c r="E1163" s="78" t="s">
        <v>850</v>
      </c>
      <c r="F1163" s="160">
        <v>65.736159994926297</v>
      </c>
      <c r="G1163" s="76" t="s">
        <v>40</v>
      </c>
      <c r="H1163" s="76">
        <f t="shared" si="21"/>
        <v>0.28584000507370888</v>
      </c>
      <c r="I1163" s="78">
        <v>-0.7053909245424137</v>
      </c>
      <c r="J1163" s="161">
        <v>12.555284755920184</v>
      </c>
      <c r="K1163" s="79">
        <f t="shared" si="22"/>
        <v>1.2926247973714453</v>
      </c>
    </row>
    <row r="1164" spans="2:11" x14ac:dyDescent="0.35">
      <c r="B1164" s="149" t="s">
        <v>848</v>
      </c>
      <c r="C1164" s="6" t="s">
        <v>849</v>
      </c>
      <c r="D1164" s="78">
        <v>246.8</v>
      </c>
      <c r="E1164" s="78" t="s">
        <v>850</v>
      </c>
      <c r="F1164" s="160">
        <v>65.740089486366301</v>
      </c>
      <c r="G1164" s="76" t="s">
        <v>40</v>
      </c>
      <c r="H1164" s="76">
        <f t="shared" si="21"/>
        <v>0.28191051363370434</v>
      </c>
      <c r="I1164" s="78">
        <v>-0.66772347370044471</v>
      </c>
      <c r="J1164" s="161">
        <v>12.384737004474289</v>
      </c>
      <c r="K1164" s="79">
        <f t="shared" si="22"/>
        <v>1.1220770459255505</v>
      </c>
    </row>
    <row r="1165" spans="2:11" x14ac:dyDescent="0.35">
      <c r="B1165" s="149" t="s">
        <v>848</v>
      </c>
      <c r="C1165" s="6" t="s">
        <v>849</v>
      </c>
      <c r="D1165" s="78">
        <v>246.82</v>
      </c>
      <c r="E1165" s="78" t="s">
        <v>850</v>
      </c>
      <c r="F1165" s="160">
        <v>65.744018977806405</v>
      </c>
      <c r="G1165" s="76" t="s">
        <v>40</v>
      </c>
      <c r="H1165" s="76">
        <f t="shared" si="21"/>
        <v>0.27798102219360032</v>
      </c>
      <c r="I1165" s="78">
        <v>-0.53409746744124931</v>
      </c>
      <c r="J1165" s="161">
        <v>11.781406082099011</v>
      </c>
      <c r="K1165" s="79">
        <f t="shared" si="22"/>
        <v>0.51874612355027239</v>
      </c>
    </row>
    <row r="1166" spans="2:11" x14ac:dyDescent="0.35">
      <c r="B1166" s="149" t="s">
        <v>848</v>
      </c>
      <c r="C1166" s="6" t="s">
        <v>849</v>
      </c>
      <c r="D1166" s="78">
        <v>246.84</v>
      </c>
      <c r="E1166" s="78" t="s">
        <v>850</v>
      </c>
      <c r="F1166" s="160">
        <v>65.747948469246396</v>
      </c>
      <c r="G1166" s="76" t="s">
        <v>40</v>
      </c>
      <c r="H1166" s="76">
        <f t="shared" si="21"/>
        <v>0.27405153075361</v>
      </c>
      <c r="I1166" s="78">
        <v>-0.62236216888221685</v>
      </c>
      <c r="J1166" s="161">
        <v>12.179632183905824</v>
      </c>
      <c r="K1166" s="79">
        <f t="shared" si="22"/>
        <v>0.91697222535708534</v>
      </c>
    </row>
    <row r="1167" spans="2:11" x14ac:dyDescent="0.35">
      <c r="B1167" s="149" t="s">
        <v>848</v>
      </c>
      <c r="C1167" s="6" t="s">
        <v>849</v>
      </c>
      <c r="D1167" s="78">
        <v>246.86</v>
      </c>
      <c r="E1167" s="78" t="s">
        <v>850</v>
      </c>
      <c r="F1167" s="160">
        <v>65.7518779606864</v>
      </c>
      <c r="G1167" s="76" t="s">
        <v>40</v>
      </c>
      <c r="H1167" s="76">
        <f t="shared" si="21"/>
        <v>0.27012203931360546</v>
      </c>
      <c r="I1167" s="78">
        <v>-0.71526100524457092</v>
      </c>
      <c r="J1167" s="161">
        <v>12.600008494771203</v>
      </c>
      <c r="K1167" s="79">
        <f t="shared" si="22"/>
        <v>1.3373485362224642</v>
      </c>
    </row>
    <row r="1168" spans="2:11" x14ac:dyDescent="0.35">
      <c r="B1168" s="149" t="s">
        <v>848</v>
      </c>
      <c r="C1168" s="6" t="s">
        <v>849</v>
      </c>
      <c r="D1168" s="78">
        <v>246.88</v>
      </c>
      <c r="E1168" s="78" t="s">
        <v>850</v>
      </c>
      <c r="F1168" s="160">
        <v>65.755807452126405</v>
      </c>
      <c r="G1168" s="76" t="s">
        <v>40</v>
      </c>
      <c r="H1168" s="76">
        <f t="shared" si="21"/>
        <v>0.26619254787360092</v>
      </c>
      <c r="I1168" s="78">
        <v>-0.33546432843748164</v>
      </c>
      <c r="J1168" s="161">
        <v>10.8894083193955</v>
      </c>
      <c r="K1168" s="79">
        <f t="shared" si="22"/>
        <v>-0.37325163915323856</v>
      </c>
    </row>
    <row r="1169" spans="2:11" x14ac:dyDescent="0.35">
      <c r="B1169" s="149" t="s">
        <v>848</v>
      </c>
      <c r="C1169" s="6" t="s">
        <v>849</v>
      </c>
      <c r="D1169" s="78">
        <v>246.9</v>
      </c>
      <c r="E1169" s="78" t="s">
        <v>850</v>
      </c>
      <c r="F1169" s="160">
        <v>65.759736943566395</v>
      </c>
      <c r="G1169" s="76" t="s">
        <v>40</v>
      </c>
      <c r="H1169" s="76">
        <f t="shared" si="21"/>
        <v>0.26226305643361059</v>
      </c>
      <c r="I1169" s="78">
        <v>-0.47777746027487922</v>
      </c>
      <c r="J1169" s="161">
        <v>11.527904404511332</v>
      </c>
      <c r="K1169" s="79">
        <f t="shared" si="22"/>
        <v>0.265244445962594</v>
      </c>
    </row>
    <row r="1170" spans="2:11" x14ac:dyDescent="0.35">
      <c r="B1170" s="149" t="s">
        <v>848</v>
      </c>
      <c r="C1170" s="6" t="s">
        <v>849</v>
      </c>
      <c r="D1170" s="78">
        <v>246.92</v>
      </c>
      <c r="E1170" s="78" t="s">
        <v>850</v>
      </c>
      <c r="F1170" s="160">
        <v>65.765463537118407</v>
      </c>
      <c r="G1170" s="76" t="s">
        <v>40</v>
      </c>
      <c r="H1170" s="76">
        <f t="shared" si="21"/>
        <v>0.25653646288159848</v>
      </c>
      <c r="I1170" s="78">
        <v>-0.47931358181560629</v>
      </c>
      <c r="J1170" s="161">
        <v>11.534812459578575</v>
      </c>
      <c r="K1170" s="79">
        <f t="shared" si="22"/>
        <v>0.27215250102983646</v>
      </c>
    </row>
    <row r="1171" spans="2:11" x14ac:dyDescent="0.35">
      <c r="B1171" s="149" t="s">
        <v>848</v>
      </c>
      <c r="C1171" s="6" t="s">
        <v>849</v>
      </c>
      <c r="D1171" s="78">
        <v>246.94</v>
      </c>
      <c r="E1171" s="78" t="s">
        <v>850</v>
      </c>
      <c r="F1171" s="160">
        <v>65.772041395141002</v>
      </c>
      <c r="G1171" s="76" t="s">
        <v>40</v>
      </c>
      <c r="H1171" s="76">
        <f t="shared" si="21"/>
        <v>0.24995860485900323</v>
      </c>
      <c r="I1171" s="78">
        <v>-0.47122829564401769</v>
      </c>
      <c r="J1171" s="161">
        <v>11.498456194826247</v>
      </c>
      <c r="K1171" s="79">
        <f t="shared" si="22"/>
        <v>0.23579623627750834</v>
      </c>
    </row>
    <row r="1172" spans="2:11" x14ac:dyDescent="0.35">
      <c r="B1172" s="149" t="s">
        <v>848</v>
      </c>
      <c r="C1172" s="6" t="s">
        <v>849</v>
      </c>
      <c r="D1172" s="78">
        <v>246.96</v>
      </c>
      <c r="E1172" s="78" t="s">
        <v>850</v>
      </c>
      <c r="F1172" s="160">
        <v>65.778619253163598</v>
      </c>
      <c r="G1172" s="76" t="s">
        <v>40</v>
      </c>
      <c r="H1172" s="76">
        <f t="shared" si="21"/>
        <v>0.24338074683640798</v>
      </c>
      <c r="I1172" s="78">
        <v>-0.43593115600551402</v>
      </c>
      <c r="J1172" s="161">
        <v>11.339851357316434</v>
      </c>
      <c r="K1172" s="79">
        <f t="shared" si="22"/>
        <v>7.7191398767695318E-2</v>
      </c>
    </row>
    <row r="1173" spans="2:11" x14ac:dyDescent="0.35">
      <c r="B1173" s="149" t="s">
        <v>848</v>
      </c>
      <c r="C1173" s="6" t="s">
        <v>849</v>
      </c>
      <c r="D1173" s="78">
        <v>246.98</v>
      </c>
      <c r="E1173" s="78" t="s">
        <v>850</v>
      </c>
      <c r="F1173" s="160">
        <v>65.785197111186207</v>
      </c>
      <c r="G1173" s="76" t="s">
        <v>40</v>
      </c>
      <c r="H1173" s="76">
        <f t="shared" ref="H1173:H1236" si="23">66.022-F1173</f>
        <v>0.23680288881379852</v>
      </c>
      <c r="I1173" s="78">
        <v>-0.53254515027555627</v>
      </c>
      <c r="J1173" s="161">
        <v>11.774412713864024</v>
      </c>
      <c r="K1173" s="79">
        <f t="shared" ref="K1173:K1236" si="24">J1173-$J$1214</f>
        <v>0.51175275531528541</v>
      </c>
    </row>
    <row r="1174" spans="2:11" x14ac:dyDescent="0.35">
      <c r="B1174" s="149" t="s">
        <v>848</v>
      </c>
      <c r="C1174" s="6" t="s">
        <v>849</v>
      </c>
      <c r="D1174" s="78">
        <v>247</v>
      </c>
      <c r="E1174" s="78" t="s">
        <v>850</v>
      </c>
      <c r="F1174" s="160">
        <v>65.791774969208802</v>
      </c>
      <c r="G1174" s="76" t="s">
        <v>40</v>
      </c>
      <c r="H1174" s="76">
        <f t="shared" si="23"/>
        <v>0.23022503079120327</v>
      </c>
      <c r="I1174" s="78">
        <v>-0.52893400349381559</v>
      </c>
      <c r="J1174" s="161">
        <v>11.758145450390657</v>
      </c>
      <c r="K1174" s="79">
        <f t="shared" si="24"/>
        <v>0.4954854918419187</v>
      </c>
    </row>
    <row r="1175" spans="2:11" x14ac:dyDescent="0.35">
      <c r="B1175" s="149" t="s">
        <v>848</v>
      </c>
      <c r="C1175" s="6" t="s">
        <v>849</v>
      </c>
      <c r="D1175" s="78">
        <v>247.02</v>
      </c>
      <c r="E1175" s="78" t="s">
        <v>850</v>
      </c>
      <c r="F1175" s="160">
        <v>65.798352827231398</v>
      </c>
      <c r="G1175" s="76" t="s">
        <v>40</v>
      </c>
      <c r="H1175" s="76">
        <f t="shared" si="23"/>
        <v>0.22364717276860802</v>
      </c>
      <c r="I1175" s="78">
        <v>-0.46599110996530513</v>
      </c>
      <c r="J1175" s="161">
        <v>11.474911799080814</v>
      </c>
      <c r="K1175" s="79">
        <f t="shared" si="24"/>
        <v>0.21225184053207613</v>
      </c>
    </row>
    <row r="1176" spans="2:11" x14ac:dyDescent="0.35">
      <c r="B1176" s="149" t="s">
        <v>848</v>
      </c>
      <c r="C1176" s="6" t="s">
        <v>849</v>
      </c>
      <c r="D1176" s="78">
        <v>247.04</v>
      </c>
      <c r="E1176" s="78" t="s">
        <v>850</v>
      </c>
      <c r="F1176" s="160">
        <v>65.804930685254007</v>
      </c>
      <c r="G1176" s="76" t="s">
        <v>40</v>
      </c>
      <c r="H1176" s="76">
        <f t="shared" si="23"/>
        <v>0.21706931474599855</v>
      </c>
      <c r="I1176" s="78">
        <v>-0.57075693033687835</v>
      </c>
      <c r="J1176" s="161">
        <v>11.946664203121884</v>
      </c>
      <c r="K1176" s="79">
        <f t="shared" si="24"/>
        <v>0.68400424457314557</v>
      </c>
    </row>
    <row r="1177" spans="2:11" x14ac:dyDescent="0.35">
      <c r="B1177" s="149" t="s">
        <v>848</v>
      </c>
      <c r="C1177" s="6" t="s">
        <v>849</v>
      </c>
      <c r="D1177" s="78">
        <v>247.06</v>
      </c>
      <c r="E1177" s="78" t="s">
        <v>850</v>
      </c>
      <c r="F1177" s="160">
        <v>65.811508543276602</v>
      </c>
      <c r="G1177" s="76" t="s">
        <v>40</v>
      </c>
      <c r="H1177" s="76">
        <f t="shared" si="23"/>
        <v>0.2104914567234033</v>
      </c>
      <c r="I1177" s="78">
        <v>-0.35854009798827491</v>
      </c>
      <c r="J1177" s="161">
        <v>10.992738301586087</v>
      </c>
      <c r="K1177" s="79">
        <f t="shared" si="24"/>
        <v>-0.26992165696265147</v>
      </c>
    </row>
    <row r="1178" spans="2:11" x14ac:dyDescent="0.35">
      <c r="B1178" s="149" t="s">
        <v>848</v>
      </c>
      <c r="C1178" s="6" t="s">
        <v>849</v>
      </c>
      <c r="D1178" s="78">
        <v>247.08</v>
      </c>
      <c r="E1178" s="78" t="s">
        <v>850</v>
      </c>
      <c r="F1178" s="160">
        <v>65.818086401299198</v>
      </c>
      <c r="G1178" s="76" t="s">
        <v>40</v>
      </c>
      <c r="H1178" s="76">
        <f t="shared" si="23"/>
        <v>0.20391359870080805</v>
      </c>
      <c r="I1178" s="78">
        <v>-0.60506590761152645</v>
      </c>
      <c r="J1178" s="161">
        <v>12.101505759802706</v>
      </c>
      <c r="K1178" s="79">
        <f t="shared" si="24"/>
        <v>0.83884580125396724</v>
      </c>
    </row>
    <row r="1179" spans="2:11" x14ac:dyDescent="0.35">
      <c r="B1179" s="149" t="s">
        <v>848</v>
      </c>
      <c r="C1179" s="6" t="s">
        <v>849</v>
      </c>
      <c r="D1179" s="78">
        <v>247.08</v>
      </c>
      <c r="E1179" s="78" t="s">
        <v>850</v>
      </c>
      <c r="F1179" s="160">
        <v>65.818086401299198</v>
      </c>
      <c r="G1179" s="76" t="s">
        <v>40</v>
      </c>
      <c r="H1179" s="76">
        <f t="shared" si="23"/>
        <v>0.20391359870080805</v>
      </c>
      <c r="I1179" s="78">
        <v>-0.38884333631536094</v>
      </c>
      <c r="J1179" s="161">
        <v>11.12854972155759</v>
      </c>
      <c r="K1179" s="79">
        <f t="shared" si="24"/>
        <v>-0.13411023699114821</v>
      </c>
    </row>
    <row r="1180" spans="2:11" x14ac:dyDescent="0.35">
      <c r="B1180" s="149" t="s">
        <v>848</v>
      </c>
      <c r="C1180" s="6" t="s">
        <v>849</v>
      </c>
      <c r="D1180" s="78">
        <v>247.1</v>
      </c>
      <c r="E1180" s="78" t="s">
        <v>850</v>
      </c>
      <c r="F1180" s="160">
        <v>65.824664259321807</v>
      </c>
      <c r="G1180" s="76" t="s">
        <v>40</v>
      </c>
      <c r="H1180" s="76">
        <f t="shared" si="23"/>
        <v>0.19733574067819859</v>
      </c>
      <c r="I1180" s="78">
        <v>-0.51675152500394006</v>
      </c>
      <c r="J1180" s="161">
        <v>11.703280733171766</v>
      </c>
      <c r="K1180" s="79">
        <f t="shared" si="24"/>
        <v>0.44062077462302796</v>
      </c>
    </row>
    <row r="1181" spans="2:11" x14ac:dyDescent="0.35">
      <c r="B1181" s="149" t="s">
        <v>848</v>
      </c>
      <c r="C1181" s="6" t="s">
        <v>849</v>
      </c>
      <c r="D1181" s="78">
        <v>247.12</v>
      </c>
      <c r="E1181" s="78" t="s">
        <v>850</v>
      </c>
      <c r="F1181" s="160">
        <v>65.831242117344402</v>
      </c>
      <c r="G1181" s="76" t="s">
        <v>40</v>
      </c>
      <c r="H1181" s="76">
        <f t="shared" si="23"/>
        <v>0.19075788265560334</v>
      </c>
      <c r="I1181" s="78">
        <v>-0.56891388610311555</v>
      </c>
      <c r="J1181" s="161">
        <v>11.93835117620381</v>
      </c>
      <c r="K1181" s="79">
        <f t="shared" si="24"/>
        <v>0.67569121765507134</v>
      </c>
    </row>
    <row r="1182" spans="2:11" x14ac:dyDescent="0.35">
      <c r="B1182" s="149" t="s">
        <v>848</v>
      </c>
      <c r="C1182" s="6" t="s">
        <v>849</v>
      </c>
      <c r="D1182" s="78">
        <v>247.14</v>
      </c>
      <c r="E1182" s="78" t="s">
        <v>850</v>
      </c>
      <c r="F1182" s="160">
        <v>65.837819975367097</v>
      </c>
      <c r="G1182" s="76" t="s">
        <v>40</v>
      </c>
      <c r="H1182" s="76">
        <f t="shared" si="23"/>
        <v>0.18418002463290861</v>
      </c>
      <c r="I1182" s="78">
        <v>-0.62505355136613616</v>
      </c>
      <c r="J1182" s="161">
        <v>12.191793005431236</v>
      </c>
      <c r="K1182" s="79">
        <f t="shared" si="24"/>
        <v>0.92913304688249809</v>
      </c>
    </row>
    <row r="1183" spans="2:11" x14ac:dyDescent="0.35">
      <c r="B1183" s="149" t="s">
        <v>848</v>
      </c>
      <c r="C1183" s="6" t="s">
        <v>849</v>
      </c>
      <c r="D1183" s="78">
        <v>247.16</v>
      </c>
      <c r="E1183" s="78" t="s">
        <v>850</v>
      </c>
      <c r="F1183" s="160">
        <v>65.844397833389706</v>
      </c>
      <c r="G1183" s="76" t="s">
        <v>40</v>
      </c>
      <c r="H1183" s="76">
        <f t="shared" si="23"/>
        <v>0.17760216661029915</v>
      </c>
      <c r="I1183" s="78">
        <v>-0.62987611845063218</v>
      </c>
      <c r="J1183" s="161">
        <v>12.213586108906782</v>
      </c>
      <c r="K1183" s="79">
        <f t="shared" si="24"/>
        <v>0.95092615035804329</v>
      </c>
    </row>
    <row r="1184" spans="2:11" x14ac:dyDescent="0.35">
      <c r="B1184" s="149" t="s">
        <v>848</v>
      </c>
      <c r="C1184" s="6" t="s">
        <v>849</v>
      </c>
      <c r="D1184" s="78">
        <v>247.18</v>
      </c>
      <c r="E1184" s="78" t="s">
        <v>850</v>
      </c>
      <c r="F1184" s="160">
        <v>65.850975691412302</v>
      </c>
      <c r="G1184" s="76" t="s">
        <v>40</v>
      </c>
      <c r="H1184" s="76">
        <f t="shared" si="23"/>
        <v>0.1710243085877039</v>
      </c>
      <c r="I1184" s="78">
        <v>-0.51594580413047808</v>
      </c>
      <c r="J1184" s="161">
        <v>11.699652876558389</v>
      </c>
      <c r="K1184" s="79">
        <f t="shared" si="24"/>
        <v>0.43699291800965057</v>
      </c>
    </row>
    <row r="1185" spans="2:11" x14ac:dyDescent="0.35">
      <c r="B1185" s="149" t="s">
        <v>848</v>
      </c>
      <c r="C1185" s="6" t="s">
        <v>849</v>
      </c>
      <c r="D1185" s="78">
        <v>247.2</v>
      </c>
      <c r="E1185" s="78" t="s">
        <v>850</v>
      </c>
      <c r="F1185" s="160">
        <v>65.857553549434897</v>
      </c>
      <c r="G1185" s="76" t="s">
        <v>40</v>
      </c>
      <c r="H1185" s="76">
        <f t="shared" si="23"/>
        <v>0.16444645056510865</v>
      </c>
      <c r="I1185" s="78">
        <v>-0.55090876166559433</v>
      </c>
      <c r="J1185" s="161">
        <v>11.857165598324059</v>
      </c>
      <c r="K1185" s="79">
        <f t="shared" si="24"/>
        <v>0.59450563977532056</v>
      </c>
    </row>
    <row r="1186" spans="2:11" x14ac:dyDescent="0.35">
      <c r="B1186" s="149" t="s">
        <v>848</v>
      </c>
      <c r="C1186" s="6" t="s">
        <v>849</v>
      </c>
      <c r="D1186" s="78">
        <v>247.22</v>
      </c>
      <c r="E1186" s="78" t="s">
        <v>850</v>
      </c>
      <c r="F1186" s="160">
        <v>65.864131407457506</v>
      </c>
      <c r="G1186" s="76" t="s">
        <v>40</v>
      </c>
      <c r="H1186" s="76">
        <f t="shared" si="23"/>
        <v>0.15786859254249919</v>
      </c>
      <c r="I1186" s="78">
        <v>-0.53885143876093977</v>
      </c>
      <c r="J1186" s="161">
        <v>11.802825475622967</v>
      </c>
      <c r="K1186" s="79">
        <f t="shared" si="24"/>
        <v>0.54016551707422877</v>
      </c>
    </row>
    <row r="1187" spans="2:11" x14ac:dyDescent="0.35">
      <c r="B1187" s="149" t="s">
        <v>848</v>
      </c>
      <c r="C1187" s="6" t="s">
        <v>849</v>
      </c>
      <c r="D1187" s="78">
        <v>247.24</v>
      </c>
      <c r="E1187" s="78" t="s">
        <v>850</v>
      </c>
      <c r="F1187" s="160">
        <v>65.870709265480102</v>
      </c>
      <c r="G1187" s="76" t="s">
        <v>40</v>
      </c>
      <c r="H1187" s="76">
        <f t="shared" si="23"/>
        <v>0.15129073451990394</v>
      </c>
      <c r="I1187" s="78">
        <v>-0.58309114943974782</v>
      </c>
      <c r="J1187" s="161">
        <v>12.002310413073985</v>
      </c>
      <c r="K1187" s="79">
        <f t="shared" si="24"/>
        <v>0.73965045452524691</v>
      </c>
    </row>
    <row r="1188" spans="2:11" x14ac:dyDescent="0.35">
      <c r="B1188" s="149" t="s">
        <v>848</v>
      </c>
      <c r="C1188" s="6" t="s">
        <v>849</v>
      </c>
      <c r="D1188" s="78">
        <v>247.26</v>
      </c>
      <c r="E1188" s="78" t="s">
        <v>850</v>
      </c>
      <c r="F1188" s="160">
        <v>65.877287123502697</v>
      </c>
      <c r="G1188" s="76" t="s">
        <v>40</v>
      </c>
      <c r="H1188" s="76">
        <f t="shared" si="23"/>
        <v>0.14471287649730868</v>
      </c>
      <c r="I1188" s="78">
        <v>-0.54565676134539487</v>
      </c>
      <c r="J1188" s="161">
        <v>11.833493176921422</v>
      </c>
      <c r="K1188" s="79">
        <f t="shared" si="24"/>
        <v>0.57083321837268386</v>
      </c>
    </row>
    <row r="1189" spans="2:11" x14ac:dyDescent="0.35">
      <c r="B1189" s="149" t="s">
        <v>848</v>
      </c>
      <c r="C1189" s="6" t="s">
        <v>849</v>
      </c>
      <c r="D1189" s="78">
        <v>247.28</v>
      </c>
      <c r="E1189" s="78" t="s">
        <v>850</v>
      </c>
      <c r="F1189" s="160">
        <v>65.883864981525306</v>
      </c>
      <c r="G1189" s="76" t="s">
        <v>40</v>
      </c>
      <c r="H1189" s="76">
        <f t="shared" si="23"/>
        <v>0.13813501847469922</v>
      </c>
      <c r="I1189" s="78">
        <v>-0.48257435238303154</v>
      </c>
      <c r="J1189" s="161">
        <v>11.549477538551571</v>
      </c>
      <c r="K1189" s="79">
        <f t="shared" si="24"/>
        <v>0.28681758000283253</v>
      </c>
    </row>
    <row r="1190" spans="2:11" x14ac:dyDescent="0.35">
      <c r="B1190" s="149" t="s">
        <v>848</v>
      </c>
      <c r="C1190" s="6" t="s">
        <v>849</v>
      </c>
      <c r="D1190" s="78">
        <v>247.3</v>
      </c>
      <c r="E1190" s="78" t="s">
        <v>850</v>
      </c>
      <c r="F1190" s="160">
        <v>65.890442839547902</v>
      </c>
      <c r="G1190" s="76" t="s">
        <v>40</v>
      </c>
      <c r="H1190" s="76">
        <f t="shared" si="23"/>
        <v>0.13155716045210397</v>
      </c>
      <c r="I1190" s="78">
        <v>-0.48350162982329081</v>
      </c>
      <c r="J1190" s="161">
        <v>11.553648186204214</v>
      </c>
      <c r="K1190" s="79">
        <f t="shared" si="24"/>
        <v>0.29098822765547538</v>
      </c>
    </row>
    <row r="1191" spans="2:11" x14ac:dyDescent="0.35">
      <c r="B1191" s="149" t="s">
        <v>848</v>
      </c>
      <c r="C1191" s="6" t="s">
        <v>849</v>
      </c>
      <c r="D1191" s="78">
        <v>247.32</v>
      </c>
      <c r="E1191" s="78" t="s">
        <v>850</v>
      </c>
      <c r="F1191" s="160">
        <v>65.897020697570497</v>
      </c>
      <c r="G1191" s="76" t="s">
        <v>40</v>
      </c>
      <c r="H1191" s="76">
        <f t="shared" si="23"/>
        <v>0.12497930242950872</v>
      </c>
      <c r="I1191" s="78">
        <v>-0.62491407628281004</v>
      </c>
      <c r="J1191" s="161">
        <v>12.191162770853225</v>
      </c>
      <c r="K1191" s="79">
        <f t="shared" si="24"/>
        <v>0.92850281230448672</v>
      </c>
    </row>
    <row r="1192" spans="2:11" x14ac:dyDescent="0.35">
      <c r="B1192" s="149" t="s">
        <v>848</v>
      </c>
      <c r="C1192" s="6" t="s">
        <v>849</v>
      </c>
      <c r="D1192" s="78">
        <v>247.34</v>
      </c>
      <c r="E1192" s="78" t="s">
        <v>850</v>
      </c>
      <c r="F1192" s="160">
        <v>65.903598555593106</v>
      </c>
      <c r="G1192" s="76" t="s">
        <v>40</v>
      </c>
      <c r="H1192" s="76">
        <f t="shared" si="23"/>
        <v>0.11840144440689926</v>
      </c>
      <c r="I1192" s="78">
        <v>-0.40082843431060411</v>
      </c>
      <c r="J1192" s="161">
        <v>11.182300859402517</v>
      </c>
      <c r="K1192" s="79">
        <f t="shared" si="24"/>
        <v>-8.0359099146221524E-2</v>
      </c>
    </row>
    <row r="1193" spans="2:11" x14ac:dyDescent="0.35">
      <c r="B1193" s="149" t="s">
        <v>848</v>
      </c>
      <c r="C1193" s="6" t="s">
        <v>849</v>
      </c>
      <c r="D1193" s="78">
        <v>247.36</v>
      </c>
      <c r="E1193" s="78" t="s">
        <v>850</v>
      </c>
      <c r="F1193" s="160">
        <v>65.910176413615702</v>
      </c>
      <c r="G1193" s="76" t="s">
        <v>40</v>
      </c>
      <c r="H1193" s="76">
        <f t="shared" si="23"/>
        <v>0.11182358638430401</v>
      </c>
      <c r="I1193" s="78">
        <v>-0.43054379593759368</v>
      </c>
      <c r="J1193" s="161">
        <v>11.315659729382332</v>
      </c>
      <c r="K1193" s="79">
        <f t="shared" si="24"/>
        <v>5.2999770833594084E-2</v>
      </c>
    </row>
    <row r="1194" spans="2:11" x14ac:dyDescent="0.35">
      <c r="B1194" s="149" t="s">
        <v>848</v>
      </c>
      <c r="C1194" s="6" t="s">
        <v>849</v>
      </c>
      <c r="D1194" s="78">
        <v>247.38</v>
      </c>
      <c r="E1194" s="78" t="s">
        <v>850</v>
      </c>
      <c r="F1194" s="160">
        <v>65.916754271638297</v>
      </c>
      <c r="G1194" s="76" t="s">
        <v>40</v>
      </c>
      <c r="H1194" s="76">
        <f t="shared" si="23"/>
        <v>0.10524572836170876</v>
      </c>
      <c r="I1194" s="78">
        <v>-0.25817309124661847</v>
      </c>
      <c r="J1194" s="161">
        <v>10.543873343269524</v>
      </c>
      <c r="K1194" s="79">
        <f t="shared" si="24"/>
        <v>-0.71878661527921395</v>
      </c>
    </row>
    <row r="1195" spans="2:11" x14ac:dyDescent="0.35">
      <c r="B1195" s="149" t="s">
        <v>848</v>
      </c>
      <c r="C1195" s="6" t="s">
        <v>849</v>
      </c>
      <c r="D1195" s="78">
        <v>247.38</v>
      </c>
      <c r="E1195" s="78" t="s">
        <v>850</v>
      </c>
      <c r="F1195" s="160">
        <v>65.916754271638297</v>
      </c>
      <c r="G1195" s="76" t="s">
        <v>40</v>
      </c>
      <c r="H1195" s="76">
        <f t="shared" si="23"/>
        <v>0.10524572836170876</v>
      </c>
      <c r="I1195" s="78">
        <v>-0.2836893046570701</v>
      </c>
      <c r="J1195" s="161">
        <v>10.657849114128055</v>
      </c>
      <c r="K1195" s="79">
        <f t="shared" si="24"/>
        <v>-0.60481084442068322</v>
      </c>
    </row>
    <row r="1196" spans="2:11" x14ac:dyDescent="0.35">
      <c r="B1196" s="149" t="s">
        <v>848</v>
      </c>
      <c r="C1196" s="6" t="s">
        <v>849</v>
      </c>
      <c r="D1196" s="78">
        <v>247.38</v>
      </c>
      <c r="E1196" s="78" t="s">
        <v>850</v>
      </c>
      <c r="F1196" s="160">
        <v>65.916754271638297</v>
      </c>
      <c r="G1196" s="76" t="s">
        <v>40</v>
      </c>
      <c r="H1196" s="76">
        <f t="shared" si="23"/>
        <v>0.10524572836170876</v>
      </c>
      <c r="I1196" s="78">
        <v>-0.15363423212224347</v>
      </c>
      <c r="J1196" s="161">
        <v>10.077903879700386</v>
      </c>
      <c r="K1196" s="79">
        <f t="shared" si="24"/>
        <v>-1.184756078848352</v>
      </c>
    </row>
    <row r="1197" spans="2:11" x14ac:dyDescent="0.35">
      <c r="B1197" s="149" t="s">
        <v>848</v>
      </c>
      <c r="C1197" s="6" t="s">
        <v>849</v>
      </c>
      <c r="D1197" s="78">
        <v>247.4</v>
      </c>
      <c r="E1197" s="78" t="s">
        <v>850</v>
      </c>
      <c r="F1197" s="160">
        <v>65.923332129660906</v>
      </c>
      <c r="G1197" s="76" t="s">
        <v>40</v>
      </c>
      <c r="H1197" s="76">
        <f t="shared" si="23"/>
        <v>9.8667870339099295E-2</v>
      </c>
      <c r="I1197" s="78">
        <v>-0.19038095501505747</v>
      </c>
      <c r="J1197" s="161">
        <v>10.241517886983786</v>
      </c>
      <c r="K1197" s="79">
        <f t="shared" si="24"/>
        <v>-1.0211420715649524</v>
      </c>
    </row>
    <row r="1198" spans="2:11" x14ac:dyDescent="0.35">
      <c r="B1198" s="149" t="s">
        <v>848</v>
      </c>
      <c r="C1198" s="6" t="s">
        <v>849</v>
      </c>
      <c r="D1198" s="78">
        <v>247.42</v>
      </c>
      <c r="E1198" s="78" t="s">
        <v>850</v>
      </c>
      <c r="F1198" s="160">
        <v>65.929909987683502</v>
      </c>
      <c r="G1198" s="76" t="s">
        <v>40</v>
      </c>
      <c r="H1198" s="76">
        <f t="shared" si="23"/>
        <v>9.2090012316504044E-2</v>
      </c>
      <c r="I1198" s="78">
        <v>-0.20852785208594474</v>
      </c>
      <c r="J1198" s="161">
        <v>10.322388528874399</v>
      </c>
      <c r="K1198" s="79">
        <f t="shared" si="24"/>
        <v>-0.94027142967433974</v>
      </c>
    </row>
    <row r="1199" spans="2:11" x14ac:dyDescent="0.35">
      <c r="B1199" s="149" t="s">
        <v>848</v>
      </c>
      <c r="C1199" s="6" t="s">
        <v>849</v>
      </c>
      <c r="D1199" s="78">
        <v>247.44</v>
      </c>
      <c r="E1199" s="78" t="s">
        <v>850</v>
      </c>
      <c r="F1199" s="160">
        <v>65.936487845706097</v>
      </c>
      <c r="G1199" s="76" t="s">
        <v>40</v>
      </c>
      <c r="H1199" s="76">
        <f t="shared" si="23"/>
        <v>8.5512154293908793E-2</v>
      </c>
      <c r="I1199" s="78">
        <v>-0.16769733367644721</v>
      </c>
      <c r="J1199" s="161">
        <v>10.140496511416359</v>
      </c>
      <c r="K1199" s="79">
        <f t="shared" si="24"/>
        <v>-1.1221634471323796</v>
      </c>
    </row>
    <row r="1200" spans="2:11" x14ac:dyDescent="0.35">
      <c r="B1200" s="149" t="s">
        <v>848</v>
      </c>
      <c r="C1200" s="6" t="s">
        <v>849</v>
      </c>
      <c r="D1200" s="78">
        <v>247.46</v>
      </c>
      <c r="E1200" s="78" t="s">
        <v>850</v>
      </c>
      <c r="F1200" s="160">
        <v>65.943065703728706</v>
      </c>
      <c r="G1200" s="76" t="s">
        <v>40</v>
      </c>
      <c r="H1200" s="76">
        <f t="shared" si="23"/>
        <v>7.8934296271299331E-2</v>
      </c>
      <c r="I1200" s="78">
        <v>-0.10910213343259656</v>
      </c>
      <c r="J1200" s="161">
        <v>9.8798867193723368</v>
      </c>
      <c r="K1200" s="79">
        <f t="shared" si="24"/>
        <v>-1.3827732391764016</v>
      </c>
    </row>
    <row r="1201" spans="2:11" x14ac:dyDescent="0.35">
      <c r="B1201" s="149" t="s">
        <v>848</v>
      </c>
      <c r="C1201" s="6" t="s">
        <v>849</v>
      </c>
      <c r="D1201" s="78">
        <v>247.48</v>
      </c>
      <c r="E1201" s="78" t="s">
        <v>850</v>
      </c>
      <c r="F1201" s="160">
        <v>65.949643561751301</v>
      </c>
      <c r="G1201" s="76" t="s">
        <v>40</v>
      </c>
      <c r="H1201" s="76">
        <f t="shared" si="23"/>
        <v>7.235643824870408E-2</v>
      </c>
      <c r="I1201" s="78">
        <v>-0.13296303850170058</v>
      </c>
      <c r="J1201" s="161">
        <v>9.9859514683686257</v>
      </c>
      <c r="K1201" s="79">
        <f t="shared" si="24"/>
        <v>-1.2767084901801127</v>
      </c>
    </row>
    <row r="1202" spans="2:11" x14ac:dyDescent="0.35">
      <c r="B1202" s="149" t="s">
        <v>848</v>
      </c>
      <c r="C1202" s="6" t="s">
        <v>849</v>
      </c>
      <c r="D1202" s="78">
        <v>247.5</v>
      </c>
      <c r="E1202" s="78" t="s">
        <v>850</v>
      </c>
      <c r="F1202" s="160">
        <v>65.956221419773996</v>
      </c>
      <c r="G1202" s="76" t="s">
        <v>40</v>
      </c>
      <c r="H1202" s="76">
        <f t="shared" si="23"/>
        <v>6.5778580226009353E-2</v>
      </c>
      <c r="I1202" s="78">
        <v>-6.5337492385968199E-2</v>
      </c>
      <c r="J1202" s="161">
        <v>9.6855603065455966</v>
      </c>
      <c r="K1202" s="79">
        <f t="shared" si="24"/>
        <v>-1.5770996520031417</v>
      </c>
    </row>
    <row r="1203" spans="2:11" x14ac:dyDescent="0.35">
      <c r="B1203" s="149" t="s">
        <v>848</v>
      </c>
      <c r="C1203" s="6" t="s">
        <v>849</v>
      </c>
      <c r="D1203" s="78">
        <v>247.52</v>
      </c>
      <c r="E1203" s="78" t="s">
        <v>850</v>
      </c>
      <c r="F1203" s="160">
        <v>65.962799277796606</v>
      </c>
      <c r="G1203" s="76" t="s">
        <v>40</v>
      </c>
      <c r="H1203" s="76">
        <f t="shared" si="23"/>
        <v>5.9200722203399891E-2</v>
      </c>
      <c r="I1203" s="78">
        <v>-6.5053947119235719E-2</v>
      </c>
      <c r="J1203" s="161">
        <v>9.6843021893994887</v>
      </c>
      <c r="K1203" s="79">
        <f t="shared" si="24"/>
        <v>-1.5783577691492496</v>
      </c>
    </row>
    <row r="1204" spans="2:11" x14ac:dyDescent="0.35">
      <c r="B1204" s="149" t="s">
        <v>848</v>
      </c>
      <c r="C1204" s="6" t="s">
        <v>849</v>
      </c>
      <c r="D1204" s="78">
        <v>247.54</v>
      </c>
      <c r="E1204" s="78" t="s">
        <v>850</v>
      </c>
      <c r="F1204" s="160">
        <v>65.969377135819201</v>
      </c>
      <c r="G1204" s="76" t="s">
        <v>40</v>
      </c>
      <c r="H1204" s="76">
        <f t="shared" si="23"/>
        <v>5.262286418080464E-2</v>
      </c>
      <c r="I1204" s="78">
        <v>3.0169822273343527E-2</v>
      </c>
      <c r="J1204" s="161">
        <v>9.2624375577774458</v>
      </c>
      <c r="K1204" s="79">
        <f t="shared" si="24"/>
        <v>-2.0002224007712925</v>
      </c>
    </row>
    <row r="1205" spans="2:11" x14ac:dyDescent="0.35">
      <c r="B1205" s="149" t="s">
        <v>848</v>
      </c>
      <c r="C1205" s="6" t="s">
        <v>849</v>
      </c>
      <c r="D1205" s="78">
        <v>247.56</v>
      </c>
      <c r="E1205" s="78" t="s">
        <v>850</v>
      </c>
      <c r="F1205" s="160">
        <v>65.975954993841796</v>
      </c>
      <c r="G1205" s="76" t="s">
        <v>40</v>
      </c>
      <c r="H1205" s="76">
        <f t="shared" si="23"/>
        <v>4.6045006158209389E-2</v>
      </c>
      <c r="I1205" s="78">
        <v>-0.33640676738236081</v>
      </c>
      <c r="J1205" s="161">
        <v>10.893626906938607</v>
      </c>
      <c r="K1205" s="79">
        <f t="shared" si="24"/>
        <v>-0.36903305161013122</v>
      </c>
    </row>
    <row r="1206" spans="2:11" x14ac:dyDescent="0.35">
      <c r="B1206" s="149" t="s">
        <v>848</v>
      </c>
      <c r="C1206" s="6" t="s">
        <v>849</v>
      </c>
      <c r="D1206" s="78">
        <v>247.57</v>
      </c>
      <c r="E1206" s="78" t="s">
        <v>850</v>
      </c>
      <c r="F1206" s="160">
        <v>65.979243922853101</v>
      </c>
      <c r="G1206" s="76" t="s">
        <v>40</v>
      </c>
      <c r="H1206" s="76">
        <f t="shared" si="23"/>
        <v>4.2756077146904659E-2</v>
      </c>
      <c r="I1206" s="78">
        <v>-0.4924984367186731</v>
      </c>
      <c r="J1206" s="161">
        <v>11.594119980268545</v>
      </c>
      <c r="K1206" s="79">
        <f t="shared" si="24"/>
        <v>0.33146002171980626</v>
      </c>
    </row>
    <row r="1207" spans="2:11" x14ac:dyDescent="0.35">
      <c r="B1207" s="149" t="s">
        <v>848</v>
      </c>
      <c r="C1207" s="6" t="s">
        <v>849</v>
      </c>
      <c r="D1207" s="78">
        <v>247.6</v>
      </c>
      <c r="E1207" s="78" t="s">
        <v>850</v>
      </c>
      <c r="F1207" s="160">
        <v>65.989110709887001</v>
      </c>
      <c r="G1207" s="76" t="s">
        <v>40</v>
      </c>
      <c r="H1207" s="76">
        <f t="shared" si="23"/>
        <v>3.2889290113004677E-2</v>
      </c>
      <c r="I1207" s="78">
        <v>-0.83790102658944843</v>
      </c>
      <c r="J1207" s="161">
        <v>13.156927444423559</v>
      </c>
      <c r="K1207" s="79">
        <f t="shared" si="24"/>
        <v>1.8942674858748205</v>
      </c>
    </row>
    <row r="1208" spans="2:11" x14ac:dyDescent="0.35">
      <c r="B1208" s="149" t="s">
        <v>848</v>
      </c>
      <c r="C1208" s="6" t="s">
        <v>849</v>
      </c>
      <c r="D1208" s="78">
        <v>247.6</v>
      </c>
      <c r="E1208" s="78" t="s">
        <v>850</v>
      </c>
      <c r="F1208" s="160">
        <v>65.989110709887001</v>
      </c>
      <c r="G1208" s="76" t="s">
        <v>40</v>
      </c>
      <c r="H1208" s="76">
        <f t="shared" si="23"/>
        <v>3.2889290113004677E-2</v>
      </c>
      <c r="I1208" s="78">
        <v>-0.74249604692997906</v>
      </c>
      <c r="J1208" s="161">
        <v>12.723492048552771</v>
      </c>
      <c r="K1208" s="79">
        <f t="shared" si="24"/>
        <v>1.4608320900040326</v>
      </c>
    </row>
    <row r="1209" spans="2:11" x14ac:dyDescent="0.35">
      <c r="B1209" s="149" t="s">
        <v>848</v>
      </c>
      <c r="C1209" s="6" t="s">
        <v>849</v>
      </c>
      <c r="D1209" s="78">
        <v>247.62</v>
      </c>
      <c r="E1209" s="78" t="s">
        <v>850</v>
      </c>
      <c r="F1209" s="160">
        <v>65.995688567909596</v>
      </c>
      <c r="G1209" s="76" t="s">
        <v>40</v>
      </c>
      <c r="H1209" s="76">
        <f t="shared" si="23"/>
        <v>2.6311432090409426E-2</v>
      </c>
      <c r="I1209" s="78">
        <v>-8.9353837440913436E-2</v>
      </c>
      <c r="J1209" s="161">
        <v>9.7921650339313828</v>
      </c>
      <c r="K1209" s="79">
        <f t="shared" si="24"/>
        <v>-1.4704949246173555</v>
      </c>
    </row>
    <row r="1210" spans="2:11" x14ac:dyDescent="0.35">
      <c r="B1210" s="149" t="s">
        <v>848</v>
      </c>
      <c r="C1210" s="6" t="s">
        <v>849</v>
      </c>
      <c r="D1210" s="78">
        <v>247.64</v>
      </c>
      <c r="E1210" s="78" t="s">
        <v>850</v>
      </c>
      <c r="F1210" s="160">
        <v>66.002266425932206</v>
      </c>
      <c r="G1210" s="76" t="s">
        <v>40</v>
      </c>
      <c r="H1210" s="76">
        <f t="shared" si="23"/>
        <v>1.9733574067799964E-2</v>
      </c>
      <c r="I1210" s="78">
        <v>-1.0418534327342381</v>
      </c>
      <c r="J1210" s="161">
        <v>14.088068202439842</v>
      </c>
      <c r="K1210" s="79">
        <f t="shared" si="24"/>
        <v>2.8254082438911041</v>
      </c>
    </row>
    <row r="1211" spans="2:11" x14ac:dyDescent="0.35">
      <c r="B1211" s="149" t="s">
        <v>848</v>
      </c>
      <c r="C1211" s="6" t="s">
        <v>849</v>
      </c>
      <c r="D1211" s="78">
        <v>247.66</v>
      </c>
      <c r="E1211" s="78" t="s">
        <v>850</v>
      </c>
      <c r="F1211" s="160">
        <v>66.008844283954801</v>
      </c>
      <c r="G1211" s="76" t="s">
        <v>40</v>
      </c>
      <c r="H1211" s="76">
        <f t="shared" si="23"/>
        <v>1.3155716045204713E-2</v>
      </c>
      <c r="I1211" s="78">
        <v>-0.49812468967165974</v>
      </c>
      <c r="J1211" s="161">
        <v>11.619435498979726</v>
      </c>
      <c r="K1211" s="79">
        <f t="shared" si="24"/>
        <v>0.3567755404309878</v>
      </c>
    </row>
    <row r="1212" spans="2:11" x14ac:dyDescent="0.35">
      <c r="B1212" s="149" t="s">
        <v>848</v>
      </c>
      <c r="C1212" s="6" t="s">
        <v>849</v>
      </c>
      <c r="D1212" s="78">
        <v>247.68</v>
      </c>
      <c r="E1212" s="78" t="s">
        <v>850</v>
      </c>
      <c r="F1212" s="160">
        <v>66.015422141977396</v>
      </c>
      <c r="G1212" s="76" t="s">
        <v>40</v>
      </c>
      <c r="H1212" s="76">
        <f t="shared" si="23"/>
        <v>6.5778580226094618E-3</v>
      </c>
      <c r="I1212" s="78">
        <v>-0.72890743823285054</v>
      </c>
      <c r="J1212" s="161">
        <v>12.661867600946266</v>
      </c>
      <c r="K1212" s="79">
        <f t="shared" si="24"/>
        <v>1.3992076423975277</v>
      </c>
    </row>
    <row r="1213" spans="2:11" x14ac:dyDescent="0.35">
      <c r="B1213" s="149" t="s">
        <v>848</v>
      </c>
      <c r="C1213" s="6" t="s">
        <v>849</v>
      </c>
      <c r="D1213" s="78">
        <v>247.68</v>
      </c>
      <c r="E1213" s="78" t="s">
        <v>850</v>
      </c>
      <c r="F1213" s="160">
        <v>66.015422141977396</v>
      </c>
      <c r="G1213" s="76" t="s">
        <v>40</v>
      </c>
      <c r="H1213" s="76">
        <f t="shared" si="23"/>
        <v>6.5778580226094618E-3</v>
      </c>
      <c r="I1213" s="78">
        <v>-1.8055563208531924</v>
      </c>
      <c r="J1213" s="161">
        <v>17.630939763329422</v>
      </c>
      <c r="K1213" s="79">
        <f t="shared" si="24"/>
        <v>6.3682798047806841</v>
      </c>
    </row>
    <row r="1214" spans="2:11" x14ac:dyDescent="0.35">
      <c r="B1214" s="149" t="s">
        <v>848</v>
      </c>
      <c r="C1214" s="6" t="s">
        <v>849</v>
      </c>
      <c r="D1214" s="78">
        <v>247.7</v>
      </c>
      <c r="E1214" s="78" t="s">
        <v>850</v>
      </c>
      <c r="F1214" s="160">
        <v>66.022000000000006</v>
      </c>
      <c r="G1214" s="76" t="s">
        <v>40</v>
      </c>
      <c r="H1214" s="76">
        <f t="shared" si="23"/>
        <v>0</v>
      </c>
      <c r="I1214" s="78">
        <v>-0.41873769506469982</v>
      </c>
      <c r="J1214" s="161">
        <v>11.262659958548738</v>
      </c>
      <c r="K1214" s="79">
        <f t="shared" si="24"/>
        <v>0</v>
      </c>
    </row>
    <row r="1215" spans="2:11" x14ac:dyDescent="0.35">
      <c r="B1215" s="149" t="s">
        <v>848</v>
      </c>
      <c r="C1215" s="6" t="s">
        <v>849</v>
      </c>
      <c r="D1215" s="78">
        <v>247.72</v>
      </c>
      <c r="E1215" s="78" t="s">
        <v>850</v>
      </c>
      <c r="F1215" s="160">
        <v>66.024107784431095</v>
      </c>
      <c r="G1215" s="76" t="s">
        <v>40</v>
      </c>
      <c r="H1215" s="76">
        <f t="shared" si="23"/>
        <v>-2.1077844310894989E-3</v>
      </c>
      <c r="I1215" s="78">
        <v>-0.19443335030248945</v>
      </c>
      <c r="J1215" s="161">
        <v>10.259573033101447</v>
      </c>
      <c r="K1215" s="79">
        <f t="shared" si="24"/>
        <v>-1.0030869254472918</v>
      </c>
    </row>
    <row r="1216" spans="2:11" x14ac:dyDescent="0.35">
      <c r="B1216" s="149" t="s">
        <v>848</v>
      </c>
      <c r="C1216" s="6" t="s">
        <v>849</v>
      </c>
      <c r="D1216" s="78">
        <v>247.74</v>
      </c>
      <c r="E1216" s="78" t="s">
        <v>850</v>
      </c>
      <c r="F1216" s="160">
        <v>66.026215568862298</v>
      </c>
      <c r="G1216" s="76" t="s">
        <v>40</v>
      </c>
      <c r="H1216" s="76">
        <f t="shared" si="23"/>
        <v>-4.2155688622926846E-3</v>
      </c>
      <c r="I1216" s="78">
        <v>-0.20699092944940858</v>
      </c>
      <c r="J1216" s="161">
        <v>10.315537472384847</v>
      </c>
      <c r="K1216" s="79">
        <f t="shared" si="24"/>
        <v>-0.94712248616389161</v>
      </c>
    </row>
    <row r="1217" spans="2:11" x14ac:dyDescent="0.35">
      <c r="B1217" s="149" t="s">
        <v>848</v>
      </c>
      <c r="C1217" s="6" t="s">
        <v>849</v>
      </c>
      <c r="D1217" s="78">
        <v>247.76</v>
      </c>
      <c r="E1217" s="78" t="s">
        <v>850</v>
      </c>
      <c r="F1217" s="160">
        <v>66.028323353293402</v>
      </c>
      <c r="G1217" s="76" t="s">
        <v>40</v>
      </c>
      <c r="H1217" s="76">
        <f t="shared" si="23"/>
        <v>-6.3233532933963943E-3</v>
      </c>
      <c r="I1217" s="78">
        <v>4.2151770395722821E-2</v>
      </c>
      <c r="J1217" s="161">
        <v>9.209446554103522</v>
      </c>
      <c r="K1217" s="79">
        <f t="shared" si="24"/>
        <v>-2.0532134044452164</v>
      </c>
    </row>
    <row r="1218" spans="2:11" x14ac:dyDescent="0.35">
      <c r="B1218" s="149" t="s">
        <v>848</v>
      </c>
      <c r="C1218" s="6" t="s">
        <v>849</v>
      </c>
      <c r="D1218" s="78">
        <v>247.78</v>
      </c>
      <c r="E1218" s="78" t="s">
        <v>850</v>
      </c>
      <c r="F1218" s="160">
        <v>66.030431137724605</v>
      </c>
      <c r="G1218" s="76" t="s">
        <v>40</v>
      </c>
      <c r="H1218" s="76">
        <f t="shared" si="23"/>
        <v>-8.43113772459958E-3</v>
      </c>
      <c r="I1218" s="78">
        <v>-0.22965197445752569</v>
      </c>
      <c r="J1218" s="161">
        <v>10.416587015837308</v>
      </c>
      <c r="K1218" s="79">
        <f t="shared" si="24"/>
        <v>-0.84607294271143019</v>
      </c>
    </row>
    <row r="1219" spans="2:11" x14ac:dyDescent="0.35">
      <c r="B1219" s="149" t="s">
        <v>848</v>
      </c>
      <c r="C1219" s="6" t="s">
        <v>849</v>
      </c>
      <c r="D1219" s="78">
        <v>247.78000000000003</v>
      </c>
      <c r="E1219" s="78" t="s">
        <v>850</v>
      </c>
      <c r="F1219" s="160">
        <v>66.030431137724605</v>
      </c>
      <c r="G1219" s="76" t="s">
        <v>40</v>
      </c>
      <c r="H1219" s="76">
        <f t="shared" si="23"/>
        <v>-8.43113772459958E-3</v>
      </c>
      <c r="I1219" s="78">
        <v>-0.74862500000000032</v>
      </c>
      <c r="J1219" s="161">
        <v>12.75129587016238</v>
      </c>
      <c r="K1219" s="79">
        <f t="shared" si="24"/>
        <v>1.4886359116136418</v>
      </c>
    </row>
    <row r="1220" spans="2:11" x14ac:dyDescent="0.35">
      <c r="B1220" s="149" t="s">
        <v>848</v>
      </c>
      <c r="C1220" s="6" t="s">
        <v>849</v>
      </c>
      <c r="D1220" s="78">
        <v>247.82</v>
      </c>
      <c r="E1220" s="78" t="s">
        <v>850</v>
      </c>
      <c r="F1220" s="160">
        <v>66.034646706586798</v>
      </c>
      <c r="G1220" s="76" t="s">
        <v>40</v>
      </c>
      <c r="H1220" s="76">
        <f t="shared" si="23"/>
        <v>-1.2646706586792789E-2</v>
      </c>
      <c r="I1220" s="78">
        <v>-0.89626689654593628</v>
      </c>
      <c r="J1220" s="161">
        <v>13.422759121447598</v>
      </c>
      <c r="K1220" s="79">
        <f t="shared" si="24"/>
        <v>2.1600991628988595</v>
      </c>
    </row>
    <row r="1221" spans="2:11" x14ac:dyDescent="0.35">
      <c r="B1221" s="149" t="s">
        <v>848</v>
      </c>
      <c r="C1221" s="6" t="s">
        <v>849</v>
      </c>
      <c r="D1221" s="78">
        <v>247.84</v>
      </c>
      <c r="E1221" s="78" t="s">
        <v>850</v>
      </c>
      <c r="F1221" s="160">
        <v>66.036754491018002</v>
      </c>
      <c r="G1221" s="76" t="s">
        <v>40</v>
      </c>
      <c r="H1221" s="76">
        <f t="shared" si="23"/>
        <v>-1.4754491017995974E-2</v>
      </c>
      <c r="I1221" s="78">
        <v>-0.44134651679360104</v>
      </c>
      <c r="J1221" s="161">
        <v>11.364172999413711</v>
      </c>
      <c r="K1221" s="79">
        <f t="shared" si="24"/>
        <v>0.10151304086497248</v>
      </c>
    </row>
    <row r="1222" spans="2:11" x14ac:dyDescent="0.35">
      <c r="B1222" s="149" t="s">
        <v>848</v>
      </c>
      <c r="C1222" s="6" t="s">
        <v>849</v>
      </c>
      <c r="D1222" s="78">
        <v>247.86</v>
      </c>
      <c r="E1222" s="78" t="s">
        <v>850</v>
      </c>
      <c r="F1222" s="160">
        <v>66.038862275449105</v>
      </c>
      <c r="G1222" s="76" t="s">
        <v>40</v>
      </c>
      <c r="H1222" s="76">
        <f t="shared" si="23"/>
        <v>-1.6862275449099684E-2</v>
      </c>
      <c r="I1222" s="78">
        <v>-0.50369847475461149</v>
      </c>
      <c r="J1222" s="161">
        <v>11.644519516291552</v>
      </c>
      <c r="K1222" s="79">
        <f t="shared" si="24"/>
        <v>0.3818595577428141</v>
      </c>
    </row>
    <row r="1223" spans="2:11" x14ac:dyDescent="0.35">
      <c r="B1223" s="149" t="s">
        <v>848</v>
      </c>
      <c r="C1223" s="6" t="s">
        <v>849</v>
      </c>
      <c r="D1223" s="78">
        <v>247.88</v>
      </c>
      <c r="E1223" s="78" t="s">
        <v>850</v>
      </c>
      <c r="F1223" s="160">
        <v>66.040970059880294</v>
      </c>
      <c r="G1223" s="76" t="s">
        <v>40</v>
      </c>
      <c r="H1223" s="76">
        <f t="shared" si="23"/>
        <v>-1.8970059880288659E-2</v>
      </c>
      <c r="I1223" s="78">
        <v>-0.54506010634411295</v>
      </c>
      <c r="J1223" s="161">
        <v>11.830804121318579</v>
      </c>
      <c r="K1223" s="79">
        <f t="shared" si="24"/>
        <v>0.56814416276984048</v>
      </c>
    </row>
    <row r="1224" spans="2:11" x14ac:dyDescent="0.35">
      <c r="B1224" s="149" t="s">
        <v>848</v>
      </c>
      <c r="C1224" s="6" t="s">
        <v>849</v>
      </c>
      <c r="D1224" s="78">
        <v>247.88</v>
      </c>
      <c r="E1224" s="78" t="s">
        <v>850</v>
      </c>
      <c r="F1224" s="160">
        <v>66.040970059880294</v>
      </c>
      <c r="G1224" s="76" t="s">
        <v>40</v>
      </c>
      <c r="H1224" s="76">
        <f t="shared" si="23"/>
        <v>-1.8970059880288659E-2</v>
      </c>
      <c r="I1224" s="78">
        <v>-0.74882335784496956</v>
      </c>
      <c r="J1224" s="161">
        <v>12.752195808094712</v>
      </c>
      <c r="K1224" s="79">
        <f t="shared" si="24"/>
        <v>1.4895358495459732</v>
      </c>
    </row>
    <row r="1225" spans="2:11" x14ac:dyDescent="0.35">
      <c r="B1225" s="149" t="s">
        <v>848</v>
      </c>
      <c r="C1225" s="6" t="s">
        <v>849</v>
      </c>
      <c r="D1225" s="78">
        <v>247.9</v>
      </c>
      <c r="E1225" s="78" t="s">
        <v>850</v>
      </c>
      <c r="F1225" s="160">
        <v>66.043077844311398</v>
      </c>
      <c r="G1225" s="76" t="s">
        <v>40</v>
      </c>
      <c r="H1225" s="76">
        <f t="shared" si="23"/>
        <v>-2.1077844311392369E-2</v>
      </c>
      <c r="I1225" s="78">
        <v>-0.43720710970580995</v>
      </c>
      <c r="J1225" s="161">
        <v>11.345581575180063</v>
      </c>
      <c r="K1225" s="79">
        <f t="shared" si="24"/>
        <v>8.2921616631324468E-2</v>
      </c>
    </row>
    <row r="1226" spans="2:11" x14ac:dyDescent="0.35">
      <c r="B1226" s="149" t="s">
        <v>848</v>
      </c>
      <c r="C1226" s="6" t="s">
        <v>849</v>
      </c>
      <c r="D1226" s="78">
        <v>247.92</v>
      </c>
      <c r="E1226" s="78" t="s">
        <v>850</v>
      </c>
      <c r="F1226" s="160">
        <v>66.045185628742502</v>
      </c>
      <c r="G1226" s="76" t="s">
        <v>40</v>
      </c>
      <c r="H1226" s="76">
        <f t="shared" si="23"/>
        <v>-2.3185628742496078E-2</v>
      </c>
      <c r="I1226" s="78">
        <v>-0.3070225720532278</v>
      </c>
      <c r="J1226" s="161">
        <v>10.762156848666223</v>
      </c>
      <c r="K1226" s="79">
        <f t="shared" si="24"/>
        <v>-0.50050310988251567</v>
      </c>
    </row>
    <row r="1227" spans="2:11" x14ac:dyDescent="0.35">
      <c r="B1227" s="149" t="s">
        <v>848</v>
      </c>
      <c r="C1227" s="6" t="s">
        <v>849</v>
      </c>
      <c r="D1227" s="78">
        <v>247.94</v>
      </c>
      <c r="E1227" s="78" t="s">
        <v>850</v>
      </c>
      <c r="F1227" s="160">
        <v>66.047293413173705</v>
      </c>
      <c r="G1227" s="76" t="s">
        <v>40</v>
      </c>
      <c r="H1227" s="76">
        <f t="shared" si="23"/>
        <v>-2.5293413173699264E-2</v>
      </c>
      <c r="I1227" s="78">
        <v>-0.59429118747568666</v>
      </c>
      <c r="J1227" s="161">
        <v>12.052859146851574</v>
      </c>
      <c r="K1227" s="79">
        <f t="shared" si="24"/>
        <v>0.79019918830283586</v>
      </c>
    </row>
    <row r="1228" spans="2:11" x14ac:dyDescent="0.35">
      <c r="B1228" s="149" t="s">
        <v>848</v>
      </c>
      <c r="C1228" s="6" t="s">
        <v>849</v>
      </c>
      <c r="D1228" s="78">
        <v>247.96</v>
      </c>
      <c r="E1228" s="78" t="s">
        <v>850</v>
      </c>
      <c r="F1228" s="160">
        <v>66.049401197604794</v>
      </c>
      <c r="G1228" s="76" t="s">
        <v>40</v>
      </c>
      <c r="H1228" s="76">
        <f t="shared" si="23"/>
        <v>-2.7401197604788763E-2</v>
      </c>
      <c r="I1228" s="78">
        <v>-0.55346066906618863</v>
      </c>
      <c r="J1228" s="161">
        <v>11.868669314256749</v>
      </c>
      <c r="K1228" s="79">
        <f t="shared" si="24"/>
        <v>0.60600935570801084</v>
      </c>
    </row>
    <row r="1229" spans="2:11" x14ac:dyDescent="0.35">
      <c r="B1229" s="149" t="s">
        <v>848</v>
      </c>
      <c r="C1229" s="6" t="s">
        <v>849</v>
      </c>
      <c r="D1229" s="78">
        <v>247.98</v>
      </c>
      <c r="E1229" s="78" t="s">
        <v>850</v>
      </c>
      <c r="F1229" s="160">
        <v>66.051508982035898</v>
      </c>
      <c r="G1229" s="76" t="s">
        <v>40</v>
      </c>
      <c r="H1229" s="76">
        <f t="shared" si="23"/>
        <v>-2.9508982035892473E-2</v>
      </c>
      <c r="I1229" s="78">
        <v>-0.53474668146183491</v>
      </c>
      <c r="J1229" s="161">
        <v>11.784330971325858</v>
      </c>
      <c r="K1229" s="79">
        <f t="shared" si="24"/>
        <v>0.52167101277711936</v>
      </c>
    </row>
    <row r="1230" spans="2:11" x14ac:dyDescent="0.35">
      <c r="B1230" s="149" t="s">
        <v>848</v>
      </c>
      <c r="C1230" s="6" t="s">
        <v>849</v>
      </c>
      <c r="D1230" s="78">
        <v>247.98000000000002</v>
      </c>
      <c r="E1230" s="78" t="s">
        <v>850</v>
      </c>
      <c r="F1230" s="160">
        <v>66.051508982035898</v>
      </c>
      <c r="G1230" s="76" t="s">
        <v>40</v>
      </c>
      <c r="H1230" s="76">
        <f t="shared" si="23"/>
        <v>-2.9508982035892473E-2</v>
      </c>
      <c r="I1230" s="78">
        <v>-0.77586111111111133</v>
      </c>
      <c r="J1230" s="161">
        <v>12.874919226445002</v>
      </c>
      <c r="K1230" s="79">
        <f t="shared" si="24"/>
        <v>1.6122592678962633</v>
      </c>
    </row>
    <row r="1231" spans="2:11" x14ac:dyDescent="0.35">
      <c r="B1231" s="149" t="s">
        <v>848</v>
      </c>
      <c r="C1231" s="6" t="s">
        <v>849</v>
      </c>
      <c r="D1231" s="78">
        <v>248</v>
      </c>
      <c r="E1231" s="78" t="s">
        <v>850</v>
      </c>
      <c r="F1231" s="160">
        <v>66.053616766467101</v>
      </c>
      <c r="G1231" s="76" t="s">
        <v>40</v>
      </c>
      <c r="H1231" s="76">
        <f t="shared" si="23"/>
        <v>-3.1616766467095658E-2</v>
      </c>
      <c r="I1231" s="78">
        <v>-0.46201173906131743</v>
      </c>
      <c r="J1231" s="161">
        <v>11.457024746742036</v>
      </c>
      <c r="K1231" s="79">
        <f t="shared" si="24"/>
        <v>0.1943647881932975</v>
      </c>
    </row>
    <row r="1232" spans="2:11" x14ac:dyDescent="0.35">
      <c r="B1232" s="149" t="s">
        <v>848</v>
      </c>
      <c r="C1232" s="6" t="s">
        <v>849</v>
      </c>
      <c r="D1232" s="78">
        <v>248.07999999999998</v>
      </c>
      <c r="E1232" s="78" t="s">
        <v>850</v>
      </c>
      <c r="F1232" s="160">
        <v>66.062047904191601</v>
      </c>
      <c r="G1232" s="76" t="s">
        <v>40</v>
      </c>
      <c r="H1232" s="76">
        <f t="shared" si="23"/>
        <v>-4.0047904191595762E-2</v>
      </c>
      <c r="I1232" s="78">
        <v>-0.55873989927142831</v>
      </c>
      <c r="J1232" s="161">
        <v>11.892470540555109</v>
      </c>
      <c r="K1232" s="79">
        <f t="shared" si="24"/>
        <v>0.62981058200637108</v>
      </c>
    </row>
    <row r="1233" spans="2:11" x14ac:dyDescent="0.35">
      <c r="B1233" s="149" t="s">
        <v>848</v>
      </c>
      <c r="C1233" s="6" t="s">
        <v>849</v>
      </c>
      <c r="D1233" s="78">
        <v>248.08</v>
      </c>
      <c r="E1233" s="78" t="s">
        <v>850</v>
      </c>
      <c r="F1233" s="160">
        <v>66.062047904191601</v>
      </c>
      <c r="G1233" s="76" t="s">
        <v>40</v>
      </c>
      <c r="H1233" s="76">
        <f t="shared" si="23"/>
        <v>-4.0047904191595762E-2</v>
      </c>
      <c r="I1233" s="78">
        <v>-0.54200458300374166</v>
      </c>
      <c r="J1233" s="161">
        <v>11.817034048848143</v>
      </c>
      <c r="K1233" s="79">
        <f t="shared" si="24"/>
        <v>0.55437409029940454</v>
      </c>
    </row>
    <row r="1234" spans="2:11" x14ac:dyDescent="0.35">
      <c r="B1234" s="149" t="s">
        <v>848</v>
      </c>
      <c r="C1234" s="6" t="s">
        <v>849</v>
      </c>
      <c r="D1234" s="78">
        <v>248.18</v>
      </c>
      <c r="E1234" s="78" t="s">
        <v>850</v>
      </c>
      <c r="F1234" s="160">
        <v>66.072586826347305</v>
      </c>
      <c r="G1234" s="76" t="s">
        <v>40</v>
      </c>
      <c r="H1234" s="76">
        <f t="shared" si="23"/>
        <v>-5.0586826347299052E-2</v>
      </c>
      <c r="I1234" s="78">
        <v>-0.88574305555555588</v>
      </c>
      <c r="J1234" s="161">
        <v>13.374789886764859</v>
      </c>
      <c r="K1234" s="79">
        <f t="shared" si="24"/>
        <v>2.1121299282161203</v>
      </c>
    </row>
    <row r="1235" spans="2:11" x14ac:dyDescent="0.35">
      <c r="B1235" s="149" t="s">
        <v>848</v>
      </c>
      <c r="C1235" s="6" t="s">
        <v>849</v>
      </c>
      <c r="D1235" s="78">
        <v>248.28000000000003</v>
      </c>
      <c r="E1235" s="78" t="s">
        <v>850</v>
      </c>
      <c r="F1235" s="160">
        <v>66.083125748502994</v>
      </c>
      <c r="G1235" s="76" t="s">
        <v>40</v>
      </c>
      <c r="H1235" s="76">
        <f t="shared" si="23"/>
        <v>-6.1125748502988131E-2</v>
      </c>
      <c r="I1235" s="78">
        <v>-0.68080654841688903</v>
      </c>
      <c r="J1235" s="161">
        <v>12.443949719694785</v>
      </c>
      <c r="K1235" s="79">
        <f t="shared" si="24"/>
        <v>1.1812897611460471</v>
      </c>
    </row>
    <row r="1236" spans="2:11" x14ac:dyDescent="0.35">
      <c r="B1236" s="149" t="s">
        <v>848</v>
      </c>
      <c r="C1236" s="6" t="s">
        <v>849</v>
      </c>
      <c r="D1236" s="78">
        <v>248.38</v>
      </c>
      <c r="E1236" s="78" t="s">
        <v>850</v>
      </c>
      <c r="F1236" s="160">
        <v>66.093664670658697</v>
      </c>
      <c r="G1236" s="76" t="s">
        <v>40</v>
      </c>
      <c r="H1236" s="76">
        <f t="shared" si="23"/>
        <v>-7.1664670658691421E-2</v>
      </c>
      <c r="I1236" s="78">
        <v>-0.77499305555555575</v>
      </c>
      <c r="J1236" s="161">
        <v>12.870977464007751</v>
      </c>
      <c r="K1236" s="79">
        <f t="shared" si="24"/>
        <v>1.6083175054590129</v>
      </c>
    </row>
    <row r="1237" spans="2:11" x14ac:dyDescent="0.35">
      <c r="B1237" s="149" t="s">
        <v>848</v>
      </c>
      <c r="C1237" s="6" t="s">
        <v>849</v>
      </c>
      <c r="D1237" s="78">
        <v>248.48000000000002</v>
      </c>
      <c r="E1237" s="78" t="s">
        <v>850</v>
      </c>
      <c r="F1237" s="160">
        <v>66.1042035928144</v>
      </c>
      <c r="G1237" s="76" t="s">
        <v>40</v>
      </c>
      <c r="H1237" s="76">
        <f t="shared" ref="H1237:H1300" si="25">66.022-F1237</f>
        <v>-8.220359281439471E-2</v>
      </c>
      <c r="I1237" s="78">
        <v>-0.75824162601055634</v>
      </c>
      <c r="J1237" s="161">
        <v>12.794932667008993</v>
      </c>
      <c r="K1237" s="79">
        <f t="shared" ref="K1237:K1300" si="26">J1237-$J$1214</f>
        <v>1.5322727084602548</v>
      </c>
    </row>
    <row r="1238" spans="2:11" x14ac:dyDescent="0.35">
      <c r="B1238" s="149" t="s">
        <v>848</v>
      </c>
      <c r="C1238" s="6" t="s">
        <v>849</v>
      </c>
      <c r="D1238" s="78">
        <v>248.57999999999998</v>
      </c>
      <c r="E1238" s="78" t="s">
        <v>850</v>
      </c>
      <c r="F1238" s="160">
        <v>66.114742514970104</v>
      </c>
      <c r="G1238" s="76" t="s">
        <v>40</v>
      </c>
      <c r="H1238" s="76">
        <f t="shared" si="25"/>
        <v>-9.2742514970098E-2</v>
      </c>
      <c r="I1238" s="78">
        <v>-0.92599305555555578</v>
      </c>
      <c r="J1238" s="161">
        <v>13.558344915145426</v>
      </c>
      <c r="K1238" s="79">
        <f t="shared" si="26"/>
        <v>2.2956849565966877</v>
      </c>
    </row>
    <row r="1239" spans="2:11" x14ac:dyDescent="0.35">
      <c r="B1239" s="149" t="s">
        <v>848</v>
      </c>
      <c r="C1239" s="6" t="s">
        <v>849</v>
      </c>
      <c r="D1239" s="78">
        <v>248.6</v>
      </c>
      <c r="E1239" s="78" t="s">
        <v>850</v>
      </c>
      <c r="F1239" s="160">
        <v>66.116850299401193</v>
      </c>
      <c r="G1239" s="76" t="s">
        <v>40</v>
      </c>
      <c r="H1239" s="76">
        <f t="shared" si="25"/>
        <v>-9.4850299401187499E-2</v>
      </c>
      <c r="I1239" s="78">
        <v>-1.2289166666666671</v>
      </c>
      <c r="J1239" s="161">
        <v>14.947611462420639</v>
      </c>
      <c r="K1239" s="79">
        <f t="shared" si="26"/>
        <v>3.6849515038719005</v>
      </c>
    </row>
    <row r="1240" spans="2:11" x14ac:dyDescent="0.35">
      <c r="B1240" s="149" t="s">
        <v>848</v>
      </c>
      <c r="C1240" s="6" t="s">
        <v>849</v>
      </c>
      <c r="D1240" s="78">
        <v>248.68</v>
      </c>
      <c r="E1240" s="78" t="s">
        <v>850</v>
      </c>
      <c r="F1240" s="160">
        <v>66.125281437125807</v>
      </c>
      <c r="G1240" s="76" t="s">
        <v>40</v>
      </c>
      <c r="H1240" s="76">
        <f t="shared" si="25"/>
        <v>-0.10328143712580129</v>
      </c>
      <c r="I1240" s="78">
        <v>-1.0039449692108902</v>
      </c>
      <c r="J1240" s="161">
        <v>13.914525463761834</v>
      </c>
      <c r="K1240" s="79">
        <f t="shared" si="26"/>
        <v>2.6518655052130953</v>
      </c>
    </row>
    <row r="1241" spans="2:11" x14ac:dyDescent="0.35">
      <c r="B1241" s="149" t="s">
        <v>848</v>
      </c>
      <c r="C1241" s="6" t="s">
        <v>849</v>
      </c>
      <c r="D1241" s="78">
        <v>248.70000000000002</v>
      </c>
      <c r="E1241" s="78" t="s">
        <v>850</v>
      </c>
      <c r="F1241" s="160">
        <v>66.127389221556896</v>
      </c>
      <c r="G1241" s="76" t="s">
        <v>40</v>
      </c>
      <c r="H1241" s="76">
        <f t="shared" si="25"/>
        <v>-0.10538922155689079</v>
      </c>
      <c r="I1241" s="78">
        <v>-0.64802517435739693</v>
      </c>
      <c r="J1241" s="161">
        <v>12.295632191366678</v>
      </c>
      <c r="K1241" s="79">
        <f t="shared" si="26"/>
        <v>1.03297223281794</v>
      </c>
    </row>
    <row r="1242" spans="2:11" x14ac:dyDescent="0.35">
      <c r="B1242" s="149" t="s">
        <v>848</v>
      </c>
      <c r="C1242" s="6" t="s">
        <v>849</v>
      </c>
      <c r="D1242" s="78">
        <v>248.78000000000003</v>
      </c>
      <c r="E1242" s="78" t="s">
        <v>850</v>
      </c>
      <c r="F1242" s="160">
        <v>66.135820359281396</v>
      </c>
      <c r="G1242" s="76" t="s">
        <v>40</v>
      </c>
      <c r="H1242" s="76">
        <f t="shared" si="25"/>
        <v>-0.11382035928139089</v>
      </c>
      <c r="I1242" s="78">
        <v>-0.7631180555555559</v>
      </c>
      <c r="J1242" s="161">
        <v>12.817065404612549</v>
      </c>
      <c r="K1242" s="79">
        <f t="shared" si="26"/>
        <v>1.5544054460638108</v>
      </c>
    </row>
    <row r="1243" spans="2:11" x14ac:dyDescent="0.35">
      <c r="B1243" s="149" t="s">
        <v>848</v>
      </c>
      <c r="C1243" s="6" t="s">
        <v>849</v>
      </c>
      <c r="D1243" s="78">
        <v>248.88</v>
      </c>
      <c r="E1243" s="78" t="s">
        <v>850</v>
      </c>
      <c r="F1243" s="160">
        <v>66.1463592814371</v>
      </c>
      <c r="G1243" s="76" t="s">
        <v>40</v>
      </c>
      <c r="H1243" s="76">
        <f t="shared" si="25"/>
        <v>-0.12435928143709418</v>
      </c>
      <c r="I1243" s="78">
        <v>-0.9486469538843787</v>
      </c>
      <c r="J1243" s="161">
        <v>13.661761877026777</v>
      </c>
      <c r="K1243" s="79">
        <f t="shared" si="26"/>
        <v>2.3991019184780384</v>
      </c>
    </row>
    <row r="1244" spans="2:11" x14ac:dyDescent="0.35">
      <c r="B1244" s="149" t="s">
        <v>848</v>
      </c>
      <c r="C1244" s="6" t="s">
        <v>849</v>
      </c>
      <c r="D1244" s="78">
        <v>248.9</v>
      </c>
      <c r="E1244" s="78" t="s">
        <v>850</v>
      </c>
      <c r="F1244" s="160">
        <v>66.148467065868303</v>
      </c>
      <c r="G1244" s="76" t="s">
        <v>40</v>
      </c>
      <c r="H1244" s="76">
        <f t="shared" si="25"/>
        <v>-0.12646706586829737</v>
      </c>
      <c r="I1244" s="78">
        <v>-0.94761189416272906</v>
      </c>
      <c r="J1244" s="161">
        <v>13.657035064237618</v>
      </c>
      <c r="K1244" s="79">
        <f t="shared" si="26"/>
        <v>2.39437510568888</v>
      </c>
    </row>
    <row r="1245" spans="2:11" x14ac:dyDescent="0.35">
      <c r="B1245" s="149" t="s">
        <v>848</v>
      </c>
      <c r="C1245" s="6" t="s">
        <v>849</v>
      </c>
      <c r="D1245" s="78">
        <v>248.98000000000002</v>
      </c>
      <c r="E1245" s="78" t="s">
        <v>850</v>
      </c>
      <c r="F1245" s="160">
        <v>66.156898203592803</v>
      </c>
      <c r="G1245" s="76" t="s">
        <v>40</v>
      </c>
      <c r="H1245" s="76">
        <f t="shared" si="25"/>
        <v>-0.13489820359279747</v>
      </c>
      <c r="I1245" s="78">
        <v>-1.0891250000000003</v>
      </c>
      <c r="J1245" s="161">
        <v>14.304778119895104</v>
      </c>
      <c r="K1245" s="79">
        <f t="shared" si="26"/>
        <v>3.0421181613463659</v>
      </c>
    </row>
    <row r="1246" spans="2:11" x14ac:dyDescent="0.35">
      <c r="B1246" s="149" t="s">
        <v>848</v>
      </c>
      <c r="C1246" s="6" t="s">
        <v>849</v>
      </c>
      <c r="D1246" s="78">
        <v>249</v>
      </c>
      <c r="E1246" s="78" t="s">
        <v>850</v>
      </c>
      <c r="F1246" s="160">
        <v>66.159005988023907</v>
      </c>
      <c r="G1246" s="76" t="s">
        <v>40</v>
      </c>
      <c r="H1246" s="76">
        <f t="shared" si="25"/>
        <v>-0.13700598802390118</v>
      </c>
      <c r="I1246" s="78">
        <v>-1.6751111111111112</v>
      </c>
      <c r="J1246" s="161">
        <v>17.019425669291195</v>
      </c>
      <c r="K1246" s="79">
        <f t="shared" si="26"/>
        <v>5.7567657107424566</v>
      </c>
    </row>
    <row r="1247" spans="2:11" x14ac:dyDescent="0.35">
      <c r="B1247" s="149" t="s">
        <v>848</v>
      </c>
      <c r="C1247" s="6" t="s">
        <v>849</v>
      </c>
      <c r="D1247" s="78">
        <v>249.07</v>
      </c>
      <c r="E1247" s="78" t="s">
        <v>850</v>
      </c>
      <c r="F1247" s="160">
        <v>66.166383233532898</v>
      </c>
      <c r="G1247" s="76" t="s">
        <v>40</v>
      </c>
      <c r="H1247" s="76">
        <f t="shared" si="25"/>
        <v>-0.14438323353289206</v>
      </c>
      <c r="I1247" s="78">
        <v>-0.75306836701762614</v>
      </c>
      <c r="J1247" s="161">
        <v>12.771456567171981</v>
      </c>
      <c r="K1247" s="79">
        <f t="shared" si="26"/>
        <v>1.5087966086232427</v>
      </c>
    </row>
    <row r="1248" spans="2:11" x14ac:dyDescent="0.35">
      <c r="B1248" s="149" t="s">
        <v>848</v>
      </c>
      <c r="C1248" s="6" t="s">
        <v>849</v>
      </c>
      <c r="D1248" s="78">
        <v>249.1</v>
      </c>
      <c r="E1248" s="78" t="s">
        <v>850</v>
      </c>
      <c r="F1248" s="160">
        <v>66.169544910179596</v>
      </c>
      <c r="G1248" s="76" t="s">
        <v>40</v>
      </c>
      <c r="H1248" s="76">
        <f t="shared" si="25"/>
        <v>-0.14754491017959026</v>
      </c>
      <c r="I1248" s="78">
        <v>-0.84897021506565151</v>
      </c>
      <c r="J1248" s="161">
        <v>13.207303786632338</v>
      </c>
      <c r="K1248" s="79">
        <f t="shared" si="26"/>
        <v>1.9446438280835991</v>
      </c>
    </row>
    <row r="1249" spans="2:11" x14ac:dyDescent="0.35">
      <c r="B1249" s="149" t="s">
        <v>848</v>
      </c>
      <c r="C1249" s="6" t="s">
        <v>849</v>
      </c>
      <c r="D1249" s="78">
        <v>249.3</v>
      </c>
      <c r="E1249" s="78" t="s">
        <v>850</v>
      </c>
      <c r="F1249" s="160">
        <v>66.190622754491002</v>
      </c>
      <c r="G1249" s="76" t="s">
        <v>40</v>
      </c>
      <c r="H1249" s="76">
        <f t="shared" si="25"/>
        <v>-0.16862275449099684</v>
      </c>
      <c r="I1249" s="78">
        <v>-0.81348887178983986</v>
      </c>
      <c r="J1249" s="161">
        <v>13.045891297651337</v>
      </c>
      <c r="K1249" s="79">
        <f t="shared" si="26"/>
        <v>1.7832313391025991</v>
      </c>
    </row>
    <row r="1250" spans="2:11" x14ac:dyDescent="0.35">
      <c r="B1250" s="149" t="s">
        <v>848</v>
      </c>
      <c r="C1250" s="6" t="s">
        <v>849</v>
      </c>
      <c r="D1250" s="78">
        <v>249.4</v>
      </c>
      <c r="E1250" s="78" t="s">
        <v>850</v>
      </c>
      <c r="F1250" s="160">
        <v>66.201161676646706</v>
      </c>
      <c r="G1250" s="76" t="s">
        <v>40</v>
      </c>
      <c r="H1250" s="76">
        <f t="shared" si="25"/>
        <v>-0.17916167664670013</v>
      </c>
      <c r="I1250" s="78">
        <v>-0.9749166666666671</v>
      </c>
      <c r="J1250" s="161">
        <v>13.781781734813535</v>
      </c>
      <c r="K1250" s="79">
        <f t="shared" si="26"/>
        <v>2.5191217762647966</v>
      </c>
    </row>
    <row r="1251" spans="2:11" x14ac:dyDescent="0.35">
      <c r="B1251" s="149" t="s">
        <v>848</v>
      </c>
      <c r="C1251" s="6" t="s">
        <v>849</v>
      </c>
      <c r="D1251" s="78">
        <v>249.5</v>
      </c>
      <c r="E1251" s="78" t="s">
        <v>850</v>
      </c>
      <c r="F1251" s="160">
        <v>66.211700598802395</v>
      </c>
      <c r="G1251" s="76" t="s">
        <v>40</v>
      </c>
      <c r="H1251" s="76">
        <f t="shared" si="25"/>
        <v>-0.18970059880238921</v>
      </c>
      <c r="I1251" s="78">
        <v>-0.62463224840327414</v>
      </c>
      <c r="J1251" s="161">
        <v>12.189889307176884</v>
      </c>
      <c r="K1251" s="79">
        <f t="shared" si="26"/>
        <v>0.92722934862814554</v>
      </c>
    </row>
    <row r="1252" spans="2:11" x14ac:dyDescent="0.35">
      <c r="B1252" s="149" t="s">
        <v>848</v>
      </c>
      <c r="C1252" s="6" t="s">
        <v>849</v>
      </c>
      <c r="D1252" s="78">
        <v>249.70000000000002</v>
      </c>
      <c r="E1252" s="78" t="s">
        <v>850</v>
      </c>
      <c r="F1252" s="160">
        <v>66.232778443113801</v>
      </c>
      <c r="G1252" s="76" t="s">
        <v>40</v>
      </c>
      <c r="H1252" s="76">
        <f t="shared" si="25"/>
        <v>-0.21077844311379579</v>
      </c>
      <c r="I1252" s="78">
        <v>-0.52962155339837003</v>
      </c>
      <c r="J1252" s="161">
        <v>11.761242533609675</v>
      </c>
      <c r="K1252" s="79">
        <f t="shared" si="26"/>
        <v>0.49858257506093651</v>
      </c>
    </row>
    <row r="1253" spans="2:11" x14ac:dyDescent="0.35">
      <c r="B1253" s="149" t="s">
        <v>848</v>
      </c>
      <c r="C1253" s="6" t="s">
        <v>849</v>
      </c>
      <c r="D1253" s="78">
        <v>249.78000000000003</v>
      </c>
      <c r="E1253" s="78" t="s">
        <v>850</v>
      </c>
      <c r="F1253" s="160">
        <v>66.241209580838301</v>
      </c>
      <c r="G1253" s="76" t="s">
        <v>40</v>
      </c>
      <c r="H1253" s="76">
        <f t="shared" si="25"/>
        <v>-0.21920958083829589</v>
      </c>
      <c r="I1253" s="78">
        <v>-0.57010467872950443</v>
      </c>
      <c r="J1253" s="161">
        <v>11.943722173596825</v>
      </c>
      <c r="K1253" s="79">
        <f t="shared" si="26"/>
        <v>0.68106221504808673</v>
      </c>
    </row>
    <row r="1254" spans="2:11" x14ac:dyDescent="0.35">
      <c r="B1254" s="149" t="s">
        <v>848</v>
      </c>
      <c r="C1254" s="6" t="s">
        <v>849</v>
      </c>
      <c r="D1254" s="78">
        <v>249.8</v>
      </c>
      <c r="E1254" s="78" t="s">
        <v>850</v>
      </c>
      <c r="F1254" s="160">
        <v>66.243317365269505</v>
      </c>
      <c r="G1254" s="76" t="s">
        <v>40</v>
      </c>
      <c r="H1254" s="76">
        <f t="shared" si="25"/>
        <v>-0.22131736526949908</v>
      </c>
      <c r="I1254" s="78">
        <v>-0.7924166666666671</v>
      </c>
      <c r="J1254" s="161">
        <v>12.950117976448894</v>
      </c>
      <c r="K1254" s="79">
        <f t="shared" si="26"/>
        <v>1.6874580179001555</v>
      </c>
    </row>
    <row r="1255" spans="2:11" x14ac:dyDescent="0.35">
      <c r="B1255" s="149" t="s">
        <v>848</v>
      </c>
      <c r="C1255" s="6" t="s">
        <v>849</v>
      </c>
      <c r="D1255" s="78">
        <v>249.9</v>
      </c>
      <c r="E1255" s="78" t="s">
        <v>850</v>
      </c>
      <c r="F1255" s="160">
        <v>66.253856287425194</v>
      </c>
      <c r="G1255" s="76" t="s">
        <v>40</v>
      </c>
      <c r="H1255" s="76">
        <f t="shared" si="25"/>
        <v>-0.23185628742518816</v>
      </c>
      <c r="I1255" s="78">
        <v>-0.54395351289038951</v>
      </c>
      <c r="J1255" s="161">
        <v>11.82581697022988</v>
      </c>
      <c r="K1255" s="79">
        <f t="shared" si="26"/>
        <v>0.56315701168114174</v>
      </c>
    </row>
    <row r="1256" spans="2:11" x14ac:dyDescent="0.35">
      <c r="B1256" s="149" t="s">
        <v>848</v>
      </c>
      <c r="C1256" s="6" t="s">
        <v>849</v>
      </c>
      <c r="D1256" s="78">
        <v>249.98000000000002</v>
      </c>
      <c r="E1256" s="78" t="s">
        <v>850</v>
      </c>
      <c r="F1256" s="160">
        <v>66.262287425149694</v>
      </c>
      <c r="G1256" s="76" t="s">
        <v>40</v>
      </c>
      <c r="H1256" s="76">
        <f t="shared" si="25"/>
        <v>-0.24028742514968826</v>
      </c>
      <c r="I1256" s="78">
        <v>-0.54407790126400424</v>
      </c>
      <c r="J1256" s="161">
        <v>11.826377549790038</v>
      </c>
      <c r="K1256" s="79">
        <f t="shared" si="26"/>
        <v>0.56371759124129994</v>
      </c>
    </row>
    <row r="1257" spans="2:11" x14ac:dyDescent="0.35">
      <c r="B1257" s="149" t="s">
        <v>848</v>
      </c>
      <c r="C1257" s="6" t="s">
        <v>849</v>
      </c>
      <c r="D1257" s="78">
        <v>250.1</v>
      </c>
      <c r="E1257" s="78" t="s">
        <v>850</v>
      </c>
      <c r="F1257" s="160">
        <v>66.274934131736501</v>
      </c>
      <c r="G1257" s="76" t="s">
        <v>40</v>
      </c>
      <c r="H1257" s="76">
        <f t="shared" si="25"/>
        <v>-0.25293413173649526</v>
      </c>
      <c r="I1257" s="78">
        <v>-0.56808152925980337</v>
      </c>
      <c r="J1257" s="161">
        <v>11.934597005477542</v>
      </c>
      <c r="K1257" s="79">
        <f t="shared" si="26"/>
        <v>0.67193704692880374</v>
      </c>
    </row>
    <row r="1258" spans="2:11" x14ac:dyDescent="0.35">
      <c r="B1258" s="149" t="s">
        <v>848</v>
      </c>
      <c r="C1258" s="6" t="s">
        <v>849</v>
      </c>
      <c r="D1258" s="78">
        <v>250.18</v>
      </c>
      <c r="E1258" s="78" t="s">
        <v>850</v>
      </c>
      <c r="F1258" s="160">
        <v>66.2833652694611</v>
      </c>
      <c r="G1258" s="76" t="s">
        <v>40</v>
      </c>
      <c r="H1258" s="76">
        <f t="shared" si="25"/>
        <v>-0.26136526946109484</v>
      </c>
      <c r="I1258" s="78">
        <v>-0.40789845472344366</v>
      </c>
      <c r="J1258" s="161">
        <v>11.21401854075026</v>
      </c>
      <c r="K1258" s="79">
        <f t="shared" si="26"/>
        <v>-4.8641417798478415E-2</v>
      </c>
    </row>
    <row r="1259" spans="2:11" x14ac:dyDescent="0.35">
      <c r="B1259" s="149" t="s">
        <v>848</v>
      </c>
      <c r="C1259" s="6" t="s">
        <v>849</v>
      </c>
      <c r="D1259" s="78">
        <v>250.20000000000002</v>
      </c>
      <c r="E1259" s="78" t="s">
        <v>850</v>
      </c>
      <c r="F1259" s="160">
        <v>66.285473053892204</v>
      </c>
      <c r="G1259" s="76" t="s">
        <v>40</v>
      </c>
      <c r="H1259" s="76">
        <f t="shared" si="25"/>
        <v>-0.26347305389219855</v>
      </c>
      <c r="I1259" s="78">
        <v>-0.47188888888888886</v>
      </c>
      <c r="J1259" s="161">
        <v>11.501426256325431</v>
      </c>
      <c r="K1259" s="79">
        <f t="shared" si="26"/>
        <v>0.23876629777669223</v>
      </c>
    </row>
    <row r="1260" spans="2:11" x14ac:dyDescent="0.35">
      <c r="B1260" s="149" t="s">
        <v>848</v>
      </c>
      <c r="C1260" s="6" t="s">
        <v>849</v>
      </c>
      <c r="D1260" s="78">
        <v>250.3</v>
      </c>
      <c r="E1260" s="78" t="s">
        <v>850</v>
      </c>
      <c r="F1260" s="160">
        <v>66.296011976047893</v>
      </c>
      <c r="G1260" s="76" t="s">
        <v>40</v>
      </c>
      <c r="H1260" s="76">
        <f t="shared" si="25"/>
        <v>-0.27401197604788763</v>
      </c>
      <c r="I1260" s="78">
        <v>-0.55602801504188837</v>
      </c>
      <c r="J1260" s="161">
        <v>11.880243592347824</v>
      </c>
      <c r="K1260" s="79">
        <f t="shared" si="26"/>
        <v>0.61758363379908587</v>
      </c>
    </row>
    <row r="1261" spans="2:11" x14ac:dyDescent="0.35">
      <c r="B1261" s="149" t="s">
        <v>848</v>
      </c>
      <c r="C1261" s="6" t="s">
        <v>849</v>
      </c>
      <c r="D1261" s="78">
        <v>250.5</v>
      </c>
      <c r="E1261" s="78" t="s">
        <v>850</v>
      </c>
      <c r="F1261" s="160">
        <v>66.3170898203593</v>
      </c>
      <c r="G1261" s="76" t="s">
        <v>40</v>
      </c>
      <c r="H1261" s="76">
        <f t="shared" si="25"/>
        <v>-0.29508982035929421</v>
      </c>
      <c r="I1261" s="78">
        <v>-0.42077699173908656</v>
      </c>
      <c r="J1261" s="161">
        <v>11.271813282770268</v>
      </c>
      <c r="K1261" s="79">
        <f t="shared" si="26"/>
        <v>9.1533242215291466E-3</v>
      </c>
    </row>
    <row r="1262" spans="2:11" x14ac:dyDescent="0.35">
      <c r="B1262" s="149" t="s">
        <v>848</v>
      </c>
      <c r="C1262" s="6" t="s">
        <v>849</v>
      </c>
      <c r="D1262" s="78">
        <v>250.6</v>
      </c>
      <c r="E1262" s="78" t="s">
        <v>850</v>
      </c>
      <c r="F1262" s="160">
        <v>66.327628742515003</v>
      </c>
      <c r="G1262" s="76" t="s">
        <v>40</v>
      </c>
      <c r="H1262" s="76">
        <f t="shared" si="25"/>
        <v>-0.3056287425149975</v>
      </c>
      <c r="I1262" s="78">
        <v>-0.5183888888888889</v>
      </c>
      <c r="J1262" s="161">
        <v>11.710653457714614</v>
      </c>
      <c r="K1262" s="79">
        <f t="shared" si="26"/>
        <v>0.44799349916587516</v>
      </c>
    </row>
    <row r="1263" spans="2:11" x14ac:dyDescent="0.35">
      <c r="B1263" s="149" t="s">
        <v>848</v>
      </c>
      <c r="C1263" s="6" t="s">
        <v>849</v>
      </c>
      <c r="D1263" s="78">
        <v>250.70000000000002</v>
      </c>
      <c r="E1263" s="78" t="s">
        <v>850</v>
      </c>
      <c r="F1263" s="160">
        <v>66.338167664670706</v>
      </c>
      <c r="G1263" s="76" t="s">
        <v>40</v>
      </c>
      <c r="H1263" s="76">
        <f t="shared" si="25"/>
        <v>-0.31616766467070079</v>
      </c>
      <c r="I1263" s="78">
        <v>-0.41764098643675718</v>
      </c>
      <c r="J1263" s="161">
        <v>11.25773766488112</v>
      </c>
      <c r="K1263" s="79">
        <f t="shared" si="26"/>
        <v>-4.9222936676187601E-3</v>
      </c>
    </row>
    <row r="1264" spans="2:11" x14ac:dyDescent="0.35">
      <c r="B1264" s="149" t="s">
        <v>848</v>
      </c>
      <c r="C1264" s="6" t="s">
        <v>849</v>
      </c>
      <c r="D1264" s="78">
        <v>250.9</v>
      </c>
      <c r="E1264" s="78" t="s">
        <v>850</v>
      </c>
      <c r="F1264" s="160">
        <v>66.359245508981999</v>
      </c>
      <c r="G1264" s="76" t="s">
        <v>40</v>
      </c>
      <c r="H1264" s="76">
        <f t="shared" si="25"/>
        <v>-0.33724550898199368</v>
      </c>
      <c r="I1264" s="78">
        <v>-0.48660363464071332</v>
      </c>
      <c r="J1264" s="161">
        <v>11.567601096303974</v>
      </c>
      <c r="K1264" s="79">
        <f t="shared" si="26"/>
        <v>0.30494113775523601</v>
      </c>
    </row>
    <row r="1265" spans="2:11" x14ac:dyDescent="0.35">
      <c r="B1265" s="149" t="s">
        <v>848</v>
      </c>
      <c r="C1265" s="6" t="s">
        <v>849</v>
      </c>
      <c r="D1265" s="78">
        <v>251</v>
      </c>
      <c r="E1265" s="78" t="s">
        <v>850</v>
      </c>
      <c r="F1265" s="160">
        <v>66.369784431137703</v>
      </c>
      <c r="G1265" s="76" t="s">
        <v>40</v>
      </c>
      <c r="H1265" s="76">
        <f t="shared" si="25"/>
        <v>-0.34778443113769697</v>
      </c>
      <c r="I1265" s="78">
        <v>-0.45913888888888887</v>
      </c>
      <c r="J1265" s="161">
        <v>11.444112885541415</v>
      </c>
      <c r="K1265" s="79">
        <f t="shared" si="26"/>
        <v>0.18145292699267657</v>
      </c>
    </row>
    <row r="1266" spans="2:11" x14ac:dyDescent="0.35">
      <c r="B1266" s="149" t="s">
        <v>848</v>
      </c>
      <c r="C1266" s="6" t="s">
        <v>849</v>
      </c>
      <c r="D1266" s="78">
        <v>251.1</v>
      </c>
      <c r="E1266" s="78" t="s">
        <v>850</v>
      </c>
      <c r="F1266" s="160">
        <v>66.380244897959201</v>
      </c>
      <c r="G1266" s="76" t="s">
        <v>40</v>
      </c>
      <c r="H1266" s="76">
        <f t="shared" si="25"/>
        <v>-0.3582448979591959</v>
      </c>
      <c r="I1266" s="78">
        <v>-0.48872690129228635</v>
      </c>
      <c r="J1266" s="161">
        <v>11.577152426398584</v>
      </c>
      <c r="K1266" s="79">
        <f t="shared" si="26"/>
        <v>0.31449246784984553</v>
      </c>
    </row>
    <row r="1267" spans="2:11" x14ac:dyDescent="0.35">
      <c r="B1267" s="149" t="s">
        <v>848</v>
      </c>
      <c r="C1267" s="6" t="s">
        <v>849</v>
      </c>
      <c r="D1267" s="78">
        <v>251.3</v>
      </c>
      <c r="E1267" s="78" t="s">
        <v>850</v>
      </c>
      <c r="F1267" s="160">
        <v>66.401061224489794</v>
      </c>
      <c r="G1267" s="76" t="s">
        <v>40</v>
      </c>
      <c r="H1267" s="76">
        <f t="shared" si="25"/>
        <v>-0.37906122448978863</v>
      </c>
      <c r="I1267" s="78">
        <v>-0.59334901156577946</v>
      </c>
      <c r="J1267" s="161">
        <v>12.048606145584984</v>
      </c>
      <c r="K1267" s="79">
        <f t="shared" si="26"/>
        <v>0.78594618703624519</v>
      </c>
    </row>
    <row r="1268" spans="2:11" x14ac:dyDescent="0.35">
      <c r="B1268" s="149" t="s">
        <v>848</v>
      </c>
      <c r="C1268" s="6" t="s">
        <v>849</v>
      </c>
      <c r="D1268" s="78">
        <v>251.4</v>
      </c>
      <c r="E1268" s="78" t="s">
        <v>850</v>
      </c>
      <c r="F1268" s="160">
        <v>66.411469387755105</v>
      </c>
      <c r="G1268" s="76" t="s">
        <v>40</v>
      </c>
      <c r="H1268" s="76">
        <f t="shared" si="25"/>
        <v>-0.38946938775509921</v>
      </c>
      <c r="I1268" s="78">
        <v>-0.72488888888888892</v>
      </c>
      <c r="J1268" s="161">
        <v>12.643648698424443</v>
      </c>
      <c r="K1268" s="79">
        <f t="shared" si="26"/>
        <v>1.3809887398757041</v>
      </c>
    </row>
    <row r="1269" spans="2:11" x14ac:dyDescent="0.35">
      <c r="B1269" s="149" t="s">
        <v>848</v>
      </c>
      <c r="C1269" s="6" t="s">
        <v>849</v>
      </c>
      <c r="D1269" s="78">
        <v>251.49</v>
      </c>
      <c r="E1269" s="78" t="s">
        <v>850</v>
      </c>
      <c r="F1269" s="160">
        <v>66.420836734693907</v>
      </c>
      <c r="G1269" s="76" t="s">
        <v>40</v>
      </c>
      <c r="H1269" s="76">
        <f t="shared" si="25"/>
        <v>-0.39883673469390146</v>
      </c>
      <c r="I1269" s="78">
        <v>-0.53272853696592271</v>
      </c>
      <c r="J1269" s="161">
        <v>11.775238873649869</v>
      </c>
      <c r="K1269" s="79">
        <f t="shared" si="26"/>
        <v>0.51257891510113041</v>
      </c>
    </row>
    <row r="1270" spans="2:11" x14ac:dyDescent="0.35">
      <c r="B1270" s="149" t="s">
        <v>848</v>
      </c>
      <c r="C1270" s="6" t="s">
        <v>849</v>
      </c>
      <c r="D1270" s="78">
        <v>251.70000000000002</v>
      </c>
      <c r="E1270" s="78" t="s">
        <v>850</v>
      </c>
      <c r="F1270" s="160">
        <v>66.442693877550994</v>
      </c>
      <c r="G1270" s="76" t="s">
        <v>40</v>
      </c>
      <c r="H1270" s="76">
        <f t="shared" si="25"/>
        <v>-0.4206938775509883</v>
      </c>
      <c r="I1270" s="78">
        <v>-0.44855544747227488</v>
      </c>
      <c r="J1270" s="161">
        <v>11.396556638108052</v>
      </c>
      <c r="K1270" s="79">
        <f t="shared" si="26"/>
        <v>0.13389667955931372</v>
      </c>
    </row>
    <row r="1271" spans="2:11" x14ac:dyDescent="0.35">
      <c r="B1271" s="149" t="s">
        <v>848</v>
      </c>
      <c r="C1271" s="6" t="s">
        <v>849</v>
      </c>
      <c r="D1271" s="78">
        <v>251.8</v>
      </c>
      <c r="E1271" s="78" t="s">
        <v>850</v>
      </c>
      <c r="F1271" s="160">
        <v>66.453102040816304</v>
      </c>
      <c r="G1271" s="76" t="s">
        <v>40</v>
      </c>
      <c r="H1271" s="76">
        <f t="shared" si="25"/>
        <v>-0.43110204081629888</v>
      </c>
      <c r="I1271" s="78">
        <v>-0.52563888888888888</v>
      </c>
      <c r="J1271" s="161">
        <v>11.743303500456193</v>
      </c>
      <c r="K1271" s="79">
        <f t="shared" si="26"/>
        <v>0.48064354190745462</v>
      </c>
    </row>
    <row r="1272" spans="2:11" x14ac:dyDescent="0.35">
      <c r="B1272" s="149" t="s">
        <v>848</v>
      </c>
      <c r="C1272" s="6" t="s">
        <v>849</v>
      </c>
      <c r="D1272" s="78">
        <v>251.9</v>
      </c>
      <c r="E1272" s="78" t="s">
        <v>850</v>
      </c>
      <c r="F1272" s="160">
        <v>66.463510204081601</v>
      </c>
      <c r="G1272" s="76" t="s">
        <v>40</v>
      </c>
      <c r="H1272" s="76">
        <f t="shared" si="25"/>
        <v>-0.44151020408159525</v>
      </c>
      <c r="I1272" s="78">
        <v>-0.64331504281963958</v>
      </c>
      <c r="J1272" s="161">
        <v>12.274334515676173</v>
      </c>
      <c r="K1272" s="79">
        <f t="shared" si="26"/>
        <v>1.011674557127435</v>
      </c>
    </row>
    <row r="1273" spans="2:11" x14ac:dyDescent="0.35">
      <c r="B1273" s="149" t="s">
        <v>848</v>
      </c>
      <c r="C1273" s="6" t="s">
        <v>849</v>
      </c>
      <c r="D1273" s="78">
        <v>252.1</v>
      </c>
      <c r="E1273" s="78" t="s">
        <v>850</v>
      </c>
      <c r="F1273" s="160">
        <v>66.484326530612194</v>
      </c>
      <c r="G1273" s="76" t="s">
        <v>40</v>
      </c>
      <c r="H1273" s="76">
        <f t="shared" si="25"/>
        <v>-0.46232653061218798</v>
      </c>
      <c r="I1273" s="78">
        <v>-0.49306626659419039</v>
      </c>
      <c r="J1273" s="161">
        <v>11.596674739651633</v>
      </c>
      <c r="K1273" s="79">
        <f t="shared" si="26"/>
        <v>0.33401478110289418</v>
      </c>
    </row>
    <row r="1274" spans="2:11" x14ac:dyDescent="0.35">
      <c r="B1274" s="149" t="s">
        <v>848</v>
      </c>
      <c r="C1274" s="6" t="s">
        <v>849</v>
      </c>
      <c r="D1274" s="78">
        <v>252.20000000000002</v>
      </c>
      <c r="E1274" s="78" t="s">
        <v>850</v>
      </c>
      <c r="F1274" s="160">
        <v>66.494734693877504</v>
      </c>
      <c r="G1274" s="76" t="s">
        <v>40</v>
      </c>
      <c r="H1274" s="76">
        <f t="shared" si="25"/>
        <v>-0.47273469387749856</v>
      </c>
      <c r="I1274" s="78">
        <v>-0.74863888888888885</v>
      </c>
      <c r="J1274" s="161">
        <v>12.751358883047885</v>
      </c>
      <c r="K1274" s="79">
        <f t="shared" si="26"/>
        <v>1.4886989244991469</v>
      </c>
    </row>
    <row r="1275" spans="2:11" x14ac:dyDescent="0.35">
      <c r="B1275" s="149" t="s">
        <v>848</v>
      </c>
      <c r="C1275" s="6" t="s">
        <v>849</v>
      </c>
      <c r="D1275" s="78">
        <v>252.23999999999998</v>
      </c>
      <c r="E1275" s="78" t="s">
        <v>850</v>
      </c>
      <c r="F1275" s="160">
        <v>66.498897959183694</v>
      </c>
      <c r="G1275" s="76" t="s">
        <v>40</v>
      </c>
      <c r="H1275" s="76">
        <f t="shared" si="25"/>
        <v>-0.47689795918368816</v>
      </c>
      <c r="I1275" s="78">
        <v>-0.71437500000000043</v>
      </c>
      <c r="J1275" s="161">
        <v>12.595993199201189</v>
      </c>
      <c r="K1275" s="79">
        <f t="shared" si="26"/>
        <v>1.3333332406524505</v>
      </c>
    </row>
    <row r="1276" spans="2:11" x14ac:dyDescent="0.35">
      <c r="B1276" s="149" t="s">
        <v>848</v>
      </c>
      <c r="C1276" s="6" t="s">
        <v>849</v>
      </c>
      <c r="D1276" s="78">
        <v>252.3</v>
      </c>
      <c r="E1276" s="78" t="s">
        <v>850</v>
      </c>
      <c r="F1276" s="160">
        <v>66.5051428571429</v>
      </c>
      <c r="G1276" s="76" t="s">
        <v>40</v>
      </c>
      <c r="H1276" s="76">
        <f t="shared" si="25"/>
        <v>-0.4831428571428944</v>
      </c>
      <c r="I1276" s="78">
        <v>-0.62324204905487424</v>
      </c>
      <c r="J1276" s="161">
        <v>12.183607742627999</v>
      </c>
      <c r="K1276" s="79">
        <f t="shared" si="26"/>
        <v>0.92094778407926015</v>
      </c>
    </row>
    <row r="1277" spans="2:11" x14ac:dyDescent="0.35">
      <c r="B1277" s="149" t="s">
        <v>848</v>
      </c>
      <c r="C1277" s="6" t="s">
        <v>849</v>
      </c>
      <c r="D1277" s="78">
        <v>252.34</v>
      </c>
      <c r="E1277" s="78" t="s">
        <v>850</v>
      </c>
      <c r="F1277" s="160">
        <v>66.509306122449004</v>
      </c>
      <c r="G1277" s="76" t="s">
        <v>40</v>
      </c>
      <c r="H1277" s="76">
        <f t="shared" si="25"/>
        <v>-0.48730612244899874</v>
      </c>
      <c r="I1277" s="78">
        <v>-0.45241759796305592</v>
      </c>
      <c r="J1277" s="161">
        <v>11.413909148222331</v>
      </c>
      <c r="K1277" s="79">
        <f t="shared" si="26"/>
        <v>0.15124918967359235</v>
      </c>
    </row>
    <row r="1278" spans="2:11" x14ac:dyDescent="0.35">
      <c r="B1278" s="149" t="s">
        <v>848</v>
      </c>
      <c r="C1278" s="6" t="s">
        <v>849</v>
      </c>
      <c r="D1278" s="78">
        <v>252.44</v>
      </c>
      <c r="E1278" s="78" t="s">
        <v>850</v>
      </c>
      <c r="F1278" s="160">
        <v>66.519714285714301</v>
      </c>
      <c r="G1278" s="76" t="s">
        <v>40</v>
      </c>
      <c r="H1278" s="76">
        <f t="shared" si="25"/>
        <v>-0.4977142857142951</v>
      </c>
      <c r="I1278" s="78">
        <v>-0.61211111111111127</v>
      </c>
      <c r="J1278" s="161">
        <v>12.133323294994454</v>
      </c>
      <c r="K1278" s="79">
        <f t="shared" si="26"/>
        <v>0.87066333644571614</v>
      </c>
    </row>
    <row r="1279" spans="2:11" x14ac:dyDescent="0.35">
      <c r="B1279" s="149" t="s">
        <v>848</v>
      </c>
      <c r="C1279" s="6" t="s">
        <v>849</v>
      </c>
      <c r="D1279" s="78">
        <v>252.5</v>
      </c>
      <c r="E1279" s="78" t="s">
        <v>850</v>
      </c>
      <c r="F1279" s="160">
        <v>66.525959183673507</v>
      </c>
      <c r="G1279" s="76" t="s">
        <v>40</v>
      </c>
      <c r="H1279" s="76">
        <f t="shared" si="25"/>
        <v>-0.50395918367350134</v>
      </c>
      <c r="I1279" s="78">
        <v>-0.56725690349938751</v>
      </c>
      <c r="J1279" s="161">
        <v>11.930877804759973</v>
      </c>
      <c r="K1279" s="79">
        <f t="shared" si="26"/>
        <v>0.6682178462112347</v>
      </c>
    </row>
    <row r="1280" spans="2:11" x14ac:dyDescent="0.35">
      <c r="B1280" s="149" t="s">
        <v>848</v>
      </c>
      <c r="C1280" s="6" t="s">
        <v>849</v>
      </c>
      <c r="D1280" s="78">
        <v>252.54</v>
      </c>
      <c r="E1280" s="78" t="s">
        <v>850</v>
      </c>
      <c r="F1280" s="160">
        <v>66.530122448979597</v>
      </c>
      <c r="G1280" s="76" t="s">
        <v>40</v>
      </c>
      <c r="H1280" s="76">
        <f t="shared" si="25"/>
        <v>-0.50812244897959147</v>
      </c>
      <c r="I1280" s="78">
        <v>-0.47149084888351422</v>
      </c>
      <c r="J1280" s="161">
        <v>11.499636640155245</v>
      </c>
      <c r="K1280" s="79">
        <f t="shared" si="26"/>
        <v>0.23697668160650665</v>
      </c>
    </row>
    <row r="1281" spans="2:11" x14ac:dyDescent="0.35">
      <c r="B1281" s="149" t="s">
        <v>848</v>
      </c>
      <c r="C1281" s="6" t="s">
        <v>849</v>
      </c>
      <c r="D1281" s="78">
        <v>252.6</v>
      </c>
      <c r="E1281" s="78" t="s">
        <v>850</v>
      </c>
      <c r="F1281" s="160">
        <v>66.536367346938803</v>
      </c>
      <c r="G1281" s="76" t="s">
        <v>40</v>
      </c>
      <c r="H1281" s="76">
        <f t="shared" si="25"/>
        <v>-0.51436734693879771</v>
      </c>
      <c r="I1281" s="78">
        <v>-0.60663888888888895</v>
      </c>
      <c r="J1281" s="161">
        <v>12.108609020115352</v>
      </c>
      <c r="K1281" s="79">
        <f t="shared" si="26"/>
        <v>0.84594906156661409</v>
      </c>
    </row>
    <row r="1282" spans="2:11" x14ac:dyDescent="0.35">
      <c r="B1282" s="149" t="s">
        <v>848</v>
      </c>
      <c r="C1282" s="6" t="s">
        <v>849</v>
      </c>
      <c r="D1282" s="78">
        <v>252.64</v>
      </c>
      <c r="E1282" s="78" t="s">
        <v>850</v>
      </c>
      <c r="F1282" s="160">
        <v>66.540530612244893</v>
      </c>
      <c r="G1282" s="76" t="s">
        <v>40</v>
      </c>
      <c r="H1282" s="76">
        <f t="shared" si="25"/>
        <v>-0.51853061224488783</v>
      </c>
      <c r="I1282" s="78">
        <v>-0.50237500000000046</v>
      </c>
      <c r="J1282" s="161">
        <v>11.63856299597137</v>
      </c>
      <c r="K1282" s="79">
        <f t="shared" si="26"/>
        <v>0.37590303742263131</v>
      </c>
    </row>
    <row r="1283" spans="2:11" x14ac:dyDescent="0.35">
      <c r="B1283" s="149" t="s">
        <v>848</v>
      </c>
      <c r="C1283" s="6" t="s">
        <v>849</v>
      </c>
      <c r="D1283" s="78">
        <v>252.70000000000002</v>
      </c>
      <c r="E1283" s="78" t="s">
        <v>850</v>
      </c>
      <c r="F1283" s="160">
        <v>66.5467755102041</v>
      </c>
      <c r="G1283" s="76" t="s">
        <v>40</v>
      </c>
      <c r="H1283" s="76">
        <f t="shared" si="25"/>
        <v>-0.52477551020409408</v>
      </c>
      <c r="I1283" s="78">
        <v>-0.53802166401039175</v>
      </c>
      <c r="J1283" s="161">
        <v>11.799086620572496</v>
      </c>
      <c r="K1283" s="79">
        <f t="shared" si="26"/>
        <v>0.53642666202375722</v>
      </c>
    </row>
    <row r="1284" spans="2:11" x14ac:dyDescent="0.35">
      <c r="B1284" s="149" t="s">
        <v>848</v>
      </c>
      <c r="C1284" s="6" t="s">
        <v>849</v>
      </c>
      <c r="D1284" s="78">
        <v>252.73999999999998</v>
      </c>
      <c r="E1284" s="78" t="s">
        <v>850</v>
      </c>
      <c r="F1284" s="160">
        <v>66.550938775510204</v>
      </c>
      <c r="G1284" s="76" t="s">
        <v>40</v>
      </c>
      <c r="H1284" s="76">
        <f t="shared" si="25"/>
        <v>-0.52893877551019841</v>
      </c>
      <c r="I1284" s="78">
        <v>-0.54299728006412662</v>
      </c>
      <c r="J1284" s="161">
        <v>11.821507603428699</v>
      </c>
      <c r="K1284" s="79">
        <f t="shared" si="26"/>
        <v>0.55884764487996108</v>
      </c>
    </row>
    <row r="1285" spans="2:11" x14ac:dyDescent="0.35">
      <c r="B1285" s="149" t="s">
        <v>848</v>
      </c>
      <c r="C1285" s="6" t="s">
        <v>849</v>
      </c>
      <c r="D1285" s="78">
        <v>252.84</v>
      </c>
      <c r="E1285" s="78" t="s">
        <v>850</v>
      </c>
      <c r="F1285" s="160">
        <v>66.5613469387755</v>
      </c>
      <c r="G1285" s="76" t="s">
        <v>40</v>
      </c>
      <c r="H1285" s="76">
        <f t="shared" si="25"/>
        <v>-0.53934693877549478</v>
      </c>
      <c r="I1285" s="78">
        <v>-0.47636111111111129</v>
      </c>
      <c r="J1285" s="161">
        <v>11.521535281371087</v>
      </c>
      <c r="K1285" s="79">
        <f t="shared" si="26"/>
        <v>0.25887532282234815</v>
      </c>
    </row>
    <row r="1286" spans="2:11" x14ac:dyDescent="0.35">
      <c r="B1286" s="149" t="s">
        <v>848</v>
      </c>
      <c r="C1286" s="6" t="s">
        <v>849</v>
      </c>
      <c r="D1286" s="78">
        <v>252.9</v>
      </c>
      <c r="E1286" s="78" t="s">
        <v>850</v>
      </c>
      <c r="F1286" s="160">
        <v>66.567591836734707</v>
      </c>
      <c r="G1286" s="76" t="s">
        <v>40</v>
      </c>
      <c r="H1286" s="76">
        <f t="shared" si="25"/>
        <v>-0.54559183673470102</v>
      </c>
      <c r="I1286" s="78">
        <v>-0.48317137107101904</v>
      </c>
      <c r="J1286" s="161">
        <v>11.55216275559485</v>
      </c>
      <c r="K1286" s="79">
        <f t="shared" si="26"/>
        <v>0.28950279704611148</v>
      </c>
    </row>
    <row r="1287" spans="2:11" x14ac:dyDescent="0.35">
      <c r="B1287" s="149" t="s">
        <v>848</v>
      </c>
      <c r="C1287" s="6" t="s">
        <v>849</v>
      </c>
      <c r="D1287" s="78">
        <v>252.94</v>
      </c>
      <c r="E1287" s="78" t="s">
        <v>850</v>
      </c>
      <c r="F1287" s="160">
        <v>66.571755102040797</v>
      </c>
      <c r="G1287" s="76" t="s">
        <v>40</v>
      </c>
      <c r="H1287" s="76">
        <f t="shared" si="25"/>
        <v>-0.54975510204079114</v>
      </c>
      <c r="I1287" s="78">
        <v>-0.43319890688562052</v>
      </c>
      <c r="J1287" s="161">
        <v>11.327581820610646</v>
      </c>
      <c r="K1287" s="79">
        <f t="shared" si="26"/>
        <v>6.4921862061908087E-2</v>
      </c>
    </row>
    <row r="1288" spans="2:11" x14ac:dyDescent="0.35">
      <c r="B1288" s="149" t="s">
        <v>848</v>
      </c>
      <c r="C1288" s="6" t="s">
        <v>849</v>
      </c>
      <c r="D1288" s="78">
        <v>252.99</v>
      </c>
      <c r="E1288" s="78" t="s">
        <v>850</v>
      </c>
      <c r="F1288" s="160">
        <v>66.576959183673495</v>
      </c>
      <c r="G1288" s="76" t="s">
        <v>40</v>
      </c>
      <c r="H1288" s="76">
        <f t="shared" si="25"/>
        <v>-0.55495918367348906</v>
      </c>
      <c r="I1288" s="78">
        <v>-0.59813888888888889</v>
      </c>
      <c r="J1288" s="161">
        <v>12.070229107943135</v>
      </c>
      <c r="K1288" s="79">
        <f t="shared" si="26"/>
        <v>0.80756914939439639</v>
      </c>
    </row>
    <row r="1289" spans="2:11" x14ac:dyDescent="0.35">
      <c r="B1289" s="149" t="s">
        <v>848</v>
      </c>
      <c r="C1289" s="6" t="s">
        <v>849</v>
      </c>
      <c r="D1289" s="78">
        <v>253.04</v>
      </c>
      <c r="E1289" s="78" t="s">
        <v>850</v>
      </c>
      <c r="F1289" s="160">
        <v>66.582163265306093</v>
      </c>
      <c r="G1289" s="76" t="s">
        <v>40</v>
      </c>
      <c r="H1289" s="76">
        <f t="shared" si="25"/>
        <v>-0.56016326530608751</v>
      </c>
      <c r="I1289" s="78">
        <v>-0.50287500000000041</v>
      </c>
      <c r="J1289" s="161">
        <v>11.640813299700767</v>
      </c>
      <c r="K1289" s="79">
        <f t="shared" si="26"/>
        <v>0.37815334115202859</v>
      </c>
    </row>
    <row r="1290" spans="2:11" x14ac:dyDescent="0.35">
      <c r="B1290" s="149" t="s">
        <v>848</v>
      </c>
      <c r="C1290" s="6" t="s">
        <v>849</v>
      </c>
      <c r="D1290" s="78">
        <v>253.14</v>
      </c>
      <c r="E1290" s="78" t="s">
        <v>850</v>
      </c>
      <c r="F1290" s="160">
        <v>66.592571428571404</v>
      </c>
      <c r="G1290" s="76" t="s">
        <v>40</v>
      </c>
      <c r="H1290" s="76">
        <f t="shared" si="25"/>
        <v>-0.57057142857139809</v>
      </c>
      <c r="I1290" s="78">
        <v>-0.27504664000177464</v>
      </c>
      <c r="J1290" s="161">
        <v>10.619233496108677</v>
      </c>
      <c r="K1290" s="79">
        <f t="shared" si="26"/>
        <v>-0.64342646244006119</v>
      </c>
    </row>
    <row r="1291" spans="2:11" x14ac:dyDescent="0.35">
      <c r="B1291" s="149" t="s">
        <v>848</v>
      </c>
      <c r="C1291" s="6" t="s">
        <v>849</v>
      </c>
      <c r="D1291" s="78">
        <v>253.20000000000002</v>
      </c>
      <c r="E1291" s="78" t="s">
        <v>850</v>
      </c>
      <c r="F1291" s="160">
        <v>66.598816326530596</v>
      </c>
      <c r="G1291" s="76" t="s">
        <v>40</v>
      </c>
      <c r="H1291" s="76">
        <f t="shared" si="25"/>
        <v>-0.57681632653059012</v>
      </c>
      <c r="I1291" s="78">
        <v>-0.46475620211712632</v>
      </c>
      <c r="J1291" s="161">
        <v>11.469360708319925</v>
      </c>
      <c r="K1291" s="79">
        <f t="shared" si="26"/>
        <v>0.20670074977118702</v>
      </c>
    </row>
    <row r="1292" spans="2:11" x14ac:dyDescent="0.35">
      <c r="B1292" s="149" t="s">
        <v>848</v>
      </c>
      <c r="C1292" s="6" t="s">
        <v>849</v>
      </c>
      <c r="D1292" s="78">
        <v>253.23999999999998</v>
      </c>
      <c r="E1292" s="78" t="s">
        <v>850</v>
      </c>
      <c r="F1292" s="160">
        <v>66.6029795918367</v>
      </c>
      <c r="G1292" s="76" t="s">
        <v>40</v>
      </c>
      <c r="H1292" s="76">
        <f t="shared" si="25"/>
        <v>-0.58097959183669445</v>
      </c>
      <c r="I1292" s="78">
        <v>-0.44461111111111129</v>
      </c>
      <c r="J1292" s="161">
        <v>11.378837123061032</v>
      </c>
      <c r="K1292" s="79">
        <f t="shared" si="26"/>
        <v>0.11617716451229398</v>
      </c>
    </row>
    <row r="1293" spans="2:11" x14ac:dyDescent="0.35">
      <c r="B1293" s="149" t="s">
        <v>848</v>
      </c>
      <c r="C1293" s="6" t="s">
        <v>849</v>
      </c>
      <c r="D1293" s="78">
        <v>253.3</v>
      </c>
      <c r="E1293" s="78" t="s">
        <v>850</v>
      </c>
      <c r="F1293" s="160">
        <v>66.609224489795906</v>
      </c>
      <c r="G1293" s="76" t="s">
        <v>40</v>
      </c>
      <c r="H1293" s="76">
        <f t="shared" si="25"/>
        <v>-0.58722448979590069</v>
      </c>
      <c r="I1293" s="78">
        <v>-0.6091388888888889</v>
      </c>
      <c r="J1293" s="161">
        <v>12.119899257514646</v>
      </c>
      <c r="K1293" s="79">
        <f t="shared" si="26"/>
        <v>0.85723929896590789</v>
      </c>
    </row>
    <row r="1294" spans="2:11" x14ac:dyDescent="0.35">
      <c r="B1294" s="149" t="s">
        <v>848</v>
      </c>
      <c r="C1294" s="6" t="s">
        <v>849</v>
      </c>
      <c r="D1294" s="78">
        <v>253.34</v>
      </c>
      <c r="E1294" s="78" t="s">
        <v>850</v>
      </c>
      <c r="F1294" s="160">
        <v>66.613387755101996</v>
      </c>
      <c r="G1294" s="76" t="s">
        <v>40</v>
      </c>
      <c r="H1294" s="76">
        <f t="shared" si="25"/>
        <v>-0.59138775510199082</v>
      </c>
      <c r="I1294" s="78">
        <v>-0.3464999770931021</v>
      </c>
      <c r="J1294" s="161">
        <v>10.938814693733832</v>
      </c>
      <c r="K1294" s="79">
        <f t="shared" si="26"/>
        <v>-0.32384526481490639</v>
      </c>
    </row>
    <row r="1295" spans="2:11" x14ac:dyDescent="0.35">
      <c r="B1295" s="149" t="s">
        <v>848</v>
      </c>
      <c r="C1295" s="6" t="s">
        <v>849</v>
      </c>
      <c r="D1295" s="78">
        <v>253.4</v>
      </c>
      <c r="E1295" s="78" t="s">
        <v>850</v>
      </c>
      <c r="F1295" s="160">
        <v>66.619632653061203</v>
      </c>
      <c r="G1295" s="76" t="s">
        <v>40</v>
      </c>
      <c r="H1295" s="76">
        <f t="shared" si="25"/>
        <v>-0.59763265306119706</v>
      </c>
      <c r="I1295" s="78">
        <v>-0.57689866299292314</v>
      </c>
      <c r="J1295" s="161">
        <v>11.974370018614138</v>
      </c>
      <c r="K1295" s="79">
        <f t="shared" si="26"/>
        <v>0.71171006006539983</v>
      </c>
    </row>
    <row r="1296" spans="2:11" x14ac:dyDescent="0.35">
      <c r="B1296" s="149" t="s">
        <v>848</v>
      </c>
      <c r="C1296" s="6" t="s">
        <v>849</v>
      </c>
      <c r="D1296" s="78">
        <v>253.44</v>
      </c>
      <c r="E1296" s="78" t="s">
        <v>850</v>
      </c>
      <c r="F1296" s="160">
        <v>66.623795918367307</v>
      </c>
      <c r="G1296" s="76" t="s">
        <v>40</v>
      </c>
      <c r="H1296" s="76">
        <f t="shared" si="25"/>
        <v>-0.6017959183673014</v>
      </c>
      <c r="I1296" s="78">
        <v>-0.41212500000000041</v>
      </c>
      <c r="J1296" s="161">
        <v>11.232983248302332</v>
      </c>
      <c r="K1296" s="79">
        <f t="shared" si="26"/>
        <v>-2.9676710246405946E-2</v>
      </c>
    </row>
    <row r="1297" spans="2:11" x14ac:dyDescent="0.35">
      <c r="B1297" s="149" t="s">
        <v>848</v>
      </c>
      <c r="C1297" s="6" t="s">
        <v>849</v>
      </c>
      <c r="D1297" s="78">
        <v>253.54</v>
      </c>
      <c r="E1297" s="78" t="s">
        <v>850</v>
      </c>
      <c r="F1297" s="160">
        <v>66.634204081632603</v>
      </c>
      <c r="G1297" s="76" t="s">
        <v>40</v>
      </c>
      <c r="H1297" s="76">
        <f t="shared" si="25"/>
        <v>-0.61220408163259776</v>
      </c>
      <c r="I1297" s="78">
        <v>-0.34747072744284752</v>
      </c>
      <c r="J1297" s="161">
        <v>10.943161571855455</v>
      </c>
      <c r="K1297" s="79">
        <f t="shared" si="26"/>
        <v>-0.31949838669328301</v>
      </c>
    </row>
    <row r="1298" spans="2:11" x14ac:dyDescent="0.35">
      <c r="B1298" s="149" t="s">
        <v>848</v>
      </c>
      <c r="C1298" s="6" t="s">
        <v>849</v>
      </c>
      <c r="D1298" s="78">
        <v>253.6</v>
      </c>
      <c r="E1298" s="78" t="s">
        <v>850</v>
      </c>
      <c r="F1298" s="160">
        <v>66.640448979591795</v>
      </c>
      <c r="G1298" s="76" t="s">
        <v>40</v>
      </c>
      <c r="H1298" s="76">
        <f t="shared" si="25"/>
        <v>-0.61844897959178979</v>
      </c>
      <c r="I1298" s="78">
        <v>-0.30045167173314868</v>
      </c>
      <c r="J1298" s="161">
        <v>10.732774661961571</v>
      </c>
      <c r="K1298" s="79">
        <f t="shared" si="26"/>
        <v>-0.52988529658716743</v>
      </c>
    </row>
    <row r="1299" spans="2:11" x14ac:dyDescent="0.35">
      <c r="B1299" s="149" t="s">
        <v>848</v>
      </c>
      <c r="C1299" s="6" t="s">
        <v>849</v>
      </c>
      <c r="D1299" s="78">
        <v>253.63</v>
      </c>
      <c r="E1299" s="78" t="s">
        <v>850</v>
      </c>
      <c r="F1299" s="160">
        <v>66.643571428571406</v>
      </c>
      <c r="G1299" s="76" t="s">
        <v>40</v>
      </c>
      <c r="H1299" s="76">
        <f t="shared" si="25"/>
        <v>-0.62157142857140002</v>
      </c>
      <c r="I1299" s="78">
        <v>-0.41111111111111132</v>
      </c>
      <c r="J1299" s="161">
        <v>11.228433643215851</v>
      </c>
      <c r="K1299" s="79">
        <f t="shared" si="26"/>
        <v>-3.4226315332887225E-2</v>
      </c>
    </row>
    <row r="1300" spans="2:11" x14ac:dyDescent="0.35">
      <c r="B1300" s="149" t="s">
        <v>848</v>
      </c>
      <c r="C1300" s="6" t="s">
        <v>849</v>
      </c>
      <c r="D1300" s="78">
        <v>253.70000000000002</v>
      </c>
      <c r="E1300" s="78" t="s">
        <v>850</v>
      </c>
      <c r="F1300" s="160">
        <v>66.650857142857106</v>
      </c>
      <c r="G1300" s="76" t="s">
        <v>40</v>
      </c>
      <c r="H1300" s="76">
        <f t="shared" si="25"/>
        <v>-0.62885714285710037</v>
      </c>
      <c r="I1300" s="78">
        <v>-0.55588888888888888</v>
      </c>
      <c r="J1300" s="161">
        <v>11.879616349815421</v>
      </c>
      <c r="K1300" s="79">
        <f t="shared" si="26"/>
        <v>0.61695639126668311</v>
      </c>
    </row>
    <row r="1301" spans="2:11" x14ac:dyDescent="0.35">
      <c r="B1301" s="149" t="s">
        <v>848</v>
      </c>
      <c r="C1301" s="6" t="s">
        <v>849</v>
      </c>
      <c r="D1301" s="78">
        <v>253.73999999999998</v>
      </c>
      <c r="E1301" s="78" t="s">
        <v>850</v>
      </c>
      <c r="F1301" s="160">
        <v>66.655020408163296</v>
      </c>
      <c r="G1301" s="76" t="s">
        <v>40</v>
      </c>
      <c r="H1301" s="76">
        <f t="shared" ref="H1301:H1364" si="27">66.022-F1301</f>
        <v>-0.63302040816328997</v>
      </c>
      <c r="I1301" s="78">
        <v>-0.2503750000000004</v>
      </c>
      <c r="J1301" s="161">
        <v>10.509059686317869</v>
      </c>
      <c r="K1301" s="79">
        <f t="shared" ref="K1301:K1364" si="28">J1301-$J$1214</f>
        <v>-0.75360027223086945</v>
      </c>
    </row>
    <row r="1302" spans="2:11" x14ac:dyDescent="0.35">
      <c r="B1302" s="149" t="s">
        <v>848</v>
      </c>
      <c r="C1302" s="6" t="s">
        <v>849</v>
      </c>
      <c r="D1302" s="78">
        <v>253.8</v>
      </c>
      <c r="E1302" s="78" t="s">
        <v>850</v>
      </c>
      <c r="F1302" s="160">
        <v>66.661265306122402</v>
      </c>
      <c r="G1302" s="76" t="s">
        <v>40</v>
      </c>
      <c r="H1302" s="76">
        <f t="shared" si="27"/>
        <v>-0.63926530612239674</v>
      </c>
      <c r="I1302" s="78">
        <v>-0.29606518436768692</v>
      </c>
      <c r="J1302" s="161">
        <v>10.713163704959243</v>
      </c>
      <c r="K1302" s="79">
        <f t="shared" si="28"/>
        <v>-0.54949625358949561</v>
      </c>
    </row>
    <row r="1303" spans="2:11" x14ac:dyDescent="0.35">
      <c r="B1303" s="149" t="s">
        <v>848</v>
      </c>
      <c r="C1303" s="6" t="s">
        <v>849</v>
      </c>
      <c r="D1303" s="78">
        <v>253.84</v>
      </c>
      <c r="E1303" s="78" t="s">
        <v>850</v>
      </c>
      <c r="F1303" s="160">
        <v>66.665428571428606</v>
      </c>
      <c r="G1303" s="76" t="s">
        <v>40</v>
      </c>
      <c r="H1303" s="76">
        <f t="shared" si="27"/>
        <v>-0.64342857142860055</v>
      </c>
      <c r="I1303" s="78">
        <v>-0.42567004285417204</v>
      </c>
      <c r="J1303" s="161">
        <v>11.293778080473999</v>
      </c>
      <c r="K1303" s="79">
        <f t="shared" si="28"/>
        <v>3.1118121925260311E-2</v>
      </c>
    </row>
    <row r="1304" spans="2:11" x14ac:dyDescent="0.35">
      <c r="B1304" s="149" t="s">
        <v>848</v>
      </c>
      <c r="C1304" s="6" t="s">
        <v>849</v>
      </c>
      <c r="D1304" s="78">
        <v>253.94</v>
      </c>
      <c r="E1304" s="78" t="s">
        <v>850</v>
      </c>
      <c r="F1304" s="160">
        <v>66.675836734693902</v>
      </c>
      <c r="G1304" s="76" t="s">
        <v>40</v>
      </c>
      <c r="H1304" s="76">
        <f t="shared" si="27"/>
        <v>-0.65383673469389691</v>
      </c>
      <c r="I1304" s="78">
        <v>-0.38036111111111132</v>
      </c>
      <c r="J1304" s="161">
        <v>11.090521044567595</v>
      </c>
      <c r="K1304" s="79">
        <f t="shared" si="28"/>
        <v>-0.17213891398114356</v>
      </c>
    </row>
    <row r="1305" spans="2:11" x14ac:dyDescent="0.35">
      <c r="B1305" s="149" t="s">
        <v>848</v>
      </c>
      <c r="C1305" s="6" t="s">
        <v>849</v>
      </c>
      <c r="D1305" s="78">
        <v>254</v>
      </c>
      <c r="E1305" s="78" t="s">
        <v>850</v>
      </c>
      <c r="F1305" s="160">
        <v>66.682081632653095</v>
      </c>
      <c r="G1305" s="76" t="s">
        <v>40</v>
      </c>
      <c r="H1305" s="76">
        <f t="shared" si="27"/>
        <v>-0.66008163265308895</v>
      </c>
      <c r="I1305" s="78">
        <v>-0.34194144587488617</v>
      </c>
      <c r="J1305" s="161">
        <v>10.918404092791945</v>
      </c>
      <c r="K1305" s="79">
        <f t="shared" si="28"/>
        <v>-0.3442558657567929</v>
      </c>
    </row>
    <row r="1306" spans="2:11" x14ac:dyDescent="0.35">
      <c r="B1306" s="149" t="s">
        <v>848</v>
      </c>
      <c r="C1306" s="6" t="s">
        <v>849</v>
      </c>
      <c r="D1306" s="78">
        <v>254.04</v>
      </c>
      <c r="E1306" s="78" t="s">
        <v>850</v>
      </c>
      <c r="F1306" s="160">
        <v>66.686244897959199</v>
      </c>
      <c r="G1306" s="76" t="s">
        <v>40</v>
      </c>
      <c r="H1306" s="76">
        <f t="shared" si="27"/>
        <v>-0.66424489795919328</v>
      </c>
      <c r="I1306" s="78">
        <v>-0.44037473027888341</v>
      </c>
      <c r="J1306" s="161">
        <v>11.35980816477354</v>
      </c>
      <c r="K1306" s="79">
        <f t="shared" si="28"/>
        <v>9.714820622480147E-2</v>
      </c>
    </row>
    <row r="1307" spans="2:11" x14ac:dyDescent="0.35">
      <c r="B1307" s="149" t="s">
        <v>848</v>
      </c>
      <c r="C1307" s="6" t="s">
        <v>849</v>
      </c>
      <c r="D1307" s="78">
        <v>254.11</v>
      </c>
      <c r="E1307" s="78" t="s">
        <v>850</v>
      </c>
      <c r="F1307" s="160">
        <v>66.693530612244899</v>
      </c>
      <c r="G1307" s="76" t="s">
        <v>40</v>
      </c>
      <c r="H1307" s="76">
        <f t="shared" si="27"/>
        <v>-0.67153061224489363</v>
      </c>
      <c r="I1307" s="78">
        <v>-0.46213888888888888</v>
      </c>
      <c r="J1307" s="161">
        <v>11.457596242320278</v>
      </c>
      <c r="K1307" s="79">
        <f t="shared" si="28"/>
        <v>0.19493628377153982</v>
      </c>
    </row>
    <row r="1308" spans="2:11" x14ac:dyDescent="0.35">
      <c r="B1308" s="149" t="s">
        <v>848</v>
      </c>
      <c r="C1308" s="6" t="s">
        <v>849</v>
      </c>
      <c r="D1308" s="78">
        <v>254.14</v>
      </c>
      <c r="E1308" s="78" t="s">
        <v>850</v>
      </c>
      <c r="F1308" s="160">
        <v>66.696653061224495</v>
      </c>
      <c r="G1308" s="76" t="s">
        <v>40</v>
      </c>
      <c r="H1308" s="76">
        <f t="shared" si="27"/>
        <v>-0.67465306122448965</v>
      </c>
      <c r="I1308" s="78">
        <v>-0.41687500000000044</v>
      </c>
      <c r="J1308" s="161">
        <v>11.254299836682605</v>
      </c>
      <c r="K1308" s="79">
        <f t="shared" si="28"/>
        <v>-8.3601218661328858E-3</v>
      </c>
    </row>
    <row r="1309" spans="2:11" x14ac:dyDescent="0.35">
      <c r="B1309" s="149" t="s">
        <v>848</v>
      </c>
      <c r="C1309" s="6" t="s">
        <v>849</v>
      </c>
      <c r="D1309" s="78">
        <v>254.21000000000004</v>
      </c>
      <c r="E1309" s="78" t="s">
        <v>850</v>
      </c>
      <c r="F1309" s="160">
        <v>66.703938775510196</v>
      </c>
      <c r="G1309" s="76" t="s">
        <v>40</v>
      </c>
      <c r="H1309" s="76">
        <f t="shared" si="27"/>
        <v>-0.68193877551019</v>
      </c>
      <c r="I1309" s="78">
        <v>-0.25120685710560198</v>
      </c>
      <c r="J1309" s="161">
        <v>10.512772994014426</v>
      </c>
      <c r="K1309" s="79">
        <f t="shared" si="28"/>
        <v>-0.74988696453431203</v>
      </c>
    </row>
    <row r="1310" spans="2:11" x14ac:dyDescent="0.35">
      <c r="B1310" s="149" t="s">
        <v>848</v>
      </c>
      <c r="C1310" s="6" t="s">
        <v>849</v>
      </c>
      <c r="D1310" s="78">
        <v>254.23999999999998</v>
      </c>
      <c r="E1310" s="78" t="s">
        <v>850</v>
      </c>
      <c r="F1310" s="160">
        <v>66.707061224489806</v>
      </c>
      <c r="G1310" s="76" t="s">
        <v>40</v>
      </c>
      <c r="H1310" s="76">
        <f t="shared" si="27"/>
        <v>-0.68506122448980022</v>
      </c>
      <c r="I1310" s="78">
        <v>-0.30624182083398221</v>
      </c>
      <c r="J1310" s="161">
        <v>10.758665342844608</v>
      </c>
      <c r="K1310" s="79">
        <f t="shared" si="28"/>
        <v>-0.50399461570412996</v>
      </c>
    </row>
    <row r="1311" spans="2:11" x14ac:dyDescent="0.35">
      <c r="B1311" s="149" t="s">
        <v>848</v>
      </c>
      <c r="C1311" s="6" t="s">
        <v>849</v>
      </c>
      <c r="D1311" s="78">
        <v>254.34</v>
      </c>
      <c r="E1311" s="78" t="s">
        <v>850</v>
      </c>
      <c r="F1311" s="160">
        <v>66.717469387755102</v>
      </c>
      <c r="G1311" s="76" t="s">
        <v>40</v>
      </c>
      <c r="H1311" s="76">
        <f t="shared" si="27"/>
        <v>-0.69546938775509659</v>
      </c>
      <c r="I1311" s="78">
        <v>-0.52061111111111136</v>
      </c>
      <c r="J1311" s="161">
        <v>11.720660313076223</v>
      </c>
      <c r="K1311" s="79">
        <f t="shared" si="28"/>
        <v>0.45800035452748489</v>
      </c>
    </row>
    <row r="1312" spans="2:11" x14ac:dyDescent="0.35">
      <c r="B1312" s="149" t="s">
        <v>848</v>
      </c>
      <c r="C1312" s="6" t="s">
        <v>849</v>
      </c>
      <c r="D1312" s="78">
        <v>254.41000000000003</v>
      </c>
      <c r="E1312" s="78" t="s">
        <v>850</v>
      </c>
      <c r="F1312" s="160">
        <v>66.724755102040803</v>
      </c>
      <c r="G1312" s="76" t="s">
        <v>40</v>
      </c>
      <c r="H1312" s="76">
        <f t="shared" si="27"/>
        <v>-0.70275510204079694</v>
      </c>
      <c r="I1312" s="78">
        <v>-0.17807381139421441</v>
      </c>
      <c r="J1312" s="161">
        <v>10.18669887102925</v>
      </c>
      <c r="K1312" s="79">
        <f t="shared" si="28"/>
        <v>-1.075961087519488</v>
      </c>
    </row>
    <row r="1313" spans="2:11" x14ac:dyDescent="0.35">
      <c r="B1313" s="149" t="s">
        <v>848</v>
      </c>
      <c r="C1313" s="6" t="s">
        <v>849</v>
      </c>
      <c r="D1313" s="78">
        <v>254.44</v>
      </c>
      <c r="E1313" s="78" t="s">
        <v>850</v>
      </c>
      <c r="F1313" s="160">
        <v>66.727877551020399</v>
      </c>
      <c r="G1313" s="76" t="s">
        <v>40</v>
      </c>
      <c r="H1313" s="76">
        <f t="shared" si="27"/>
        <v>-0.70587755102039296</v>
      </c>
      <c r="I1313" s="78">
        <v>-0.40962365621670227</v>
      </c>
      <c r="J1313" s="161">
        <v>11.221759285828512</v>
      </c>
      <c r="K1313" s="79">
        <f t="shared" si="28"/>
        <v>-4.0900672720226794E-2</v>
      </c>
    </row>
    <row r="1314" spans="2:11" x14ac:dyDescent="0.35">
      <c r="B1314" s="149" t="s">
        <v>848</v>
      </c>
      <c r="C1314" s="6" t="s">
        <v>849</v>
      </c>
      <c r="D1314" s="78">
        <v>254.51000000000002</v>
      </c>
      <c r="E1314" s="78" t="s">
        <v>850</v>
      </c>
      <c r="F1314" s="160">
        <v>66.735163265306099</v>
      </c>
      <c r="G1314" s="76" t="s">
        <v>40</v>
      </c>
      <c r="H1314" s="76">
        <f t="shared" si="27"/>
        <v>-0.71316326530609331</v>
      </c>
      <c r="I1314" s="78">
        <v>-0.49438888888888888</v>
      </c>
      <c r="J1314" s="161">
        <v>11.602625616829016</v>
      </c>
      <c r="K1314" s="79">
        <f t="shared" si="28"/>
        <v>0.33996565828027769</v>
      </c>
    </row>
    <row r="1315" spans="2:11" x14ac:dyDescent="0.35">
      <c r="B1315" s="149" t="s">
        <v>848</v>
      </c>
      <c r="C1315" s="6" t="s">
        <v>849</v>
      </c>
      <c r="D1315" s="78">
        <v>254.54</v>
      </c>
      <c r="E1315" s="78" t="s">
        <v>850</v>
      </c>
      <c r="F1315" s="160">
        <v>66.738285714285695</v>
      </c>
      <c r="G1315" s="76" t="s">
        <v>40</v>
      </c>
      <c r="H1315" s="76">
        <f t="shared" si="27"/>
        <v>-0.71628571428568932</v>
      </c>
      <c r="I1315" s="78">
        <v>-0.441</v>
      </c>
      <c r="J1315" s="161">
        <v>11.362616583592285</v>
      </c>
      <c r="K1315" s="79">
        <f t="shared" si="28"/>
        <v>9.995662504354641E-2</v>
      </c>
    </row>
    <row r="1316" spans="2:11" x14ac:dyDescent="0.35">
      <c r="B1316" s="149" t="s">
        <v>848</v>
      </c>
      <c r="C1316" s="6" t="s">
        <v>849</v>
      </c>
      <c r="D1316" s="78">
        <v>254.61</v>
      </c>
      <c r="E1316" s="78" t="s">
        <v>850</v>
      </c>
      <c r="F1316" s="160">
        <v>66.745571428571395</v>
      </c>
      <c r="G1316" s="76" t="s">
        <v>40</v>
      </c>
      <c r="H1316" s="76">
        <f t="shared" si="27"/>
        <v>-0.72357142857138967</v>
      </c>
      <c r="I1316" s="78">
        <v>-0.25759878738013658</v>
      </c>
      <c r="J1316" s="161">
        <v>10.541309130759601</v>
      </c>
      <c r="K1316" s="79">
        <f t="shared" si="28"/>
        <v>-0.72135082778913784</v>
      </c>
    </row>
    <row r="1317" spans="2:11" x14ac:dyDescent="0.35">
      <c r="B1317" s="149" t="s">
        <v>848</v>
      </c>
      <c r="C1317" s="6" t="s">
        <v>849</v>
      </c>
      <c r="D1317" s="78">
        <v>254.64</v>
      </c>
      <c r="E1317" s="78" t="s">
        <v>850</v>
      </c>
      <c r="F1317" s="160">
        <v>66.748693877551005</v>
      </c>
      <c r="G1317" s="76" t="s">
        <v>40</v>
      </c>
      <c r="H1317" s="76">
        <f t="shared" si="27"/>
        <v>-0.7266938775509999</v>
      </c>
      <c r="I1317" s="78">
        <v>-0.42984186737483143</v>
      </c>
      <c r="J1317" s="161">
        <v>11.312508072427306</v>
      </c>
      <c r="K1317" s="79">
        <f t="shared" si="28"/>
        <v>4.9848113878567801E-2</v>
      </c>
    </row>
    <row r="1318" spans="2:11" x14ac:dyDescent="0.35">
      <c r="B1318" s="149" t="s">
        <v>848</v>
      </c>
      <c r="C1318" s="6" t="s">
        <v>849</v>
      </c>
      <c r="D1318" s="78">
        <v>254.73999999999998</v>
      </c>
      <c r="E1318" s="78" t="s">
        <v>850</v>
      </c>
      <c r="F1318" s="160">
        <v>66.759102040816302</v>
      </c>
      <c r="G1318" s="76" t="s">
        <v>40</v>
      </c>
      <c r="H1318" s="76">
        <f t="shared" si="27"/>
        <v>-0.73710204081629627</v>
      </c>
      <c r="I1318" s="78">
        <v>-0.66461111111111126</v>
      </c>
      <c r="J1318" s="161">
        <v>12.370654485350087</v>
      </c>
      <c r="K1318" s="79">
        <f t="shared" si="28"/>
        <v>1.1079945268013489</v>
      </c>
    </row>
    <row r="1319" spans="2:11" x14ac:dyDescent="0.35">
      <c r="B1319" s="149" t="s">
        <v>848</v>
      </c>
      <c r="C1319" s="6" t="s">
        <v>849</v>
      </c>
      <c r="D1319" s="78">
        <v>254.84</v>
      </c>
      <c r="E1319" s="78" t="s">
        <v>850</v>
      </c>
      <c r="F1319" s="160">
        <v>66.769510204081598</v>
      </c>
      <c r="G1319" s="76" t="s">
        <v>40</v>
      </c>
      <c r="H1319" s="76">
        <f t="shared" si="27"/>
        <v>-0.74751020408159263</v>
      </c>
      <c r="I1319" s="78">
        <v>-0.37619908166676552</v>
      </c>
      <c r="J1319" s="161">
        <v>11.071865101264279</v>
      </c>
      <c r="K1319" s="79">
        <f t="shared" si="28"/>
        <v>-0.19079485728445889</v>
      </c>
    </row>
    <row r="1320" spans="2:11" x14ac:dyDescent="0.35">
      <c r="B1320" s="149" t="s">
        <v>848</v>
      </c>
      <c r="C1320" s="6" t="s">
        <v>849</v>
      </c>
      <c r="D1320" s="78">
        <v>254.94</v>
      </c>
      <c r="E1320" s="78" t="s">
        <v>850</v>
      </c>
      <c r="F1320" s="160">
        <v>66.779918367346895</v>
      </c>
      <c r="G1320" s="76" t="s">
        <v>40</v>
      </c>
      <c r="H1320" s="76">
        <f t="shared" si="27"/>
        <v>-0.757918367346889</v>
      </c>
      <c r="I1320" s="78">
        <v>-0.53774999999999995</v>
      </c>
      <c r="J1320" s="161">
        <v>11.797862560540466</v>
      </c>
      <c r="K1320" s="79">
        <f t="shared" si="28"/>
        <v>0.53520260199172753</v>
      </c>
    </row>
    <row r="1321" spans="2:11" x14ac:dyDescent="0.35">
      <c r="B1321" s="149" t="s">
        <v>848</v>
      </c>
      <c r="C1321" s="6" t="s">
        <v>849</v>
      </c>
      <c r="D1321" s="78">
        <v>255.04</v>
      </c>
      <c r="E1321" s="78" t="s">
        <v>850</v>
      </c>
      <c r="F1321" s="160">
        <v>66.789726737338</v>
      </c>
      <c r="G1321" s="76" t="s">
        <v>40</v>
      </c>
      <c r="H1321" s="76">
        <f t="shared" si="27"/>
        <v>-0.76772673733799479</v>
      </c>
      <c r="I1321" s="78">
        <v>-0.34941687196107041</v>
      </c>
      <c r="J1321" s="161">
        <v>10.951876535834003</v>
      </c>
      <c r="K1321" s="79">
        <f t="shared" si="28"/>
        <v>-0.31078342271473502</v>
      </c>
    </row>
    <row r="1322" spans="2:11" x14ac:dyDescent="0.35">
      <c r="B1322" s="149" t="s">
        <v>848</v>
      </c>
      <c r="C1322" s="6" t="s">
        <v>849</v>
      </c>
      <c r="D1322" s="78">
        <v>255.13</v>
      </c>
      <c r="E1322" s="78" t="s">
        <v>850</v>
      </c>
      <c r="F1322" s="160">
        <v>66.798419316843294</v>
      </c>
      <c r="G1322" s="76" t="s">
        <v>40</v>
      </c>
      <c r="H1322" s="76">
        <f t="shared" si="27"/>
        <v>-0.77641931684328824</v>
      </c>
      <c r="I1322" s="78">
        <v>-0.50649999999999995</v>
      </c>
      <c r="J1322" s="161">
        <v>11.657129098998951</v>
      </c>
      <c r="K1322" s="79">
        <f t="shared" si="28"/>
        <v>0.39446914045021231</v>
      </c>
    </row>
    <row r="1323" spans="2:11" x14ac:dyDescent="0.35">
      <c r="B1323" s="149" t="s">
        <v>848</v>
      </c>
      <c r="C1323" s="6" t="s">
        <v>849</v>
      </c>
      <c r="D1323" s="78">
        <v>255.23999999999998</v>
      </c>
      <c r="E1323" s="78" t="s">
        <v>850</v>
      </c>
      <c r="F1323" s="160">
        <v>66.809043580683195</v>
      </c>
      <c r="G1323" s="76" t="s">
        <v>40</v>
      </c>
      <c r="H1323" s="76">
        <f t="shared" si="27"/>
        <v>-0.78704358068318925</v>
      </c>
      <c r="I1323" s="78">
        <v>-0.42989222566622365</v>
      </c>
      <c r="J1323" s="161">
        <v>11.312734178592564</v>
      </c>
      <c r="K1323" s="79">
        <f t="shared" si="28"/>
        <v>5.0074220043825335E-2</v>
      </c>
    </row>
    <row r="1324" spans="2:11" x14ac:dyDescent="0.35">
      <c r="B1324" s="149" t="s">
        <v>848</v>
      </c>
      <c r="C1324" s="6" t="s">
        <v>849</v>
      </c>
      <c r="D1324" s="78">
        <v>255.34</v>
      </c>
      <c r="E1324" s="78" t="s">
        <v>850</v>
      </c>
      <c r="F1324" s="160">
        <v>66.818702002355707</v>
      </c>
      <c r="G1324" s="76" t="s">
        <v>40</v>
      </c>
      <c r="H1324" s="76">
        <f t="shared" si="27"/>
        <v>-0.79670200235570121</v>
      </c>
      <c r="I1324" s="78">
        <v>-0.21403270312333597</v>
      </c>
      <c r="J1324" s="161">
        <v>10.346930008069307</v>
      </c>
      <c r="K1324" s="79">
        <f t="shared" si="28"/>
        <v>-0.91572995047943095</v>
      </c>
    </row>
    <row r="1325" spans="2:11" x14ac:dyDescent="0.35">
      <c r="B1325" s="149" t="s">
        <v>848</v>
      </c>
      <c r="C1325" s="6" t="s">
        <v>849</v>
      </c>
      <c r="D1325" s="78">
        <v>255.54</v>
      </c>
      <c r="E1325" s="78" t="s">
        <v>850</v>
      </c>
      <c r="F1325" s="160">
        <v>66.838018845700802</v>
      </c>
      <c r="G1325" s="76" t="s">
        <v>40</v>
      </c>
      <c r="H1325" s="76">
        <f t="shared" si="27"/>
        <v>-0.81601884570079619</v>
      </c>
      <c r="I1325" s="78">
        <v>-0.28868009682566498</v>
      </c>
      <c r="J1325" s="161">
        <v>10.680153023826733</v>
      </c>
      <c r="K1325" s="79">
        <f t="shared" si="28"/>
        <v>-0.5825069347220051</v>
      </c>
    </row>
    <row r="1326" spans="2:11" x14ac:dyDescent="0.35">
      <c r="B1326" s="149" t="s">
        <v>848</v>
      </c>
      <c r="C1326" s="6" t="s">
        <v>849</v>
      </c>
      <c r="D1326" s="78">
        <v>255.64</v>
      </c>
      <c r="E1326" s="78" t="s">
        <v>850</v>
      </c>
      <c r="F1326" s="160">
        <v>66.847677267373399</v>
      </c>
      <c r="G1326" s="76" t="s">
        <v>40</v>
      </c>
      <c r="H1326" s="76">
        <f t="shared" si="27"/>
        <v>-0.82567726737339342</v>
      </c>
      <c r="I1326" s="78">
        <v>-0.39625000000000005</v>
      </c>
      <c r="J1326" s="161">
        <v>11.161764880506382</v>
      </c>
      <c r="K1326" s="79">
        <f t="shared" si="28"/>
        <v>-0.10089507804235609</v>
      </c>
    </row>
    <row r="1327" spans="2:11" x14ac:dyDescent="0.35">
      <c r="B1327" s="149" t="s">
        <v>848</v>
      </c>
      <c r="C1327" s="6" t="s">
        <v>849</v>
      </c>
      <c r="D1327" s="78">
        <v>255.73999999999998</v>
      </c>
      <c r="E1327" s="78" t="s">
        <v>850</v>
      </c>
      <c r="F1327" s="160">
        <v>66.857335689045897</v>
      </c>
      <c r="G1327" s="76" t="s">
        <v>40</v>
      </c>
      <c r="H1327" s="76">
        <f t="shared" si="27"/>
        <v>-0.83533568904589117</v>
      </c>
      <c r="I1327" s="78">
        <v>-0.34068684109088232</v>
      </c>
      <c r="J1327" s="161">
        <v>10.912787192119822</v>
      </c>
      <c r="K1327" s="79">
        <f t="shared" si="28"/>
        <v>-0.34987276642891629</v>
      </c>
    </row>
    <row r="1328" spans="2:11" x14ac:dyDescent="0.35">
      <c r="B1328" s="149" t="s">
        <v>848</v>
      </c>
      <c r="C1328" s="6" t="s">
        <v>849</v>
      </c>
      <c r="D1328" s="78">
        <v>255.94</v>
      </c>
      <c r="E1328" s="78" t="s">
        <v>850</v>
      </c>
      <c r="F1328" s="160">
        <v>66.876652532391006</v>
      </c>
      <c r="G1328" s="76" t="s">
        <v>40</v>
      </c>
      <c r="H1328" s="76">
        <f t="shared" si="27"/>
        <v>-0.85465253239100036</v>
      </c>
      <c r="I1328" s="78">
        <v>-0.31996494370645734</v>
      </c>
      <c r="J1328" s="161">
        <v>10.820047819622857</v>
      </c>
      <c r="K1328" s="79">
        <f t="shared" si="28"/>
        <v>-0.44261213892588103</v>
      </c>
    </row>
    <row r="1329" spans="2:11" x14ac:dyDescent="0.35">
      <c r="B1329" s="149" t="s">
        <v>848</v>
      </c>
      <c r="C1329" s="6" t="s">
        <v>849</v>
      </c>
      <c r="D1329" s="78">
        <v>256.04000000000002</v>
      </c>
      <c r="E1329" s="78" t="s">
        <v>850</v>
      </c>
      <c r="F1329" s="160">
        <v>66.886310954063603</v>
      </c>
      <c r="G1329" s="76" t="s">
        <v>40</v>
      </c>
      <c r="H1329" s="76">
        <f t="shared" si="27"/>
        <v>-0.86431095406359759</v>
      </c>
      <c r="I1329" s="78">
        <v>-0.47000000000000003</v>
      </c>
      <c r="J1329" s="161">
        <v>11.492933883865135</v>
      </c>
      <c r="K1329" s="79">
        <f t="shared" si="28"/>
        <v>0.23027392531639634</v>
      </c>
    </row>
    <row r="1330" spans="2:11" x14ac:dyDescent="0.35">
      <c r="B1330" s="149" t="s">
        <v>848</v>
      </c>
      <c r="C1330" s="6" t="s">
        <v>849</v>
      </c>
      <c r="D1330" s="78">
        <v>256.14</v>
      </c>
      <c r="E1330" s="78" t="s">
        <v>850</v>
      </c>
      <c r="F1330" s="160">
        <v>66.8959693757362</v>
      </c>
      <c r="G1330" s="76" t="s">
        <v>40</v>
      </c>
      <c r="H1330" s="76">
        <f t="shared" si="27"/>
        <v>-0.87396937573619482</v>
      </c>
      <c r="I1330" s="78">
        <v>-0.28814230025747101</v>
      </c>
      <c r="J1330" s="161">
        <v>10.677749430674055</v>
      </c>
      <c r="K1330" s="79">
        <f t="shared" si="28"/>
        <v>-0.58491052787468334</v>
      </c>
    </row>
    <row r="1331" spans="2:11" x14ac:dyDescent="0.35">
      <c r="B1331" s="149" t="s">
        <v>848</v>
      </c>
      <c r="C1331" s="6" t="s">
        <v>849</v>
      </c>
      <c r="D1331" s="78">
        <v>256.34000000000003</v>
      </c>
      <c r="E1331" s="78" t="s">
        <v>850</v>
      </c>
      <c r="F1331" s="160">
        <v>66.915286219081295</v>
      </c>
      <c r="G1331" s="76" t="s">
        <v>40</v>
      </c>
      <c r="H1331" s="76">
        <f t="shared" si="27"/>
        <v>-0.8932862190812898</v>
      </c>
      <c r="I1331" s="78">
        <v>-0.23343569488019525</v>
      </c>
      <c r="J1331" s="161">
        <v>10.433466526230461</v>
      </c>
      <c r="K1331" s="79">
        <f t="shared" si="28"/>
        <v>-0.82919343231827725</v>
      </c>
    </row>
    <row r="1332" spans="2:11" x14ac:dyDescent="0.35">
      <c r="B1332" s="149" t="s">
        <v>848</v>
      </c>
      <c r="C1332" s="6" t="s">
        <v>849</v>
      </c>
      <c r="D1332" s="78">
        <v>256.44</v>
      </c>
      <c r="E1332" s="78" t="s">
        <v>850</v>
      </c>
      <c r="F1332" s="160">
        <v>66.924944640753793</v>
      </c>
      <c r="G1332" s="76" t="s">
        <v>40</v>
      </c>
      <c r="H1332" s="76">
        <f t="shared" si="27"/>
        <v>-0.90294464075378755</v>
      </c>
      <c r="I1332" s="78">
        <v>-0.308</v>
      </c>
      <c r="J1332" s="161">
        <v>10.766528014276673</v>
      </c>
      <c r="K1332" s="79">
        <f t="shared" si="28"/>
        <v>-0.49613194427206508</v>
      </c>
    </row>
    <row r="1333" spans="2:11" x14ac:dyDescent="0.35">
      <c r="B1333" s="149" t="s">
        <v>848</v>
      </c>
      <c r="C1333" s="6" t="s">
        <v>849</v>
      </c>
      <c r="D1333" s="78">
        <v>256.54000000000002</v>
      </c>
      <c r="E1333" s="78" t="s">
        <v>850</v>
      </c>
      <c r="F1333" s="160">
        <v>66.934603062426405</v>
      </c>
      <c r="G1333" s="76" t="s">
        <v>40</v>
      </c>
      <c r="H1333" s="76">
        <f t="shared" si="27"/>
        <v>-0.91260306242639899</v>
      </c>
      <c r="I1333" s="78">
        <v>-0.29981149649237504</v>
      </c>
      <c r="J1333" s="161">
        <v>10.729912414257115</v>
      </c>
      <c r="K1333" s="79">
        <f t="shared" si="28"/>
        <v>-0.53274754429162385</v>
      </c>
    </row>
    <row r="1334" spans="2:11" x14ac:dyDescent="0.35">
      <c r="B1334" s="149" t="s">
        <v>848</v>
      </c>
      <c r="C1334" s="6" t="s">
        <v>849</v>
      </c>
      <c r="D1334" s="78">
        <v>256.74</v>
      </c>
      <c r="E1334" s="78" t="s">
        <v>850</v>
      </c>
      <c r="F1334" s="160">
        <v>66.9539199057715</v>
      </c>
      <c r="G1334" s="76" t="s">
        <v>40</v>
      </c>
      <c r="H1334" s="76">
        <f t="shared" si="27"/>
        <v>-0.93191990577149397</v>
      </c>
      <c r="I1334" s="78">
        <v>-0.34731476306616443</v>
      </c>
      <c r="J1334" s="161">
        <v>10.942463176928811</v>
      </c>
      <c r="K1334" s="79">
        <f t="shared" si="28"/>
        <v>-0.32019678161992715</v>
      </c>
    </row>
    <row r="1335" spans="2:11" x14ac:dyDescent="0.35">
      <c r="B1335" s="149" t="s">
        <v>848</v>
      </c>
      <c r="C1335" s="6" t="s">
        <v>849</v>
      </c>
      <c r="D1335" s="78">
        <v>256.84000000000003</v>
      </c>
      <c r="E1335" s="78" t="s">
        <v>850</v>
      </c>
      <c r="F1335" s="160">
        <v>66.963578327444097</v>
      </c>
      <c r="G1335" s="76" t="s">
        <v>40</v>
      </c>
      <c r="H1335" s="76">
        <f t="shared" si="27"/>
        <v>-0.9415783274440912</v>
      </c>
      <c r="I1335" s="78">
        <v>-0.41097852367597532</v>
      </c>
      <c r="J1335" s="161">
        <v>11.227838697144591</v>
      </c>
      <c r="K1335" s="79">
        <f t="shared" si="28"/>
        <v>-3.4821261404147208E-2</v>
      </c>
    </row>
    <row r="1336" spans="2:11" x14ac:dyDescent="0.35">
      <c r="B1336" s="149" t="s">
        <v>848</v>
      </c>
      <c r="C1336" s="6" t="s">
        <v>849</v>
      </c>
      <c r="D1336" s="78">
        <v>256.94</v>
      </c>
      <c r="E1336" s="78" t="s">
        <v>850</v>
      </c>
      <c r="F1336" s="160">
        <v>66.973236749116595</v>
      </c>
      <c r="G1336" s="76" t="s">
        <v>40</v>
      </c>
      <c r="H1336" s="76">
        <f t="shared" si="27"/>
        <v>-0.95123674911658895</v>
      </c>
      <c r="I1336" s="78">
        <v>-0.56962500000000027</v>
      </c>
      <c r="J1336" s="161">
        <v>11.941558586881513</v>
      </c>
      <c r="K1336" s="79">
        <f t="shared" si="28"/>
        <v>0.67889862833277448</v>
      </c>
    </row>
    <row r="1337" spans="2:11" x14ac:dyDescent="0.35">
      <c r="B1337" s="149" t="s">
        <v>848</v>
      </c>
      <c r="C1337" s="6" t="s">
        <v>849</v>
      </c>
      <c r="D1337" s="78">
        <v>257.04000000000002</v>
      </c>
      <c r="E1337" s="78" t="s">
        <v>850</v>
      </c>
      <c r="F1337" s="160">
        <v>66.982895170789206</v>
      </c>
      <c r="G1337" s="76" t="s">
        <v>40</v>
      </c>
      <c r="H1337" s="76">
        <f t="shared" si="27"/>
        <v>-0.96089517078920039</v>
      </c>
      <c r="I1337" s="78">
        <v>-0.48130130303141455</v>
      </c>
      <c r="J1337" s="161">
        <v>11.543751906005582</v>
      </c>
      <c r="K1337" s="79">
        <f t="shared" si="28"/>
        <v>0.28109194745684363</v>
      </c>
    </row>
    <row r="1338" spans="2:11" x14ac:dyDescent="0.35">
      <c r="B1338" s="149" t="s">
        <v>848</v>
      </c>
      <c r="C1338" s="6" t="s">
        <v>849</v>
      </c>
      <c r="D1338" s="78">
        <v>257.24</v>
      </c>
      <c r="E1338" s="78" t="s">
        <v>850</v>
      </c>
      <c r="F1338" s="160">
        <v>67.002212014134301</v>
      </c>
      <c r="G1338" s="76" t="s">
        <v>40</v>
      </c>
      <c r="H1338" s="76">
        <f t="shared" si="27"/>
        <v>-0.98021201413429537</v>
      </c>
      <c r="I1338" s="78">
        <v>-0.41717819065796224</v>
      </c>
      <c r="J1338" s="161">
        <v>11.25566057819151</v>
      </c>
      <c r="K1338" s="79">
        <f t="shared" si="28"/>
        <v>-6.9993803572288016E-3</v>
      </c>
    </row>
    <row r="1339" spans="2:11" x14ac:dyDescent="0.35">
      <c r="B1339" s="149" t="s">
        <v>848</v>
      </c>
      <c r="C1339" s="6" t="s">
        <v>849</v>
      </c>
      <c r="D1339" s="78">
        <v>257.34000000000003</v>
      </c>
      <c r="E1339" s="78" t="s">
        <v>850</v>
      </c>
      <c r="F1339" s="160">
        <v>67.011870435806799</v>
      </c>
      <c r="G1339" s="76" t="s">
        <v>40</v>
      </c>
      <c r="H1339" s="76">
        <f t="shared" si="27"/>
        <v>-0.98987043580679313</v>
      </c>
      <c r="I1339" s="78">
        <v>-0.43962500000000032</v>
      </c>
      <c r="J1339" s="161">
        <v>11.35644080281611</v>
      </c>
      <c r="K1339" s="79">
        <f t="shared" si="28"/>
        <v>9.3780844267371322E-2</v>
      </c>
    </row>
    <row r="1340" spans="2:11" x14ac:dyDescent="0.35">
      <c r="B1340" s="149" t="s">
        <v>848</v>
      </c>
      <c r="C1340" s="6" t="s">
        <v>849</v>
      </c>
      <c r="D1340" s="78">
        <v>257.44</v>
      </c>
      <c r="E1340" s="78" t="s">
        <v>850</v>
      </c>
      <c r="F1340" s="160">
        <v>67.021528857479396</v>
      </c>
      <c r="G1340" s="76" t="s">
        <v>40</v>
      </c>
      <c r="H1340" s="76">
        <f t="shared" si="27"/>
        <v>-0.99952885747939035</v>
      </c>
      <c r="I1340" s="78">
        <v>-0.43690609470391106</v>
      </c>
      <c r="J1340" s="161">
        <v>11.344229716623033</v>
      </c>
      <c r="K1340" s="79">
        <f t="shared" si="28"/>
        <v>8.1569758074294896E-2</v>
      </c>
    </row>
    <row r="1341" spans="2:11" x14ac:dyDescent="0.35">
      <c r="B1341" s="149" t="s">
        <v>848</v>
      </c>
      <c r="C1341" s="6" t="s">
        <v>849</v>
      </c>
      <c r="D1341" s="78">
        <v>257.64</v>
      </c>
      <c r="E1341" s="78" t="s">
        <v>850</v>
      </c>
      <c r="F1341" s="160">
        <v>67.040845700824505</v>
      </c>
      <c r="G1341" s="76" t="s">
        <v>40</v>
      </c>
      <c r="H1341" s="76">
        <f t="shared" si="27"/>
        <v>-1.0188457008244995</v>
      </c>
      <c r="I1341" s="78">
        <v>-0.34506285028780564</v>
      </c>
      <c r="J1341" s="161">
        <v>10.932379702016704</v>
      </c>
      <c r="K1341" s="79">
        <f t="shared" si="28"/>
        <v>-0.33028025653203485</v>
      </c>
    </row>
    <row r="1342" spans="2:11" x14ac:dyDescent="0.35">
      <c r="B1342" s="149" t="s">
        <v>848</v>
      </c>
      <c r="C1342" s="6" t="s">
        <v>849</v>
      </c>
      <c r="D1342" s="78">
        <v>257.74</v>
      </c>
      <c r="E1342" s="78" t="s">
        <v>850</v>
      </c>
      <c r="F1342" s="160">
        <v>67.050504122497003</v>
      </c>
      <c r="G1342" s="76" t="s">
        <v>40</v>
      </c>
      <c r="H1342" s="76">
        <f t="shared" si="27"/>
        <v>-1.0285041224969973</v>
      </c>
      <c r="I1342" s="78">
        <v>-0.42162500000000031</v>
      </c>
      <c r="J1342" s="161">
        <v>11.275619722291424</v>
      </c>
      <c r="K1342" s="79">
        <f t="shared" si="28"/>
        <v>1.2959763742685482E-2</v>
      </c>
    </row>
    <row r="1343" spans="2:11" x14ac:dyDescent="0.35">
      <c r="B1343" s="149" t="s">
        <v>848</v>
      </c>
      <c r="C1343" s="6" t="s">
        <v>849</v>
      </c>
      <c r="D1343" s="78">
        <v>257.84000000000003</v>
      </c>
      <c r="E1343" s="78" t="s">
        <v>850</v>
      </c>
      <c r="F1343" s="160">
        <v>67.0601625441696</v>
      </c>
      <c r="G1343" s="76" t="s">
        <v>40</v>
      </c>
      <c r="H1343" s="76">
        <f t="shared" si="27"/>
        <v>-1.0381625441695945</v>
      </c>
      <c r="I1343" s="78">
        <v>-0.19486959008813456</v>
      </c>
      <c r="J1343" s="161">
        <v>10.26151680858095</v>
      </c>
      <c r="K1343" s="79">
        <f t="shared" si="28"/>
        <v>-1.0011431499677883</v>
      </c>
    </row>
    <row r="1344" spans="2:11" x14ac:dyDescent="0.35">
      <c r="B1344" s="149" t="s">
        <v>848</v>
      </c>
      <c r="C1344" s="6" t="s">
        <v>849</v>
      </c>
      <c r="D1344" s="78">
        <v>258.04000000000002</v>
      </c>
      <c r="E1344" s="78" t="s">
        <v>850</v>
      </c>
      <c r="F1344" s="160">
        <v>67.079479387514695</v>
      </c>
      <c r="G1344" s="76" t="s">
        <v>40</v>
      </c>
      <c r="H1344" s="76">
        <f t="shared" si="27"/>
        <v>-1.0574793875146895</v>
      </c>
      <c r="I1344" s="78">
        <v>-0.2669092547234394</v>
      </c>
      <c r="J1344" s="161">
        <v>10.582885386080079</v>
      </c>
      <c r="K1344" s="79">
        <f t="shared" si="28"/>
        <v>-0.67977457246865924</v>
      </c>
    </row>
    <row r="1345" spans="2:11" x14ac:dyDescent="0.35">
      <c r="B1345" s="149" t="s">
        <v>848</v>
      </c>
      <c r="C1345" s="6" t="s">
        <v>849</v>
      </c>
      <c r="D1345" s="78">
        <v>258.13</v>
      </c>
      <c r="E1345" s="78" t="s">
        <v>850</v>
      </c>
      <c r="F1345" s="160">
        <v>67.088171967020003</v>
      </c>
      <c r="G1345" s="76" t="s">
        <v>40</v>
      </c>
      <c r="H1345" s="76">
        <f t="shared" si="27"/>
        <v>-1.0661719670199972</v>
      </c>
      <c r="I1345" s="78">
        <v>-0.50837500000000035</v>
      </c>
      <c r="J1345" s="161">
        <v>11.665569062343081</v>
      </c>
      <c r="K1345" s="79">
        <f t="shared" si="28"/>
        <v>0.40290910379434308</v>
      </c>
    </row>
    <row r="1346" spans="2:11" x14ac:dyDescent="0.35">
      <c r="B1346" s="149" t="s">
        <v>848</v>
      </c>
      <c r="C1346" s="6" t="s">
        <v>849</v>
      </c>
      <c r="D1346" s="78">
        <v>258.24</v>
      </c>
      <c r="E1346" s="78" t="s">
        <v>850</v>
      </c>
      <c r="F1346" s="160">
        <v>67.098796230859804</v>
      </c>
      <c r="G1346" s="76" t="s">
        <v>40</v>
      </c>
      <c r="H1346" s="76">
        <f t="shared" si="27"/>
        <v>-1.0767962308597987</v>
      </c>
      <c r="I1346" s="78">
        <v>-0.27052253202030696</v>
      </c>
      <c r="J1346" s="161">
        <v>10.599024003784621</v>
      </c>
      <c r="K1346" s="79">
        <f t="shared" si="28"/>
        <v>-0.66363595476411774</v>
      </c>
    </row>
    <row r="1347" spans="2:11" x14ac:dyDescent="0.35">
      <c r="B1347" s="149" t="s">
        <v>848</v>
      </c>
      <c r="C1347" s="6" t="s">
        <v>849</v>
      </c>
      <c r="D1347" s="78">
        <v>258.44</v>
      </c>
      <c r="E1347" s="78" t="s">
        <v>850</v>
      </c>
      <c r="F1347" s="160">
        <v>67.118113074204899</v>
      </c>
      <c r="G1347" s="76" t="s">
        <v>40</v>
      </c>
      <c r="H1347" s="76">
        <f t="shared" si="27"/>
        <v>-1.0961130742048937</v>
      </c>
      <c r="I1347" s="78">
        <v>-0.3141453449935665</v>
      </c>
      <c r="J1347" s="161">
        <v>10.794013856735717</v>
      </c>
      <c r="K1347" s="79">
        <f t="shared" si="28"/>
        <v>-0.46864610181302169</v>
      </c>
    </row>
    <row r="1348" spans="2:11" x14ac:dyDescent="0.35">
      <c r="B1348" s="149" t="s">
        <v>848</v>
      </c>
      <c r="C1348" s="6" t="s">
        <v>849</v>
      </c>
      <c r="D1348" s="78">
        <v>258.54000000000002</v>
      </c>
      <c r="E1348" s="78" t="s">
        <v>850</v>
      </c>
      <c r="F1348" s="160">
        <v>67.127771495877496</v>
      </c>
      <c r="G1348" s="76" t="s">
        <v>40</v>
      </c>
      <c r="H1348" s="76">
        <f t="shared" si="27"/>
        <v>-1.1057714958774909</v>
      </c>
      <c r="I1348" s="78">
        <v>-0.42537500000000034</v>
      </c>
      <c r="J1348" s="161">
        <v>11.292453540499764</v>
      </c>
      <c r="K1348" s="79">
        <f t="shared" si="28"/>
        <v>2.9793581951025772E-2</v>
      </c>
    </row>
    <row r="1349" spans="2:11" x14ac:dyDescent="0.35">
      <c r="B1349" s="149" t="s">
        <v>848</v>
      </c>
      <c r="C1349" s="6" t="s">
        <v>849</v>
      </c>
      <c r="D1349" s="78">
        <v>258.64</v>
      </c>
      <c r="E1349" s="78" t="s">
        <v>850</v>
      </c>
      <c r="F1349" s="160">
        <v>67.137429917550094</v>
      </c>
      <c r="G1349" s="76" t="s">
        <v>40</v>
      </c>
      <c r="H1349" s="76">
        <f t="shared" si="27"/>
        <v>-1.1154299175500881</v>
      </c>
      <c r="I1349" s="78">
        <v>-0.24224019183174766</v>
      </c>
      <c r="J1349" s="161">
        <v>10.472752190300241</v>
      </c>
      <c r="K1349" s="79">
        <f t="shared" si="28"/>
        <v>-0.78990776824849718</v>
      </c>
    </row>
    <row r="1350" spans="2:11" x14ac:dyDescent="0.35">
      <c r="B1350" s="149" t="s">
        <v>848</v>
      </c>
      <c r="C1350" s="6" t="s">
        <v>849</v>
      </c>
      <c r="D1350" s="78">
        <v>258.84000000000003</v>
      </c>
      <c r="E1350" s="78" t="s">
        <v>850</v>
      </c>
      <c r="F1350" s="160">
        <v>67.156746760895203</v>
      </c>
      <c r="G1350" s="76" t="s">
        <v>40</v>
      </c>
      <c r="H1350" s="76">
        <f t="shared" si="27"/>
        <v>-1.1347467608951973</v>
      </c>
      <c r="I1350" s="78">
        <v>-0.15248464110964721</v>
      </c>
      <c r="J1350" s="161">
        <v>10.072788494487042</v>
      </c>
      <c r="K1350" s="79">
        <f t="shared" si="28"/>
        <v>-1.1898714640616959</v>
      </c>
    </row>
    <row r="1351" spans="2:11" x14ac:dyDescent="0.35">
      <c r="B1351" s="149" t="s">
        <v>848</v>
      </c>
      <c r="C1351" s="6" t="s">
        <v>849</v>
      </c>
      <c r="D1351" s="78">
        <v>258.94</v>
      </c>
      <c r="E1351" s="78" t="s">
        <v>850</v>
      </c>
      <c r="F1351" s="160">
        <v>67.166405182567701</v>
      </c>
      <c r="G1351" s="76" t="s">
        <v>40</v>
      </c>
      <c r="H1351" s="76">
        <f t="shared" si="27"/>
        <v>-1.1444051825676951</v>
      </c>
      <c r="I1351" s="78">
        <v>-0.37112500000000037</v>
      </c>
      <c r="J1351" s="161">
        <v>11.049124378882198</v>
      </c>
      <c r="K1351" s="79">
        <f t="shared" si="28"/>
        <v>-0.2135355796665408</v>
      </c>
    </row>
    <row r="1352" spans="2:11" x14ac:dyDescent="0.35">
      <c r="B1352" s="149" t="s">
        <v>848</v>
      </c>
      <c r="C1352" s="6" t="s">
        <v>849</v>
      </c>
      <c r="D1352" s="78">
        <v>259.04000000000002</v>
      </c>
      <c r="E1352" s="78" t="s">
        <v>850</v>
      </c>
      <c r="F1352" s="160">
        <v>67.176063604240298</v>
      </c>
      <c r="G1352" s="76" t="s">
        <v>40</v>
      </c>
      <c r="H1352" s="76">
        <f t="shared" si="27"/>
        <v>-1.1540636042402923</v>
      </c>
      <c r="I1352" s="78">
        <v>-0.16333313839631028</v>
      </c>
      <c r="J1352" s="161">
        <v>10.121069116697981</v>
      </c>
      <c r="K1352" s="79">
        <f t="shared" si="28"/>
        <v>-1.141590841850757</v>
      </c>
    </row>
    <row r="1353" spans="2:11" x14ac:dyDescent="0.35">
      <c r="B1353" s="149" t="s">
        <v>848</v>
      </c>
      <c r="C1353" s="6" t="s">
        <v>849</v>
      </c>
      <c r="D1353" s="78">
        <v>259.07</v>
      </c>
      <c r="E1353" s="78" t="s">
        <v>850</v>
      </c>
      <c r="F1353" s="160">
        <v>67.178961130741996</v>
      </c>
      <c r="G1353" s="76" t="s">
        <v>40</v>
      </c>
      <c r="H1353" s="76">
        <f t="shared" si="27"/>
        <v>-1.1569611307419905</v>
      </c>
      <c r="I1353" s="78">
        <v>-0.3688130353071648</v>
      </c>
      <c r="J1353" s="161">
        <v>11.03876399578462</v>
      </c>
      <c r="K1353" s="79">
        <f t="shared" si="28"/>
        <v>-0.22389596276411794</v>
      </c>
    </row>
    <row r="1354" spans="2:11" x14ac:dyDescent="0.35">
      <c r="B1354" s="149" t="s">
        <v>848</v>
      </c>
      <c r="C1354" s="6" t="s">
        <v>849</v>
      </c>
      <c r="D1354" s="78">
        <v>259.17</v>
      </c>
      <c r="E1354" s="78" t="s">
        <v>850</v>
      </c>
      <c r="F1354" s="160">
        <v>67.188619552414593</v>
      </c>
      <c r="G1354" s="76" t="s">
        <v>40</v>
      </c>
      <c r="H1354" s="76">
        <f t="shared" si="27"/>
        <v>-1.1666195524145877</v>
      </c>
      <c r="I1354" s="78">
        <v>-0.34988888888888892</v>
      </c>
      <c r="J1354" s="161">
        <v>10.953990342006875</v>
      </c>
      <c r="K1354" s="79">
        <f t="shared" si="28"/>
        <v>-0.30866961654186298</v>
      </c>
    </row>
    <row r="1355" spans="2:11" x14ac:dyDescent="0.35">
      <c r="B1355" s="149" t="s">
        <v>848</v>
      </c>
      <c r="C1355" s="6" t="s">
        <v>849</v>
      </c>
      <c r="D1355" s="78">
        <v>259.24</v>
      </c>
      <c r="E1355" s="78" t="s">
        <v>850</v>
      </c>
      <c r="F1355" s="160">
        <v>67.195063474387496</v>
      </c>
      <c r="G1355" s="76" t="s">
        <v>40</v>
      </c>
      <c r="H1355" s="76">
        <f t="shared" si="27"/>
        <v>-1.1730634743874901</v>
      </c>
      <c r="I1355" s="78">
        <v>-0.2457420631955238</v>
      </c>
      <c r="J1355" s="161">
        <v>10.488380661735107</v>
      </c>
      <c r="K1355" s="79">
        <f t="shared" si="28"/>
        <v>-0.77427929681363139</v>
      </c>
    </row>
    <row r="1356" spans="2:11" x14ac:dyDescent="0.35">
      <c r="B1356" s="149" t="s">
        <v>848</v>
      </c>
      <c r="C1356" s="6" t="s">
        <v>849</v>
      </c>
      <c r="D1356" s="78">
        <v>259.27000000000004</v>
      </c>
      <c r="E1356" s="78" t="s">
        <v>850</v>
      </c>
      <c r="F1356" s="160">
        <v>67.197689309576802</v>
      </c>
      <c r="G1356" s="76" t="s">
        <v>40</v>
      </c>
      <c r="H1356" s="76">
        <f t="shared" si="27"/>
        <v>-1.1756893095767964</v>
      </c>
      <c r="I1356" s="78">
        <v>-0.19693270322303508</v>
      </c>
      <c r="J1356" s="161">
        <v>10.270709897912923</v>
      </c>
      <c r="K1356" s="79">
        <f t="shared" si="28"/>
        <v>-0.99195006063581559</v>
      </c>
    </row>
    <row r="1357" spans="2:11" x14ac:dyDescent="0.35">
      <c r="B1357" s="149" t="s">
        <v>848</v>
      </c>
      <c r="C1357" s="6" t="s">
        <v>849</v>
      </c>
      <c r="D1357" s="78">
        <v>259.34000000000003</v>
      </c>
      <c r="E1357" s="78" t="s">
        <v>850</v>
      </c>
      <c r="F1357" s="160">
        <v>67.203816258351907</v>
      </c>
      <c r="G1357" s="76" t="s">
        <v>40</v>
      </c>
      <c r="H1357" s="76">
        <f t="shared" si="27"/>
        <v>-1.1818162583519012</v>
      </c>
      <c r="I1357" s="78">
        <v>-0.47650000000000042</v>
      </c>
      <c r="J1357" s="161">
        <v>11.522159832183661</v>
      </c>
      <c r="K1357" s="79">
        <f t="shared" si="28"/>
        <v>0.25949987363492255</v>
      </c>
    </row>
    <row r="1358" spans="2:11" x14ac:dyDescent="0.35">
      <c r="B1358" s="149" t="s">
        <v>848</v>
      </c>
      <c r="C1358" s="6" t="s">
        <v>849</v>
      </c>
      <c r="D1358" s="78">
        <v>259.44</v>
      </c>
      <c r="E1358" s="78" t="s">
        <v>850</v>
      </c>
      <c r="F1358" s="160">
        <v>67.212569042316204</v>
      </c>
      <c r="G1358" s="76" t="s">
        <v>40</v>
      </c>
      <c r="H1358" s="76">
        <f t="shared" si="27"/>
        <v>-1.1905690423161985</v>
      </c>
      <c r="I1358" s="78">
        <v>-0.30349449256601368</v>
      </c>
      <c r="J1358" s="161">
        <v>10.746380043195757</v>
      </c>
      <c r="K1358" s="79">
        <f t="shared" si="28"/>
        <v>-0.51627991535298179</v>
      </c>
    </row>
    <row r="1359" spans="2:11" x14ac:dyDescent="0.35">
      <c r="B1359" s="149" t="s">
        <v>848</v>
      </c>
      <c r="C1359" s="6" t="s">
        <v>849</v>
      </c>
      <c r="D1359" s="78">
        <v>259.47000000000003</v>
      </c>
      <c r="E1359" s="78" t="s">
        <v>850</v>
      </c>
      <c r="F1359" s="160">
        <v>67.215194877505596</v>
      </c>
      <c r="G1359" s="76" t="s">
        <v>40</v>
      </c>
      <c r="H1359" s="76">
        <f t="shared" si="27"/>
        <v>-1.1931948775055901</v>
      </c>
      <c r="I1359" s="78">
        <v>-0.25753605044948624</v>
      </c>
      <c r="J1359" s="161">
        <v>10.541029019189295</v>
      </c>
      <c r="K1359" s="79">
        <f t="shared" si="28"/>
        <v>-0.72163093935944289</v>
      </c>
    </row>
    <row r="1360" spans="2:11" x14ac:dyDescent="0.35">
      <c r="B1360" s="149" t="s">
        <v>848</v>
      </c>
      <c r="C1360" s="6" t="s">
        <v>849</v>
      </c>
      <c r="D1360" s="78">
        <v>259.57</v>
      </c>
      <c r="E1360" s="78" t="s">
        <v>850</v>
      </c>
      <c r="F1360" s="160">
        <v>67.223947661469893</v>
      </c>
      <c r="G1360" s="76" t="s">
        <v>40</v>
      </c>
      <c r="H1360" s="76">
        <f t="shared" si="27"/>
        <v>-1.2019476614698874</v>
      </c>
      <c r="I1360" s="78">
        <v>-0.24138888888888888</v>
      </c>
      <c r="J1360" s="161">
        <v>10.468953186254396</v>
      </c>
      <c r="K1360" s="79">
        <f t="shared" si="28"/>
        <v>-0.7937067722943425</v>
      </c>
    </row>
    <row r="1361" spans="2:11" x14ac:dyDescent="0.35">
      <c r="B1361" s="149" t="s">
        <v>848</v>
      </c>
      <c r="C1361" s="6" t="s">
        <v>849</v>
      </c>
      <c r="D1361" s="78">
        <v>259.67</v>
      </c>
      <c r="E1361" s="78" t="s">
        <v>850</v>
      </c>
      <c r="F1361" s="160">
        <v>67.232700445434304</v>
      </c>
      <c r="G1361" s="76" t="s">
        <v>40</v>
      </c>
      <c r="H1361" s="76">
        <f t="shared" si="27"/>
        <v>-1.2107004454342984</v>
      </c>
      <c r="I1361" s="78">
        <v>-0.1693936086580618</v>
      </c>
      <c r="J1361" s="161">
        <v>10.148048291296732</v>
      </c>
      <c r="K1361" s="79">
        <f t="shared" si="28"/>
        <v>-1.1146116672520066</v>
      </c>
    </row>
    <row r="1362" spans="2:11" x14ac:dyDescent="0.35">
      <c r="B1362" s="149" t="s">
        <v>848</v>
      </c>
      <c r="C1362" s="6" t="s">
        <v>849</v>
      </c>
      <c r="D1362" s="78">
        <v>259.74</v>
      </c>
      <c r="E1362" s="78" t="s">
        <v>850</v>
      </c>
      <c r="F1362" s="160">
        <v>67.238827394209395</v>
      </c>
      <c r="G1362" s="76" t="s">
        <v>40</v>
      </c>
      <c r="H1362" s="76">
        <f t="shared" si="27"/>
        <v>-1.216827394209389</v>
      </c>
      <c r="I1362" s="78">
        <v>-0.49900000000000044</v>
      </c>
      <c r="J1362" s="161">
        <v>11.62337440536362</v>
      </c>
      <c r="K1362" s="79">
        <f t="shared" si="28"/>
        <v>0.36071444681488174</v>
      </c>
    </row>
    <row r="1363" spans="2:11" x14ac:dyDescent="0.35">
      <c r="B1363" s="149" t="s">
        <v>848</v>
      </c>
      <c r="C1363" s="6" t="s">
        <v>849</v>
      </c>
      <c r="D1363" s="78">
        <v>259.84000000000003</v>
      </c>
      <c r="E1363" s="78" t="s">
        <v>850</v>
      </c>
      <c r="F1363" s="160">
        <v>67.247580178173706</v>
      </c>
      <c r="G1363" s="76" t="s">
        <v>40</v>
      </c>
      <c r="H1363" s="76">
        <f t="shared" si="27"/>
        <v>-1.2255801781737006</v>
      </c>
      <c r="I1363" s="78">
        <v>-0.11853646710153198</v>
      </c>
      <c r="J1363" s="161">
        <v>9.9218137267026805</v>
      </c>
      <c r="K1363" s="79">
        <f t="shared" si="28"/>
        <v>-1.3408462318460579</v>
      </c>
    </row>
    <row r="1364" spans="2:11" x14ac:dyDescent="0.35">
      <c r="B1364" s="149" t="s">
        <v>848</v>
      </c>
      <c r="C1364" s="6" t="s">
        <v>849</v>
      </c>
      <c r="D1364" s="78">
        <v>259.87</v>
      </c>
      <c r="E1364" s="78" t="s">
        <v>850</v>
      </c>
      <c r="F1364" s="160">
        <v>67.250206013362998</v>
      </c>
      <c r="G1364" s="76" t="s">
        <v>40</v>
      </c>
      <c r="H1364" s="76">
        <f t="shared" si="27"/>
        <v>-1.2282060133629926</v>
      </c>
      <c r="I1364" s="78">
        <v>-0.18342764769124323</v>
      </c>
      <c r="J1364" s="161">
        <v>10.210543472798065</v>
      </c>
      <c r="K1364" s="79">
        <f t="shared" si="28"/>
        <v>-1.0521164857506733</v>
      </c>
    </row>
    <row r="1365" spans="2:11" x14ac:dyDescent="0.35">
      <c r="B1365" s="149" t="s">
        <v>848</v>
      </c>
      <c r="C1365" s="6" t="s">
        <v>849</v>
      </c>
      <c r="D1365" s="78">
        <v>259.97000000000003</v>
      </c>
      <c r="E1365" s="78" t="s">
        <v>850</v>
      </c>
      <c r="F1365" s="160">
        <v>67.258958797327395</v>
      </c>
      <c r="G1365" s="76" t="s">
        <v>40</v>
      </c>
      <c r="H1365" s="76">
        <f t="shared" ref="H1365:H1428" si="29">66.022-F1365</f>
        <v>-1.2369587973273894</v>
      </c>
      <c r="I1365" s="78">
        <v>-0.50488888888888894</v>
      </c>
      <c r="J1365" s="161">
        <v>11.649877394544774</v>
      </c>
      <c r="K1365" s="79">
        <f t="shared" ref="K1365:K1428" si="30">J1365-$J$1214</f>
        <v>0.38721743599603542</v>
      </c>
    </row>
    <row r="1366" spans="2:11" x14ac:dyDescent="0.35">
      <c r="B1366" s="149" t="s">
        <v>848</v>
      </c>
      <c r="C1366" s="6" t="s">
        <v>849</v>
      </c>
      <c r="D1366" s="78">
        <v>260.04000000000002</v>
      </c>
      <c r="E1366" s="78" t="s">
        <v>850</v>
      </c>
      <c r="F1366" s="160">
        <v>67.2650857461024</v>
      </c>
      <c r="G1366" s="76" t="s">
        <v>40</v>
      </c>
      <c r="H1366" s="76">
        <f t="shared" si="29"/>
        <v>-1.2430857461023948</v>
      </c>
      <c r="I1366" s="78">
        <v>-0.26558799906485203</v>
      </c>
      <c r="J1366" s="161">
        <v>10.576984501823631</v>
      </c>
      <c r="K1366" s="79">
        <f t="shared" si="30"/>
        <v>-0.68567545672510732</v>
      </c>
    </row>
    <row r="1367" spans="2:11" x14ac:dyDescent="0.35">
      <c r="B1367" s="149" t="s">
        <v>848</v>
      </c>
      <c r="C1367" s="6" t="s">
        <v>849</v>
      </c>
      <c r="D1367" s="78">
        <v>260.07</v>
      </c>
      <c r="E1367" s="78" t="s">
        <v>850</v>
      </c>
      <c r="F1367" s="160">
        <v>67.267711581291707</v>
      </c>
      <c r="G1367" s="76" t="s">
        <v>40</v>
      </c>
      <c r="H1367" s="76">
        <f t="shared" si="29"/>
        <v>-1.245711581291701</v>
      </c>
      <c r="I1367" s="78">
        <v>-0.3020233525189962</v>
      </c>
      <c r="J1367" s="161">
        <v>10.739801958750604</v>
      </c>
      <c r="K1367" s="79">
        <f t="shared" si="30"/>
        <v>-0.52285799979813419</v>
      </c>
    </row>
    <row r="1368" spans="2:11" x14ac:dyDescent="0.35">
      <c r="B1368" s="149" t="s">
        <v>848</v>
      </c>
      <c r="C1368" s="6" t="s">
        <v>849</v>
      </c>
      <c r="D1368" s="78">
        <v>260.14</v>
      </c>
      <c r="E1368" s="78" t="s">
        <v>850</v>
      </c>
      <c r="F1368" s="160">
        <v>67.273838530066797</v>
      </c>
      <c r="G1368" s="76" t="s">
        <v>40</v>
      </c>
      <c r="H1368" s="76">
        <f t="shared" si="29"/>
        <v>-1.2518385300667916</v>
      </c>
      <c r="I1368" s="78">
        <v>-0.37925000000000042</v>
      </c>
      <c r="J1368" s="161">
        <v>11.085540336197539</v>
      </c>
      <c r="K1368" s="79">
        <f t="shared" si="30"/>
        <v>-0.17711962235119927</v>
      </c>
    </row>
    <row r="1369" spans="2:11" x14ac:dyDescent="0.35">
      <c r="B1369" s="149" t="s">
        <v>848</v>
      </c>
      <c r="C1369" s="6" t="s">
        <v>849</v>
      </c>
      <c r="D1369" s="78">
        <v>260.14</v>
      </c>
      <c r="E1369" s="78" t="s">
        <v>850</v>
      </c>
      <c r="F1369" s="160">
        <v>67.273838530066797</v>
      </c>
      <c r="G1369" s="76" t="s">
        <v>40</v>
      </c>
      <c r="H1369" s="76">
        <f t="shared" si="29"/>
        <v>-1.2518385300667916</v>
      </c>
      <c r="I1369" s="78">
        <v>-0.56386037881254825</v>
      </c>
      <c r="J1369" s="161">
        <v>11.915559963094438</v>
      </c>
      <c r="K1369" s="79">
        <f t="shared" si="30"/>
        <v>0.65290000454569963</v>
      </c>
    </row>
    <row r="1370" spans="2:11" x14ac:dyDescent="0.35">
      <c r="B1370" s="149" t="s">
        <v>848</v>
      </c>
      <c r="C1370" s="6" t="s">
        <v>849</v>
      </c>
      <c r="D1370" s="78">
        <v>260.24</v>
      </c>
      <c r="E1370" s="78" t="s">
        <v>850</v>
      </c>
      <c r="F1370" s="160">
        <v>67.282591314031194</v>
      </c>
      <c r="G1370" s="76" t="s">
        <v>40</v>
      </c>
      <c r="H1370" s="76">
        <f t="shared" si="29"/>
        <v>-1.2605913140311884</v>
      </c>
      <c r="I1370" s="78">
        <v>-0.40532090011310129</v>
      </c>
      <c r="J1370" s="161">
        <v>11.20245421286495</v>
      </c>
      <c r="K1370" s="79">
        <f t="shared" si="30"/>
        <v>-6.0205745683788336E-2</v>
      </c>
    </row>
    <row r="1371" spans="2:11" x14ac:dyDescent="0.35">
      <c r="B1371" s="149" t="s">
        <v>848</v>
      </c>
      <c r="C1371" s="6" t="s">
        <v>849</v>
      </c>
      <c r="D1371" s="78">
        <v>260.27000000000004</v>
      </c>
      <c r="E1371" s="78" t="s">
        <v>850</v>
      </c>
      <c r="F1371" s="160">
        <v>67.2852171492205</v>
      </c>
      <c r="G1371" s="76" t="s">
        <v>40</v>
      </c>
      <c r="H1371" s="76">
        <f t="shared" si="29"/>
        <v>-1.2632171492204947</v>
      </c>
      <c r="I1371" s="78">
        <v>-0.27086013245208607</v>
      </c>
      <c r="J1371" s="161">
        <v>10.60053198490067</v>
      </c>
      <c r="K1371" s="79">
        <f t="shared" si="30"/>
        <v>-0.66212797364806875</v>
      </c>
    </row>
    <row r="1372" spans="2:11" x14ac:dyDescent="0.35">
      <c r="B1372" s="149" t="s">
        <v>848</v>
      </c>
      <c r="C1372" s="6" t="s">
        <v>849</v>
      </c>
      <c r="D1372" s="78">
        <v>260.37</v>
      </c>
      <c r="E1372" s="78" t="s">
        <v>850</v>
      </c>
      <c r="F1372" s="160">
        <v>67.293969933184897</v>
      </c>
      <c r="G1372" s="76" t="s">
        <v>40</v>
      </c>
      <c r="H1372" s="76">
        <f t="shared" si="29"/>
        <v>-1.2719699331848915</v>
      </c>
      <c r="I1372" s="78">
        <v>-0.44688888888888889</v>
      </c>
      <c r="J1372" s="161">
        <v>11.389069521686793</v>
      </c>
      <c r="K1372" s="79">
        <f t="shared" si="30"/>
        <v>0.12640956313805418</v>
      </c>
    </row>
    <row r="1373" spans="2:11" x14ac:dyDescent="0.35">
      <c r="B1373" s="149" t="s">
        <v>848</v>
      </c>
      <c r="C1373" s="6" t="s">
        <v>849</v>
      </c>
      <c r="D1373" s="78">
        <v>260.44</v>
      </c>
      <c r="E1373" s="78" t="s">
        <v>850</v>
      </c>
      <c r="F1373" s="160">
        <v>67.300096881959902</v>
      </c>
      <c r="G1373" s="76" t="s">
        <v>40</v>
      </c>
      <c r="H1373" s="76">
        <f t="shared" si="29"/>
        <v>-1.2780968819598968</v>
      </c>
      <c r="I1373" s="78">
        <v>-0.32797925375839654</v>
      </c>
      <c r="J1373" s="161">
        <v>10.85590788230644</v>
      </c>
      <c r="K1373" s="79">
        <f t="shared" si="30"/>
        <v>-0.4067520762422987</v>
      </c>
    </row>
    <row r="1374" spans="2:11" x14ac:dyDescent="0.35">
      <c r="B1374" s="149" t="s">
        <v>848</v>
      </c>
      <c r="C1374" s="6" t="s">
        <v>849</v>
      </c>
      <c r="D1374" s="78">
        <v>260.46000000000004</v>
      </c>
      <c r="E1374" s="78" t="s">
        <v>850</v>
      </c>
      <c r="F1374" s="160">
        <v>67.301847438752802</v>
      </c>
      <c r="G1374" s="76" t="s">
        <v>40</v>
      </c>
      <c r="H1374" s="76">
        <f t="shared" si="29"/>
        <v>-1.2798474387527961</v>
      </c>
      <c r="I1374" s="78">
        <v>-0.35943658153072705</v>
      </c>
      <c r="J1374" s="161">
        <v>10.996754191416812</v>
      </c>
      <c r="K1374" s="79">
        <f t="shared" si="30"/>
        <v>-0.26590576713192604</v>
      </c>
    </row>
    <row r="1375" spans="2:11" x14ac:dyDescent="0.35">
      <c r="B1375" s="149" t="s">
        <v>848</v>
      </c>
      <c r="C1375" s="6" t="s">
        <v>849</v>
      </c>
      <c r="D1375" s="78">
        <v>260.54000000000002</v>
      </c>
      <c r="E1375" s="78" t="s">
        <v>850</v>
      </c>
      <c r="F1375" s="160">
        <v>67.308849665924299</v>
      </c>
      <c r="G1375" s="76" t="s">
        <v>40</v>
      </c>
      <c r="H1375" s="76">
        <f t="shared" si="29"/>
        <v>-1.2868496659242936</v>
      </c>
      <c r="I1375" s="78">
        <v>-0.5327500000000005</v>
      </c>
      <c r="J1375" s="161">
        <v>11.775335565262708</v>
      </c>
      <c r="K1375" s="79">
        <f t="shared" si="30"/>
        <v>0.5126756067139695</v>
      </c>
    </row>
    <row r="1376" spans="2:11" x14ac:dyDescent="0.35">
      <c r="B1376" s="149" t="s">
        <v>848</v>
      </c>
      <c r="C1376" s="6" t="s">
        <v>849</v>
      </c>
      <c r="D1376" s="78">
        <v>260.64</v>
      </c>
      <c r="E1376" s="78" t="s">
        <v>850</v>
      </c>
      <c r="F1376" s="160">
        <v>67.317602449888597</v>
      </c>
      <c r="G1376" s="76" t="s">
        <v>40</v>
      </c>
      <c r="H1376" s="76">
        <f t="shared" si="29"/>
        <v>-1.295602449888591</v>
      </c>
      <c r="I1376" s="78">
        <v>-0.39568892315523263</v>
      </c>
      <c r="J1376" s="161">
        <v>11.159248452909765</v>
      </c>
      <c r="K1376" s="79">
        <f t="shared" si="30"/>
        <v>-0.10341150563897372</v>
      </c>
    </row>
    <row r="1377" spans="2:11" x14ac:dyDescent="0.35">
      <c r="B1377" s="149" t="s">
        <v>848</v>
      </c>
      <c r="C1377" s="6" t="s">
        <v>849</v>
      </c>
      <c r="D1377" s="78">
        <v>260.67</v>
      </c>
      <c r="E1377" s="78" t="s">
        <v>850</v>
      </c>
      <c r="F1377" s="160">
        <v>67.320228285077903</v>
      </c>
      <c r="G1377" s="76" t="s">
        <v>40</v>
      </c>
      <c r="H1377" s="76">
        <f t="shared" si="29"/>
        <v>-1.2982282850778972</v>
      </c>
      <c r="I1377" s="78">
        <v>-0.24262947103802157</v>
      </c>
      <c r="J1377" s="161">
        <v>10.474489413315496</v>
      </c>
      <c r="K1377" s="79">
        <f t="shared" si="30"/>
        <v>-0.78817054523324259</v>
      </c>
    </row>
    <row r="1378" spans="2:11" x14ac:dyDescent="0.35">
      <c r="B1378" s="149" t="s">
        <v>848</v>
      </c>
      <c r="C1378" s="6" t="s">
        <v>849</v>
      </c>
      <c r="D1378" s="78">
        <v>260.77000000000004</v>
      </c>
      <c r="E1378" s="78" t="s">
        <v>850</v>
      </c>
      <c r="F1378" s="160">
        <v>67.3289810690423</v>
      </c>
      <c r="G1378" s="76" t="s">
        <v>40</v>
      </c>
      <c r="H1378" s="76">
        <f t="shared" si="29"/>
        <v>-1.3069810690422941</v>
      </c>
      <c r="I1378" s="78">
        <v>-0.18188888888888888</v>
      </c>
      <c r="J1378" s="161">
        <v>10.203689815139512</v>
      </c>
      <c r="K1378" s="79">
        <f t="shared" si="30"/>
        <v>-1.0589701434092262</v>
      </c>
    </row>
    <row r="1379" spans="2:11" x14ac:dyDescent="0.35">
      <c r="B1379" s="149" t="s">
        <v>848</v>
      </c>
      <c r="C1379" s="6" t="s">
        <v>849</v>
      </c>
      <c r="D1379" s="78">
        <v>260.84000000000003</v>
      </c>
      <c r="E1379" s="78" t="s">
        <v>850</v>
      </c>
      <c r="F1379" s="160">
        <v>67.335108017817404</v>
      </c>
      <c r="G1379" s="76" t="s">
        <v>40</v>
      </c>
      <c r="H1379" s="76">
        <f t="shared" si="29"/>
        <v>-1.3131080178173988</v>
      </c>
      <c r="I1379" s="78">
        <v>-0.19408879171244423</v>
      </c>
      <c r="J1379" s="161">
        <v>10.258037785567808</v>
      </c>
      <c r="K1379" s="79">
        <f t="shared" si="30"/>
        <v>-1.0046221729809304</v>
      </c>
    </row>
    <row r="1380" spans="2:11" x14ac:dyDescent="0.35">
      <c r="B1380" s="149" t="s">
        <v>848</v>
      </c>
      <c r="C1380" s="6" t="s">
        <v>849</v>
      </c>
      <c r="D1380" s="78">
        <v>260.87</v>
      </c>
      <c r="E1380" s="78" t="s">
        <v>850</v>
      </c>
      <c r="F1380" s="160">
        <v>67.337733853006696</v>
      </c>
      <c r="G1380" s="76" t="s">
        <v>40</v>
      </c>
      <c r="H1380" s="76">
        <f t="shared" si="29"/>
        <v>-1.3157338530066909</v>
      </c>
      <c r="I1380" s="78">
        <v>-0.2834997360564438</v>
      </c>
      <c r="J1380" s="161">
        <v>10.657002001088642</v>
      </c>
      <c r="K1380" s="79">
        <f t="shared" si="30"/>
        <v>-0.60565795746009599</v>
      </c>
    </row>
    <row r="1381" spans="2:11" x14ac:dyDescent="0.35">
      <c r="B1381" s="149" t="s">
        <v>848</v>
      </c>
      <c r="C1381" s="6" t="s">
        <v>849</v>
      </c>
      <c r="D1381" s="78">
        <v>260.94</v>
      </c>
      <c r="E1381" s="78" t="s">
        <v>850</v>
      </c>
      <c r="F1381" s="160">
        <v>67.343860801781702</v>
      </c>
      <c r="G1381" s="76" t="s">
        <v>40</v>
      </c>
      <c r="H1381" s="76">
        <f t="shared" si="29"/>
        <v>-1.3218608017816962</v>
      </c>
      <c r="I1381" s="78">
        <v>-0.37250000000000039</v>
      </c>
      <c r="J1381" s="161">
        <v>11.055286402590809</v>
      </c>
      <c r="K1381" s="79">
        <f t="shared" si="30"/>
        <v>-0.20737355595792906</v>
      </c>
    </row>
    <row r="1382" spans="2:11" x14ac:dyDescent="0.35">
      <c r="B1382" s="149" t="s">
        <v>848</v>
      </c>
      <c r="C1382" s="6" t="s">
        <v>849</v>
      </c>
      <c r="D1382" s="78">
        <v>261.03000000000003</v>
      </c>
      <c r="E1382" s="78" t="s">
        <v>850</v>
      </c>
      <c r="F1382" s="160">
        <v>67.351738307349706</v>
      </c>
      <c r="G1382" s="76" t="s">
        <v>40</v>
      </c>
      <c r="H1382" s="76">
        <f t="shared" si="29"/>
        <v>-1.3297383073497002</v>
      </c>
      <c r="I1382" s="78">
        <v>-0.22542782360808733</v>
      </c>
      <c r="J1382" s="161">
        <v>10.397745155647044</v>
      </c>
      <c r="K1382" s="79">
        <f t="shared" si="30"/>
        <v>-0.8649148029016942</v>
      </c>
    </row>
    <row r="1383" spans="2:11" x14ac:dyDescent="0.35">
      <c r="B1383" s="149" t="s">
        <v>848</v>
      </c>
      <c r="C1383" s="6" t="s">
        <v>849</v>
      </c>
      <c r="D1383" s="78">
        <v>261.07</v>
      </c>
      <c r="E1383" s="78" t="s">
        <v>850</v>
      </c>
      <c r="F1383" s="160">
        <v>67.355239420935405</v>
      </c>
      <c r="G1383" s="76" t="s">
        <v>40</v>
      </c>
      <c r="H1383" s="76">
        <f t="shared" si="29"/>
        <v>-1.3332394209353993</v>
      </c>
      <c r="I1383" s="78">
        <v>-0.3038805158404857</v>
      </c>
      <c r="J1383" s="161">
        <v>10.748106167325602</v>
      </c>
      <c r="K1383" s="79">
        <f t="shared" si="30"/>
        <v>-0.51455379122313616</v>
      </c>
    </row>
    <row r="1384" spans="2:11" x14ac:dyDescent="0.35">
      <c r="B1384" s="149" t="s">
        <v>848</v>
      </c>
      <c r="C1384" s="6" t="s">
        <v>849</v>
      </c>
      <c r="D1384" s="78">
        <v>261.17</v>
      </c>
      <c r="E1384" s="78" t="s">
        <v>850</v>
      </c>
      <c r="F1384" s="160">
        <v>67.363992204899802</v>
      </c>
      <c r="G1384" s="76" t="s">
        <v>40</v>
      </c>
      <c r="H1384" s="76">
        <f t="shared" si="29"/>
        <v>-1.3419922048997961</v>
      </c>
      <c r="I1384" s="78">
        <v>-0.21613888888888888</v>
      </c>
      <c r="J1384" s="161">
        <v>10.356320870393461</v>
      </c>
      <c r="K1384" s="79">
        <f t="shared" si="30"/>
        <v>-0.90633908815527775</v>
      </c>
    </row>
    <row r="1385" spans="2:11" x14ac:dyDescent="0.35">
      <c r="B1385" s="149" t="s">
        <v>848</v>
      </c>
      <c r="C1385" s="6" t="s">
        <v>849</v>
      </c>
      <c r="D1385" s="78">
        <v>261.27000000000004</v>
      </c>
      <c r="E1385" s="78" t="s">
        <v>850</v>
      </c>
      <c r="F1385" s="160">
        <v>67.372744988864099</v>
      </c>
      <c r="G1385" s="76" t="s">
        <v>40</v>
      </c>
      <c r="H1385" s="76">
        <f t="shared" si="29"/>
        <v>-1.3507449888640934</v>
      </c>
      <c r="I1385" s="78">
        <v>-0.37069988574848245</v>
      </c>
      <c r="J1385" s="161">
        <v>11.047219297149297</v>
      </c>
      <c r="K1385" s="79">
        <f t="shared" si="30"/>
        <v>-0.21544066139944107</v>
      </c>
    </row>
    <row r="1386" spans="2:11" x14ac:dyDescent="0.35">
      <c r="B1386" s="149" t="s">
        <v>848</v>
      </c>
      <c r="C1386" s="6" t="s">
        <v>849</v>
      </c>
      <c r="D1386" s="78">
        <v>261.47000000000003</v>
      </c>
      <c r="E1386" s="78" t="s">
        <v>850</v>
      </c>
      <c r="F1386" s="160">
        <v>67.390250556792907</v>
      </c>
      <c r="G1386" s="76" t="s">
        <v>40</v>
      </c>
      <c r="H1386" s="76">
        <f t="shared" si="29"/>
        <v>-1.3682505567929013</v>
      </c>
      <c r="I1386" s="78">
        <v>-0.29127327900513045</v>
      </c>
      <c r="J1386" s="161">
        <v>10.691743413899303</v>
      </c>
      <c r="K1386" s="79">
        <f t="shared" si="30"/>
        <v>-0.57091654464943531</v>
      </c>
    </row>
    <row r="1387" spans="2:11" x14ac:dyDescent="0.35">
      <c r="B1387" s="149" t="s">
        <v>848</v>
      </c>
      <c r="C1387" s="6" t="s">
        <v>849</v>
      </c>
      <c r="D1387" s="78">
        <v>261.57</v>
      </c>
      <c r="E1387" s="78" t="s">
        <v>850</v>
      </c>
      <c r="F1387" s="160">
        <v>67.399003340757204</v>
      </c>
      <c r="G1387" s="76" t="s">
        <v>40</v>
      </c>
      <c r="H1387" s="76">
        <f t="shared" si="29"/>
        <v>-1.3770033407571987</v>
      </c>
      <c r="I1387" s="78">
        <v>-8.7638888888888877E-2</v>
      </c>
      <c r="J1387" s="161">
        <v>9.7845499015015776</v>
      </c>
      <c r="K1387" s="79">
        <f t="shared" si="30"/>
        <v>-1.4781100570471608</v>
      </c>
    </row>
    <row r="1388" spans="2:11" x14ac:dyDescent="0.35">
      <c r="B1388" s="149" t="s">
        <v>848</v>
      </c>
      <c r="C1388" s="6" t="s">
        <v>849</v>
      </c>
      <c r="D1388" s="78">
        <v>261.67</v>
      </c>
      <c r="E1388" s="78" t="s">
        <v>850</v>
      </c>
      <c r="F1388" s="160">
        <v>67.407756124721601</v>
      </c>
      <c r="G1388" s="76" t="s">
        <v>40</v>
      </c>
      <c r="H1388" s="76">
        <f t="shared" si="29"/>
        <v>-1.3857561247215955</v>
      </c>
      <c r="I1388" s="78">
        <v>-0.19528842625738987</v>
      </c>
      <c r="J1388" s="161">
        <v>10.263383063780566</v>
      </c>
      <c r="K1388" s="79">
        <f t="shared" si="30"/>
        <v>-0.9992768947681725</v>
      </c>
    </row>
    <row r="1389" spans="2:11" x14ac:dyDescent="0.35">
      <c r="B1389" s="149" t="s">
        <v>848</v>
      </c>
      <c r="C1389" s="6" t="s">
        <v>849</v>
      </c>
      <c r="D1389" s="78">
        <v>261.87</v>
      </c>
      <c r="E1389" s="78" t="s">
        <v>850</v>
      </c>
      <c r="F1389" s="160">
        <v>67.425261692650295</v>
      </c>
      <c r="G1389" s="76" t="s">
        <v>40</v>
      </c>
      <c r="H1389" s="76">
        <f t="shared" si="29"/>
        <v>-1.4032616926502897</v>
      </c>
      <c r="I1389" s="78">
        <v>-0.38513280364620134</v>
      </c>
      <c r="J1389" s="161">
        <v>11.111912860194479</v>
      </c>
      <c r="K1389" s="79">
        <f t="shared" si="30"/>
        <v>-0.15074709835425892</v>
      </c>
    </row>
    <row r="1390" spans="2:11" x14ac:dyDescent="0.35">
      <c r="B1390" s="149" t="s">
        <v>848</v>
      </c>
      <c r="C1390" s="6" t="s">
        <v>849</v>
      </c>
      <c r="D1390" s="78">
        <v>261.96000000000004</v>
      </c>
      <c r="E1390" s="78" t="s">
        <v>850</v>
      </c>
      <c r="F1390" s="160">
        <v>67.433139198218299</v>
      </c>
      <c r="G1390" s="76" t="s">
        <v>40</v>
      </c>
      <c r="H1390" s="76">
        <f t="shared" si="29"/>
        <v>-1.4111391982182937</v>
      </c>
      <c r="I1390" s="78">
        <v>-0.41713888888888889</v>
      </c>
      <c r="J1390" s="161">
        <v>11.25548418826321</v>
      </c>
      <c r="K1390" s="79">
        <f t="shared" si="30"/>
        <v>-7.1757702855279604E-3</v>
      </c>
    </row>
    <row r="1391" spans="2:11" x14ac:dyDescent="0.35">
      <c r="B1391" s="149" t="s">
        <v>848</v>
      </c>
      <c r="C1391" s="6" t="s">
        <v>849</v>
      </c>
      <c r="D1391" s="78">
        <v>262.07</v>
      </c>
      <c r="E1391" s="78" t="s">
        <v>850</v>
      </c>
      <c r="F1391" s="160">
        <v>67.442767260579103</v>
      </c>
      <c r="G1391" s="76" t="s">
        <v>40</v>
      </c>
      <c r="H1391" s="76">
        <f t="shared" si="29"/>
        <v>-1.4207672605790975</v>
      </c>
      <c r="I1391" s="78">
        <v>-0.30018780162038239</v>
      </c>
      <c r="J1391" s="161">
        <v>10.731594881496903</v>
      </c>
      <c r="K1391" s="79">
        <f t="shared" si="30"/>
        <v>-0.53106507705183503</v>
      </c>
    </row>
    <row r="1392" spans="2:11" x14ac:dyDescent="0.35">
      <c r="B1392" s="149" t="s">
        <v>848</v>
      </c>
      <c r="C1392" s="6" t="s">
        <v>849</v>
      </c>
      <c r="D1392" s="78">
        <v>262.27000000000004</v>
      </c>
      <c r="E1392" s="78" t="s">
        <v>850</v>
      </c>
      <c r="F1392" s="160">
        <v>67.460272828507797</v>
      </c>
      <c r="G1392" s="76" t="s">
        <v>40</v>
      </c>
      <c r="H1392" s="76">
        <f t="shared" si="29"/>
        <v>-1.4382728285077917</v>
      </c>
      <c r="I1392" s="78">
        <v>-0.3824507671819336</v>
      </c>
      <c r="J1392" s="161">
        <v>11.099888703159195</v>
      </c>
      <c r="K1392" s="79">
        <f t="shared" si="30"/>
        <v>-0.16277125538954351</v>
      </c>
    </row>
    <row r="1393" spans="2:11" x14ac:dyDescent="0.35">
      <c r="B1393" s="149" t="s">
        <v>848</v>
      </c>
      <c r="C1393" s="6" t="s">
        <v>849</v>
      </c>
      <c r="D1393" s="78">
        <v>262.37</v>
      </c>
      <c r="E1393" s="78" t="s">
        <v>850</v>
      </c>
      <c r="F1393" s="160">
        <v>67.469025612472194</v>
      </c>
      <c r="G1393" s="76" t="s">
        <v>40</v>
      </c>
      <c r="H1393" s="76">
        <f t="shared" si="29"/>
        <v>-1.4470256124721885</v>
      </c>
      <c r="I1393" s="78">
        <v>-0.24488888888888888</v>
      </c>
      <c r="J1393" s="161">
        <v>10.484572873761522</v>
      </c>
      <c r="K1393" s="79">
        <f t="shared" si="30"/>
        <v>-0.77808708478721655</v>
      </c>
    </row>
    <row r="1394" spans="2:11" x14ac:dyDescent="0.35">
      <c r="B1394" s="149" t="s">
        <v>848</v>
      </c>
      <c r="C1394" s="6" t="s">
        <v>849</v>
      </c>
      <c r="D1394" s="78">
        <v>262.47000000000003</v>
      </c>
      <c r="E1394" s="78" t="s">
        <v>850</v>
      </c>
      <c r="F1394" s="160">
        <v>67.477778396436506</v>
      </c>
      <c r="G1394" s="76" t="s">
        <v>40</v>
      </c>
      <c r="H1394" s="76">
        <f t="shared" si="29"/>
        <v>-1.4557783964365001</v>
      </c>
      <c r="I1394" s="78">
        <v>-0.39138728868996253</v>
      </c>
      <c r="J1394" s="161">
        <v>11.139957164813609</v>
      </c>
      <c r="K1394" s="79">
        <f t="shared" si="30"/>
        <v>-0.12270279373512949</v>
      </c>
    </row>
    <row r="1395" spans="2:11" x14ac:dyDescent="0.35">
      <c r="B1395" s="149" t="s">
        <v>848</v>
      </c>
      <c r="C1395" s="6" t="s">
        <v>849</v>
      </c>
      <c r="D1395" s="78">
        <v>262.67</v>
      </c>
      <c r="E1395" s="78" t="s">
        <v>850</v>
      </c>
      <c r="F1395" s="160">
        <v>67.495283964365299</v>
      </c>
      <c r="G1395" s="76" t="s">
        <v>40</v>
      </c>
      <c r="H1395" s="76">
        <f t="shared" si="29"/>
        <v>-1.4732839643652937</v>
      </c>
      <c r="I1395" s="78">
        <v>-0.3109823576388222</v>
      </c>
      <c r="J1395" s="161">
        <v>10.779866305021187</v>
      </c>
      <c r="K1395" s="79">
        <f t="shared" si="30"/>
        <v>-0.48279365352755121</v>
      </c>
    </row>
    <row r="1396" spans="2:11" x14ac:dyDescent="0.35">
      <c r="B1396" s="149" t="s">
        <v>848</v>
      </c>
      <c r="C1396" s="6" t="s">
        <v>849</v>
      </c>
      <c r="D1396" s="78">
        <v>262.77000000000004</v>
      </c>
      <c r="E1396" s="78" t="s">
        <v>850</v>
      </c>
      <c r="F1396" s="160">
        <v>67.504036748329597</v>
      </c>
      <c r="G1396" s="76" t="s">
        <v>40</v>
      </c>
      <c r="H1396" s="76">
        <f t="shared" si="29"/>
        <v>-1.4820367483295911</v>
      </c>
      <c r="I1396" s="78">
        <v>-0.33838888888888885</v>
      </c>
      <c r="J1396" s="161">
        <v>10.902499790182731</v>
      </c>
      <c r="K1396" s="79">
        <f t="shared" si="30"/>
        <v>-0.36016016836600784</v>
      </c>
    </row>
    <row r="1397" spans="2:11" x14ac:dyDescent="0.35">
      <c r="B1397" s="149" t="s">
        <v>848</v>
      </c>
      <c r="C1397" s="6" t="s">
        <v>849</v>
      </c>
      <c r="D1397" s="78">
        <v>262.87</v>
      </c>
      <c r="E1397" s="78" t="s">
        <v>850</v>
      </c>
      <c r="F1397" s="160">
        <v>67.512789532293993</v>
      </c>
      <c r="G1397" s="76" t="s">
        <v>40</v>
      </c>
      <c r="H1397" s="76">
        <f t="shared" si="29"/>
        <v>-1.4907895322939879</v>
      </c>
      <c r="I1397" s="78">
        <v>-0.26081423251709451</v>
      </c>
      <c r="J1397" s="161">
        <v>10.555666405301565</v>
      </c>
      <c r="K1397" s="79">
        <f t="shared" si="30"/>
        <v>-0.70699355324717317</v>
      </c>
    </row>
    <row r="1398" spans="2:11" x14ac:dyDescent="0.35">
      <c r="B1398" s="149" t="s">
        <v>848</v>
      </c>
      <c r="C1398" s="6" t="s">
        <v>849</v>
      </c>
      <c r="D1398" s="78">
        <v>263.07</v>
      </c>
      <c r="E1398" s="78" t="s">
        <v>850</v>
      </c>
      <c r="F1398" s="160">
        <v>67.530295100222702</v>
      </c>
      <c r="G1398" s="76" t="s">
        <v>40</v>
      </c>
      <c r="H1398" s="76">
        <f t="shared" si="29"/>
        <v>-1.5082951002226963</v>
      </c>
      <c r="I1398" s="78">
        <v>-0.3585785802296223</v>
      </c>
      <c r="J1398" s="161">
        <v>10.992910684321032</v>
      </c>
      <c r="K1398" s="79">
        <f t="shared" si="30"/>
        <v>-0.26974927422770634</v>
      </c>
    </row>
    <row r="1399" spans="2:11" x14ac:dyDescent="0.35">
      <c r="B1399" s="149" t="s">
        <v>848</v>
      </c>
      <c r="C1399" s="6" t="s">
        <v>849</v>
      </c>
      <c r="D1399" s="78">
        <v>263.14000000000004</v>
      </c>
      <c r="E1399" s="78" t="s">
        <v>850</v>
      </c>
      <c r="F1399" s="160">
        <v>67.536422048997807</v>
      </c>
      <c r="G1399" s="76" t="s">
        <v>40</v>
      </c>
      <c r="H1399" s="76">
        <f t="shared" si="29"/>
        <v>-1.5144220489978011</v>
      </c>
      <c r="I1399" s="78">
        <v>-0.37850000000000039</v>
      </c>
      <c r="J1399" s="161">
        <v>11.082178459854674</v>
      </c>
      <c r="K1399" s="79">
        <f t="shared" si="30"/>
        <v>-0.18048149869406416</v>
      </c>
    </row>
    <row r="1400" spans="2:11" x14ac:dyDescent="0.35">
      <c r="B1400" s="149" t="s">
        <v>848</v>
      </c>
      <c r="C1400" s="6" t="s">
        <v>849</v>
      </c>
      <c r="D1400" s="78">
        <v>263.17</v>
      </c>
      <c r="E1400" s="78" t="s">
        <v>850</v>
      </c>
      <c r="F1400" s="160">
        <v>67.539047884187099</v>
      </c>
      <c r="G1400" s="76" t="s">
        <v>40</v>
      </c>
      <c r="H1400" s="76">
        <f t="shared" si="29"/>
        <v>-1.5170478841870931</v>
      </c>
      <c r="I1400" s="78">
        <v>-0.35988888888888887</v>
      </c>
      <c r="J1400" s="161">
        <v>10.998780392996309</v>
      </c>
      <c r="K1400" s="79">
        <f t="shared" si="30"/>
        <v>-0.26387956555242909</v>
      </c>
    </row>
    <row r="1401" spans="2:11" x14ac:dyDescent="0.35">
      <c r="B1401" s="149" t="s">
        <v>848</v>
      </c>
      <c r="C1401" s="6" t="s">
        <v>849</v>
      </c>
      <c r="D1401" s="78">
        <v>263.24</v>
      </c>
      <c r="E1401" s="78" t="s">
        <v>850</v>
      </c>
      <c r="F1401" s="160">
        <v>67.545174832962104</v>
      </c>
      <c r="G1401" s="76" t="s">
        <v>40</v>
      </c>
      <c r="H1401" s="76">
        <f t="shared" si="29"/>
        <v>-1.5231748329620984</v>
      </c>
      <c r="I1401" s="78">
        <v>-0.19354840253671762</v>
      </c>
      <c r="J1401" s="161">
        <v>10.255630011494645</v>
      </c>
      <c r="K1401" s="79">
        <f t="shared" si="30"/>
        <v>-1.0070299470540931</v>
      </c>
    </row>
    <row r="1402" spans="2:11" x14ac:dyDescent="0.35">
      <c r="B1402" s="149" t="s">
        <v>848</v>
      </c>
      <c r="C1402" s="6" t="s">
        <v>849</v>
      </c>
      <c r="D1402" s="78">
        <v>263.27000000000004</v>
      </c>
      <c r="E1402" s="78" t="s">
        <v>850</v>
      </c>
      <c r="F1402" s="160">
        <v>67.547800668151396</v>
      </c>
      <c r="G1402" s="76" t="s">
        <v>40</v>
      </c>
      <c r="H1402" s="76">
        <f t="shared" si="29"/>
        <v>-1.5258006681513905</v>
      </c>
      <c r="I1402" s="78">
        <v>-0.24828905766781376</v>
      </c>
      <c r="J1402" s="161">
        <v>10.49974873769645</v>
      </c>
      <c r="K1402" s="79">
        <f t="shared" si="30"/>
        <v>-0.76291122085228835</v>
      </c>
    </row>
    <row r="1403" spans="2:11" x14ac:dyDescent="0.35">
      <c r="B1403" s="149" t="s">
        <v>848</v>
      </c>
      <c r="C1403" s="6" t="s">
        <v>849</v>
      </c>
      <c r="D1403" s="78">
        <v>263.44</v>
      </c>
      <c r="E1403" s="78" t="s">
        <v>850</v>
      </c>
      <c r="F1403" s="160">
        <v>67.562680400890898</v>
      </c>
      <c r="G1403" s="76" t="s">
        <v>40</v>
      </c>
      <c r="H1403" s="76">
        <f t="shared" si="29"/>
        <v>-1.5406804008908921</v>
      </c>
      <c r="I1403" s="78">
        <v>-0.22910412164417299</v>
      </c>
      <c r="J1403" s="161">
        <v>10.414143167965392</v>
      </c>
      <c r="K1403" s="79">
        <f t="shared" si="30"/>
        <v>-0.84851679058334639</v>
      </c>
    </row>
    <row r="1404" spans="2:11" x14ac:dyDescent="0.35">
      <c r="B1404" s="149" t="s">
        <v>848</v>
      </c>
      <c r="C1404" s="6" t="s">
        <v>849</v>
      </c>
      <c r="D1404" s="78">
        <v>263.46000000000004</v>
      </c>
      <c r="E1404" s="78" t="s">
        <v>850</v>
      </c>
      <c r="F1404" s="160">
        <v>67.564430957683697</v>
      </c>
      <c r="G1404" s="76" t="s">
        <v>40</v>
      </c>
      <c r="H1404" s="76">
        <f t="shared" si="29"/>
        <v>-1.5424309576836919</v>
      </c>
      <c r="I1404" s="78">
        <v>-0.45056712209575889</v>
      </c>
      <c r="J1404" s="161">
        <v>11.40559475096569</v>
      </c>
      <c r="K1404" s="79">
        <f t="shared" si="30"/>
        <v>0.14293479241695195</v>
      </c>
    </row>
    <row r="1405" spans="2:11" x14ac:dyDescent="0.35">
      <c r="B1405" s="149" t="s">
        <v>848</v>
      </c>
      <c r="C1405" s="6" t="s">
        <v>849</v>
      </c>
      <c r="D1405" s="78">
        <v>263.54000000000002</v>
      </c>
      <c r="E1405" s="78" t="s">
        <v>850</v>
      </c>
      <c r="F1405" s="160">
        <v>67.571433184855195</v>
      </c>
      <c r="G1405" s="76" t="s">
        <v>40</v>
      </c>
      <c r="H1405" s="76">
        <f t="shared" si="29"/>
        <v>-1.5494331848551894</v>
      </c>
      <c r="I1405" s="78">
        <v>-0.32350000000000001</v>
      </c>
      <c r="J1405" s="161">
        <v>10.835864291524445</v>
      </c>
      <c r="K1405" s="79">
        <f t="shared" si="30"/>
        <v>-0.42679566702429383</v>
      </c>
    </row>
    <row r="1406" spans="2:11" x14ac:dyDescent="0.35">
      <c r="B1406" s="149" t="s">
        <v>848</v>
      </c>
      <c r="C1406" s="6" t="s">
        <v>849</v>
      </c>
      <c r="D1406" s="78">
        <v>263.57</v>
      </c>
      <c r="E1406" s="78" t="s">
        <v>850</v>
      </c>
      <c r="F1406" s="160">
        <v>67.574059020044501</v>
      </c>
      <c r="G1406" s="76" t="s">
        <v>40</v>
      </c>
      <c r="H1406" s="76">
        <f t="shared" si="29"/>
        <v>-1.5520590200444957</v>
      </c>
      <c r="I1406" s="78">
        <v>-0.53538888888888891</v>
      </c>
      <c r="J1406" s="161">
        <v>11.787224354857074</v>
      </c>
      <c r="K1406" s="79">
        <f t="shared" si="30"/>
        <v>0.52456439630833529</v>
      </c>
    </row>
    <row r="1407" spans="2:11" x14ac:dyDescent="0.35">
      <c r="B1407" s="149" t="s">
        <v>848</v>
      </c>
      <c r="C1407" s="6" t="s">
        <v>849</v>
      </c>
      <c r="D1407" s="78">
        <v>263.64000000000004</v>
      </c>
      <c r="E1407" s="78" t="s">
        <v>850</v>
      </c>
      <c r="F1407" s="160">
        <v>67.580185968819606</v>
      </c>
      <c r="G1407" s="76" t="s">
        <v>40</v>
      </c>
      <c r="H1407" s="76">
        <f t="shared" si="29"/>
        <v>-1.5581859688196005</v>
      </c>
      <c r="I1407" s="78">
        <v>-0.21114580843462152</v>
      </c>
      <c r="J1407" s="161">
        <v>10.334059237343183</v>
      </c>
      <c r="K1407" s="79">
        <f t="shared" si="30"/>
        <v>-0.92860072120555515</v>
      </c>
    </row>
    <row r="1408" spans="2:11" x14ac:dyDescent="0.35">
      <c r="B1408" s="149" t="s">
        <v>848</v>
      </c>
      <c r="C1408" s="6" t="s">
        <v>849</v>
      </c>
      <c r="D1408" s="78">
        <v>263.67</v>
      </c>
      <c r="E1408" s="78" t="s">
        <v>850</v>
      </c>
      <c r="F1408" s="160">
        <v>67.582811804008898</v>
      </c>
      <c r="G1408" s="76" t="s">
        <v>40</v>
      </c>
      <c r="H1408" s="76">
        <f t="shared" si="29"/>
        <v>-1.5608118040088925</v>
      </c>
      <c r="I1408" s="78">
        <v>-0.21615896515972718</v>
      </c>
      <c r="J1408" s="161">
        <v>10.35641038766363</v>
      </c>
      <c r="K1408" s="79">
        <f t="shared" si="30"/>
        <v>-0.90624957088510882</v>
      </c>
    </row>
    <row r="1409" spans="2:11" x14ac:dyDescent="0.35">
      <c r="B1409" s="149" t="s">
        <v>848</v>
      </c>
      <c r="C1409" s="6" t="s">
        <v>849</v>
      </c>
      <c r="D1409" s="78">
        <v>263.84000000000003</v>
      </c>
      <c r="E1409" s="78" t="s">
        <v>850</v>
      </c>
      <c r="F1409" s="160">
        <v>67.597450749464699</v>
      </c>
      <c r="G1409" s="76" t="s">
        <v>40</v>
      </c>
      <c r="H1409" s="76">
        <f t="shared" si="29"/>
        <v>-1.575450749464693</v>
      </c>
      <c r="I1409" s="78">
        <v>-0.22130733635828551</v>
      </c>
      <c r="J1409" s="161">
        <v>10.379368176853063</v>
      </c>
      <c r="K1409" s="79">
        <f t="shared" si="30"/>
        <v>-0.88329178169567513</v>
      </c>
    </row>
    <row r="1410" spans="2:11" x14ac:dyDescent="0.35">
      <c r="B1410" s="149" t="s">
        <v>848</v>
      </c>
      <c r="C1410" s="6" t="s">
        <v>849</v>
      </c>
      <c r="D1410" s="78">
        <v>263.87</v>
      </c>
      <c r="E1410" s="78" t="s">
        <v>850</v>
      </c>
      <c r="F1410" s="160">
        <v>67.600026766595306</v>
      </c>
      <c r="G1410" s="76" t="s">
        <v>40</v>
      </c>
      <c r="H1410" s="76">
        <f t="shared" si="29"/>
        <v>-1.5780267665953005</v>
      </c>
      <c r="I1410" s="78">
        <v>-0.31497203479051106</v>
      </c>
      <c r="J1410" s="161">
        <v>10.797711751722943</v>
      </c>
      <c r="K1410" s="79">
        <f t="shared" si="30"/>
        <v>-0.4649482068257953</v>
      </c>
    </row>
    <row r="1411" spans="2:11" x14ac:dyDescent="0.35">
      <c r="B1411" s="149" t="s">
        <v>848</v>
      </c>
      <c r="C1411" s="6" t="s">
        <v>849</v>
      </c>
      <c r="D1411" s="78">
        <v>263.94</v>
      </c>
      <c r="E1411" s="78" t="s">
        <v>850</v>
      </c>
      <c r="F1411" s="160">
        <v>67.6060374732334</v>
      </c>
      <c r="G1411" s="76" t="s">
        <v>40</v>
      </c>
      <c r="H1411" s="76">
        <f t="shared" si="29"/>
        <v>-1.5840374732333942</v>
      </c>
      <c r="I1411" s="78">
        <v>-0.44</v>
      </c>
      <c r="J1411" s="161">
        <v>11.358125079232593</v>
      </c>
      <c r="K1411" s="79">
        <f t="shared" si="30"/>
        <v>9.5465120683854821E-2</v>
      </c>
    </row>
    <row r="1412" spans="2:11" x14ac:dyDescent="0.35">
      <c r="B1412" s="149" t="s">
        <v>848</v>
      </c>
      <c r="C1412" s="6" t="s">
        <v>849</v>
      </c>
      <c r="D1412" s="78">
        <v>263.97000000000003</v>
      </c>
      <c r="E1412" s="78" t="s">
        <v>850</v>
      </c>
      <c r="F1412" s="160">
        <v>67.608613490363993</v>
      </c>
      <c r="G1412" s="76" t="s">
        <v>40</v>
      </c>
      <c r="H1412" s="76">
        <f t="shared" si="29"/>
        <v>-1.5866134903639875</v>
      </c>
      <c r="I1412" s="78">
        <v>-0.23813888888888887</v>
      </c>
      <c r="J1412" s="161">
        <v>10.454450779998922</v>
      </c>
      <c r="K1412" s="79">
        <f t="shared" si="30"/>
        <v>-0.80820917854981644</v>
      </c>
    </row>
    <row r="1413" spans="2:11" x14ac:dyDescent="0.35">
      <c r="B1413" s="149" t="s">
        <v>848</v>
      </c>
      <c r="C1413" s="6" t="s">
        <v>849</v>
      </c>
      <c r="D1413" s="78">
        <v>264.04000000000002</v>
      </c>
      <c r="E1413" s="78" t="s">
        <v>850</v>
      </c>
      <c r="F1413" s="160">
        <v>67.614624197002101</v>
      </c>
      <c r="G1413" s="76" t="s">
        <v>40</v>
      </c>
      <c r="H1413" s="76">
        <f t="shared" si="29"/>
        <v>-1.5926241970020953</v>
      </c>
      <c r="I1413" s="78">
        <v>-0.20046165418593179</v>
      </c>
      <c r="J1413" s="161">
        <v>10.286436085747937</v>
      </c>
      <c r="K1413" s="79">
        <f t="shared" si="30"/>
        <v>-0.97622387280080147</v>
      </c>
    </row>
    <row r="1414" spans="2:11" x14ac:dyDescent="0.35">
      <c r="B1414" s="149" t="s">
        <v>848</v>
      </c>
      <c r="C1414" s="6" t="s">
        <v>849</v>
      </c>
      <c r="D1414" s="78">
        <v>264.07</v>
      </c>
      <c r="E1414" s="78" t="s">
        <v>850</v>
      </c>
      <c r="F1414" s="160">
        <v>67.617200214132794</v>
      </c>
      <c r="G1414" s="76" t="s">
        <v>40</v>
      </c>
      <c r="H1414" s="76">
        <f t="shared" si="29"/>
        <v>-1.5952002141327881</v>
      </c>
      <c r="I1414" s="78">
        <v>-0.13233688412795597</v>
      </c>
      <c r="J1414" s="161">
        <v>9.9831670847538021</v>
      </c>
      <c r="K1414" s="79">
        <f t="shared" si="30"/>
        <v>-1.2794928737949363</v>
      </c>
    </row>
    <row r="1415" spans="2:11" x14ac:dyDescent="0.35">
      <c r="B1415" s="149" t="s">
        <v>848</v>
      </c>
      <c r="C1415" s="6" t="s">
        <v>849</v>
      </c>
      <c r="D1415" s="78">
        <v>264.24</v>
      </c>
      <c r="E1415" s="78" t="s">
        <v>850</v>
      </c>
      <c r="F1415" s="160">
        <v>67.631797644539603</v>
      </c>
      <c r="G1415" s="76" t="s">
        <v>40</v>
      </c>
      <c r="H1415" s="76">
        <f t="shared" si="29"/>
        <v>-1.6097976445395972</v>
      </c>
      <c r="I1415" s="78">
        <v>-6.8917572203610861E-2</v>
      </c>
      <c r="J1415" s="161">
        <v>9.7014464526404822</v>
      </c>
      <c r="K1415" s="79">
        <f t="shared" si="30"/>
        <v>-1.5612135059082561</v>
      </c>
    </row>
    <row r="1416" spans="2:11" x14ac:dyDescent="0.35">
      <c r="B1416" s="149" t="s">
        <v>848</v>
      </c>
      <c r="C1416" s="6" t="s">
        <v>849</v>
      </c>
      <c r="D1416" s="78">
        <v>264.27000000000004</v>
      </c>
      <c r="E1416" s="78" t="s">
        <v>850</v>
      </c>
      <c r="F1416" s="160">
        <v>67.634373661670196</v>
      </c>
      <c r="G1416" s="76" t="s">
        <v>40</v>
      </c>
      <c r="H1416" s="76">
        <f t="shared" si="29"/>
        <v>-1.6123736616701905</v>
      </c>
      <c r="I1416" s="78">
        <v>-0.15988610681713059</v>
      </c>
      <c r="J1416" s="161">
        <v>10.10572645717491</v>
      </c>
      <c r="K1416" s="79">
        <f t="shared" si="30"/>
        <v>-1.1569335013738282</v>
      </c>
    </row>
    <row r="1417" spans="2:11" x14ac:dyDescent="0.35">
      <c r="B1417" s="149" t="s">
        <v>848</v>
      </c>
      <c r="C1417" s="6" t="s">
        <v>849</v>
      </c>
      <c r="D1417" s="78">
        <v>264.37</v>
      </c>
      <c r="E1417" s="78" t="s">
        <v>850</v>
      </c>
      <c r="F1417" s="160">
        <v>67.642960385438997</v>
      </c>
      <c r="G1417" s="76" t="s">
        <v>40</v>
      </c>
      <c r="H1417" s="76">
        <f t="shared" si="29"/>
        <v>-1.6209603854389911</v>
      </c>
      <c r="I1417" s="78">
        <v>-0.31213888888888885</v>
      </c>
      <c r="J1417" s="161">
        <v>10.785039121175885</v>
      </c>
      <c r="K1417" s="79">
        <f t="shared" si="30"/>
        <v>-0.47762083737285366</v>
      </c>
    </row>
    <row r="1418" spans="2:11" x14ac:dyDescent="0.35">
      <c r="B1418" s="149" t="s">
        <v>848</v>
      </c>
      <c r="C1418" s="6" t="s">
        <v>849</v>
      </c>
      <c r="D1418" s="78">
        <v>264.43</v>
      </c>
      <c r="E1418" s="78" t="s">
        <v>850</v>
      </c>
      <c r="F1418" s="160">
        <v>67.648112419700198</v>
      </c>
      <c r="G1418" s="76" t="s">
        <v>40</v>
      </c>
      <c r="H1418" s="76">
        <f t="shared" si="29"/>
        <v>-1.6261124197001919</v>
      </c>
      <c r="I1418" s="78">
        <v>-2.6848776064324231E-2</v>
      </c>
      <c r="J1418" s="161">
        <v>9.5148877891186316</v>
      </c>
      <c r="K1418" s="79">
        <f t="shared" si="30"/>
        <v>-1.7477721694301067</v>
      </c>
    </row>
    <row r="1419" spans="2:11" x14ac:dyDescent="0.35">
      <c r="B1419" s="149" t="s">
        <v>848</v>
      </c>
      <c r="C1419" s="6" t="s">
        <v>849</v>
      </c>
      <c r="D1419" s="78">
        <v>264.47000000000003</v>
      </c>
      <c r="E1419" s="78" t="s">
        <v>850</v>
      </c>
      <c r="F1419" s="160">
        <v>67.651547109207698</v>
      </c>
      <c r="G1419" s="76" t="s">
        <v>40</v>
      </c>
      <c r="H1419" s="76">
        <f t="shared" si="29"/>
        <v>-1.6295471092076923</v>
      </c>
      <c r="I1419" s="78">
        <v>-0.18961402387378068</v>
      </c>
      <c r="J1419" s="161">
        <v>10.238101149381521</v>
      </c>
      <c r="K1419" s="79">
        <f t="shared" si="30"/>
        <v>-1.0245588091672175</v>
      </c>
    </row>
    <row r="1420" spans="2:11" x14ac:dyDescent="0.35">
      <c r="B1420" s="149" t="s">
        <v>848</v>
      </c>
      <c r="C1420" s="6" t="s">
        <v>849</v>
      </c>
      <c r="D1420" s="78">
        <v>264.64000000000004</v>
      </c>
      <c r="E1420" s="78" t="s">
        <v>850</v>
      </c>
      <c r="F1420" s="160">
        <v>67.666144539614606</v>
      </c>
      <c r="G1420" s="76" t="s">
        <v>40</v>
      </c>
      <c r="H1420" s="76">
        <f t="shared" si="29"/>
        <v>-1.6441445396146008</v>
      </c>
      <c r="I1420" s="78">
        <v>-0.18192664423977828</v>
      </c>
      <c r="J1420" s="161">
        <v>10.203857974015136</v>
      </c>
      <c r="K1420" s="79">
        <f t="shared" si="30"/>
        <v>-1.0588019845336021</v>
      </c>
    </row>
    <row r="1421" spans="2:11" x14ac:dyDescent="0.35">
      <c r="B1421" s="149" t="s">
        <v>848</v>
      </c>
      <c r="C1421" s="6" t="s">
        <v>849</v>
      </c>
      <c r="D1421" s="78">
        <v>264.67</v>
      </c>
      <c r="E1421" s="78" t="s">
        <v>850</v>
      </c>
      <c r="F1421" s="160">
        <v>67.6687205567452</v>
      </c>
      <c r="G1421" s="76" t="s">
        <v>40</v>
      </c>
      <c r="H1421" s="76">
        <f t="shared" si="29"/>
        <v>-1.6467205567451941</v>
      </c>
      <c r="I1421" s="78">
        <v>-0.74599492322086236</v>
      </c>
      <c r="J1421" s="161">
        <v>12.739363918196375</v>
      </c>
      <c r="K1421" s="79">
        <f t="shared" si="30"/>
        <v>1.4767039596476366</v>
      </c>
    </row>
    <row r="1422" spans="2:11" x14ac:dyDescent="0.35">
      <c r="B1422" s="149" t="s">
        <v>848</v>
      </c>
      <c r="C1422" s="6" t="s">
        <v>849</v>
      </c>
      <c r="D1422" s="78">
        <v>264.74</v>
      </c>
      <c r="E1422" s="78" t="s">
        <v>850</v>
      </c>
      <c r="F1422" s="160">
        <v>67.674731263383293</v>
      </c>
      <c r="G1422" s="76" t="s">
        <v>40</v>
      </c>
      <c r="H1422" s="76">
        <f t="shared" si="29"/>
        <v>-1.6527312633832878</v>
      </c>
      <c r="I1422" s="78">
        <v>-0.24975000000000003</v>
      </c>
      <c r="J1422" s="161">
        <v>10.506269829265591</v>
      </c>
      <c r="K1422" s="79">
        <f t="shared" si="30"/>
        <v>-0.75639012928314742</v>
      </c>
    </row>
    <row r="1423" spans="2:11" x14ac:dyDescent="0.35">
      <c r="B1423" s="149" t="s">
        <v>848</v>
      </c>
      <c r="C1423" s="6" t="s">
        <v>849</v>
      </c>
      <c r="D1423" s="78">
        <v>264.77000000000004</v>
      </c>
      <c r="E1423" s="78" t="s">
        <v>850</v>
      </c>
      <c r="F1423" s="160">
        <v>67.677307280513901</v>
      </c>
      <c r="G1423" s="76" t="s">
        <v>40</v>
      </c>
      <c r="H1423" s="76">
        <f t="shared" si="29"/>
        <v>-1.6553072805138953</v>
      </c>
      <c r="I1423" s="78">
        <v>-0.3681388888888889</v>
      </c>
      <c r="J1423" s="161">
        <v>11.035743155589785</v>
      </c>
      <c r="K1423" s="79">
        <f t="shared" si="30"/>
        <v>-0.22691680295895367</v>
      </c>
    </row>
    <row r="1424" spans="2:11" x14ac:dyDescent="0.35">
      <c r="B1424" s="149" t="s">
        <v>848</v>
      </c>
      <c r="C1424" s="6" t="s">
        <v>849</v>
      </c>
      <c r="D1424" s="78">
        <v>264.84000000000003</v>
      </c>
      <c r="E1424" s="78" t="s">
        <v>850</v>
      </c>
      <c r="F1424" s="160">
        <v>67.683317987151995</v>
      </c>
      <c r="G1424" s="76" t="s">
        <v>40</v>
      </c>
      <c r="H1424" s="76">
        <f t="shared" si="29"/>
        <v>-1.661317987151989</v>
      </c>
      <c r="I1424" s="78">
        <v>-0.28331395131405618</v>
      </c>
      <c r="J1424" s="161">
        <v>10.656171801796177</v>
      </c>
      <c r="K1424" s="79">
        <f t="shared" si="30"/>
        <v>-0.60648815675256174</v>
      </c>
    </row>
    <row r="1425" spans="2:11" x14ac:dyDescent="0.35">
      <c r="B1425" s="149" t="s">
        <v>848</v>
      </c>
      <c r="C1425" s="6" t="s">
        <v>849</v>
      </c>
      <c r="D1425" s="78">
        <v>264.87</v>
      </c>
      <c r="E1425" s="78" t="s">
        <v>850</v>
      </c>
      <c r="F1425" s="160">
        <v>67.685894004282702</v>
      </c>
      <c r="G1425" s="76" t="s">
        <v>40</v>
      </c>
      <c r="H1425" s="76">
        <f t="shared" si="29"/>
        <v>-1.663894004282696</v>
      </c>
      <c r="I1425" s="78">
        <v>-0.3004989165545543</v>
      </c>
      <c r="J1425" s="161">
        <v>10.732985897703259</v>
      </c>
      <c r="K1425" s="79">
        <f t="shared" si="30"/>
        <v>-0.52967406084547974</v>
      </c>
    </row>
    <row r="1426" spans="2:11" x14ac:dyDescent="0.35">
      <c r="B1426" s="149" t="s">
        <v>848</v>
      </c>
      <c r="C1426" s="6" t="s">
        <v>849</v>
      </c>
      <c r="D1426" s="78">
        <v>265.04000000000002</v>
      </c>
      <c r="E1426" s="78" t="s">
        <v>850</v>
      </c>
      <c r="F1426" s="160">
        <v>67.700491434689496</v>
      </c>
      <c r="G1426" s="76" t="s">
        <v>40</v>
      </c>
      <c r="H1426" s="76">
        <f t="shared" si="29"/>
        <v>-1.6784914346894908</v>
      </c>
      <c r="I1426" s="78">
        <v>-0.11756634504691549</v>
      </c>
      <c r="J1426" s="161">
        <v>9.9175018278684206</v>
      </c>
      <c r="K1426" s="79">
        <f t="shared" si="30"/>
        <v>-1.3451581306803178</v>
      </c>
    </row>
    <row r="1427" spans="2:11" x14ac:dyDescent="0.35">
      <c r="B1427" s="149" t="s">
        <v>848</v>
      </c>
      <c r="C1427" s="6" t="s">
        <v>849</v>
      </c>
      <c r="D1427" s="78">
        <v>265.07</v>
      </c>
      <c r="E1427" s="78" t="s">
        <v>850</v>
      </c>
      <c r="F1427" s="160">
        <v>67.703067451820104</v>
      </c>
      <c r="G1427" s="76" t="s">
        <v>40</v>
      </c>
      <c r="H1427" s="76">
        <f t="shared" si="29"/>
        <v>-1.6810674518200983</v>
      </c>
      <c r="I1427" s="78">
        <v>-0.22353243521380609</v>
      </c>
      <c r="J1427" s="161">
        <v>10.389291599534261</v>
      </c>
      <c r="K1427" s="79">
        <f t="shared" si="30"/>
        <v>-0.87336835901447785</v>
      </c>
    </row>
    <row r="1428" spans="2:11" x14ac:dyDescent="0.35">
      <c r="B1428" s="149" t="s">
        <v>848</v>
      </c>
      <c r="C1428" s="6" t="s">
        <v>849</v>
      </c>
      <c r="D1428" s="78">
        <v>265.14000000000004</v>
      </c>
      <c r="E1428" s="78" t="s">
        <v>850</v>
      </c>
      <c r="F1428" s="160">
        <v>67.709078158458198</v>
      </c>
      <c r="G1428" s="76" t="s">
        <v>40</v>
      </c>
      <c r="H1428" s="76">
        <f t="shared" si="29"/>
        <v>-1.687078158458192</v>
      </c>
      <c r="I1428" s="78">
        <v>-0.46224999999999999</v>
      </c>
      <c r="J1428" s="161">
        <v>11.458095651217832</v>
      </c>
      <c r="K1428" s="79">
        <f t="shared" si="30"/>
        <v>0.19543569266909344</v>
      </c>
    </row>
    <row r="1429" spans="2:11" x14ac:dyDescent="0.35">
      <c r="B1429" s="149" t="s">
        <v>848</v>
      </c>
      <c r="C1429" s="6" t="s">
        <v>849</v>
      </c>
      <c r="D1429" s="78">
        <v>265.17</v>
      </c>
      <c r="E1429" s="78" t="s">
        <v>850</v>
      </c>
      <c r="F1429" s="160">
        <v>67.711654175588905</v>
      </c>
      <c r="G1429" s="76" t="s">
        <v>40</v>
      </c>
      <c r="H1429" s="76">
        <f t="shared" ref="H1429:H1492" si="31">66.022-F1429</f>
        <v>-1.689654175588899</v>
      </c>
      <c r="I1429" s="78">
        <v>-0.56588888888888889</v>
      </c>
      <c r="J1429" s="161">
        <v>11.92470804982753</v>
      </c>
      <c r="K1429" s="79">
        <f t="shared" ref="K1429:K1492" si="32">J1429-$J$1214</f>
        <v>0.66204809127879116</v>
      </c>
    </row>
    <row r="1430" spans="2:11" x14ac:dyDescent="0.35">
      <c r="B1430" s="149" t="s">
        <v>848</v>
      </c>
      <c r="C1430" s="6" t="s">
        <v>849</v>
      </c>
      <c r="D1430" s="78">
        <v>265.24</v>
      </c>
      <c r="E1430" s="78" t="s">
        <v>850</v>
      </c>
      <c r="F1430" s="160">
        <v>67.717664882226998</v>
      </c>
      <c r="G1430" s="76" t="s">
        <v>40</v>
      </c>
      <c r="H1430" s="76">
        <f t="shared" si="31"/>
        <v>-1.6956648822269926</v>
      </c>
      <c r="I1430" s="78">
        <v>-0.2033687893688548</v>
      </c>
      <c r="J1430" s="161">
        <v>10.299392606922993</v>
      </c>
      <c r="K1430" s="79">
        <f t="shared" si="32"/>
        <v>-0.9632673516257455</v>
      </c>
    </row>
    <row r="1431" spans="2:11" x14ac:dyDescent="0.35">
      <c r="B1431" s="149" t="s">
        <v>848</v>
      </c>
      <c r="C1431" s="6" t="s">
        <v>849</v>
      </c>
      <c r="D1431" s="78">
        <v>265.27000000000004</v>
      </c>
      <c r="E1431" s="78" t="s">
        <v>850</v>
      </c>
      <c r="F1431" s="160">
        <v>67.720240899357606</v>
      </c>
      <c r="G1431" s="76" t="s">
        <v>40</v>
      </c>
      <c r="H1431" s="76">
        <f t="shared" si="31"/>
        <v>-1.6982408993576001</v>
      </c>
      <c r="I1431" s="78">
        <v>-0.39646396608182816</v>
      </c>
      <c r="J1431" s="161">
        <v>11.162724529705656</v>
      </c>
      <c r="K1431" s="79">
        <f t="shared" si="32"/>
        <v>-9.9935428843082263E-2</v>
      </c>
    </row>
    <row r="1432" spans="2:11" x14ac:dyDescent="0.35">
      <c r="B1432" s="149" t="s">
        <v>848</v>
      </c>
      <c r="C1432" s="6" t="s">
        <v>849</v>
      </c>
      <c r="D1432" s="78">
        <v>265.44</v>
      </c>
      <c r="E1432" s="78" t="s">
        <v>850</v>
      </c>
      <c r="F1432" s="160">
        <v>67.7348383297645</v>
      </c>
      <c r="G1432" s="76" t="s">
        <v>40</v>
      </c>
      <c r="H1432" s="76">
        <f t="shared" si="31"/>
        <v>-1.7128383297644945</v>
      </c>
      <c r="I1432" s="78">
        <v>-0.23805474044554389</v>
      </c>
      <c r="J1432" s="161">
        <v>10.454075306504308</v>
      </c>
      <c r="K1432" s="79">
        <f t="shared" si="32"/>
        <v>-0.80858465204443064</v>
      </c>
    </row>
    <row r="1433" spans="2:11" x14ac:dyDescent="0.35">
      <c r="B1433" s="149" t="s">
        <v>848</v>
      </c>
      <c r="C1433" s="6" t="s">
        <v>849</v>
      </c>
      <c r="D1433" s="78">
        <v>265.47000000000003</v>
      </c>
      <c r="E1433" s="78" t="s">
        <v>850</v>
      </c>
      <c r="F1433" s="160">
        <v>67.737414346895093</v>
      </c>
      <c r="G1433" s="76" t="s">
        <v>40</v>
      </c>
      <c r="H1433" s="76">
        <f t="shared" si="31"/>
        <v>-1.7154143468950878</v>
      </c>
      <c r="I1433" s="78">
        <v>-0.50941030084506878</v>
      </c>
      <c r="J1433" s="161">
        <v>11.67022949744927</v>
      </c>
      <c r="K1433" s="79">
        <f t="shared" si="32"/>
        <v>0.40756953890053182</v>
      </c>
    </row>
    <row r="1434" spans="2:11" x14ac:dyDescent="0.35">
      <c r="B1434" s="149" t="s">
        <v>848</v>
      </c>
      <c r="C1434" s="6" t="s">
        <v>849</v>
      </c>
      <c r="D1434" s="78">
        <v>265.54000000000002</v>
      </c>
      <c r="E1434" s="78" t="s">
        <v>850</v>
      </c>
      <c r="F1434" s="160">
        <v>67.743425053533201</v>
      </c>
      <c r="G1434" s="76" t="s">
        <v>40</v>
      </c>
      <c r="H1434" s="76">
        <f t="shared" si="31"/>
        <v>-1.7214250535331956</v>
      </c>
      <c r="I1434" s="78">
        <v>-0.46550000000000002</v>
      </c>
      <c r="J1434" s="161">
        <v>11.472704161454772</v>
      </c>
      <c r="K1434" s="79">
        <f t="shared" si="32"/>
        <v>0.21004420290603321</v>
      </c>
    </row>
    <row r="1435" spans="2:11" x14ac:dyDescent="0.35">
      <c r="B1435" s="149" t="s">
        <v>848</v>
      </c>
      <c r="C1435" s="6" t="s">
        <v>849</v>
      </c>
      <c r="D1435" s="78">
        <v>265.57</v>
      </c>
      <c r="E1435" s="78" t="s">
        <v>850</v>
      </c>
      <c r="F1435" s="160">
        <v>67.746001070663795</v>
      </c>
      <c r="G1435" s="76" t="s">
        <v>40</v>
      </c>
      <c r="H1435" s="76">
        <f t="shared" si="31"/>
        <v>-1.7240010706637889</v>
      </c>
      <c r="I1435" s="78">
        <v>-0.57863888888888892</v>
      </c>
      <c r="J1435" s="161">
        <v>11.982221317866049</v>
      </c>
      <c r="K1435" s="79">
        <f t="shared" si="32"/>
        <v>0.71956135931731069</v>
      </c>
    </row>
    <row r="1436" spans="2:11" x14ac:dyDescent="0.35">
      <c r="B1436" s="149" t="s">
        <v>848</v>
      </c>
      <c r="C1436" s="6" t="s">
        <v>849</v>
      </c>
      <c r="D1436" s="78">
        <v>265.64000000000004</v>
      </c>
      <c r="E1436" s="78" t="s">
        <v>850</v>
      </c>
      <c r="F1436" s="160">
        <v>67.752011777301902</v>
      </c>
      <c r="G1436" s="76" t="s">
        <v>40</v>
      </c>
      <c r="H1436" s="76">
        <f t="shared" si="31"/>
        <v>-1.7300117773018968</v>
      </c>
      <c r="I1436" s="78">
        <v>-0.20467199590615473</v>
      </c>
      <c r="J1436" s="161">
        <v>10.305201135068671</v>
      </c>
      <c r="K1436" s="79">
        <f t="shared" si="32"/>
        <v>-0.95745882348006717</v>
      </c>
    </row>
    <row r="1437" spans="2:11" x14ac:dyDescent="0.35">
      <c r="B1437" s="149" t="s">
        <v>848</v>
      </c>
      <c r="C1437" s="6" t="s">
        <v>849</v>
      </c>
      <c r="D1437" s="78">
        <v>265.67</v>
      </c>
      <c r="E1437" s="78" t="s">
        <v>850</v>
      </c>
      <c r="F1437" s="160">
        <v>67.754587794432595</v>
      </c>
      <c r="G1437" s="76" t="s">
        <v>40</v>
      </c>
      <c r="H1437" s="76">
        <f t="shared" si="31"/>
        <v>-1.7325877944325896</v>
      </c>
      <c r="I1437" s="78">
        <v>-0.56976101310334293</v>
      </c>
      <c r="J1437" s="161">
        <v>11.942172069353035</v>
      </c>
      <c r="K1437" s="79">
        <f t="shared" si="32"/>
        <v>0.6795121108042963</v>
      </c>
    </row>
    <row r="1438" spans="2:11" x14ac:dyDescent="0.35">
      <c r="B1438" s="149" t="s">
        <v>848</v>
      </c>
      <c r="C1438" s="6" t="s">
        <v>849</v>
      </c>
      <c r="D1438" s="78">
        <v>265.84000000000003</v>
      </c>
      <c r="E1438" s="78" t="s">
        <v>850</v>
      </c>
      <c r="F1438" s="160">
        <v>67.769185224839404</v>
      </c>
      <c r="G1438" s="76" t="s">
        <v>40</v>
      </c>
      <c r="H1438" s="76">
        <f t="shared" si="31"/>
        <v>-1.7471852248393986</v>
      </c>
      <c r="I1438" s="78">
        <v>-0.29610595206301149</v>
      </c>
      <c r="J1438" s="161">
        <v>10.713345954901001</v>
      </c>
      <c r="K1438" s="79">
        <f t="shared" si="32"/>
        <v>-0.54931400364773708</v>
      </c>
    </row>
    <row r="1439" spans="2:11" x14ac:dyDescent="0.35">
      <c r="B1439" s="149" t="s">
        <v>848</v>
      </c>
      <c r="C1439" s="6" t="s">
        <v>849</v>
      </c>
      <c r="D1439" s="78">
        <v>265.87</v>
      </c>
      <c r="E1439" s="78" t="s">
        <v>850</v>
      </c>
      <c r="F1439" s="160">
        <v>67.771761241969998</v>
      </c>
      <c r="G1439" s="76" t="s">
        <v>40</v>
      </c>
      <c r="H1439" s="76">
        <f t="shared" si="31"/>
        <v>-1.7497612419699919</v>
      </c>
      <c r="I1439" s="78">
        <v>-0.35353620389283902</v>
      </c>
      <c r="J1439" s="161">
        <v>10.9703249966405</v>
      </c>
      <c r="K1439" s="79">
        <f t="shared" si="32"/>
        <v>-0.29233496190823871</v>
      </c>
    </row>
    <row r="1440" spans="2:11" x14ac:dyDescent="0.35">
      <c r="B1440" s="149" t="s">
        <v>848</v>
      </c>
      <c r="C1440" s="6" t="s">
        <v>849</v>
      </c>
      <c r="D1440" s="78">
        <v>265.93</v>
      </c>
      <c r="E1440" s="78" t="s">
        <v>850</v>
      </c>
      <c r="F1440" s="160">
        <v>67.776913276231298</v>
      </c>
      <c r="G1440" s="76" t="s">
        <v>40</v>
      </c>
      <c r="H1440" s="76">
        <f t="shared" si="31"/>
        <v>-1.7549132762312922</v>
      </c>
      <c r="I1440" s="78">
        <v>-0.46512500000000012</v>
      </c>
      <c r="J1440" s="161">
        <v>11.471018485159846</v>
      </c>
      <c r="K1440" s="79">
        <f t="shared" si="32"/>
        <v>0.20835852661110721</v>
      </c>
    </row>
    <row r="1441" spans="2:11" x14ac:dyDescent="0.35">
      <c r="B1441" s="149" t="s">
        <v>848</v>
      </c>
      <c r="C1441" s="6" t="s">
        <v>849</v>
      </c>
      <c r="D1441" s="78">
        <v>265.97000000000003</v>
      </c>
      <c r="E1441" s="78" t="s">
        <v>850</v>
      </c>
      <c r="F1441" s="160">
        <v>67.780347965738798</v>
      </c>
      <c r="G1441" s="76" t="s">
        <v>40</v>
      </c>
      <c r="H1441" s="76">
        <f t="shared" si="31"/>
        <v>-1.7583479657387926</v>
      </c>
      <c r="I1441" s="78">
        <v>-0.32838888888888884</v>
      </c>
      <c r="J1441" s="161">
        <v>10.857741047370212</v>
      </c>
      <c r="K1441" s="79">
        <f t="shared" si="32"/>
        <v>-0.40491891117852674</v>
      </c>
    </row>
    <row r="1442" spans="2:11" x14ac:dyDescent="0.35">
      <c r="B1442" s="149" t="s">
        <v>848</v>
      </c>
      <c r="C1442" s="6" t="s">
        <v>849</v>
      </c>
      <c r="D1442" s="78">
        <v>266.04000000000002</v>
      </c>
      <c r="E1442" s="78" t="s">
        <v>850</v>
      </c>
      <c r="F1442" s="160">
        <v>67.786358672376906</v>
      </c>
      <c r="G1442" s="76" t="s">
        <v>40</v>
      </c>
      <c r="H1442" s="76">
        <f t="shared" si="31"/>
        <v>-1.7643586723769005</v>
      </c>
      <c r="I1442" s="78">
        <v>-0.2929216933330101</v>
      </c>
      <c r="J1442" s="161">
        <v>10.699111612680554</v>
      </c>
      <c r="K1442" s="79">
        <f t="shared" si="32"/>
        <v>-0.5635483458681847</v>
      </c>
    </row>
    <row r="1443" spans="2:11" x14ac:dyDescent="0.35">
      <c r="B1443" s="149" t="s">
        <v>848</v>
      </c>
      <c r="C1443" s="6" t="s">
        <v>849</v>
      </c>
      <c r="D1443" s="78">
        <v>266.24</v>
      </c>
      <c r="E1443" s="78" t="s">
        <v>850</v>
      </c>
      <c r="F1443" s="160">
        <v>67.803532119914394</v>
      </c>
      <c r="G1443" s="76" t="s">
        <v>40</v>
      </c>
      <c r="H1443" s="76">
        <f t="shared" si="31"/>
        <v>-1.7815321199143881</v>
      </c>
      <c r="I1443" s="78">
        <v>-0.21809834823092095</v>
      </c>
      <c r="J1443" s="161">
        <v>10.365058099214536</v>
      </c>
      <c r="K1443" s="79">
        <f t="shared" si="32"/>
        <v>-0.89760185933420189</v>
      </c>
    </row>
    <row r="1444" spans="2:11" x14ac:dyDescent="0.35">
      <c r="B1444" s="149" t="s">
        <v>848</v>
      </c>
      <c r="C1444" s="6" t="s">
        <v>849</v>
      </c>
      <c r="D1444" s="78">
        <v>266.27000000000004</v>
      </c>
      <c r="E1444" s="78" t="s">
        <v>850</v>
      </c>
      <c r="F1444" s="160">
        <v>67.806108137045001</v>
      </c>
      <c r="G1444" s="76" t="s">
        <v>40</v>
      </c>
      <c r="H1444" s="76">
        <f t="shared" si="31"/>
        <v>-1.7841081370449956</v>
      </c>
      <c r="I1444" s="78">
        <v>-0.27507812646412488</v>
      </c>
      <c r="J1444" s="161">
        <v>10.619374158645201</v>
      </c>
      <c r="K1444" s="79">
        <f t="shared" si="32"/>
        <v>-0.64328579990353774</v>
      </c>
    </row>
    <row r="1445" spans="2:11" x14ac:dyDescent="0.35">
      <c r="B1445" s="149" t="s">
        <v>848</v>
      </c>
      <c r="C1445" s="6" t="s">
        <v>849</v>
      </c>
      <c r="D1445" s="78">
        <v>266.34000000000003</v>
      </c>
      <c r="E1445" s="78" t="s">
        <v>850</v>
      </c>
      <c r="F1445" s="160">
        <v>67.812118843683095</v>
      </c>
      <c r="G1445" s="76" t="s">
        <v>40</v>
      </c>
      <c r="H1445" s="76">
        <f t="shared" si="31"/>
        <v>-1.7901188436830893</v>
      </c>
      <c r="I1445" s="78">
        <v>-0.47637500000000016</v>
      </c>
      <c r="J1445" s="161">
        <v>11.521597736324793</v>
      </c>
      <c r="K1445" s="79">
        <f t="shared" si="32"/>
        <v>0.25893777777605465</v>
      </c>
    </row>
    <row r="1446" spans="2:11" x14ac:dyDescent="0.35">
      <c r="B1446" s="149" t="s">
        <v>848</v>
      </c>
      <c r="C1446" s="6" t="s">
        <v>849</v>
      </c>
      <c r="D1446" s="78">
        <v>266.37</v>
      </c>
      <c r="E1446" s="78" t="s">
        <v>850</v>
      </c>
      <c r="F1446" s="160">
        <v>67.814694860813702</v>
      </c>
      <c r="G1446" s="76" t="s">
        <v>40</v>
      </c>
      <c r="H1446" s="76">
        <f t="shared" si="31"/>
        <v>-1.7926948608136968</v>
      </c>
      <c r="I1446" s="78">
        <v>-0.43963888888888886</v>
      </c>
      <c r="J1446" s="161">
        <v>11.356503183058919</v>
      </c>
      <c r="K1446" s="79">
        <f t="shared" si="32"/>
        <v>9.3843224510180789E-2</v>
      </c>
    </row>
    <row r="1447" spans="2:11" x14ac:dyDescent="0.35">
      <c r="B1447" s="149" t="s">
        <v>848</v>
      </c>
      <c r="C1447" s="6" t="s">
        <v>849</v>
      </c>
      <c r="D1447" s="78">
        <v>266.44</v>
      </c>
      <c r="E1447" s="78" t="s">
        <v>850</v>
      </c>
      <c r="F1447" s="160">
        <v>67.820705567451796</v>
      </c>
      <c r="G1447" s="76" t="s">
        <v>40</v>
      </c>
      <c r="H1447" s="76">
        <f t="shared" si="31"/>
        <v>-1.7987055674517904</v>
      </c>
      <c r="I1447" s="78">
        <v>-0.26245852344192289</v>
      </c>
      <c r="J1447" s="161">
        <v>10.563008903267701</v>
      </c>
      <c r="K1447" s="79">
        <f t="shared" si="32"/>
        <v>-0.69965105528103777</v>
      </c>
    </row>
    <row r="1448" spans="2:11" x14ac:dyDescent="0.35">
      <c r="B1448" s="149" t="s">
        <v>848</v>
      </c>
      <c r="C1448" s="6" t="s">
        <v>849</v>
      </c>
      <c r="D1448" s="78">
        <v>266.47000000000003</v>
      </c>
      <c r="E1448" s="78" t="s">
        <v>850</v>
      </c>
      <c r="F1448" s="160">
        <v>67.823281584582404</v>
      </c>
      <c r="G1448" s="76" t="s">
        <v>40</v>
      </c>
      <c r="H1448" s="76">
        <f t="shared" si="31"/>
        <v>-1.801281584582398</v>
      </c>
      <c r="I1448" s="78">
        <v>-6.412460133386419E-2</v>
      </c>
      <c r="J1448" s="161">
        <v>9.6801786752781709</v>
      </c>
      <c r="K1448" s="79">
        <f t="shared" si="32"/>
        <v>-1.5824812832705675</v>
      </c>
    </row>
    <row r="1449" spans="2:11" x14ac:dyDescent="0.35">
      <c r="B1449" s="149" t="s">
        <v>848</v>
      </c>
      <c r="C1449" s="6" t="s">
        <v>849</v>
      </c>
      <c r="D1449" s="78">
        <v>266.64000000000004</v>
      </c>
      <c r="E1449" s="78" t="s">
        <v>850</v>
      </c>
      <c r="F1449" s="160">
        <v>67.837879014989298</v>
      </c>
      <c r="G1449" s="76" t="s">
        <v>40</v>
      </c>
      <c r="H1449" s="76">
        <f t="shared" si="31"/>
        <v>-1.8158790149892923</v>
      </c>
      <c r="I1449" s="78">
        <v>-0.19982681534543464</v>
      </c>
      <c r="J1449" s="161">
        <v>10.283606898346818</v>
      </c>
      <c r="K1449" s="79">
        <f t="shared" si="32"/>
        <v>-0.97905306020192029</v>
      </c>
    </row>
    <row r="1450" spans="2:11" x14ac:dyDescent="0.35">
      <c r="B1450" s="149" t="s">
        <v>848</v>
      </c>
      <c r="C1450" s="6" t="s">
        <v>849</v>
      </c>
      <c r="D1450" s="78">
        <v>266.67</v>
      </c>
      <c r="E1450" s="78" t="s">
        <v>850</v>
      </c>
      <c r="F1450" s="160">
        <v>67.840455032119905</v>
      </c>
      <c r="G1450" s="76" t="s">
        <v>40</v>
      </c>
      <c r="H1450" s="76">
        <f t="shared" si="31"/>
        <v>-1.8184550321198998</v>
      </c>
      <c r="I1450" s="78">
        <v>-0.30393063019659017</v>
      </c>
      <c r="J1450" s="161">
        <v>10.748330257991313</v>
      </c>
      <c r="K1450" s="79">
        <f t="shared" si="32"/>
        <v>-0.51432970055742544</v>
      </c>
    </row>
    <row r="1451" spans="2:11" x14ac:dyDescent="0.35">
      <c r="B1451" s="149" t="s">
        <v>848</v>
      </c>
      <c r="C1451" s="6" t="s">
        <v>849</v>
      </c>
      <c r="D1451" s="78">
        <v>266.74</v>
      </c>
      <c r="E1451" s="78" t="s">
        <v>850</v>
      </c>
      <c r="F1451" s="160">
        <v>67.846465738757999</v>
      </c>
      <c r="G1451" s="76" t="s">
        <v>40</v>
      </c>
      <c r="H1451" s="76">
        <f t="shared" si="31"/>
        <v>-1.8244657387579934</v>
      </c>
      <c r="I1451" s="78">
        <v>-0.41212500000000013</v>
      </c>
      <c r="J1451" s="161">
        <v>11.232983248301366</v>
      </c>
      <c r="K1451" s="79">
        <f t="shared" si="32"/>
        <v>-2.9676710247372284E-2</v>
      </c>
    </row>
    <row r="1452" spans="2:11" x14ac:dyDescent="0.35">
      <c r="B1452" s="149" t="s">
        <v>848</v>
      </c>
      <c r="C1452" s="6" t="s">
        <v>849</v>
      </c>
      <c r="D1452" s="78">
        <v>266.77000000000004</v>
      </c>
      <c r="E1452" s="78" t="s">
        <v>850</v>
      </c>
      <c r="F1452" s="160">
        <v>67.849041755888607</v>
      </c>
      <c r="G1452" s="76" t="s">
        <v>40</v>
      </c>
      <c r="H1452" s="76">
        <f t="shared" si="31"/>
        <v>-1.827041755888601</v>
      </c>
      <c r="I1452" s="78">
        <v>-0.38188888888888889</v>
      </c>
      <c r="J1452" s="161">
        <v>11.097369812640011</v>
      </c>
      <c r="K1452" s="79">
        <f t="shared" si="32"/>
        <v>-0.16529014590872748</v>
      </c>
    </row>
    <row r="1453" spans="2:11" x14ac:dyDescent="0.35">
      <c r="B1453" s="149" t="s">
        <v>848</v>
      </c>
      <c r="C1453" s="6" t="s">
        <v>849</v>
      </c>
      <c r="D1453" s="78">
        <v>266.84000000000003</v>
      </c>
      <c r="E1453" s="78" t="s">
        <v>850</v>
      </c>
      <c r="F1453" s="160">
        <v>67.8550524625268</v>
      </c>
      <c r="G1453" s="76" t="s">
        <v>40</v>
      </c>
      <c r="H1453" s="76">
        <f t="shared" si="31"/>
        <v>-1.8330524625267941</v>
      </c>
      <c r="I1453" s="78">
        <v>-0.30086569139456543</v>
      </c>
      <c r="J1453" s="161">
        <v>10.734625791231963</v>
      </c>
      <c r="K1453" s="79">
        <f t="shared" si="32"/>
        <v>-0.52803416731677544</v>
      </c>
    </row>
    <row r="1454" spans="2:11" x14ac:dyDescent="0.35">
      <c r="B1454" s="149" t="s">
        <v>848</v>
      </c>
      <c r="C1454" s="6" t="s">
        <v>849</v>
      </c>
      <c r="D1454" s="78">
        <v>266.87</v>
      </c>
      <c r="E1454" s="78" t="s">
        <v>850</v>
      </c>
      <c r="F1454" s="160">
        <v>67.857628479657393</v>
      </c>
      <c r="G1454" s="76" t="s">
        <v>40</v>
      </c>
      <c r="H1454" s="76">
        <f t="shared" si="31"/>
        <v>-1.8356284796573874</v>
      </c>
      <c r="I1454" s="78">
        <v>-0.36421980308807955</v>
      </c>
      <c r="J1454" s="161">
        <v>11.018183101838758</v>
      </c>
      <c r="K1454" s="79">
        <f t="shared" si="32"/>
        <v>-0.24447685670997998</v>
      </c>
    </row>
    <row r="1455" spans="2:11" x14ac:dyDescent="0.35">
      <c r="B1455" s="149" t="s">
        <v>848</v>
      </c>
      <c r="C1455" s="6" t="s">
        <v>849</v>
      </c>
      <c r="D1455" s="78">
        <v>267.04000000000002</v>
      </c>
      <c r="E1455" s="78" t="s">
        <v>850</v>
      </c>
      <c r="F1455" s="160">
        <v>67.872225910064202</v>
      </c>
      <c r="G1455" s="76" t="s">
        <v>40</v>
      </c>
      <c r="H1455" s="76">
        <f t="shared" si="31"/>
        <v>-1.8502259100641965</v>
      </c>
      <c r="I1455" s="78">
        <v>-9.6531869235609968E-2</v>
      </c>
      <c r="J1455" s="161">
        <v>9.8240432705606509</v>
      </c>
      <c r="K1455" s="79">
        <f t="shared" si="32"/>
        <v>-1.4386166879880875</v>
      </c>
    </row>
    <row r="1456" spans="2:11" x14ac:dyDescent="0.35">
      <c r="B1456" s="149" t="s">
        <v>848</v>
      </c>
      <c r="C1456" s="6" t="s">
        <v>849</v>
      </c>
      <c r="D1456" s="78">
        <v>267.14</v>
      </c>
      <c r="E1456" s="78" t="s">
        <v>850</v>
      </c>
      <c r="F1456" s="160">
        <v>67.880812633833003</v>
      </c>
      <c r="G1456" s="76" t="s">
        <v>40</v>
      </c>
      <c r="H1456" s="76">
        <f t="shared" si="31"/>
        <v>-1.8588126338329971</v>
      </c>
      <c r="I1456" s="78">
        <v>-0.19699790451632707</v>
      </c>
      <c r="J1456" s="161">
        <v>10.271000440393721</v>
      </c>
      <c r="K1456" s="79">
        <f t="shared" si="32"/>
        <v>-0.99165951815501785</v>
      </c>
    </row>
    <row r="1457" spans="2:11" x14ac:dyDescent="0.35">
      <c r="B1457" s="149" t="s">
        <v>848</v>
      </c>
      <c r="C1457" s="6" t="s">
        <v>849</v>
      </c>
      <c r="D1457" s="78">
        <v>267.14000000000004</v>
      </c>
      <c r="E1457" s="78" t="s">
        <v>850</v>
      </c>
      <c r="F1457" s="160">
        <v>67.880812633833003</v>
      </c>
      <c r="G1457" s="76" t="s">
        <v>40</v>
      </c>
      <c r="H1457" s="76">
        <f t="shared" si="31"/>
        <v>-1.8588126338329971</v>
      </c>
      <c r="I1457" s="78">
        <v>-0.53887500000000021</v>
      </c>
      <c r="J1457" s="161">
        <v>11.802931640920804</v>
      </c>
      <c r="K1457" s="79">
        <f t="shared" si="32"/>
        <v>0.54027168237206524</v>
      </c>
    </row>
    <row r="1458" spans="2:11" x14ac:dyDescent="0.35">
      <c r="B1458" s="149" t="s">
        <v>848</v>
      </c>
      <c r="C1458" s="6" t="s">
        <v>849</v>
      </c>
      <c r="D1458" s="78">
        <v>267.24</v>
      </c>
      <c r="E1458" s="78" t="s">
        <v>850</v>
      </c>
      <c r="F1458" s="160">
        <v>67.889399357601704</v>
      </c>
      <c r="G1458" s="76" t="s">
        <v>40</v>
      </c>
      <c r="H1458" s="76">
        <f t="shared" si="31"/>
        <v>-1.8673993576016983</v>
      </c>
      <c r="I1458" s="78">
        <v>-0.17863888888888887</v>
      </c>
      <c r="J1458" s="161">
        <v>10.189215384543161</v>
      </c>
      <c r="K1458" s="79">
        <f t="shared" si="32"/>
        <v>-1.0734445740055776</v>
      </c>
    </row>
    <row r="1459" spans="2:11" x14ac:dyDescent="0.35">
      <c r="B1459" s="149" t="s">
        <v>848</v>
      </c>
      <c r="C1459" s="6" t="s">
        <v>849</v>
      </c>
      <c r="D1459" s="78">
        <v>267.24</v>
      </c>
      <c r="E1459" s="78" t="s">
        <v>850</v>
      </c>
      <c r="F1459" s="160">
        <v>67.889399357601704</v>
      </c>
      <c r="G1459" s="76" t="s">
        <v>40</v>
      </c>
      <c r="H1459" s="76">
        <f t="shared" si="31"/>
        <v>-1.8673993576016983</v>
      </c>
      <c r="I1459" s="78">
        <v>-0.38797143405731205</v>
      </c>
      <c r="J1459" s="161">
        <v>11.124640205499759</v>
      </c>
      <c r="K1459" s="79">
        <f t="shared" si="32"/>
        <v>-0.13801975304897951</v>
      </c>
    </row>
    <row r="1460" spans="2:11" x14ac:dyDescent="0.35">
      <c r="B1460" s="149" t="s">
        <v>848</v>
      </c>
      <c r="C1460" s="6" t="s">
        <v>849</v>
      </c>
      <c r="D1460" s="78">
        <v>267.43</v>
      </c>
      <c r="E1460" s="78" t="s">
        <v>850</v>
      </c>
      <c r="F1460" s="160">
        <v>67.905714132762299</v>
      </c>
      <c r="G1460" s="76" t="s">
        <v>40</v>
      </c>
      <c r="H1460" s="76">
        <f t="shared" si="31"/>
        <v>-1.883714132762293</v>
      </c>
      <c r="I1460" s="78">
        <v>-0.13752915035635738</v>
      </c>
      <c r="J1460" s="161">
        <v>10.006257765737814</v>
      </c>
      <c r="K1460" s="79">
        <f t="shared" si="32"/>
        <v>-1.2564021928109241</v>
      </c>
    </row>
    <row r="1461" spans="2:11" x14ac:dyDescent="0.35">
      <c r="B1461" s="149" t="s">
        <v>848</v>
      </c>
      <c r="C1461" s="6" t="s">
        <v>849</v>
      </c>
      <c r="D1461" s="78">
        <v>267.54000000000002</v>
      </c>
      <c r="E1461" s="78" t="s">
        <v>850</v>
      </c>
      <c r="F1461" s="160">
        <v>67.915159528907907</v>
      </c>
      <c r="G1461" s="76" t="s">
        <v>40</v>
      </c>
      <c r="H1461" s="76">
        <f t="shared" si="31"/>
        <v>-1.8931595289079013</v>
      </c>
      <c r="I1461" s="78">
        <v>-0.43837500000000013</v>
      </c>
      <c r="J1461" s="161">
        <v>11.350826696682702</v>
      </c>
      <c r="K1461" s="79">
        <f t="shared" si="32"/>
        <v>8.8166738133963918E-2</v>
      </c>
    </row>
    <row r="1462" spans="2:11" x14ac:dyDescent="0.35">
      <c r="B1462" s="149" t="s">
        <v>848</v>
      </c>
      <c r="C1462" s="6" t="s">
        <v>849</v>
      </c>
      <c r="D1462" s="78">
        <v>267.64000000000004</v>
      </c>
      <c r="E1462" s="78" t="s">
        <v>850</v>
      </c>
      <c r="F1462" s="160">
        <v>67.923746252676693</v>
      </c>
      <c r="G1462" s="76" t="s">
        <v>40</v>
      </c>
      <c r="H1462" s="76">
        <f t="shared" si="31"/>
        <v>-1.9017462526766877</v>
      </c>
      <c r="I1462" s="78">
        <v>-0.35652614069220467</v>
      </c>
      <c r="J1462" s="161">
        <v>10.983717000711806</v>
      </c>
      <c r="K1462" s="79">
        <f t="shared" si="32"/>
        <v>-0.27894295783693224</v>
      </c>
    </row>
    <row r="1463" spans="2:11" x14ac:dyDescent="0.35">
      <c r="B1463" s="149" t="s">
        <v>848</v>
      </c>
      <c r="C1463" s="6" t="s">
        <v>849</v>
      </c>
      <c r="D1463" s="78">
        <v>267.84000000000003</v>
      </c>
      <c r="E1463" s="78" t="s">
        <v>850</v>
      </c>
      <c r="F1463" s="160">
        <v>67.940919700214096</v>
      </c>
      <c r="G1463" s="76" t="s">
        <v>40</v>
      </c>
      <c r="H1463" s="76">
        <f t="shared" si="31"/>
        <v>-1.9189197002140901</v>
      </c>
      <c r="I1463" s="78">
        <v>-0.24109464287889798</v>
      </c>
      <c r="J1463" s="161">
        <v>10.467640115503968</v>
      </c>
      <c r="K1463" s="79">
        <f t="shared" si="32"/>
        <v>-0.79501984304476991</v>
      </c>
    </row>
    <row r="1464" spans="2:11" x14ac:dyDescent="0.35">
      <c r="B1464" s="149" t="s">
        <v>848</v>
      </c>
      <c r="C1464" s="6" t="s">
        <v>849</v>
      </c>
      <c r="D1464" s="78">
        <v>267.94</v>
      </c>
      <c r="E1464" s="78" t="s">
        <v>850</v>
      </c>
      <c r="F1464" s="160">
        <v>67.949506423982896</v>
      </c>
      <c r="G1464" s="76" t="s">
        <v>40</v>
      </c>
      <c r="H1464" s="76">
        <f t="shared" si="31"/>
        <v>-1.9275064239828907</v>
      </c>
      <c r="I1464" s="78">
        <v>-0.11906292624084266</v>
      </c>
      <c r="J1464" s="161">
        <v>9.924153734933725</v>
      </c>
      <c r="K1464" s="79">
        <f t="shared" si="32"/>
        <v>-1.3385062236150134</v>
      </c>
    </row>
    <row r="1465" spans="2:11" x14ac:dyDescent="0.35">
      <c r="B1465" s="149" t="s">
        <v>848</v>
      </c>
      <c r="C1465" s="6" t="s">
        <v>849</v>
      </c>
      <c r="D1465" s="78">
        <v>268.04000000000002</v>
      </c>
      <c r="E1465" s="78" t="s">
        <v>850</v>
      </c>
      <c r="F1465" s="160">
        <v>67.958093147751597</v>
      </c>
      <c r="G1465" s="76" t="s">
        <v>40</v>
      </c>
      <c r="H1465" s="76">
        <f t="shared" si="31"/>
        <v>-1.9360931477515919</v>
      </c>
      <c r="I1465" s="78">
        <v>-0.28837500000000016</v>
      </c>
      <c r="J1465" s="161">
        <v>10.678789438678052</v>
      </c>
      <c r="K1465" s="79">
        <f t="shared" si="32"/>
        <v>-0.58387051987068617</v>
      </c>
    </row>
    <row r="1466" spans="2:11" x14ac:dyDescent="0.35">
      <c r="B1466" s="149" t="s">
        <v>848</v>
      </c>
      <c r="C1466" s="6" t="s">
        <v>849</v>
      </c>
      <c r="D1466" s="78">
        <v>268.24</v>
      </c>
      <c r="E1466" s="78" t="s">
        <v>850</v>
      </c>
      <c r="F1466" s="160">
        <v>67.975266595289099</v>
      </c>
      <c r="G1466" s="76" t="s">
        <v>40</v>
      </c>
      <c r="H1466" s="76">
        <f t="shared" si="31"/>
        <v>-1.9532665952890937</v>
      </c>
      <c r="I1466" s="78">
        <v>-0.1056688757338228</v>
      </c>
      <c r="J1466" s="161">
        <v>9.8646322009225855</v>
      </c>
      <c r="K1466" s="79">
        <f t="shared" si="32"/>
        <v>-1.3980277576261528</v>
      </c>
    </row>
    <row r="1467" spans="2:11" x14ac:dyDescent="0.35">
      <c r="B1467" s="149" t="s">
        <v>848</v>
      </c>
      <c r="C1467" s="6" t="s">
        <v>849</v>
      </c>
      <c r="D1467" s="78">
        <v>268.34000000000003</v>
      </c>
      <c r="E1467" s="78" t="s">
        <v>850</v>
      </c>
      <c r="F1467" s="160">
        <v>67.9838533190578</v>
      </c>
      <c r="G1467" s="76" t="s">
        <v>40</v>
      </c>
      <c r="H1467" s="76">
        <f t="shared" si="31"/>
        <v>-1.9618533190577949</v>
      </c>
      <c r="I1467" s="78">
        <v>-0.57625000000000037</v>
      </c>
      <c r="J1467" s="161">
        <v>11.971443588953491</v>
      </c>
      <c r="K1467" s="79">
        <f t="shared" si="32"/>
        <v>0.70878363040475278</v>
      </c>
    </row>
    <row r="1468" spans="2:11" x14ac:dyDescent="0.35">
      <c r="B1468" s="149" t="s">
        <v>848</v>
      </c>
      <c r="C1468" s="6" t="s">
        <v>849</v>
      </c>
      <c r="D1468" s="78">
        <v>268.44</v>
      </c>
      <c r="E1468" s="78" t="s">
        <v>850</v>
      </c>
      <c r="F1468" s="160">
        <v>67.994981900452501</v>
      </c>
      <c r="G1468" s="76" t="s">
        <v>40</v>
      </c>
      <c r="H1468" s="76">
        <f t="shared" si="31"/>
        <v>-1.9729819004524956</v>
      </c>
      <c r="I1468" s="78">
        <v>-7.4913966075145333E-2</v>
      </c>
      <c r="J1468" s="161">
        <v>9.7280588087165256</v>
      </c>
      <c r="K1468" s="79">
        <f t="shared" si="32"/>
        <v>-1.5346011498322127</v>
      </c>
    </row>
    <row r="1469" spans="2:11" x14ac:dyDescent="0.35">
      <c r="B1469" s="149" t="s">
        <v>848</v>
      </c>
      <c r="C1469" s="6" t="s">
        <v>849</v>
      </c>
      <c r="D1469" s="78">
        <v>268.64000000000004</v>
      </c>
      <c r="E1469" s="78" t="s">
        <v>850</v>
      </c>
      <c r="F1469" s="160">
        <v>68.018933634992493</v>
      </c>
      <c r="G1469" s="76" t="s">
        <v>40</v>
      </c>
      <c r="H1469" s="76">
        <f t="shared" si="31"/>
        <v>-1.9969336349924873</v>
      </c>
      <c r="I1469" s="78">
        <v>-5.6381877865058022E-2</v>
      </c>
      <c r="J1469" s="161">
        <v>9.6458289761038145</v>
      </c>
      <c r="K1469" s="79">
        <f t="shared" si="32"/>
        <v>-1.6168309824449238</v>
      </c>
    </row>
    <row r="1470" spans="2:11" x14ac:dyDescent="0.35">
      <c r="B1470" s="149" t="s">
        <v>848</v>
      </c>
      <c r="C1470" s="6" t="s">
        <v>849</v>
      </c>
      <c r="D1470" s="78">
        <v>268.74</v>
      </c>
      <c r="E1470" s="78" t="s">
        <v>850</v>
      </c>
      <c r="F1470" s="160">
        <v>68.030909502262404</v>
      </c>
      <c r="G1470" s="76" t="s">
        <v>40</v>
      </c>
      <c r="H1470" s="76">
        <f t="shared" si="31"/>
        <v>-2.008909502262398</v>
      </c>
      <c r="I1470" s="78">
        <v>-0.41675000000000034</v>
      </c>
      <c r="J1470" s="161">
        <v>11.253738831591022</v>
      </c>
      <c r="K1470" s="79">
        <f t="shared" si="32"/>
        <v>-8.9211269577162966E-3</v>
      </c>
    </row>
    <row r="1471" spans="2:11" x14ac:dyDescent="0.35">
      <c r="B1471" s="149" t="s">
        <v>848</v>
      </c>
      <c r="C1471" s="6" t="s">
        <v>849</v>
      </c>
      <c r="D1471" s="78">
        <v>268.84000000000003</v>
      </c>
      <c r="E1471" s="78" t="s">
        <v>850</v>
      </c>
      <c r="F1471" s="160">
        <v>68.042885369532399</v>
      </c>
      <c r="G1471" s="76" t="s">
        <v>40</v>
      </c>
      <c r="H1471" s="76">
        <f t="shared" si="31"/>
        <v>-2.0208853695323938</v>
      </c>
      <c r="I1471" s="78">
        <v>-0.11561096395663825</v>
      </c>
      <c r="J1471" s="161">
        <v>9.9088111628277034</v>
      </c>
      <c r="K1471" s="79">
        <f t="shared" si="32"/>
        <v>-1.353848795721035</v>
      </c>
    </row>
    <row r="1472" spans="2:11" x14ac:dyDescent="0.35">
      <c r="B1472" s="149" t="s">
        <v>848</v>
      </c>
      <c r="C1472" s="6" t="s">
        <v>849</v>
      </c>
      <c r="D1472" s="78">
        <v>269.04000000000002</v>
      </c>
      <c r="E1472" s="78" t="s">
        <v>850</v>
      </c>
      <c r="F1472" s="160">
        <v>68.066837104072405</v>
      </c>
      <c r="G1472" s="76" t="s">
        <v>40</v>
      </c>
      <c r="H1472" s="76">
        <f t="shared" si="31"/>
        <v>-2.0448371040723998</v>
      </c>
      <c r="I1472" s="78">
        <v>-0.27875000000000039</v>
      </c>
      <c r="J1472" s="161">
        <v>10.63577886337481</v>
      </c>
      <c r="K1472" s="79">
        <f t="shared" si="32"/>
        <v>-0.62688109517392832</v>
      </c>
    </row>
    <row r="1473" spans="2:11" x14ac:dyDescent="0.35">
      <c r="B1473" s="149" t="s">
        <v>848</v>
      </c>
      <c r="C1473" s="6" t="s">
        <v>849</v>
      </c>
      <c r="D1473" s="78">
        <v>269.14000000000004</v>
      </c>
      <c r="E1473" s="78" t="s">
        <v>850</v>
      </c>
      <c r="F1473" s="160">
        <v>68.078812971342401</v>
      </c>
      <c r="G1473" s="76" t="s">
        <v>40</v>
      </c>
      <c r="H1473" s="76">
        <f t="shared" si="31"/>
        <v>-2.0568129713423957</v>
      </c>
      <c r="I1473" s="78">
        <v>-0.23208942800705748</v>
      </c>
      <c r="J1473" s="161">
        <v>10.427460473400458</v>
      </c>
      <c r="K1473" s="79">
        <f t="shared" si="32"/>
        <v>-0.83519948514828002</v>
      </c>
    </row>
    <row r="1474" spans="2:11" x14ac:dyDescent="0.35">
      <c r="B1474" s="149" t="s">
        <v>848</v>
      </c>
      <c r="C1474" s="6" t="s">
        <v>849</v>
      </c>
      <c r="D1474" s="78">
        <v>269.24</v>
      </c>
      <c r="E1474" s="78" t="s">
        <v>850</v>
      </c>
      <c r="F1474" s="160">
        <v>68.090788838612397</v>
      </c>
      <c r="G1474" s="76" t="s">
        <v>40</v>
      </c>
      <c r="H1474" s="76">
        <f t="shared" si="31"/>
        <v>-2.0687888386123916</v>
      </c>
      <c r="I1474" s="78">
        <v>-0.34150000000000036</v>
      </c>
      <c r="J1474" s="161">
        <v>10.916427701143675</v>
      </c>
      <c r="K1474" s="79">
        <f t="shared" si="32"/>
        <v>-0.34623225740506314</v>
      </c>
    </row>
    <row r="1475" spans="2:11" x14ac:dyDescent="0.35">
      <c r="B1475" s="149" t="s">
        <v>848</v>
      </c>
      <c r="C1475" s="6" t="s">
        <v>849</v>
      </c>
      <c r="D1475" s="78">
        <v>269.34000000000003</v>
      </c>
      <c r="E1475" s="78" t="s">
        <v>850</v>
      </c>
      <c r="F1475" s="160">
        <v>68.102764705882393</v>
      </c>
      <c r="G1475" s="76" t="s">
        <v>40</v>
      </c>
      <c r="H1475" s="76">
        <f t="shared" si="31"/>
        <v>-2.0807647058823875</v>
      </c>
      <c r="I1475" s="78">
        <v>-0.15645516009000388</v>
      </c>
      <c r="J1475" s="161">
        <v>10.090457093771363</v>
      </c>
      <c r="K1475" s="79">
        <f t="shared" si="32"/>
        <v>-1.1722028647773755</v>
      </c>
    </row>
    <row r="1476" spans="2:11" x14ac:dyDescent="0.35">
      <c r="B1476" s="149" t="s">
        <v>848</v>
      </c>
      <c r="C1476" s="6" t="s">
        <v>849</v>
      </c>
      <c r="D1476" s="78">
        <v>269.34000000000003</v>
      </c>
      <c r="E1476" s="78" t="s">
        <v>850</v>
      </c>
      <c r="F1476" s="160">
        <v>68.102764705882393</v>
      </c>
      <c r="G1476" s="76" t="s">
        <v>40</v>
      </c>
      <c r="H1476" s="76">
        <f t="shared" si="31"/>
        <v>-2.0807647058823875</v>
      </c>
      <c r="I1476" s="78">
        <v>-0.14607693656140477</v>
      </c>
      <c r="J1476" s="161">
        <v>10.044279345133759</v>
      </c>
      <c r="K1476" s="79">
        <f t="shared" si="32"/>
        <v>-1.2183806134149791</v>
      </c>
    </row>
    <row r="1477" spans="2:11" x14ac:dyDescent="0.35">
      <c r="B1477" s="149" t="s">
        <v>848</v>
      </c>
      <c r="C1477" s="6" t="s">
        <v>849</v>
      </c>
      <c r="D1477" s="78">
        <v>269.44</v>
      </c>
      <c r="E1477" s="78" t="s">
        <v>850</v>
      </c>
      <c r="F1477" s="160">
        <v>68.114740573152304</v>
      </c>
      <c r="G1477" s="76" t="s">
        <v>40</v>
      </c>
      <c r="H1477" s="76">
        <f t="shared" si="31"/>
        <v>-2.0927405731522981</v>
      </c>
      <c r="I1477" s="78">
        <v>-0.30015625000000035</v>
      </c>
      <c r="J1477" s="161">
        <v>10.731453812824725</v>
      </c>
      <c r="K1477" s="79">
        <f t="shared" si="32"/>
        <v>-0.53120614572401337</v>
      </c>
    </row>
    <row r="1478" spans="2:11" x14ac:dyDescent="0.35">
      <c r="B1478" s="149" t="s">
        <v>848</v>
      </c>
      <c r="C1478" s="6" t="s">
        <v>849</v>
      </c>
      <c r="D1478" s="78">
        <v>269.54000000000002</v>
      </c>
      <c r="E1478" s="78" t="s">
        <v>850</v>
      </c>
      <c r="F1478" s="160">
        <v>68.1267164404223</v>
      </c>
      <c r="G1478" s="76" t="s">
        <v>40</v>
      </c>
      <c r="H1478" s="76">
        <f t="shared" si="31"/>
        <v>-2.104716440422294</v>
      </c>
      <c r="I1478" s="78">
        <v>-0.14464900490872717</v>
      </c>
      <c r="J1478" s="161">
        <v>10.037927000682373</v>
      </c>
      <c r="K1478" s="79">
        <f t="shared" si="32"/>
        <v>-1.2247329578663653</v>
      </c>
    </row>
    <row r="1479" spans="2:11" x14ac:dyDescent="0.35">
      <c r="B1479" s="149" t="s">
        <v>848</v>
      </c>
      <c r="C1479" s="6" t="s">
        <v>849</v>
      </c>
      <c r="D1479" s="78">
        <v>269.54000000000002</v>
      </c>
      <c r="E1479" s="78" t="s">
        <v>850</v>
      </c>
      <c r="F1479" s="160">
        <v>68.1267164404223</v>
      </c>
      <c r="G1479" s="76" t="s">
        <v>40</v>
      </c>
      <c r="H1479" s="76">
        <f t="shared" si="31"/>
        <v>-2.104716440422294</v>
      </c>
      <c r="I1479" s="78">
        <v>-0.11752654976391175</v>
      </c>
      <c r="J1479" s="161">
        <v>9.9173249527763687</v>
      </c>
      <c r="K1479" s="79">
        <f t="shared" si="32"/>
        <v>-1.3453350057723696</v>
      </c>
    </row>
    <row r="1480" spans="2:11" x14ac:dyDescent="0.35">
      <c r="B1480" s="149" t="s">
        <v>848</v>
      </c>
      <c r="C1480" s="6" t="s">
        <v>849</v>
      </c>
      <c r="D1480" s="78">
        <v>269.64000000000004</v>
      </c>
      <c r="E1480" s="78" t="s">
        <v>850</v>
      </c>
      <c r="F1480" s="160">
        <v>68.138692307692295</v>
      </c>
      <c r="G1480" s="76" t="s">
        <v>40</v>
      </c>
      <c r="H1480" s="76">
        <f t="shared" si="31"/>
        <v>-2.1166923076922899</v>
      </c>
      <c r="I1480" s="78">
        <v>-0.33375000000000032</v>
      </c>
      <c r="J1480" s="161">
        <v>10.881734896902685</v>
      </c>
      <c r="K1480" s="79">
        <f t="shared" si="32"/>
        <v>-0.38092506164605311</v>
      </c>
    </row>
    <row r="1481" spans="2:11" x14ac:dyDescent="0.35">
      <c r="B1481" s="149" t="s">
        <v>848</v>
      </c>
      <c r="C1481" s="6" t="s">
        <v>849</v>
      </c>
      <c r="D1481" s="78">
        <v>269.74</v>
      </c>
      <c r="E1481" s="78" t="s">
        <v>850</v>
      </c>
      <c r="F1481" s="160">
        <v>68.150668174962306</v>
      </c>
      <c r="G1481" s="76" t="s">
        <v>40</v>
      </c>
      <c r="H1481" s="76">
        <f t="shared" si="31"/>
        <v>-2.1286681749623</v>
      </c>
      <c r="I1481" s="78">
        <v>-0.4145585240982198</v>
      </c>
      <c r="J1481" s="161">
        <v>11.24390376939715</v>
      </c>
      <c r="K1481" s="79">
        <f t="shared" si="32"/>
        <v>-1.8756189151588387E-2</v>
      </c>
    </row>
    <row r="1482" spans="2:11" x14ac:dyDescent="0.35">
      <c r="B1482" s="149" t="s">
        <v>848</v>
      </c>
      <c r="C1482" s="6" t="s">
        <v>849</v>
      </c>
      <c r="D1482" s="78">
        <v>269.74</v>
      </c>
      <c r="E1482" s="78" t="s">
        <v>850</v>
      </c>
      <c r="F1482" s="160">
        <v>68.150668174962306</v>
      </c>
      <c r="G1482" s="76" t="s">
        <v>40</v>
      </c>
      <c r="H1482" s="76">
        <f t="shared" si="31"/>
        <v>-2.1286681749623</v>
      </c>
      <c r="I1482" s="78">
        <v>-0.1428908587344688</v>
      </c>
      <c r="J1482" s="161">
        <v>10.030106056782415</v>
      </c>
      <c r="K1482" s="79">
        <f t="shared" si="32"/>
        <v>-1.2325539017663232</v>
      </c>
    </row>
    <row r="1483" spans="2:11" x14ac:dyDescent="0.35">
      <c r="B1483" s="149" t="s">
        <v>848</v>
      </c>
      <c r="C1483" s="6" t="s">
        <v>849</v>
      </c>
      <c r="D1483" s="78">
        <v>269.84000000000003</v>
      </c>
      <c r="E1483" s="78" t="s">
        <v>850</v>
      </c>
      <c r="F1483" s="160">
        <v>68.162644042232301</v>
      </c>
      <c r="G1483" s="76" t="s">
        <v>40</v>
      </c>
      <c r="H1483" s="76">
        <f t="shared" si="31"/>
        <v>-2.1406440422322959</v>
      </c>
      <c r="I1483" s="78">
        <v>-0.33940625000000035</v>
      </c>
      <c r="J1483" s="161">
        <v>10.907054186365144</v>
      </c>
      <c r="K1483" s="79">
        <f t="shared" si="32"/>
        <v>-0.35560577218359413</v>
      </c>
    </row>
    <row r="1484" spans="2:11" x14ac:dyDescent="0.35">
      <c r="B1484" s="149" t="s">
        <v>848</v>
      </c>
      <c r="C1484" s="6" t="s">
        <v>849</v>
      </c>
      <c r="D1484" s="78">
        <v>269.94</v>
      </c>
      <c r="E1484" s="78" t="s">
        <v>850</v>
      </c>
      <c r="F1484" s="160">
        <v>68.174619909502297</v>
      </c>
      <c r="G1484" s="76" t="s">
        <v>40</v>
      </c>
      <c r="H1484" s="76">
        <f t="shared" si="31"/>
        <v>-2.1526199095022918</v>
      </c>
      <c r="I1484" s="78">
        <v>-0.21865198443943668</v>
      </c>
      <c r="J1484" s="161">
        <v>10.367526863638432</v>
      </c>
      <c r="K1484" s="79">
        <f t="shared" si="32"/>
        <v>-0.89513309491030668</v>
      </c>
    </row>
    <row r="1485" spans="2:11" x14ac:dyDescent="0.35">
      <c r="B1485" s="149" t="s">
        <v>848</v>
      </c>
      <c r="C1485" s="6" t="s">
        <v>849</v>
      </c>
      <c r="D1485" s="78">
        <v>269.94</v>
      </c>
      <c r="E1485" s="78" t="s">
        <v>850</v>
      </c>
      <c r="F1485" s="160">
        <v>68.174619909502297</v>
      </c>
      <c r="G1485" s="76" t="s">
        <v>40</v>
      </c>
      <c r="H1485" s="76">
        <f t="shared" si="31"/>
        <v>-2.1526199095022918</v>
      </c>
      <c r="I1485" s="78">
        <v>-0.40081390424961738</v>
      </c>
      <c r="J1485" s="161">
        <v>11.182235681838733</v>
      </c>
      <c r="K1485" s="79">
        <f t="shared" si="32"/>
        <v>-8.042427671000496E-2</v>
      </c>
    </row>
    <row r="1486" spans="2:11" x14ac:dyDescent="0.35">
      <c r="B1486" s="149" t="s">
        <v>848</v>
      </c>
      <c r="C1486" s="6" t="s">
        <v>849</v>
      </c>
      <c r="D1486" s="78">
        <v>270.04000000000002</v>
      </c>
      <c r="E1486" s="78" t="s">
        <v>850</v>
      </c>
      <c r="F1486" s="160">
        <v>68.186595776772293</v>
      </c>
      <c r="G1486" s="76" t="s">
        <v>40</v>
      </c>
      <c r="H1486" s="76">
        <f t="shared" si="31"/>
        <v>-2.1645957767722876</v>
      </c>
      <c r="I1486" s="78">
        <v>-0.27750000000000036</v>
      </c>
      <c r="J1486" s="161">
        <v>10.630194061113798</v>
      </c>
      <c r="K1486" s="79">
        <f t="shared" si="32"/>
        <v>-0.63246589743494042</v>
      </c>
    </row>
    <row r="1487" spans="2:11" x14ac:dyDescent="0.35">
      <c r="B1487" s="149" t="s">
        <v>848</v>
      </c>
      <c r="C1487" s="6" t="s">
        <v>849</v>
      </c>
      <c r="D1487" s="78">
        <v>270.14</v>
      </c>
      <c r="E1487" s="78" t="s">
        <v>850</v>
      </c>
      <c r="F1487" s="160">
        <v>68.198571644042204</v>
      </c>
      <c r="G1487" s="76" t="s">
        <v>40</v>
      </c>
      <c r="H1487" s="76">
        <f t="shared" si="31"/>
        <v>-2.1765716440421983</v>
      </c>
      <c r="I1487" s="78">
        <v>-0.24175597771558086</v>
      </c>
      <c r="J1487" s="161">
        <v>10.470591335149379</v>
      </c>
      <c r="K1487" s="79">
        <f t="shared" si="32"/>
        <v>-0.79206862339935924</v>
      </c>
    </row>
    <row r="1488" spans="2:11" x14ac:dyDescent="0.35">
      <c r="B1488" s="149" t="s">
        <v>848</v>
      </c>
      <c r="C1488" s="6" t="s">
        <v>849</v>
      </c>
      <c r="D1488" s="78">
        <v>270.14000000000004</v>
      </c>
      <c r="E1488" s="78" t="s">
        <v>850</v>
      </c>
      <c r="F1488" s="160">
        <v>68.198571644042204</v>
      </c>
      <c r="G1488" s="76" t="s">
        <v>40</v>
      </c>
      <c r="H1488" s="76">
        <f t="shared" si="31"/>
        <v>-2.1765716440421983</v>
      </c>
      <c r="I1488" s="78">
        <v>-0.26639887009984486</v>
      </c>
      <c r="J1488" s="161">
        <v>10.580605917883418</v>
      </c>
      <c r="K1488" s="79">
        <f t="shared" si="32"/>
        <v>-0.68205404066532083</v>
      </c>
    </row>
    <row r="1489" spans="2:11" x14ac:dyDescent="0.35">
      <c r="B1489" s="149" t="s">
        <v>848</v>
      </c>
      <c r="C1489" s="6" t="s">
        <v>849</v>
      </c>
      <c r="D1489" s="78">
        <v>270.24</v>
      </c>
      <c r="E1489" s="78" t="s">
        <v>850</v>
      </c>
      <c r="F1489" s="160">
        <v>68.2105475113122</v>
      </c>
      <c r="G1489" s="76" t="s">
        <v>40</v>
      </c>
      <c r="H1489" s="76">
        <f t="shared" si="31"/>
        <v>-2.1885475113121942</v>
      </c>
      <c r="I1489" s="78">
        <v>-0.28990625000000037</v>
      </c>
      <c r="J1489" s="161">
        <v>10.685633270470191</v>
      </c>
      <c r="K1489" s="79">
        <f t="shared" si="32"/>
        <v>-0.57702668807854707</v>
      </c>
    </row>
    <row r="1490" spans="2:11" x14ac:dyDescent="0.35">
      <c r="B1490" s="149" t="s">
        <v>848</v>
      </c>
      <c r="C1490" s="6" t="s">
        <v>849</v>
      </c>
      <c r="D1490" s="78">
        <v>270.34000000000003</v>
      </c>
      <c r="E1490" s="78" t="s">
        <v>850</v>
      </c>
      <c r="F1490" s="160">
        <v>68.222523378582196</v>
      </c>
      <c r="G1490" s="76" t="s">
        <v>40</v>
      </c>
      <c r="H1490" s="76">
        <f t="shared" si="31"/>
        <v>-2.20052337858219</v>
      </c>
      <c r="I1490" s="78">
        <v>-0.34931617891324263</v>
      </c>
      <c r="J1490" s="161">
        <v>10.951425612167213</v>
      </c>
      <c r="K1490" s="79">
        <f t="shared" si="32"/>
        <v>-0.31123434638152503</v>
      </c>
    </row>
    <row r="1491" spans="2:11" x14ac:dyDescent="0.35">
      <c r="B1491" s="149" t="s">
        <v>848</v>
      </c>
      <c r="C1491" s="6" t="s">
        <v>849</v>
      </c>
      <c r="D1491" s="78">
        <v>270.34000000000003</v>
      </c>
      <c r="E1491" s="78" t="s">
        <v>850</v>
      </c>
      <c r="F1491" s="160">
        <v>68.222523378582196</v>
      </c>
      <c r="G1491" s="76" t="s">
        <v>40</v>
      </c>
      <c r="H1491" s="76">
        <f t="shared" si="31"/>
        <v>-2.20052337858219</v>
      </c>
      <c r="I1491" s="78">
        <v>-0.14196510520351749</v>
      </c>
      <c r="J1491" s="161">
        <v>10.025988110517574</v>
      </c>
      <c r="K1491" s="79">
        <f t="shared" si="32"/>
        <v>-1.2366718480311647</v>
      </c>
    </row>
    <row r="1492" spans="2:11" x14ac:dyDescent="0.35">
      <c r="B1492" s="149" t="s">
        <v>848</v>
      </c>
      <c r="C1492" s="6" t="s">
        <v>849</v>
      </c>
      <c r="D1492" s="78">
        <v>270.54000000000002</v>
      </c>
      <c r="E1492" s="78" t="s">
        <v>850</v>
      </c>
      <c r="F1492" s="160">
        <v>68.246475113122202</v>
      </c>
      <c r="G1492" s="76" t="s">
        <v>40</v>
      </c>
      <c r="H1492" s="76">
        <f t="shared" si="31"/>
        <v>-2.224475113122196</v>
      </c>
      <c r="I1492" s="78">
        <v>-0.35360113197929155</v>
      </c>
      <c r="J1492" s="161">
        <v>10.970615797381129</v>
      </c>
      <c r="K1492" s="79">
        <f t="shared" si="32"/>
        <v>-0.29204416116760967</v>
      </c>
    </row>
    <row r="1493" spans="2:11" x14ac:dyDescent="0.35">
      <c r="B1493" s="149" t="s">
        <v>848</v>
      </c>
      <c r="C1493" s="6" t="s">
        <v>849</v>
      </c>
      <c r="D1493" s="78">
        <v>270.54000000000002</v>
      </c>
      <c r="E1493" s="78" t="s">
        <v>850</v>
      </c>
      <c r="F1493" s="160">
        <v>68.246475113122202</v>
      </c>
      <c r="G1493" s="76" t="s">
        <v>40</v>
      </c>
      <c r="H1493" s="76">
        <f t="shared" ref="H1493:H1528" si="33">66.022-F1493</f>
        <v>-2.224475113122196</v>
      </c>
      <c r="I1493" s="78">
        <v>-0.29900773668449421</v>
      </c>
      <c r="J1493" s="161">
        <v>10.726318858086699</v>
      </c>
      <c r="K1493" s="79">
        <f t="shared" ref="K1493:K1528" si="34">J1493-$J$1214</f>
        <v>-0.53634110046203887</v>
      </c>
    </row>
    <row r="1494" spans="2:11" x14ac:dyDescent="0.35">
      <c r="B1494" s="149" t="s">
        <v>848</v>
      </c>
      <c r="C1494" s="6" t="s">
        <v>849</v>
      </c>
      <c r="D1494" s="78">
        <v>270.64000000000004</v>
      </c>
      <c r="E1494" s="78" t="s">
        <v>850</v>
      </c>
      <c r="F1494" s="160">
        <v>68.258450980392197</v>
      </c>
      <c r="G1494" s="76" t="s">
        <v>40</v>
      </c>
      <c r="H1494" s="76">
        <f t="shared" si="33"/>
        <v>-2.2364509803921919</v>
      </c>
      <c r="I1494" s="78">
        <v>-0.48066666666666708</v>
      </c>
      <c r="J1494" s="161">
        <v>11.54089767129409</v>
      </c>
      <c r="K1494" s="79">
        <f t="shared" si="34"/>
        <v>0.27823771274535147</v>
      </c>
    </row>
    <row r="1495" spans="2:11" x14ac:dyDescent="0.35">
      <c r="B1495" s="149" t="s">
        <v>848</v>
      </c>
      <c r="C1495" s="6" t="s">
        <v>849</v>
      </c>
      <c r="D1495" s="78">
        <v>270.74</v>
      </c>
      <c r="E1495" s="78" t="s">
        <v>850</v>
      </c>
      <c r="F1495" s="160">
        <v>68.270426847662094</v>
      </c>
      <c r="G1495" s="76" t="s">
        <v>40</v>
      </c>
      <c r="H1495" s="76">
        <f t="shared" si="33"/>
        <v>-2.2484268476620883</v>
      </c>
      <c r="I1495" s="78">
        <v>-0.26865625000000037</v>
      </c>
      <c r="J1495" s="161">
        <v>10.590688062704885</v>
      </c>
      <c r="K1495" s="79">
        <f t="shared" si="34"/>
        <v>-0.67197189584385342</v>
      </c>
    </row>
    <row r="1496" spans="2:11" x14ac:dyDescent="0.35">
      <c r="B1496" s="149" t="s">
        <v>848</v>
      </c>
      <c r="C1496" s="6" t="s">
        <v>849</v>
      </c>
      <c r="D1496" s="78">
        <v>270.74</v>
      </c>
      <c r="E1496" s="78" t="s">
        <v>850</v>
      </c>
      <c r="F1496" s="160">
        <v>68.270426847662094</v>
      </c>
      <c r="G1496" s="76" t="s">
        <v>40</v>
      </c>
      <c r="H1496" s="76">
        <f t="shared" si="33"/>
        <v>-2.2484268476620883</v>
      </c>
      <c r="I1496" s="78">
        <v>-8.6365478299144038E-2</v>
      </c>
      <c r="J1496" s="161">
        <v>9.778895667152085</v>
      </c>
      <c r="K1496" s="79">
        <f t="shared" si="34"/>
        <v>-1.4837642913966533</v>
      </c>
    </row>
    <row r="1497" spans="2:11" x14ac:dyDescent="0.35">
      <c r="B1497" s="149" t="s">
        <v>848</v>
      </c>
      <c r="C1497" s="6" t="s">
        <v>849</v>
      </c>
      <c r="D1497" s="78">
        <v>270.84000000000003</v>
      </c>
      <c r="E1497" s="78" t="s">
        <v>850</v>
      </c>
      <c r="F1497" s="160">
        <v>68.282402714932104</v>
      </c>
      <c r="G1497" s="76" t="s">
        <v>40</v>
      </c>
      <c r="H1497" s="76">
        <f t="shared" si="33"/>
        <v>-2.2604027149320984</v>
      </c>
      <c r="I1497" s="78">
        <v>-0.20604390422108682</v>
      </c>
      <c r="J1497" s="161">
        <v>10.311316139640724</v>
      </c>
      <c r="K1497" s="79">
        <f t="shared" si="34"/>
        <v>-0.95134381890801478</v>
      </c>
    </row>
    <row r="1498" spans="2:11" x14ac:dyDescent="0.35">
      <c r="B1498" s="149" t="s">
        <v>848</v>
      </c>
      <c r="C1498" s="6" t="s">
        <v>849</v>
      </c>
      <c r="D1498" s="78">
        <v>270.94</v>
      </c>
      <c r="E1498" s="78" t="s">
        <v>850</v>
      </c>
      <c r="F1498" s="160">
        <v>68.2943785822021</v>
      </c>
      <c r="G1498" s="76" t="s">
        <v>40</v>
      </c>
      <c r="H1498" s="76">
        <f t="shared" si="33"/>
        <v>-2.2723785822020943</v>
      </c>
      <c r="I1498" s="78">
        <v>-0.23982271129513108</v>
      </c>
      <c r="J1498" s="161">
        <v>10.461964274068862</v>
      </c>
      <c r="K1498" s="79">
        <f t="shared" si="34"/>
        <v>-0.80069568447987649</v>
      </c>
    </row>
    <row r="1499" spans="2:11" x14ac:dyDescent="0.35">
      <c r="B1499" s="149" t="s">
        <v>848</v>
      </c>
      <c r="C1499" s="6" t="s">
        <v>849</v>
      </c>
      <c r="D1499" s="78">
        <v>271.04000000000002</v>
      </c>
      <c r="E1499" s="78" t="s">
        <v>850</v>
      </c>
      <c r="F1499" s="160">
        <v>68.306354449472096</v>
      </c>
      <c r="G1499" s="76" t="s">
        <v>40</v>
      </c>
      <c r="H1499" s="76">
        <f t="shared" si="33"/>
        <v>-2.2843544494720902</v>
      </c>
      <c r="I1499" s="78">
        <v>-0.36391666666666711</v>
      </c>
      <c r="J1499" s="161">
        <v>11.016824946767144</v>
      </c>
      <c r="K1499" s="79">
        <f t="shared" si="34"/>
        <v>-0.24583501178159395</v>
      </c>
    </row>
    <row r="1500" spans="2:11" x14ac:dyDescent="0.35">
      <c r="B1500" s="149" t="s">
        <v>848</v>
      </c>
      <c r="C1500" s="6" t="s">
        <v>849</v>
      </c>
      <c r="D1500" s="78">
        <v>271.04000000000002</v>
      </c>
      <c r="E1500" s="78" t="s">
        <v>850</v>
      </c>
      <c r="F1500" s="160">
        <v>68.306354449472096</v>
      </c>
      <c r="G1500" s="76" t="s">
        <v>40</v>
      </c>
      <c r="H1500" s="76">
        <f t="shared" si="33"/>
        <v>-2.2843544494720902</v>
      </c>
      <c r="I1500" s="78">
        <v>-0.41660732946458728</v>
      </c>
      <c r="J1500" s="161">
        <v>11.25309852320737</v>
      </c>
      <c r="K1500" s="79">
        <f t="shared" si="34"/>
        <v>-9.5614353413679964E-3</v>
      </c>
    </row>
    <row r="1501" spans="2:11" x14ac:dyDescent="0.35">
      <c r="B1501" s="149" t="s">
        <v>848</v>
      </c>
      <c r="C1501" s="6" t="s">
        <v>849</v>
      </c>
      <c r="D1501" s="78">
        <v>271.14</v>
      </c>
      <c r="E1501" s="78" t="s">
        <v>850</v>
      </c>
      <c r="F1501" s="160">
        <v>68.318330316742106</v>
      </c>
      <c r="G1501" s="76" t="s">
        <v>40</v>
      </c>
      <c r="H1501" s="76">
        <f t="shared" si="33"/>
        <v>-2.2963303167421003</v>
      </c>
      <c r="I1501" s="78">
        <v>-0.12463888888888888</v>
      </c>
      <c r="J1501" s="161">
        <v>9.9489402524362731</v>
      </c>
      <c r="K1501" s="79">
        <f t="shared" si="34"/>
        <v>-1.3137197061124652</v>
      </c>
    </row>
    <row r="1502" spans="2:11" x14ac:dyDescent="0.35">
      <c r="B1502" s="149" t="s">
        <v>848</v>
      </c>
      <c r="C1502" s="6" t="s">
        <v>849</v>
      </c>
      <c r="D1502" s="78">
        <v>271.14999999999998</v>
      </c>
      <c r="E1502" s="78" t="s">
        <v>850</v>
      </c>
      <c r="F1502" s="160">
        <v>68.319527903469094</v>
      </c>
      <c r="G1502" s="76" t="s">
        <v>40</v>
      </c>
      <c r="H1502" s="76">
        <f t="shared" si="33"/>
        <v>-2.2975279034690885</v>
      </c>
      <c r="I1502" s="78">
        <v>-0.25468269173996616</v>
      </c>
      <c r="J1502" s="161">
        <v>10.528289777140628</v>
      </c>
      <c r="K1502" s="79">
        <f t="shared" si="34"/>
        <v>-0.73437018140811006</v>
      </c>
    </row>
    <row r="1503" spans="2:11" x14ac:dyDescent="0.35">
      <c r="B1503" s="149" t="s">
        <v>848</v>
      </c>
      <c r="C1503" s="6" t="s">
        <v>849</v>
      </c>
      <c r="D1503" s="78">
        <v>271.24</v>
      </c>
      <c r="E1503" s="78" t="s">
        <v>850</v>
      </c>
      <c r="F1503" s="160">
        <v>68.330306184012102</v>
      </c>
      <c r="G1503" s="76" t="s">
        <v>40</v>
      </c>
      <c r="H1503" s="76">
        <f t="shared" si="33"/>
        <v>-2.3083061840120962</v>
      </c>
      <c r="I1503" s="78">
        <v>-0.28925590901395765</v>
      </c>
      <c r="J1503" s="161">
        <v>10.68272656809205</v>
      </c>
      <c r="K1503" s="79">
        <f t="shared" si="34"/>
        <v>-0.5799333904566879</v>
      </c>
    </row>
    <row r="1504" spans="2:11" x14ac:dyDescent="0.35">
      <c r="B1504" s="149" t="s">
        <v>848</v>
      </c>
      <c r="C1504" s="6" t="s">
        <v>849</v>
      </c>
      <c r="D1504" s="78">
        <v>271.44</v>
      </c>
      <c r="E1504" s="78" t="s">
        <v>850</v>
      </c>
      <c r="F1504" s="160">
        <v>68.354257918551994</v>
      </c>
      <c r="G1504" s="76" t="s">
        <v>40</v>
      </c>
      <c r="H1504" s="76">
        <f t="shared" si="33"/>
        <v>-2.3322579185519885</v>
      </c>
      <c r="I1504" s="78">
        <v>-0.27803614671734067</v>
      </c>
      <c r="J1504" s="161">
        <v>10.632589452057118</v>
      </c>
      <c r="K1504" s="79">
        <f t="shared" si="34"/>
        <v>-0.63007050649162011</v>
      </c>
    </row>
    <row r="1505" spans="2:11" x14ac:dyDescent="0.35">
      <c r="B1505" s="149" t="s">
        <v>848</v>
      </c>
      <c r="C1505" s="6" t="s">
        <v>849</v>
      </c>
      <c r="D1505" s="78">
        <v>271.54000000000002</v>
      </c>
      <c r="E1505" s="78" t="s">
        <v>850</v>
      </c>
      <c r="F1505" s="160">
        <v>68.366233785822004</v>
      </c>
      <c r="G1505" s="76" t="s">
        <v>40</v>
      </c>
      <c r="H1505" s="76">
        <f t="shared" si="33"/>
        <v>-2.3442337858219986</v>
      </c>
      <c r="I1505" s="78">
        <v>-0.3056388888888889</v>
      </c>
      <c r="J1505" s="161">
        <v>10.755969102341965</v>
      </c>
      <c r="K1505" s="79">
        <f t="shared" si="34"/>
        <v>-0.50669085620677379</v>
      </c>
    </row>
    <row r="1506" spans="2:11" x14ac:dyDescent="0.35">
      <c r="B1506" s="149" t="s">
        <v>848</v>
      </c>
      <c r="C1506" s="6" t="s">
        <v>849</v>
      </c>
      <c r="D1506" s="78">
        <v>271.64</v>
      </c>
      <c r="E1506" s="78" t="s">
        <v>850</v>
      </c>
      <c r="F1506" s="160">
        <v>68.378209653092</v>
      </c>
      <c r="G1506" s="76" t="s">
        <v>40</v>
      </c>
      <c r="H1506" s="76">
        <f t="shared" si="33"/>
        <v>-2.3562096530919945</v>
      </c>
      <c r="I1506" s="78">
        <v>-0.41657690324573626</v>
      </c>
      <c r="J1506" s="161">
        <v>11.252961970078104</v>
      </c>
      <c r="K1506" s="79">
        <f t="shared" si="34"/>
        <v>-9.6979884706343E-3</v>
      </c>
    </row>
    <row r="1507" spans="2:11" x14ac:dyDescent="0.35">
      <c r="B1507" s="149" t="s">
        <v>848</v>
      </c>
      <c r="C1507" s="6" t="s">
        <v>849</v>
      </c>
      <c r="D1507" s="78">
        <v>271.84000000000003</v>
      </c>
      <c r="E1507" s="78" t="s">
        <v>850</v>
      </c>
      <c r="F1507" s="160">
        <v>68.404874788494098</v>
      </c>
      <c r="G1507" s="76" t="s">
        <v>40</v>
      </c>
      <c r="H1507" s="76">
        <f t="shared" si="33"/>
        <v>-2.3828747884940924</v>
      </c>
      <c r="I1507" s="78">
        <v>-0.3032759546571725</v>
      </c>
      <c r="J1507" s="161">
        <v>10.745402848615754</v>
      </c>
      <c r="K1507" s="79">
        <f t="shared" si="34"/>
        <v>-0.51725710993298435</v>
      </c>
    </row>
    <row r="1508" spans="2:11" x14ac:dyDescent="0.35">
      <c r="B1508" s="149" t="s">
        <v>848</v>
      </c>
      <c r="C1508" s="6" t="s">
        <v>849</v>
      </c>
      <c r="D1508" s="78">
        <v>271.94</v>
      </c>
      <c r="E1508" s="78" t="s">
        <v>850</v>
      </c>
      <c r="F1508" s="160">
        <v>68.418546531302894</v>
      </c>
      <c r="G1508" s="76" t="s">
        <v>40</v>
      </c>
      <c r="H1508" s="76">
        <f t="shared" si="33"/>
        <v>-2.3965465313028886</v>
      </c>
      <c r="I1508" s="78">
        <v>-0.47638888888888886</v>
      </c>
      <c r="J1508" s="161">
        <v>11.521660191307774</v>
      </c>
      <c r="K1508" s="79">
        <f t="shared" si="34"/>
        <v>0.2590002327590355</v>
      </c>
    </row>
    <row r="1509" spans="2:11" x14ac:dyDescent="0.35">
      <c r="B1509" s="149" t="s">
        <v>848</v>
      </c>
      <c r="C1509" s="6" t="s">
        <v>849</v>
      </c>
      <c r="D1509" s="78">
        <v>272.04000000000002</v>
      </c>
      <c r="E1509" s="78" t="s">
        <v>850</v>
      </c>
      <c r="F1509" s="160">
        <v>68.432218274111705</v>
      </c>
      <c r="G1509" s="76" t="s">
        <v>40</v>
      </c>
      <c r="H1509" s="76">
        <f t="shared" si="33"/>
        <v>-2.4102182741116991</v>
      </c>
      <c r="I1509" s="78">
        <v>-0.39849933585321895</v>
      </c>
      <c r="J1509" s="161">
        <v>11.171853605038507</v>
      </c>
      <c r="K1509" s="79">
        <f t="shared" si="34"/>
        <v>-9.0806353510231475E-2</v>
      </c>
    </row>
    <row r="1510" spans="2:11" x14ac:dyDescent="0.35">
      <c r="B1510" s="149" t="s">
        <v>848</v>
      </c>
      <c r="C1510" s="6" t="s">
        <v>849</v>
      </c>
      <c r="D1510" s="78">
        <v>272.24</v>
      </c>
      <c r="E1510" s="78" t="s">
        <v>850</v>
      </c>
      <c r="F1510" s="160">
        <v>68.459561759729297</v>
      </c>
      <c r="G1510" s="76" t="s">
        <v>40</v>
      </c>
      <c r="H1510" s="76">
        <f t="shared" si="33"/>
        <v>-2.4375617597292916</v>
      </c>
      <c r="I1510" s="78">
        <v>-0.29711836315435147</v>
      </c>
      <c r="J1510" s="161">
        <v>10.717871965465918</v>
      </c>
      <c r="K1510" s="79">
        <f t="shared" si="34"/>
        <v>-0.54478799308282078</v>
      </c>
    </row>
    <row r="1511" spans="2:11" x14ac:dyDescent="0.35">
      <c r="B1511" s="149" t="s">
        <v>848</v>
      </c>
      <c r="C1511" s="6" t="s">
        <v>849</v>
      </c>
      <c r="D1511" s="78">
        <v>272.34000000000003</v>
      </c>
      <c r="E1511" s="78" t="s">
        <v>850</v>
      </c>
      <c r="F1511" s="160">
        <v>68.473233502538093</v>
      </c>
      <c r="G1511" s="76" t="s">
        <v>40</v>
      </c>
      <c r="H1511" s="76">
        <f t="shared" si="33"/>
        <v>-2.4512335025380878</v>
      </c>
      <c r="I1511" s="78">
        <v>-0.22790625000000039</v>
      </c>
      <c r="J1511" s="161">
        <v>10.408799884056918</v>
      </c>
      <c r="K1511" s="79">
        <f t="shared" si="34"/>
        <v>-0.85386007449181989</v>
      </c>
    </row>
    <row r="1512" spans="2:11" x14ac:dyDescent="0.35">
      <c r="B1512" s="149" t="s">
        <v>848</v>
      </c>
      <c r="C1512" s="6" t="s">
        <v>849</v>
      </c>
      <c r="D1512" s="78">
        <v>272.44</v>
      </c>
      <c r="E1512" s="78" t="s">
        <v>850</v>
      </c>
      <c r="F1512" s="160">
        <v>68.486905245346904</v>
      </c>
      <c r="G1512" s="76" t="s">
        <v>40</v>
      </c>
      <c r="H1512" s="76">
        <f t="shared" si="33"/>
        <v>-2.4649052453468983</v>
      </c>
      <c r="I1512" s="78">
        <v>-0.40848604407516759</v>
      </c>
      <c r="J1512" s="161">
        <v>11.216654925642217</v>
      </c>
      <c r="K1512" s="79">
        <f t="shared" si="34"/>
        <v>-4.6005032906521137E-2</v>
      </c>
    </row>
    <row r="1513" spans="2:11" x14ac:dyDescent="0.35">
      <c r="B1513" s="149" t="s">
        <v>848</v>
      </c>
      <c r="C1513" s="6" t="s">
        <v>849</v>
      </c>
      <c r="D1513" s="78">
        <v>272.64</v>
      </c>
      <c r="E1513" s="78" t="s">
        <v>850</v>
      </c>
      <c r="F1513" s="160">
        <v>68.514248730964496</v>
      </c>
      <c r="G1513" s="76" t="s">
        <v>40</v>
      </c>
      <c r="H1513" s="76">
        <f t="shared" si="33"/>
        <v>-2.4922487309644907</v>
      </c>
      <c r="I1513" s="78">
        <v>-0.30641267563258967</v>
      </c>
      <c r="J1513" s="161">
        <v>10.759429394947006</v>
      </c>
      <c r="K1513" s="79">
        <f t="shared" si="34"/>
        <v>-0.50323056360173268</v>
      </c>
    </row>
    <row r="1514" spans="2:11" x14ac:dyDescent="0.35">
      <c r="B1514" s="149" t="s">
        <v>848</v>
      </c>
      <c r="C1514" s="6" t="s">
        <v>849</v>
      </c>
      <c r="D1514" s="78">
        <v>272.74</v>
      </c>
      <c r="E1514" s="78" t="s">
        <v>850</v>
      </c>
      <c r="F1514" s="160">
        <v>68.527920473773307</v>
      </c>
      <c r="G1514" s="76" t="s">
        <v>40</v>
      </c>
      <c r="H1514" s="76">
        <f t="shared" si="33"/>
        <v>-2.5059204737733012</v>
      </c>
      <c r="I1514" s="78">
        <v>-0.42340625000000037</v>
      </c>
      <c r="J1514" s="161">
        <v>11.283615529617748</v>
      </c>
      <c r="K1514" s="79">
        <f t="shared" si="34"/>
        <v>2.0955571069009693E-2</v>
      </c>
    </row>
    <row r="1515" spans="2:11" x14ac:dyDescent="0.35">
      <c r="B1515" s="149" t="s">
        <v>848</v>
      </c>
      <c r="C1515" s="6" t="s">
        <v>849</v>
      </c>
      <c r="D1515" s="78">
        <v>272.84000000000003</v>
      </c>
      <c r="E1515" s="78" t="s">
        <v>850</v>
      </c>
      <c r="F1515" s="160">
        <v>68.541592216582103</v>
      </c>
      <c r="G1515" s="76" t="s">
        <v>40</v>
      </c>
      <c r="H1515" s="76">
        <f t="shared" si="33"/>
        <v>-2.5195922165820974</v>
      </c>
      <c r="I1515" s="78">
        <v>-0.38815224148680005</v>
      </c>
      <c r="J1515" s="161">
        <v>11.125450917471483</v>
      </c>
      <c r="K1515" s="79">
        <f t="shared" si="34"/>
        <v>-0.13720904107725573</v>
      </c>
    </row>
    <row r="1516" spans="2:11" x14ac:dyDescent="0.35">
      <c r="B1516" s="149" t="s">
        <v>848</v>
      </c>
      <c r="C1516" s="6" t="s">
        <v>849</v>
      </c>
      <c r="D1516" s="78">
        <v>273.04000000000002</v>
      </c>
      <c r="E1516" s="78" t="s">
        <v>850</v>
      </c>
      <c r="F1516" s="160">
        <v>68.568935702199695</v>
      </c>
      <c r="G1516" s="76" t="s">
        <v>40</v>
      </c>
      <c r="H1516" s="76">
        <f t="shared" si="33"/>
        <v>-2.5469357021996899</v>
      </c>
      <c r="I1516" s="78">
        <v>-0.32496545458795134</v>
      </c>
      <c r="J1516" s="161">
        <v>10.842421529531237</v>
      </c>
      <c r="K1516" s="79">
        <f t="shared" si="34"/>
        <v>-0.42023842901750186</v>
      </c>
    </row>
    <row r="1517" spans="2:11" x14ac:dyDescent="0.35">
      <c r="B1517" s="149" t="s">
        <v>848</v>
      </c>
      <c r="C1517" s="6" t="s">
        <v>849</v>
      </c>
      <c r="D1517" s="78">
        <v>273.14</v>
      </c>
      <c r="E1517" s="78" t="s">
        <v>850</v>
      </c>
      <c r="F1517" s="160">
        <v>68.582607445008506</v>
      </c>
      <c r="G1517" s="76" t="s">
        <v>40</v>
      </c>
      <c r="H1517" s="76">
        <f t="shared" si="33"/>
        <v>-2.5606074450085003</v>
      </c>
      <c r="I1517" s="78">
        <v>-0.31215625000000036</v>
      </c>
      <c r="J1517" s="161">
        <v>10.785116773682205</v>
      </c>
      <c r="K1517" s="79">
        <f t="shared" si="34"/>
        <v>-0.47754318486653347</v>
      </c>
    </row>
    <row r="1518" spans="2:11" x14ac:dyDescent="0.35">
      <c r="B1518" s="149" t="s">
        <v>848</v>
      </c>
      <c r="C1518" s="6" t="s">
        <v>849</v>
      </c>
      <c r="D1518" s="78">
        <v>273.24</v>
      </c>
      <c r="E1518" s="78" t="s">
        <v>850</v>
      </c>
      <c r="F1518" s="160">
        <v>68.596279187817302</v>
      </c>
      <c r="G1518" s="76" t="s">
        <v>40</v>
      </c>
      <c r="H1518" s="76">
        <f t="shared" si="33"/>
        <v>-2.5742791878172966</v>
      </c>
      <c r="I1518" s="78">
        <v>-0.35277826020380076</v>
      </c>
      <c r="J1518" s="161">
        <v>10.966930354232488</v>
      </c>
      <c r="K1518" s="79">
        <f t="shared" si="34"/>
        <v>-0.29572960431625006</v>
      </c>
    </row>
    <row r="1519" spans="2:11" x14ac:dyDescent="0.35">
      <c r="B1519" s="149" t="s">
        <v>848</v>
      </c>
      <c r="C1519" s="6" t="s">
        <v>849</v>
      </c>
      <c r="D1519" s="78">
        <v>273.44</v>
      </c>
      <c r="E1519" s="78" t="s">
        <v>850</v>
      </c>
      <c r="F1519" s="160">
        <v>68.623622673434895</v>
      </c>
      <c r="G1519" s="76" t="s">
        <v>40</v>
      </c>
      <c r="H1519" s="76">
        <f t="shared" si="33"/>
        <v>-2.6016226734348891</v>
      </c>
      <c r="I1519" s="78">
        <v>-0.34314690176345608</v>
      </c>
      <c r="J1519" s="161">
        <v>10.923801168380066</v>
      </c>
      <c r="K1519" s="79">
        <f t="shared" si="34"/>
        <v>-0.33885879016867193</v>
      </c>
    </row>
    <row r="1520" spans="2:11" x14ac:dyDescent="0.35">
      <c r="B1520" s="149" t="s">
        <v>848</v>
      </c>
      <c r="C1520" s="6" t="s">
        <v>849</v>
      </c>
      <c r="D1520" s="78">
        <v>273.54000000000002</v>
      </c>
      <c r="E1520" s="78" t="s">
        <v>850</v>
      </c>
      <c r="F1520" s="160">
        <v>68.637294416243705</v>
      </c>
      <c r="G1520" s="76" t="s">
        <v>40</v>
      </c>
      <c r="H1520" s="76">
        <f t="shared" si="33"/>
        <v>-2.6152944162436995</v>
      </c>
      <c r="I1520" s="78">
        <v>-0.25040625000000039</v>
      </c>
      <c r="J1520" s="161">
        <v>10.509199180657276</v>
      </c>
      <c r="K1520" s="79">
        <f t="shared" si="34"/>
        <v>-0.75346077789146193</v>
      </c>
    </row>
    <row r="1521" spans="2:11" x14ac:dyDescent="0.35">
      <c r="B1521" s="149" t="s">
        <v>848</v>
      </c>
      <c r="C1521" s="6" t="s">
        <v>849</v>
      </c>
      <c r="D1521" s="78">
        <v>273.63</v>
      </c>
      <c r="E1521" s="78" t="s">
        <v>850</v>
      </c>
      <c r="F1521" s="160">
        <v>68.6495989847716</v>
      </c>
      <c r="G1521" s="76" t="s">
        <v>40</v>
      </c>
      <c r="H1521" s="76">
        <f t="shared" si="33"/>
        <v>-2.6275989847715948</v>
      </c>
      <c r="I1521" s="78">
        <v>-0.28538524590492587</v>
      </c>
      <c r="J1521" s="161">
        <v>10.665427890085027</v>
      </c>
      <c r="K1521" s="79">
        <f t="shared" si="34"/>
        <v>-0.59723206846371113</v>
      </c>
    </row>
    <row r="1522" spans="2:11" x14ac:dyDescent="0.35">
      <c r="B1522" s="149" t="s">
        <v>848</v>
      </c>
      <c r="C1522" s="6" t="s">
        <v>849</v>
      </c>
      <c r="D1522" s="78">
        <v>273.74</v>
      </c>
      <c r="E1522" s="78" t="s">
        <v>850</v>
      </c>
      <c r="F1522" s="160">
        <v>68.664637901861298</v>
      </c>
      <c r="G1522" s="76" t="s">
        <v>40</v>
      </c>
      <c r="H1522" s="76">
        <f t="shared" si="33"/>
        <v>-2.642637901861292</v>
      </c>
      <c r="I1522" s="78">
        <v>-0.39118349133301744</v>
      </c>
      <c r="J1522" s="161">
        <v>11.139043273757352</v>
      </c>
      <c r="K1522" s="79">
        <f t="shared" si="34"/>
        <v>-0.12361668479138643</v>
      </c>
    </row>
    <row r="1523" spans="2:11" x14ac:dyDescent="0.35">
      <c r="B1523" s="149" t="s">
        <v>848</v>
      </c>
      <c r="C1523" s="6" t="s">
        <v>849</v>
      </c>
      <c r="D1523" s="78">
        <v>273.94</v>
      </c>
      <c r="E1523" s="78" t="s">
        <v>850</v>
      </c>
      <c r="F1523" s="160">
        <v>68.691981387478805</v>
      </c>
      <c r="G1523" s="76" t="s">
        <v>40</v>
      </c>
      <c r="H1523" s="76">
        <f t="shared" si="33"/>
        <v>-2.6699813874787992</v>
      </c>
      <c r="I1523" s="78">
        <v>-0.2679062500000004</v>
      </c>
      <c r="J1523" s="161">
        <v>10.587338252715938</v>
      </c>
      <c r="K1523" s="79">
        <f t="shared" si="34"/>
        <v>-0.67532170583280049</v>
      </c>
    </row>
    <row r="1524" spans="2:11" x14ac:dyDescent="0.35">
      <c r="B1524" s="149" t="s">
        <v>848</v>
      </c>
      <c r="C1524" s="6" t="s">
        <v>849</v>
      </c>
      <c r="D1524" s="78">
        <v>274.04000000000002</v>
      </c>
      <c r="E1524" s="78" t="s">
        <v>850</v>
      </c>
      <c r="F1524" s="160">
        <v>68.7056531302877</v>
      </c>
      <c r="G1524" s="76" t="s">
        <v>40</v>
      </c>
      <c r="H1524" s="76">
        <f t="shared" si="33"/>
        <v>-2.6836531302876949</v>
      </c>
      <c r="I1524" s="78">
        <v>-0.26919781119437547</v>
      </c>
      <c r="J1524" s="161">
        <v>10.59310694957577</v>
      </c>
      <c r="K1524" s="79">
        <f t="shared" si="34"/>
        <v>-0.66955300897296866</v>
      </c>
    </row>
    <row r="1525" spans="2:11" x14ac:dyDescent="0.35">
      <c r="B1525" s="149" t="s">
        <v>848</v>
      </c>
      <c r="C1525" s="6" t="s">
        <v>849</v>
      </c>
      <c r="D1525" s="78">
        <v>274.24</v>
      </c>
      <c r="E1525" s="78" t="s">
        <v>850</v>
      </c>
      <c r="F1525" s="160">
        <v>68.732996615905293</v>
      </c>
      <c r="G1525" s="76" t="s">
        <v>40</v>
      </c>
      <c r="H1525" s="76">
        <f t="shared" si="33"/>
        <v>-2.7109966159052874</v>
      </c>
      <c r="I1525" s="78">
        <v>-0.29656093461226996</v>
      </c>
      <c r="J1525" s="161">
        <v>10.715379948000248</v>
      </c>
      <c r="K1525" s="79">
        <f t="shared" si="34"/>
        <v>-0.54728001054849074</v>
      </c>
    </row>
    <row r="1526" spans="2:11" x14ac:dyDescent="0.35">
      <c r="B1526" s="149" t="s">
        <v>848</v>
      </c>
      <c r="C1526" s="6" t="s">
        <v>849</v>
      </c>
      <c r="D1526" s="78">
        <v>274.34000000000003</v>
      </c>
      <c r="E1526" s="78" t="s">
        <v>850</v>
      </c>
      <c r="F1526" s="160">
        <v>68.746668358714103</v>
      </c>
      <c r="G1526" s="76" t="s">
        <v>40</v>
      </c>
      <c r="H1526" s="76">
        <f t="shared" si="33"/>
        <v>-2.7246683587140978</v>
      </c>
      <c r="I1526" s="78">
        <v>-0.2634062500000004</v>
      </c>
      <c r="J1526" s="161">
        <v>10.567241106427616</v>
      </c>
      <c r="K1526" s="79">
        <f t="shared" si="34"/>
        <v>-0.6954188521211222</v>
      </c>
    </row>
    <row r="1527" spans="2:11" x14ac:dyDescent="0.35">
      <c r="B1527" s="149" t="s">
        <v>848</v>
      </c>
      <c r="C1527" s="6" t="s">
        <v>849</v>
      </c>
      <c r="D1527" s="78">
        <v>274.44</v>
      </c>
      <c r="E1527" s="78" t="s">
        <v>850</v>
      </c>
      <c r="F1527" s="160">
        <v>68.7603401015228</v>
      </c>
      <c r="G1527" s="76" t="s">
        <v>40</v>
      </c>
      <c r="H1527" s="76">
        <f t="shared" si="33"/>
        <v>-2.7383401015227946</v>
      </c>
      <c r="I1527" s="78">
        <v>-0.31108313534924426</v>
      </c>
      <c r="J1527" s="161">
        <v>10.780317045649724</v>
      </c>
      <c r="K1527" s="79">
        <f t="shared" si="34"/>
        <v>-0.48234291289901421</v>
      </c>
    </row>
    <row r="1528" spans="2:11" x14ac:dyDescent="0.35">
      <c r="B1528" s="149" t="s">
        <v>848</v>
      </c>
      <c r="C1528" s="6" t="s">
        <v>849</v>
      </c>
      <c r="D1528" s="78">
        <v>274.54000000000002</v>
      </c>
      <c r="E1528" s="78" t="s">
        <v>850</v>
      </c>
      <c r="F1528" s="160">
        <v>68.774011844331696</v>
      </c>
      <c r="G1528" s="76" t="s">
        <v>40</v>
      </c>
      <c r="H1528" s="76">
        <f t="shared" si="33"/>
        <v>-2.7520118443316903</v>
      </c>
      <c r="I1528" s="78">
        <v>-0.41983624993917235</v>
      </c>
      <c r="J1528" s="161">
        <v>11.267590714848723</v>
      </c>
      <c r="K1528" s="79">
        <f t="shared" si="34"/>
        <v>4.9307562999842958E-3</v>
      </c>
    </row>
    <row r="1529" spans="2:11" x14ac:dyDescent="0.35">
      <c r="J1529" s="78"/>
      <c r="K1529" s="79"/>
    </row>
    <row r="1530" spans="2:11" x14ac:dyDescent="0.35">
      <c r="B1530" s="149" t="s">
        <v>848</v>
      </c>
      <c r="C1530" s="6" t="s">
        <v>226</v>
      </c>
      <c r="D1530" s="6">
        <v>254.5025</v>
      </c>
      <c r="E1530" s="6" t="s">
        <v>1074</v>
      </c>
      <c r="F1530" s="114">
        <v>64.093961538461542</v>
      </c>
      <c r="G1530" s="76" t="s">
        <v>40</v>
      </c>
      <c r="H1530" s="160">
        <v>1.9280384615384634</v>
      </c>
      <c r="I1530" s="160">
        <v>-0.99214934980793812</v>
      </c>
      <c r="J1530" s="78">
        <v>13.86056991606182</v>
      </c>
      <c r="K1530" s="79">
        <v>2.5010158030023035</v>
      </c>
    </row>
    <row r="1531" spans="2:11" x14ac:dyDescent="0.35">
      <c r="B1531" s="149" t="s">
        <v>848</v>
      </c>
      <c r="C1531" s="6" t="s">
        <v>226</v>
      </c>
      <c r="D1531" s="6">
        <v>254.5325</v>
      </c>
      <c r="E1531" s="6" t="s">
        <v>1074</v>
      </c>
      <c r="F1531" s="114">
        <v>64.104146551724142</v>
      </c>
      <c r="G1531" s="76" t="s">
        <v>40</v>
      </c>
      <c r="H1531" s="160">
        <v>1.9178534482758636</v>
      </c>
      <c r="I1531" s="160">
        <v>-1.1230059148445792</v>
      </c>
      <c r="J1531" s="78">
        <v>14.460308060106513</v>
      </c>
      <c r="K1531" s="79">
        <v>3.1007539470469965</v>
      </c>
    </row>
    <row r="1532" spans="2:11" x14ac:dyDescent="0.35">
      <c r="B1532" s="149" t="s">
        <v>848</v>
      </c>
      <c r="C1532" s="6" t="s">
        <v>226</v>
      </c>
      <c r="D1532" s="6">
        <v>254.5625</v>
      </c>
      <c r="E1532" s="6" t="s">
        <v>1074</v>
      </c>
      <c r="F1532" s="114">
        <v>64.115008620689665</v>
      </c>
      <c r="G1532" s="76" t="s">
        <v>40</v>
      </c>
      <c r="H1532" s="160">
        <v>1.906991379310341</v>
      </c>
      <c r="I1532" s="160">
        <v>-0.9544214525450756</v>
      </c>
      <c r="J1532" s="78">
        <v>13.688135260460967</v>
      </c>
      <c r="K1532" s="79">
        <v>2.3285811474014508</v>
      </c>
    </row>
    <row r="1533" spans="2:11" x14ac:dyDescent="0.35">
      <c r="B1533" s="149" t="s">
        <v>848</v>
      </c>
      <c r="C1533" s="6" t="s">
        <v>226</v>
      </c>
      <c r="D1533" s="6">
        <v>254.5625</v>
      </c>
      <c r="E1533" s="6" t="s">
        <v>1074</v>
      </c>
      <c r="F1533" s="114">
        <v>64.115008620689665</v>
      </c>
      <c r="G1533" s="76" t="s">
        <v>40</v>
      </c>
      <c r="H1533" s="160">
        <v>1.906991379310341</v>
      </c>
      <c r="I1533" s="160">
        <v>-0.88504298571699058</v>
      </c>
      <c r="J1533" s="78">
        <v>13.371599451759437</v>
      </c>
      <c r="K1533" s="79">
        <v>2.0120453386999202</v>
      </c>
    </row>
    <row r="1534" spans="2:11" x14ac:dyDescent="0.35">
      <c r="B1534" s="149" t="s">
        <v>848</v>
      </c>
      <c r="C1534" s="6" t="s">
        <v>226</v>
      </c>
      <c r="D1534" s="6">
        <v>254.5925</v>
      </c>
      <c r="E1534" s="6" t="s">
        <v>1074</v>
      </c>
      <c r="F1534" s="114">
        <v>64.125870689655173</v>
      </c>
      <c r="G1534" s="76" t="s">
        <v>40</v>
      </c>
      <c r="H1534" s="160">
        <v>1.8961293103448327</v>
      </c>
      <c r="I1534" s="160">
        <v>-1.0154742862515742</v>
      </c>
      <c r="J1534" s="78">
        <v>13.967283114786483</v>
      </c>
      <c r="K1534" s="79">
        <v>2.6077290017269661</v>
      </c>
    </row>
    <row r="1535" spans="2:11" x14ac:dyDescent="0.35">
      <c r="B1535" s="149" t="s">
        <v>848</v>
      </c>
      <c r="C1535" s="6" t="s">
        <v>226</v>
      </c>
      <c r="D1535" s="6">
        <v>254.6225</v>
      </c>
      <c r="E1535" s="6" t="s">
        <v>1074</v>
      </c>
      <c r="F1535" s="114">
        <v>64.136732758620695</v>
      </c>
      <c r="G1535" s="76" t="s">
        <v>40</v>
      </c>
      <c r="H1535" s="160">
        <v>1.8852672413793101</v>
      </c>
      <c r="I1535" s="160">
        <v>-1.1623551129984278</v>
      </c>
      <c r="J1535" s="78">
        <v>14.641158095414028</v>
      </c>
      <c r="K1535" s="79">
        <v>3.2816039823545111</v>
      </c>
    </row>
    <row r="1536" spans="2:11" x14ac:dyDescent="0.35">
      <c r="B1536" s="149" t="s">
        <v>848</v>
      </c>
      <c r="C1536" s="6" t="s">
        <v>226</v>
      </c>
      <c r="D1536" s="6">
        <v>254.6525</v>
      </c>
      <c r="E1536" s="6" t="s">
        <v>1074</v>
      </c>
      <c r="F1536" s="114">
        <v>64.147594827586204</v>
      </c>
      <c r="G1536" s="76" t="s">
        <v>40</v>
      </c>
      <c r="H1536" s="160">
        <v>1.8744051724138018</v>
      </c>
      <c r="I1536" s="160">
        <v>-1.1503878707670245</v>
      </c>
      <c r="J1536" s="78">
        <v>14.58613149297048</v>
      </c>
      <c r="K1536" s="79">
        <v>3.2265773799109638</v>
      </c>
    </row>
    <row r="1537" spans="2:11" x14ac:dyDescent="0.35">
      <c r="B1537" s="149" t="s">
        <v>848</v>
      </c>
      <c r="C1537" s="6" t="s">
        <v>226</v>
      </c>
      <c r="D1537" s="6">
        <v>254.68249999999998</v>
      </c>
      <c r="E1537" s="6" t="s">
        <v>1074</v>
      </c>
      <c r="F1537" s="114">
        <v>64.158456896551712</v>
      </c>
      <c r="G1537" s="76" t="s">
        <v>40</v>
      </c>
      <c r="H1537" s="160">
        <v>1.8635431034482934</v>
      </c>
      <c r="I1537" s="160">
        <v>-1.1426041190466329</v>
      </c>
      <c r="J1537" s="78">
        <v>14.550352653867094</v>
      </c>
      <c r="K1537" s="79">
        <v>3.1907985408075774</v>
      </c>
    </row>
    <row r="1538" spans="2:11" x14ac:dyDescent="0.35">
      <c r="B1538" s="149" t="s">
        <v>848</v>
      </c>
      <c r="C1538" s="6" t="s">
        <v>226</v>
      </c>
      <c r="D1538" s="6">
        <v>254.71249999999998</v>
      </c>
      <c r="E1538" s="6" t="s">
        <v>1074</v>
      </c>
      <c r="F1538" s="114">
        <v>64.169318965517235</v>
      </c>
      <c r="G1538" s="76" t="s">
        <v>40</v>
      </c>
      <c r="H1538" s="160">
        <v>1.8526810344827709</v>
      </c>
      <c r="I1538" s="160">
        <v>-1.130989826386688</v>
      </c>
      <c r="J1538" s="78">
        <v>14.496983386360569</v>
      </c>
      <c r="K1538" s="79">
        <v>3.137429273301052</v>
      </c>
    </row>
    <row r="1539" spans="2:11" x14ac:dyDescent="0.35">
      <c r="B1539" s="149" t="s">
        <v>848</v>
      </c>
      <c r="C1539" s="6" t="s">
        <v>226</v>
      </c>
      <c r="D1539" s="6">
        <v>254.74249999999998</v>
      </c>
      <c r="E1539" s="6" t="s">
        <v>1074</v>
      </c>
      <c r="F1539" s="114">
        <v>64.180181034482743</v>
      </c>
      <c r="G1539" s="76" t="s">
        <v>40</v>
      </c>
      <c r="H1539" s="160">
        <v>1.8418189655172625</v>
      </c>
      <c r="I1539" s="160">
        <v>-0.97217056540730651</v>
      </c>
      <c r="J1539" s="78">
        <v>13.769230624579507</v>
      </c>
      <c r="K1539" s="79">
        <v>2.4096765115199901</v>
      </c>
    </row>
    <row r="1540" spans="2:11" x14ac:dyDescent="0.35">
      <c r="B1540" s="149" t="s">
        <v>848</v>
      </c>
      <c r="C1540" s="6" t="s">
        <v>226</v>
      </c>
      <c r="D1540" s="6">
        <v>254.77249999999998</v>
      </c>
      <c r="E1540" s="6" t="s">
        <v>1074</v>
      </c>
      <c r="F1540" s="114">
        <v>64.191043103448266</v>
      </c>
      <c r="G1540" s="76" t="s">
        <v>40</v>
      </c>
      <c r="H1540" s="160">
        <v>1.83095689655174</v>
      </c>
      <c r="I1540" s="160">
        <v>-1.1165330760095427</v>
      </c>
      <c r="J1540" s="78">
        <v>14.430581157959125</v>
      </c>
      <c r="K1540" s="79">
        <v>3.0710270448996084</v>
      </c>
    </row>
    <row r="1541" spans="2:11" x14ac:dyDescent="0.35">
      <c r="B1541" s="149" t="s">
        <v>848</v>
      </c>
      <c r="C1541" s="6" t="s">
        <v>226</v>
      </c>
      <c r="D1541" s="6">
        <v>254.77249999999998</v>
      </c>
      <c r="E1541" s="6" t="s">
        <v>1074</v>
      </c>
      <c r="F1541" s="114">
        <v>64.191043103448266</v>
      </c>
      <c r="G1541" s="76" t="s">
        <v>40</v>
      </c>
      <c r="H1541" s="160">
        <v>1.83095689655174</v>
      </c>
      <c r="I1541" s="160">
        <v>-1.0566769810069565</v>
      </c>
      <c r="J1541" s="78">
        <v>14.155988417142339</v>
      </c>
      <c r="K1541" s="79">
        <v>2.7964343040828226</v>
      </c>
    </row>
    <row r="1542" spans="2:11" x14ac:dyDescent="0.35">
      <c r="B1542" s="149" t="s">
        <v>848</v>
      </c>
      <c r="C1542" s="6" t="s">
        <v>226</v>
      </c>
      <c r="D1542" s="6">
        <v>254.80249999999998</v>
      </c>
      <c r="E1542" s="6" t="s">
        <v>1074</v>
      </c>
      <c r="F1542" s="114">
        <v>64.201891666666654</v>
      </c>
      <c r="G1542" s="76" t="s">
        <v>40</v>
      </c>
      <c r="H1542" s="160">
        <v>1.8201083333333514</v>
      </c>
      <c r="I1542" s="160">
        <v>-1.0320554585452135</v>
      </c>
      <c r="J1542" s="78">
        <v>14.043192911132621</v>
      </c>
      <c r="K1542" s="79">
        <v>2.6836387980731047</v>
      </c>
    </row>
    <row r="1543" spans="2:11" x14ac:dyDescent="0.35">
      <c r="B1543" s="149" t="s">
        <v>848</v>
      </c>
      <c r="C1543" s="6" t="s">
        <v>226</v>
      </c>
      <c r="D1543" s="6">
        <v>254.83249999999998</v>
      </c>
      <c r="E1543" s="6" t="s">
        <v>1074</v>
      </c>
      <c r="F1543" s="114">
        <v>64.212591666666654</v>
      </c>
      <c r="G1543" s="76" t="s">
        <v>40</v>
      </c>
      <c r="H1543" s="160">
        <v>1.8094083333333515</v>
      </c>
      <c r="I1543" s="160">
        <v>-1.1684204642312479</v>
      </c>
      <c r="J1543" s="78">
        <v>14.669055489374841</v>
      </c>
      <c r="K1543" s="79">
        <v>3.3095013763153247</v>
      </c>
    </row>
    <row r="1544" spans="2:11" x14ac:dyDescent="0.35">
      <c r="B1544" s="149" t="s">
        <v>848</v>
      </c>
      <c r="C1544" s="6" t="s">
        <v>226</v>
      </c>
      <c r="D1544" s="6">
        <v>254.86249999999998</v>
      </c>
      <c r="E1544" s="6" t="s">
        <v>1074</v>
      </c>
      <c r="F1544" s="114">
        <v>64.223291666666654</v>
      </c>
      <c r="G1544" s="76" t="s">
        <v>40</v>
      </c>
      <c r="H1544" s="160">
        <v>1.7987083333333516</v>
      </c>
      <c r="I1544" s="160">
        <v>-1.0940849565167299</v>
      </c>
      <c r="J1544" s="78">
        <v>14.327535901476494</v>
      </c>
      <c r="K1544" s="79">
        <v>2.9679817884169779</v>
      </c>
    </row>
    <row r="1545" spans="2:11" x14ac:dyDescent="0.35">
      <c r="B1545" s="149" t="s">
        <v>848</v>
      </c>
      <c r="C1545" s="6" t="s">
        <v>226</v>
      </c>
      <c r="D1545" s="6">
        <v>254.89249999999998</v>
      </c>
      <c r="E1545" s="6" t="s">
        <v>1074</v>
      </c>
      <c r="F1545" s="114">
        <v>64.233991666666654</v>
      </c>
      <c r="G1545" s="76" t="s">
        <v>40</v>
      </c>
      <c r="H1545" s="160">
        <v>1.7880083333333516</v>
      </c>
      <c r="I1545" s="160">
        <v>-1.1915528432338918</v>
      </c>
      <c r="J1545" s="78">
        <v>14.775503369055627</v>
      </c>
      <c r="K1545" s="79">
        <v>3.4159492559961109</v>
      </c>
    </row>
    <row r="1546" spans="2:11" x14ac:dyDescent="0.35">
      <c r="B1546" s="149" t="s">
        <v>848</v>
      </c>
      <c r="C1546" s="6" t="s">
        <v>226</v>
      </c>
      <c r="D1546" s="6">
        <v>254.92249999999999</v>
      </c>
      <c r="E1546" s="6" t="s">
        <v>1074</v>
      </c>
      <c r="F1546" s="114">
        <v>64.244691666666654</v>
      </c>
      <c r="G1546" s="76" t="s">
        <v>40</v>
      </c>
      <c r="H1546" s="160">
        <v>1.7773083333333517</v>
      </c>
      <c r="I1546" s="160">
        <v>-1.1447889255864285</v>
      </c>
      <c r="J1546" s="78">
        <v>14.560394422074467</v>
      </c>
      <c r="K1546" s="79">
        <v>3.20084030901495</v>
      </c>
    </row>
    <row r="1547" spans="2:11" x14ac:dyDescent="0.35">
      <c r="B1547" s="149" t="s">
        <v>848</v>
      </c>
      <c r="C1547" s="6" t="s">
        <v>226</v>
      </c>
      <c r="D1547" s="6">
        <v>254.95249999999999</v>
      </c>
      <c r="E1547" s="6" t="s">
        <v>1074</v>
      </c>
      <c r="F1547" s="114">
        <v>64.255391666666668</v>
      </c>
      <c r="G1547" s="76" t="s">
        <v>40</v>
      </c>
      <c r="H1547" s="160">
        <v>1.7666083333333376</v>
      </c>
      <c r="I1547" s="160">
        <v>-1.0414804103880759</v>
      </c>
      <c r="J1547" s="78">
        <v>14.086359473561458</v>
      </c>
      <c r="K1547" s="79">
        <v>2.7268053605019418</v>
      </c>
    </row>
    <row r="1548" spans="2:11" x14ac:dyDescent="0.35">
      <c r="B1548" s="149" t="s">
        <v>848</v>
      </c>
      <c r="C1548" s="6" t="s">
        <v>226</v>
      </c>
      <c r="D1548" s="6">
        <v>254.98249999999999</v>
      </c>
      <c r="E1548" s="6" t="s">
        <v>1074</v>
      </c>
      <c r="F1548" s="114">
        <v>64.266091666666668</v>
      </c>
      <c r="G1548" s="76" t="s">
        <v>40</v>
      </c>
      <c r="H1548" s="160">
        <v>1.7559083333333376</v>
      </c>
      <c r="I1548" s="160">
        <v>-1.0758426117400766</v>
      </c>
      <c r="J1548" s="78">
        <v>14.243852799433682</v>
      </c>
      <c r="K1548" s="79">
        <v>2.8842986863741658</v>
      </c>
    </row>
    <row r="1549" spans="2:11" x14ac:dyDescent="0.35">
      <c r="B1549" s="149" t="s">
        <v>848</v>
      </c>
      <c r="C1549" s="6" t="s">
        <v>226</v>
      </c>
      <c r="D1549" s="6">
        <v>255.01249999999999</v>
      </c>
      <c r="E1549" s="6" t="s">
        <v>1074</v>
      </c>
      <c r="F1549" s="114">
        <v>64.276791666666668</v>
      </c>
      <c r="G1549" s="76" t="s">
        <v>40</v>
      </c>
      <c r="H1549" s="160">
        <v>1.7452083333333377</v>
      </c>
      <c r="I1549" s="160">
        <v>-1.005064141854064</v>
      </c>
      <c r="J1549" s="78">
        <v>13.919645872496687</v>
      </c>
      <c r="K1549" s="79">
        <v>2.5600917594371708</v>
      </c>
    </row>
    <row r="1550" spans="2:11" x14ac:dyDescent="0.35">
      <c r="B1550" s="149" t="s">
        <v>848</v>
      </c>
      <c r="C1550" s="6" t="s">
        <v>226</v>
      </c>
      <c r="D1550" s="6">
        <v>255.04249999999999</v>
      </c>
      <c r="E1550" s="6" t="s">
        <v>1074</v>
      </c>
      <c r="F1550" s="114">
        <v>64.287491666666668</v>
      </c>
      <c r="G1550" s="76" t="s">
        <v>40</v>
      </c>
      <c r="H1550" s="160">
        <v>1.7345083333333378</v>
      </c>
      <c r="I1550" s="160">
        <v>-1.0147062699536824</v>
      </c>
      <c r="J1550" s="78">
        <v>13.963768083975197</v>
      </c>
      <c r="K1550" s="79">
        <v>2.60421397091568</v>
      </c>
    </row>
    <row r="1551" spans="2:11" x14ac:dyDescent="0.35">
      <c r="B1551" s="149" t="s">
        <v>848</v>
      </c>
      <c r="C1551" s="6" t="s">
        <v>226</v>
      </c>
      <c r="D1551" s="6">
        <v>255.07249999999999</v>
      </c>
      <c r="E1551" s="6" t="s">
        <v>1074</v>
      </c>
      <c r="F1551" s="114">
        <v>64.298191666666668</v>
      </c>
      <c r="G1551" s="76" t="s">
        <v>40</v>
      </c>
      <c r="H1551" s="160">
        <v>1.7238083333333378</v>
      </c>
      <c r="I1551" s="160">
        <v>-0.989292200893368</v>
      </c>
      <c r="J1551" s="78">
        <v>13.847503886449147</v>
      </c>
      <c r="K1551" s="79">
        <v>2.4879497733896301</v>
      </c>
    </row>
    <row r="1552" spans="2:11" x14ac:dyDescent="0.35">
      <c r="B1552" s="149" t="s">
        <v>848</v>
      </c>
      <c r="C1552" s="6" t="s">
        <v>226</v>
      </c>
      <c r="D1552" s="6">
        <v>255.10249999999999</v>
      </c>
      <c r="E1552" s="6" t="s">
        <v>1074</v>
      </c>
      <c r="F1552" s="114">
        <v>64.308790540540542</v>
      </c>
      <c r="G1552" s="76" t="s">
        <v>40</v>
      </c>
      <c r="H1552" s="160">
        <v>1.7132094594594633</v>
      </c>
      <c r="I1552" s="160">
        <v>-0.98109999475524345</v>
      </c>
      <c r="J1552" s="78">
        <v>13.810046905043066</v>
      </c>
      <c r="K1552" s="79">
        <v>2.4504927919835495</v>
      </c>
    </row>
    <row r="1553" spans="2:11" x14ac:dyDescent="0.35">
      <c r="B1553" s="149" t="s">
        <v>848</v>
      </c>
      <c r="C1553" s="6" t="s">
        <v>226</v>
      </c>
      <c r="D1553" s="6">
        <v>255.13249999999999</v>
      </c>
      <c r="E1553" s="6" t="s">
        <v>1074</v>
      </c>
      <c r="F1553" s="114">
        <v>64.318277027027037</v>
      </c>
      <c r="G1553" s="76" t="s">
        <v>40</v>
      </c>
      <c r="H1553" s="160">
        <v>1.7037229729729688</v>
      </c>
      <c r="I1553" s="160">
        <v>-0.99720940471168751</v>
      </c>
      <c r="J1553" s="78">
        <v>13.883713067719555</v>
      </c>
      <c r="K1553" s="79">
        <v>2.524158954660038</v>
      </c>
    </row>
    <row r="1554" spans="2:11" x14ac:dyDescent="0.35">
      <c r="B1554" s="149" t="s">
        <v>848</v>
      </c>
      <c r="C1554" s="6" t="s">
        <v>226</v>
      </c>
      <c r="D1554" s="6">
        <v>255.16249999999999</v>
      </c>
      <c r="E1554" s="6" t="s">
        <v>1074</v>
      </c>
      <c r="F1554" s="114">
        <v>64.327763513513517</v>
      </c>
      <c r="G1554" s="76" t="s">
        <v>40</v>
      </c>
      <c r="H1554" s="160">
        <v>1.6942364864864885</v>
      </c>
      <c r="I1554" s="160">
        <v>-0.98531122807141935</v>
      </c>
      <c r="J1554" s="78">
        <v>13.829300542725548</v>
      </c>
      <c r="K1554" s="79">
        <v>2.4697464296660314</v>
      </c>
    </row>
    <row r="1555" spans="2:11" x14ac:dyDescent="0.35">
      <c r="B1555" s="149" t="s">
        <v>848</v>
      </c>
      <c r="C1555" s="6" t="s">
        <v>226</v>
      </c>
      <c r="D1555" s="6">
        <v>255.1925</v>
      </c>
      <c r="E1555" s="6" t="s">
        <v>1074</v>
      </c>
      <c r="F1555" s="114">
        <v>64.337250000000012</v>
      </c>
      <c r="G1555" s="76" t="s">
        <v>40</v>
      </c>
      <c r="H1555" s="160">
        <v>1.684749999999994</v>
      </c>
      <c r="I1555" s="160">
        <v>-0.93022759516656839</v>
      </c>
      <c r="J1555" s="78">
        <v>13.577670100707849</v>
      </c>
      <c r="K1555" s="79">
        <v>2.2181159876483321</v>
      </c>
    </row>
    <row r="1556" spans="2:11" x14ac:dyDescent="0.35">
      <c r="B1556" s="149" t="s">
        <v>848</v>
      </c>
      <c r="C1556" s="6" t="s">
        <v>226</v>
      </c>
      <c r="D1556" s="6">
        <v>255.2225</v>
      </c>
      <c r="E1556" s="6" t="s">
        <v>1074</v>
      </c>
      <c r="F1556" s="114">
        <v>64.346736486486492</v>
      </c>
      <c r="G1556" s="76" t="s">
        <v>40</v>
      </c>
      <c r="H1556" s="160">
        <v>1.6752635135135137</v>
      </c>
      <c r="I1556" s="160">
        <v>-0.83692575217506837</v>
      </c>
      <c r="J1556" s="78">
        <v>13.152489805913433</v>
      </c>
      <c r="K1556" s="79">
        <v>1.7929356928539164</v>
      </c>
    </row>
    <row r="1557" spans="2:11" x14ac:dyDescent="0.35">
      <c r="B1557" s="149" t="s">
        <v>848</v>
      </c>
      <c r="C1557" s="6" t="s">
        <v>226</v>
      </c>
      <c r="D1557" s="6">
        <v>255.2525</v>
      </c>
      <c r="E1557" s="6" t="s">
        <v>1074</v>
      </c>
      <c r="F1557" s="114">
        <v>64.356222972972972</v>
      </c>
      <c r="G1557" s="76" t="s">
        <v>40</v>
      </c>
      <c r="H1557" s="160">
        <v>1.6657770270270333</v>
      </c>
      <c r="I1557" s="160">
        <v>-0.96628837497545694</v>
      </c>
      <c r="J1557" s="78">
        <v>13.742349767367784</v>
      </c>
      <c r="K1557" s="79">
        <v>2.3827956543082678</v>
      </c>
    </row>
    <row r="1558" spans="2:11" x14ac:dyDescent="0.35">
      <c r="B1558" s="149" t="s">
        <v>848</v>
      </c>
      <c r="C1558" s="6" t="s">
        <v>226</v>
      </c>
      <c r="D1558" s="6">
        <v>255.2825</v>
      </c>
      <c r="E1558" s="6" t="s">
        <v>1074</v>
      </c>
      <c r="F1558" s="114">
        <v>64.365709459459467</v>
      </c>
      <c r="G1558" s="76" t="s">
        <v>40</v>
      </c>
      <c r="H1558" s="160">
        <v>1.6562905405405388</v>
      </c>
      <c r="I1558" s="160">
        <v>-0.85193205194831423</v>
      </c>
      <c r="J1558" s="78">
        <v>13.220786331997033</v>
      </c>
      <c r="K1558" s="79">
        <v>1.8612322189375163</v>
      </c>
    </row>
    <row r="1559" spans="2:11" x14ac:dyDescent="0.35">
      <c r="B1559" s="149" t="s">
        <v>848</v>
      </c>
      <c r="C1559" s="6" t="s">
        <v>226</v>
      </c>
      <c r="D1559" s="6">
        <v>255.3125</v>
      </c>
      <c r="E1559" s="6" t="s">
        <v>1074</v>
      </c>
      <c r="F1559" s="114">
        <v>64.375195945945947</v>
      </c>
      <c r="G1559" s="76" t="s">
        <v>40</v>
      </c>
      <c r="H1559" s="160">
        <v>1.6468040540540585</v>
      </c>
      <c r="I1559" s="160">
        <v>-0.92113753452347735</v>
      </c>
      <c r="J1559" s="78">
        <v>13.536189060726485</v>
      </c>
      <c r="K1559" s="79">
        <v>2.1766349476669689</v>
      </c>
    </row>
    <row r="1560" spans="2:11" x14ac:dyDescent="0.35">
      <c r="B1560" s="149" t="s">
        <v>848</v>
      </c>
      <c r="C1560" s="6" t="s">
        <v>226</v>
      </c>
      <c r="D1560" s="6">
        <v>255.3425</v>
      </c>
      <c r="E1560" s="6" t="s">
        <v>1074</v>
      </c>
      <c r="F1560" s="114">
        <v>64.384682432432427</v>
      </c>
      <c r="G1560" s="76" t="s">
        <v>40</v>
      </c>
      <c r="H1560" s="160">
        <v>1.6373175675675782</v>
      </c>
      <c r="I1560" s="160">
        <v>-1.009519597795363</v>
      </c>
      <c r="J1560" s="78">
        <v>13.940032223435651</v>
      </c>
      <c r="K1560" s="79">
        <v>2.5804781103761343</v>
      </c>
    </row>
    <row r="1561" spans="2:11" x14ac:dyDescent="0.35">
      <c r="B1561" s="149" t="s">
        <v>848</v>
      </c>
      <c r="C1561" s="6" t="s">
        <v>226</v>
      </c>
      <c r="D1561" s="6">
        <v>255.3725</v>
      </c>
      <c r="E1561" s="6" t="s">
        <v>1074</v>
      </c>
      <c r="F1561" s="114">
        <v>64.394168918918922</v>
      </c>
      <c r="G1561" s="76" t="s">
        <v>40</v>
      </c>
      <c r="H1561" s="160">
        <v>1.6278310810810837</v>
      </c>
      <c r="I1561" s="160">
        <v>-1.0947344577052287</v>
      </c>
      <c r="J1561" s="78">
        <v>14.330516284697467</v>
      </c>
      <c r="K1561" s="79">
        <v>2.9709621716379502</v>
      </c>
    </row>
    <row r="1562" spans="2:11" x14ac:dyDescent="0.35">
      <c r="B1562" s="149" t="s">
        <v>848</v>
      </c>
      <c r="C1562" s="6" t="s">
        <v>226</v>
      </c>
      <c r="D1562" s="6">
        <v>255.4025</v>
      </c>
      <c r="E1562" s="6" t="s">
        <v>1074</v>
      </c>
      <c r="F1562" s="114">
        <v>64.403655405405402</v>
      </c>
      <c r="G1562" s="76" t="s">
        <v>40</v>
      </c>
      <c r="H1562" s="160">
        <v>1.6183445945946033</v>
      </c>
      <c r="I1562" s="160">
        <v>-1.0835699230133744</v>
      </c>
      <c r="J1562" s="78">
        <v>14.279294156834624</v>
      </c>
      <c r="K1562" s="79">
        <v>2.9197400437751071</v>
      </c>
    </row>
    <row r="1563" spans="2:11" x14ac:dyDescent="0.35">
      <c r="B1563" s="149" t="s">
        <v>848</v>
      </c>
      <c r="C1563" s="6" t="s">
        <v>226</v>
      </c>
      <c r="D1563" s="6">
        <v>255.43249999999998</v>
      </c>
      <c r="E1563" s="6" t="s">
        <v>1074</v>
      </c>
      <c r="F1563" s="114">
        <v>64.413141891891883</v>
      </c>
      <c r="G1563" s="76" t="s">
        <v>40</v>
      </c>
      <c r="H1563" s="160">
        <v>1.608858108108123</v>
      </c>
      <c r="I1563" s="160">
        <v>-1.0075075904224318</v>
      </c>
      <c r="J1563" s="78">
        <v>13.930825727732895</v>
      </c>
      <c r="K1563" s="79">
        <v>2.5712716146733783</v>
      </c>
    </row>
    <row r="1564" spans="2:11" x14ac:dyDescent="0.35">
      <c r="B1564" s="149" t="s">
        <v>848</v>
      </c>
      <c r="C1564" s="6" t="s">
        <v>226</v>
      </c>
      <c r="D1564" s="6">
        <v>255.46249999999998</v>
      </c>
      <c r="E1564" s="6" t="s">
        <v>1074</v>
      </c>
      <c r="F1564" s="114">
        <v>64.422628378378363</v>
      </c>
      <c r="G1564" s="76" t="s">
        <v>40</v>
      </c>
      <c r="H1564" s="160">
        <v>1.5993716216216427</v>
      </c>
      <c r="I1564" s="160">
        <v>-1.038139837164811</v>
      </c>
      <c r="J1564" s="78">
        <v>14.071058016812685</v>
      </c>
      <c r="K1564" s="79">
        <v>2.7115039037531687</v>
      </c>
    </row>
    <row r="1565" spans="2:11" x14ac:dyDescent="0.35">
      <c r="B1565" s="149" t="s">
        <v>848</v>
      </c>
      <c r="C1565" s="6" t="s">
        <v>226</v>
      </c>
      <c r="D1565" s="6">
        <v>255.49249999999998</v>
      </c>
      <c r="E1565" s="6" t="s">
        <v>1074</v>
      </c>
      <c r="F1565" s="114">
        <v>64.441553571428557</v>
      </c>
      <c r="G1565" s="76" t="s">
        <v>40</v>
      </c>
      <c r="H1565" s="160">
        <v>1.5804464285714488</v>
      </c>
      <c r="I1565" s="160">
        <v>-0.999625110474891</v>
      </c>
      <c r="J1565" s="78">
        <v>13.894763128565955</v>
      </c>
      <c r="K1565" s="79">
        <v>2.5352090155064388</v>
      </c>
    </row>
    <row r="1566" spans="2:11" x14ac:dyDescent="0.35">
      <c r="B1566" s="149" t="s">
        <v>848</v>
      </c>
      <c r="C1566" s="6" t="s">
        <v>226</v>
      </c>
      <c r="D1566" s="6">
        <v>255.52249999999998</v>
      </c>
      <c r="E1566" s="6" t="s">
        <v>1074</v>
      </c>
      <c r="F1566" s="114">
        <v>64.463624999999979</v>
      </c>
      <c r="G1566" s="76" t="s">
        <v>40</v>
      </c>
      <c r="H1566" s="160">
        <v>1.5583750000000265</v>
      </c>
      <c r="I1566" s="160">
        <v>-0.95229702536357097</v>
      </c>
      <c r="J1566" s="78">
        <v>13.678431960699527</v>
      </c>
      <c r="K1566" s="79">
        <v>2.3188778476400103</v>
      </c>
    </row>
    <row r="1567" spans="2:11" x14ac:dyDescent="0.35">
      <c r="B1567" s="149" t="s">
        <v>848</v>
      </c>
      <c r="C1567" s="6" t="s">
        <v>226</v>
      </c>
      <c r="D1567" s="6">
        <v>255.55249999999998</v>
      </c>
      <c r="E1567" s="6" t="s">
        <v>1074</v>
      </c>
      <c r="F1567" s="114">
        <v>64.485696428571416</v>
      </c>
      <c r="G1567" s="76" t="s">
        <v>40</v>
      </c>
      <c r="H1567" s="160">
        <v>1.53630357142859</v>
      </c>
      <c r="I1567" s="160">
        <v>-0.9908187331191054</v>
      </c>
      <c r="J1567" s="78">
        <v>13.854484719332675</v>
      </c>
      <c r="K1567" s="79">
        <v>2.494930606273158</v>
      </c>
    </row>
    <row r="1568" spans="2:11" x14ac:dyDescent="0.35">
      <c r="B1568" s="149" t="s">
        <v>848</v>
      </c>
      <c r="C1568" s="6" t="s">
        <v>226</v>
      </c>
      <c r="D1568" s="6">
        <v>255.58249999999998</v>
      </c>
      <c r="E1568" s="6" t="s">
        <v>1074</v>
      </c>
      <c r="F1568" s="114">
        <v>64.507767857142838</v>
      </c>
      <c r="G1568" s="76" t="s">
        <v>40</v>
      </c>
      <c r="H1568" s="160">
        <v>1.5142321428571677</v>
      </c>
      <c r="I1568" s="160">
        <v>-0.99295549238651803</v>
      </c>
      <c r="J1568" s="78">
        <v>13.864256709182087</v>
      </c>
      <c r="K1568" s="79">
        <v>2.50470259612257</v>
      </c>
    </row>
    <row r="1569" spans="2:11" x14ac:dyDescent="0.35">
      <c r="B1569" s="149" t="s">
        <v>848</v>
      </c>
      <c r="C1569" s="6" t="s">
        <v>226</v>
      </c>
      <c r="D1569" s="6">
        <v>255.61249999999998</v>
      </c>
      <c r="E1569" s="6" t="s">
        <v>1074</v>
      </c>
      <c r="F1569" s="114">
        <v>64.5288629032258</v>
      </c>
      <c r="G1569" s="76" t="s">
        <v>40</v>
      </c>
      <c r="H1569" s="160">
        <v>1.4931370967742055</v>
      </c>
      <c r="I1569" s="160">
        <v>-1.1416493708431363</v>
      </c>
      <c r="J1569" s="78">
        <v>14.545964684464423</v>
      </c>
      <c r="K1569" s="79">
        <v>3.186410571404906</v>
      </c>
    </row>
    <row r="1570" spans="2:11" x14ac:dyDescent="0.35">
      <c r="B1570" s="149" t="s">
        <v>848</v>
      </c>
      <c r="C1570" s="6" t="s">
        <v>226</v>
      </c>
      <c r="D1570" s="6">
        <v>255.63249999999999</v>
      </c>
      <c r="E1570" s="6" t="s">
        <v>1074</v>
      </c>
      <c r="F1570" s="114">
        <v>64.535766129032254</v>
      </c>
      <c r="G1570" s="76" t="s">
        <v>40</v>
      </c>
      <c r="H1570" s="160">
        <v>1.4862338709677516</v>
      </c>
      <c r="I1570" s="160">
        <v>-0.99394865607858263</v>
      </c>
      <c r="J1570" s="78">
        <v>13.868798954494139</v>
      </c>
      <c r="K1570" s="79">
        <v>2.5092448414346222</v>
      </c>
    </row>
    <row r="1571" spans="2:11" x14ac:dyDescent="0.35">
      <c r="B1571" s="149" t="s">
        <v>848</v>
      </c>
      <c r="C1571" s="6" t="s">
        <v>226</v>
      </c>
      <c r="D1571" s="6">
        <v>255.67249999999999</v>
      </c>
      <c r="E1571" s="6" t="s">
        <v>1074</v>
      </c>
      <c r="F1571" s="114">
        <v>64.549572580645162</v>
      </c>
      <c r="G1571" s="76" t="s">
        <v>40</v>
      </c>
      <c r="H1571" s="160">
        <v>1.4724274193548439</v>
      </c>
      <c r="I1571" s="160">
        <v>-0.99052126915775363</v>
      </c>
      <c r="J1571" s="78">
        <v>13.853124388963408</v>
      </c>
      <c r="K1571" s="79">
        <v>2.4935702759038918</v>
      </c>
    </row>
    <row r="1572" spans="2:11" x14ac:dyDescent="0.35">
      <c r="B1572" s="149" t="s">
        <v>848</v>
      </c>
      <c r="C1572" s="6" t="s">
        <v>226</v>
      </c>
      <c r="D1572" s="6">
        <v>255.70249999999999</v>
      </c>
      <c r="E1572" s="6" t="s">
        <v>1074</v>
      </c>
      <c r="F1572" s="114">
        <v>64.559927419354835</v>
      </c>
      <c r="G1572" s="76" t="s">
        <v>40</v>
      </c>
      <c r="H1572" s="160">
        <v>1.4620725806451702</v>
      </c>
      <c r="I1572" s="160">
        <v>-0.97836357077350167</v>
      </c>
      <c r="J1572" s="78">
        <v>13.797537481457084</v>
      </c>
      <c r="K1572" s="79">
        <v>2.4379833683975676</v>
      </c>
    </row>
    <row r="1573" spans="2:11" x14ac:dyDescent="0.35">
      <c r="B1573" s="149" t="s">
        <v>848</v>
      </c>
      <c r="C1573" s="6" t="s">
        <v>226</v>
      </c>
      <c r="D1573" s="6">
        <v>255.73249999999999</v>
      </c>
      <c r="E1573" s="6" t="s">
        <v>1074</v>
      </c>
      <c r="F1573" s="114">
        <v>64.570282258064523</v>
      </c>
      <c r="G1573" s="76" t="s">
        <v>40</v>
      </c>
      <c r="H1573" s="160">
        <v>1.4517177419354823</v>
      </c>
      <c r="I1573" s="160">
        <v>-0.93868722475796362</v>
      </c>
      <c r="J1573" s="78">
        <v>13.616285393920975</v>
      </c>
      <c r="K1573" s="79">
        <v>2.2567312808614588</v>
      </c>
    </row>
    <row r="1574" spans="2:11" x14ac:dyDescent="0.35">
      <c r="B1574" s="149" t="s">
        <v>848</v>
      </c>
      <c r="C1574" s="6" t="s">
        <v>226</v>
      </c>
      <c r="D1574" s="6">
        <v>255.76249999999999</v>
      </c>
      <c r="E1574" s="6" t="s">
        <v>1074</v>
      </c>
      <c r="F1574" s="114">
        <v>64.580637096774197</v>
      </c>
      <c r="G1574" s="76" t="s">
        <v>40</v>
      </c>
      <c r="H1574" s="160">
        <v>1.4413629032258086</v>
      </c>
      <c r="I1574" s="160">
        <v>-1.1087438950817341</v>
      </c>
      <c r="J1574" s="78">
        <v>14.394817276384572</v>
      </c>
      <c r="K1574" s="79">
        <v>3.0352631633250553</v>
      </c>
    </row>
    <row r="1575" spans="2:11" x14ac:dyDescent="0.35">
      <c r="B1575" s="149" t="s">
        <v>848</v>
      </c>
      <c r="C1575" s="6" t="s">
        <v>226</v>
      </c>
      <c r="D1575" s="6">
        <v>255.79249999999999</v>
      </c>
      <c r="E1575" s="6" t="s">
        <v>1074</v>
      </c>
      <c r="F1575" s="114">
        <v>64.590991935483871</v>
      </c>
      <c r="G1575" s="76" t="s">
        <v>40</v>
      </c>
      <c r="H1575" s="160">
        <v>1.4310080645161349</v>
      </c>
      <c r="I1575" s="160">
        <v>-1.3470662029959413</v>
      </c>
      <c r="J1575" s="78">
        <v>15.493239993953182</v>
      </c>
      <c r="K1575" s="79">
        <v>4.1336858808936654</v>
      </c>
    </row>
    <row r="1576" spans="2:11" x14ac:dyDescent="0.35">
      <c r="B1576" s="149" t="s">
        <v>848</v>
      </c>
      <c r="C1576" s="6" t="s">
        <v>226</v>
      </c>
      <c r="D1576" s="6">
        <v>255.82249999999999</v>
      </c>
      <c r="E1576" s="6" t="s">
        <v>1074</v>
      </c>
      <c r="F1576" s="114">
        <v>64.601346774193559</v>
      </c>
      <c r="G1576" s="76" t="s">
        <v>40</v>
      </c>
      <c r="H1576" s="160">
        <v>1.420653225806447</v>
      </c>
      <c r="I1576" s="160">
        <v>-1.1190902224223831</v>
      </c>
      <c r="J1576" s="78">
        <v>14.442324249512012</v>
      </c>
      <c r="K1576" s="79">
        <v>3.0827701364524955</v>
      </c>
    </row>
    <row r="1577" spans="2:11" x14ac:dyDescent="0.35">
      <c r="B1577" s="149" t="s">
        <v>848</v>
      </c>
      <c r="C1577" s="6" t="s">
        <v>226</v>
      </c>
      <c r="D1577" s="6">
        <v>255.83249999999998</v>
      </c>
      <c r="E1577" s="6" t="s">
        <v>1074</v>
      </c>
      <c r="F1577" s="114">
        <v>64.604798387096778</v>
      </c>
      <c r="G1577" s="76" t="s">
        <v>40</v>
      </c>
      <c r="H1577" s="160">
        <v>1.4172016129032272</v>
      </c>
      <c r="I1577" s="160">
        <v>-0.76755413352066082</v>
      </c>
      <c r="J1577" s="78">
        <v>12.837202580827807</v>
      </c>
      <c r="K1577" s="79">
        <v>1.4776484677682902</v>
      </c>
    </row>
    <row r="1578" spans="2:11" x14ac:dyDescent="0.35">
      <c r="B1578" s="149" t="s">
        <v>848</v>
      </c>
      <c r="C1578" s="6" t="s">
        <v>226</v>
      </c>
      <c r="D1578" s="6">
        <v>255.8425</v>
      </c>
      <c r="E1578" s="6" t="s">
        <v>1074</v>
      </c>
      <c r="F1578" s="114">
        <v>64.608250000000012</v>
      </c>
      <c r="G1578" s="76" t="s">
        <v>40</v>
      </c>
      <c r="H1578" s="160">
        <v>1.4137499999999932</v>
      </c>
      <c r="I1578" s="160">
        <v>-0.79721401737954301</v>
      </c>
      <c r="J1578" s="78">
        <v>12.971916155979557</v>
      </c>
      <c r="K1578" s="79">
        <v>1.61236204292004</v>
      </c>
    </row>
    <row r="1579" spans="2:11" x14ac:dyDescent="0.35">
      <c r="B1579" s="149" t="s">
        <v>848</v>
      </c>
      <c r="C1579" s="6" t="s">
        <v>226</v>
      </c>
      <c r="D1579" s="6">
        <v>255.85249999999999</v>
      </c>
      <c r="E1579" s="6" t="s">
        <v>1074</v>
      </c>
      <c r="F1579" s="114">
        <v>64.611701612903232</v>
      </c>
      <c r="G1579" s="76" t="s">
        <v>40</v>
      </c>
      <c r="H1579" s="160">
        <v>1.4102983870967734</v>
      </c>
      <c r="I1579" s="160">
        <v>-0.81448090123842554</v>
      </c>
      <c r="J1579" s="78">
        <v>13.050401708722347</v>
      </c>
      <c r="K1579" s="79">
        <v>1.6908475956628308</v>
      </c>
    </row>
    <row r="1580" spans="2:11" x14ac:dyDescent="0.35">
      <c r="B1580" s="149" t="s">
        <v>848</v>
      </c>
      <c r="C1580" s="6" t="s">
        <v>226</v>
      </c>
      <c r="D1580" s="6">
        <v>255.86249999999998</v>
      </c>
      <c r="E1580" s="6" t="s">
        <v>1074</v>
      </c>
      <c r="F1580" s="114">
        <v>64.615153225806452</v>
      </c>
      <c r="G1580" s="76" t="s">
        <v>40</v>
      </c>
      <c r="H1580" s="160">
        <v>1.4068467741935535</v>
      </c>
      <c r="I1580" s="160">
        <v>-0.75641678509730781</v>
      </c>
      <c r="J1580" s="78">
        <v>12.78665113771865</v>
      </c>
      <c r="K1580" s="79">
        <v>1.4270970246591332</v>
      </c>
    </row>
    <row r="1581" spans="2:11" x14ac:dyDescent="0.35">
      <c r="B1581" s="149" t="s">
        <v>848</v>
      </c>
      <c r="C1581" s="6" t="s">
        <v>226</v>
      </c>
      <c r="D1581" s="6">
        <v>255.8725</v>
      </c>
      <c r="E1581" s="6" t="s">
        <v>1074</v>
      </c>
      <c r="F1581" s="114">
        <v>64.618604838709686</v>
      </c>
      <c r="G1581" s="76" t="s">
        <v>40</v>
      </c>
      <c r="H1581" s="160">
        <v>1.4033951612903195</v>
      </c>
      <c r="I1581" s="160">
        <v>-0.67006166895619002</v>
      </c>
      <c r="J1581" s="78">
        <v>12.395317588367902</v>
      </c>
      <c r="K1581" s="79">
        <v>1.0357634753083858</v>
      </c>
    </row>
    <row r="1582" spans="2:11" x14ac:dyDescent="0.35">
      <c r="B1582" s="149" t="s">
        <v>848</v>
      </c>
      <c r="C1582" s="6" t="s">
        <v>226</v>
      </c>
      <c r="D1582" s="6">
        <v>255.88249999999999</v>
      </c>
      <c r="E1582" s="6" t="s">
        <v>1074</v>
      </c>
      <c r="F1582" s="114">
        <v>64.622056451612906</v>
      </c>
      <c r="G1582" s="76" t="s">
        <v>40</v>
      </c>
      <c r="H1582" s="160">
        <v>1.3999435483870997</v>
      </c>
      <c r="I1582" s="160">
        <v>-0.58034455281507247</v>
      </c>
      <c r="J1582" s="78">
        <v>11.989917118302003</v>
      </c>
      <c r="K1582" s="79">
        <v>0.63036300524248645</v>
      </c>
    </row>
    <row r="1583" spans="2:11" x14ac:dyDescent="0.35">
      <c r="B1583" s="149" t="s">
        <v>848</v>
      </c>
      <c r="C1583" s="6" t="s">
        <v>226</v>
      </c>
      <c r="D1583" s="6">
        <v>255.89249999999998</v>
      </c>
      <c r="E1583" s="6" t="s">
        <v>1074</v>
      </c>
      <c r="F1583" s="114">
        <v>64.625508064516126</v>
      </c>
      <c r="G1583" s="76" t="s">
        <v>40</v>
      </c>
      <c r="H1583" s="160">
        <v>1.3964919354838798</v>
      </c>
      <c r="I1583" s="160">
        <v>-0.67656143667395474</v>
      </c>
      <c r="J1583" s="78">
        <v>12.424733983305543</v>
      </c>
      <c r="K1583" s="79">
        <v>1.0651798702460269</v>
      </c>
    </row>
    <row r="1584" spans="2:11" x14ac:dyDescent="0.35">
      <c r="B1584" s="149" t="s">
        <v>848</v>
      </c>
      <c r="C1584" s="6" t="s">
        <v>226</v>
      </c>
      <c r="D1584" s="6">
        <v>255.9025</v>
      </c>
      <c r="E1584" s="6" t="s">
        <v>1074</v>
      </c>
      <c r="F1584" s="114">
        <v>64.62895967741936</v>
      </c>
      <c r="G1584" s="76" t="s">
        <v>40</v>
      </c>
      <c r="H1584" s="160">
        <v>1.3930403225806458</v>
      </c>
      <c r="I1584" s="160">
        <v>-0.72322232053283697</v>
      </c>
      <c r="J1584" s="78">
        <v>12.636093678096074</v>
      </c>
      <c r="K1584" s="79">
        <v>1.2765395650365576</v>
      </c>
    </row>
    <row r="1585" spans="2:11" x14ac:dyDescent="0.35">
      <c r="B1585" s="149" t="s">
        <v>848</v>
      </c>
      <c r="C1585" s="6" t="s">
        <v>226</v>
      </c>
      <c r="D1585" s="6">
        <v>255.91249999999999</v>
      </c>
      <c r="E1585" s="6" t="s">
        <v>1074</v>
      </c>
      <c r="F1585" s="114">
        <v>64.632411290322594</v>
      </c>
      <c r="G1585" s="76" t="s">
        <v>40</v>
      </c>
      <c r="H1585" s="160">
        <v>1.3895887096774118</v>
      </c>
      <c r="I1585" s="160">
        <v>-0.68728620439171917</v>
      </c>
      <c r="J1585" s="78">
        <v>12.473285389858631</v>
      </c>
      <c r="K1585" s="79">
        <v>1.1137312767991148</v>
      </c>
    </row>
    <row r="1586" spans="2:11" x14ac:dyDescent="0.35">
      <c r="B1586" s="149" t="s">
        <v>848</v>
      </c>
      <c r="C1586" s="6" t="s">
        <v>226</v>
      </c>
      <c r="D1586" s="6">
        <v>255.92249999999999</v>
      </c>
      <c r="E1586" s="6" t="s">
        <v>1074</v>
      </c>
      <c r="F1586" s="114">
        <v>64.635520833333331</v>
      </c>
      <c r="G1586" s="76" t="s">
        <v>40</v>
      </c>
      <c r="H1586" s="160">
        <v>1.3864791666666747</v>
      </c>
      <c r="I1586" s="160">
        <v>-0.73154608825060141</v>
      </c>
      <c r="J1586" s="78">
        <v>12.673831755317849</v>
      </c>
      <c r="K1586" s="79">
        <v>1.3142776422583324</v>
      </c>
    </row>
    <row r="1587" spans="2:11" x14ac:dyDescent="0.35">
      <c r="B1587" s="149" t="s">
        <v>848</v>
      </c>
      <c r="C1587" s="6" t="s">
        <v>226</v>
      </c>
      <c r="D1587" s="6">
        <v>255.93249999999998</v>
      </c>
      <c r="E1587" s="6" t="s">
        <v>1074</v>
      </c>
      <c r="F1587" s="114">
        <v>64.637604166666662</v>
      </c>
      <c r="G1587" s="76" t="s">
        <v>40</v>
      </c>
      <c r="H1587" s="160">
        <v>1.3843958333333433</v>
      </c>
      <c r="I1587" s="160">
        <v>-0.60093497210948388</v>
      </c>
      <c r="J1587" s="78">
        <v>12.082853041225576</v>
      </c>
      <c r="K1587" s="79">
        <v>0.72329892816605934</v>
      </c>
    </row>
    <row r="1588" spans="2:11" x14ac:dyDescent="0.35">
      <c r="B1588" s="149" t="s">
        <v>848</v>
      </c>
      <c r="C1588" s="6" t="s">
        <v>226</v>
      </c>
      <c r="D1588" s="6">
        <v>255.9425</v>
      </c>
      <c r="E1588" s="6" t="s">
        <v>1074</v>
      </c>
      <c r="F1588" s="114">
        <v>64.639687500000008</v>
      </c>
      <c r="G1588" s="76" t="s">
        <v>40</v>
      </c>
      <c r="H1588" s="160">
        <v>1.3823124999999976</v>
      </c>
      <c r="I1588" s="160">
        <v>-0.80781985596836614</v>
      </c>
      <c r="J1588" s="78">
        <v>13.02011907784663</v>
      </c>
      <c r="K1588" s="79">
        <v>1.6605649647871132</v>
      </c>
    </row>
    <row r="1589" spans="2:11" x14ac:dyDescent="0.35">
      <c r="B1589" s="149" t="s">
        <v>848</v>
      </c>
      <c r="C1589" s="6" t="s">
        <v>226</v>
      </c>
      <c r="D1589" s="6">
        <v>255.95249999999999</v>
      </c>
      <c r="E1589" s="6" t="s">
        <v>1074</v>
      </c>
      <c r="F1589" s="114">
        <v>64.641770833333339</v>
      </c>
      <c r="G1589" s="76" t="s">
        <v>40</v>
      </c>
      <c r="H1589" s="160">
        <v>1.3802291666666662</v>
      </c>
      <c r="I1589" s="160">
        <v>-0.74176173982724836</v>
      </c>
      <c r="J1589" s="78">
        <v>12.720161259429574</v>
      </c>
      <c r="K1589" s="79">
        <v>1.3606071463700573</v>
      </c>
    </row>
    <row r="1590" spans="2:11" x14ac:dyDescent="0.35">
      <c r="B1590" s="149" t="s">
        <v>848</v>
      </c>
      <c r="C1590" s="6" t="s">
        <v>226</v>
      </c>
      <c r="D1590" s="6">
        <v>255.96249999999998</v>
      </c>
      <c r="E1590" s="6" t="s">
        <v>1074</v>
      </c>
      <c r="F1590" s="114">
        <v>64.643854166666671</v>
      </c>
      <c r="G1590" s="76" t="s">
        <v>40</v>
      </c>
      <c r="H1590" s="160">
        <v>1.3781458333333347</v>
      </c>
      <c r="I1590" s="160">
        <v>-0.61840762368613089</v>
      </c>
      <c r="J1590" s="78">
        <v>12.161765790683091</v>
      </c>
      <c r="K1590" s="79">
        <v>0.80221167762357481</v>
      </c>
    </row>
    <row r="1591" spans="2:11" x14ac:dyDescent="0.35">
      <c r="B1591" s="149" t="s">
        <v>848</v>
      </c>
      <c r="C1591" s="6" t="s">
        <v>226</v>
      </c>
      <c r="D1591" s="6">
        <v>255.9725</v>
      </c>
      <c r="E1591" s="6" t="s">
        <v>1074</v>
      </c>
      <c r="F1591" s="114">
        <v>64.645937500000002</v>
      </c>
      <c r="G1591" s="76" t="s">
        <v>40</v>
      </c>
      <c r="H1591" s="160">
        <v>1.3760625000000033</v>
      </c>
      <c r="I1591" s="160">
        <v>-0.91429650754501313</v>
      </c>
      <c r="J1591" s="78">
        <v>13.504979289844982</v>
      </c>
      <c r="K1591" s="79">
        <v>2.1454251767854657</v>
      </c>
    </row>
    <row r="1592" spans="2:11" x14ac:dyDescent="0.35">
      <c r="B1592" s="149" t="s">
        <v>848</v>
      </c>
      <c r="C1592" s="6" t="s">
        <v>226</v>
      </c>
      <c r="D1592" s="6">
        <v>255.98249999999999</v>
      </c>
      <c r="E1592" s="6" t="s">
        <v>1074</v>
      </c>
      <c r="F1592" s="114">
        <v>64.648020833333334</v>
      </c>
      <c r="G1592" s="76" t="s">
        <v>40</v>
      </c>
      <c r="H1592" s="160">
        <v>1.3739791666666719</v>
      </c>
      <c r="I1592" s="160">
        <v>-0.68038015912165983</v>
      </c>
      <c r="J1592" s="78">
        <v>12.442019524123282</v>
      </c>
      <c r="K1592" s="79">
        <v>1.0824654110637653</v>
      </c>
    </row>
    <row r="1593" spans="2:11" x14ac:dyDescent="0.35">
      <c r="B1593" s="149" t="s">
        <v>848</v>
      </c>
      <c r="C1593" s="6" t="s">
        <v>226</v>
      </c>
      <c r="D1593" s="6">
        <v>255.99249999999998</v>
      </c>
      <c r="E1593" s="6" t="s">
        <v>1074</v>
      </c>
      <c r="F1593" s="114">
        <v>64.650104166666665</v>
      </c>
      <c r="G1593" s="76" t="s">
        <v>40</v>
      </c>
      <c r="H1593" s="160">
        <v>1.3718958333333404</v>
      </c>
      <c r="I1593" s="160">
        <v>-0.95113704298054236</v>
      </c>
      <c r="J1593" s="78">
        <v>13.673134038642786</v>
      </c>
      <c r="K1593" s="79">
        <v>2.3135799255832694</v>
      </c>
    </row>
    <row r="1594" spans="2:11" x14ac:dyDescent="0.35">
      <c r="B1594" s="149" t="s">
        <v>848</v>
      </c>
      <c r="C1594" s="6" t="s">
        <v>226</v>
      </c>
      <c r="D1594" s="6">
        <v>256.0025</v>
      </c>
      <c r="E1594" s="6" t="s">
        <v>1074</v>
      </c>
      <c r="F1594" s="114">
        <v>64.652187500000011</v>
      </c>
      <c r="G1594" s="76" t="s">
        <v>40</v>
      </c>
      <c r="H1594" s="160">
        <v>1.3698124999999948</v>
      </c>
      <c r="I1594" s="160">
        <v>-0.83835592683942461</v>
      </c>
      <c r="J1594" s="78">
        <v>13.158997354355051</v>
      </c>
      <c r="K1594" s="79">
        <v>1.7994432412955348</v>
      </c>
    </row>
    <row r="1595" spans="2:11" x14ac:dyDescent="0.35">
      <c r="B1595" s="149" t="s">
        <v>848</v>
      </c>
      <c r="C1595" s="6" t="s">
        <v>226</v>
      </c>
      <c r="D1595" s="6">
        <v>256.01249999999999</v>
      </c>
      <c r="E1595" s="6" t="s">
        <v>1074</v>
      </c>
      <c r="F1595" s="114">
        <v>64.654270833333342</v>
      </c>
      <c r="G1595" s="76" t="s">
        <v>40</v>
      </c>
      <c r="H1595" s="160">
        <v>1.3677291666666633</v>
      </c>
      <c r="I1595" s="160">
        <v>-0.82254681069830682</v>
      </c>
      <c r="J1595" s="78">
        <v>13.08708002317411</v>
      </c>
      <c r="K1595" s="79">
        <v>1.7275259101145934</v>
      </c>
    </row>
    <row r="1596" spans="2:11" x14ac:dyDescent="0.35">
      <c r="B1596" s="149" t="s">
        <v>848</v>
      </c>
      <c r="C1596" s="6" t="s">
        <v>226</v>
      </c>
      <c r="D1596" s="6">
        <v>256.02249999999998</v>
      </c>
      <c r="E1596" s="6" t="s">
        <v>1074</v>
      </c>
      <c r="F1596" s="114">
        <v>64.656354166666674</v>
      </c>
      <c r="G1596" s="76" t="s">
        <v>40</v>
      </c>
      <c r="H1596" s="160">
        <v>1.3656458333333319</v>
      </c>
      <c r="I1596" s="160">
        <v>-0.8172876945571893</v>
      </c>
      <c r="J1596" s="78">
        <v>13.06316401108603</v>
      </c>
      <c r="K1596" s="79">
        <v>1.7036098980265137</v>
      </c>
    </row>
    <row r="1597" spans="2:11" x14ac:dyDescent="0.35">
      <c r="B1597" s="149" t="s">
        <v>848</v>
      </c>
      <c r="C1597" s="6" t="s">
        <v>226</v>
      </c>
      <c r="D1597" s="6">
        <v>256.03250000000003</v>
      </c>
      <c r="E1597" s="6" t="s">
        <v>1074</v>
      </c>
      <c r="F1597" s="114">
        <v>64.658437500000019</v>
      </c>
      <c r="G1597" s="76" t="s">
        <v>40</v>
      </c>
      <c r="H1597" s="160">
        <v>1.3635624999999862</v>
      </c>
      <c r="I1597" s="160">
        <v>-0.78988357841607149</v>
      </c>
      <c r="J1597" s="78">
        <v>12.938609524049923</v>
      </c>
      <c r="K1597" s="79">
        <v>1.5790554109904065</v>
      </c>
    </row>
    <row r="1598" spans="2:11" x14ac:dyDescent="0.35">
      <c r="B1598" s="149" t="s">
        <v>848</v>
      </c>
      <c r="C1598" s="6" t="s">
        <v>226</v>
      </c>
      <c r="D1598" s="6">
        <v>256.04250000000002</v>
      </c>
      <c r="E1598" s="6" t="s">
        <v>1074</v>
      </c>
      <c r="F1598" s="114">
        <v>64.660520833333351</v>
      </c>
      <c r="G1598" s="76" t="s">
        <v>40</v>
      </c>
      <c r="H1598" s="160">
        <v>1.3614791666666548</v>
      </c>
      <c r="I1598" s="160">
        <v>-0.83463046227495374</v>
      </c>
      <c r="J1598" s="78">
        <v>13.142046467476746</v>
      </c>
      <c r="K1598" s="79">
        <v>1.7824923544172293</v>
      </c>
    </row>
    <row r="1599" spans="2:11" x14ac:dyDescent="0.35">
      <c r="B1599" s="149" t="s">
        <v>848</v>
      </c>
      <c r="C1599" s="6" t="s">
        <v>226</v>
      </c>
      <c r="D1599" s="6">
        <v>256.05250000000001</v>
      </c>
      <c r="E1599" s="6" t="s">
        <v>1074</v>
      </c>
      <c r="F1599" s="114">
        <v>64.662604166666682</v>
      </c>
      <c r="G1599" s="76" t="s">
        <v>40</v>
      </c>
      <c r="H1599" s="160">
        <v>1.3593958333333234</v>
      </c>
      <c r="I1599" s="160">
        <v>-0.75483034613383604</v>
      </c>
      <c r="J1599" s="78">
        <v>12.779451930959283</v>
      </c>
      <c r="K1599" s="79">
        <v>1.4198978178997663</v>
      </c>
    </row>
    <row r="1600" spans="2:11" x14ac:dyDescent="0.35">
      <c r="B1600" s="149" t="s">
        <v>848</v>
      </c>
      <c r="C1600" s="6" t="s">
        <v>226</v>
      </c>
      <c r="D1600" s="6">
        <v>256.0625</v>
      </c>
      <c r="E1600" s="6" t="s">
        <v>1074</v>
      </c>
      <c r="F1600" s="114">
        <v>64.664687500000014</v>
      </c>
      <c r="G1600" s="76" t="s">
        <v>40</v>
      </c>
      <c r="H1600" s="160">
        <v>1.3573124999999919</v>
      </c>
      <c r="I1600" s="160">
        <v>-0.78368422999271825</v>
      </c>
      <c r="J1600" s="78">
        <v>12.910448364611852</v>
      </c>
      <c r="K1600" s="79">
        <v>1.5508942515523358</v>
      </c>
    </row>
    <row r="1601" spans="2:11" x14ac:dyDescent="0.35">
      <c r="B1601" s="149" t="s">
        <v>848</v>
      </c>
      <c r="C1601" s="6" t="s">
        <v>226</v>
      </c>
      <c r="D1601" s="6">
        <v>256.07249999999999</v>
      </c>
      <c r="E1601" s="6" t="s">
        <v>1074</v>
      </c>
      <c r="F1601" s="114">
        <v>64.666770833333345</v>
      </c>
      <c r="G1601" s="76" t="s">
        <v>40</v>
      </c>
      <c r="H1601" s="160">
        <v>1.3552291666666605</v>
      </c>
      <c r="I1601" s="160">
        <v>-0.73250711385160072</v>
      </c>
      <c r="J1601" s="78">
        <v>12.678189489723309</v>
      </c>
      <c r="K1601" s="79">
        <v>1.3186353766637922</v>
      </c>
    </row>
    <row r="1602" spans="2:11" x14ac:dyDescent="0.35">
      <c r="B1602" s="149" t="s">
        <v>848</v>
      </c>
      <c r="C1602" s="6" t="s">
        <v>226</v>
      </c>
      <c r="D1602" s="6">
        <v>256.08249999999998</v>
      </c>
      <c r="E1602" s="6" t="s">
        <v>1074</v>
      </c>
      <c r="F1602" s="114">
        <v>64.668854166666662</v>
      </c>
      <c r="G1602" s="76" t="s">
        <v>40</v>
      </c>
      <c r="H1602" s="160">
        <v>1.3531458333333433</v>
      </c>
      <c r="I1602" s="160">
        <v>-0.74351399771048299</v>
      </c>
      <c r="J1602" s="78">
        <v>12.728109567053423</v>
      </c>
      <c r="K1602" s="79">
        <v>1.3685554539939062</v>
      </c>
    </row>
    <row r="1603" spans="2:11" x14ac:dyDescent="0.35">
      <c r="B1603" s="149" t="s">
        <v>848</v>
      </c>
      <c r="C1603" s="6" t="s">
        <v>226</v>
      </c>
      <c r="D1603" s="6">
        <v>256.09250000000003</v>
      </c>
      <c r="E1603" s="6" t="s">
        <v>1074</v>
      </c>
      <c r="F1603" s="114">
        <v>64.670937500000008</v>
      </c>
      <c r="G1603" s="76" t="s">
        <v>40</v>
      </c>
      <c r="H1603" s="160">
        <v>1.3510624999999976</v>
      </c>
      <c r="I1603" s="160">
        <v>-0.72426288156936525</v>
      </c>
      <c r="J1603" s="78">
        <v>12.640810783895802</v>
      </c>
      <c r="K1603" s="79">
        <v>1.2812566708362851</v>
      </c>
    </row>
    <row r="1604" spans="2:11" x14ac:dyDescent="0.35">
      <c r="B1604" s="149" t="s">
        <v>848</v>
      </c>
      <c r="C1604" s="6" t="s">
        <v>226</v>
      </c>
      <c r="D1604" s="6">
        <v>256.10250000000002</v>
      </c>
      <c r="E1604" s="6" t="s">
        <v>1074</v>
      </c>
      <c r="F1604" s="114">
        <v>64.673020833333339</v>
      </c>
      <c r="G1604" s="76" t="s">
        <v>40</v>
      </c>
      <c r="H1604" s="160">
        <v>1.3489791666666662</v>
      </c>
      <c r="I1604" s="160">
        <v>-0.71000876542824765</v>
      </c>
      <c r="J1604" s="78">
        <v>12.576207519482352</v>
      </c>
      <c r="K1604" s="79">
        <v>1.2166534064228358</v>
      </c>
    </row>
    <row r="1605" spans="2:11" x14ac:dyDescent="0.35">
      <c r="B1605" s="149" t="s">
        <v>848</v>
      </c>
      <c r="C1605" s="6" t="s">
        <v>226</v>
      </c>
      <c r="D1605" s="6">
        <v>256.11250000000001</v>
      </c>
      <c r="E1605" s="6" t="s">
        <v>1074</v>
      </c>
      <c r="F1605" s="114">
        <v>64.675104166666671</v>
      </c>
      <c r="G1605" s="76" t="s">
        <v>40</v>
      </c>
      <c r="H1605" s="160">
        <v>1.3468958333333347</v>
      </c>
      <c r="I1605" s="160">
        <v>-0.77465864928712991</v>
      </c>
      <c r="J1605" s="78">
        <v>12.869458985030576</v>
      </c>
      <c r="K1605" s="79">
        <v>1.5099048719710595</v>
      </c>
    </row>
    <row r="1606" spans="2:11" x14ac:dyDescent="0.35">
      <c r="B1606" s="149" t="s">
        <v>848</v>
      </c>
      <c r="C1606" s="6" t="s">
        <v>226</v>
      </c>
      <c r="D1606" s="6">
        <v>256.1225</v>
      </c>
      <c r="E1606" s="6" t="s">
        <v>1074</v>
      </c>
      <c r="F1606" s="114">
        <v>64.677187500000002</v>
      </c>
      <c r="G1606" s="76" t="s">
        <v>40</v>
      </c>
      <c r="H1606" s="160">
        <v>1.3448125000000033</v>
      </c>
      <c r="I1606" s="160">
        <v>-0.71396453314601216</v>
      </c>
      <c r="J1606" s="78">
        <v>12.594133040028055</v>
      </c>
      <c r="K1606" s="79">
        <v>1.2345789269685383</v>
      </c>
    </row>
    <row r="1607" spans="2:11" x14ac:dyDescent="0.35">
      <c r="B1607" s="149" t="s">
        <v>848</v>
      </c>
      <c r="C1607" s="6" t="s">
        <v>226</v>
      </c>
      <c r="D1607" s="6">
        <v>256.13249999999999</v>
      </c>
      <c r="E1607" s="6" t="s">
        <v>1074</v>
      </c>
      <c r="F1607" s="114">
        <v>64.679270833333334</v>
      </c>
      <c r="G1607" s="76" t="s">
        <v>40</v>
      </c>
      <c r="H1607" s="160">
        <v>1.3427291666666719</v>
      </c>
      <c r="I1607" s="160">
        <v>-0.59099441700489441</v>
      </c>
      <c r="J1607" s="78">
        <v>12.037978029837518</v>
      </c>
      <c r="K1607" s="79">
        <v>0.67842391677800151</v>
      </c>
    </row>
    <row r="1608" spans="2:11" x14ac:dyDescent="0.35">
      <c r="B1608" s="149" t="s">
        <v>848</v>
      </c>
      <c r="C1608" s="6" t="s">
        <v>226</v>
      </c>
      <c r="D1608" s="6">
        <v>256.14249999999998</v>
      </c>
      <c r="E1608" s="6" t="s">
        <v>1074</v>
      </c>
      <c r="F1608" s="114">
        <v>64.681354166666665</v>
      </c>
      <c r="G1608" s="76" t="s">
        <v>40</v>
      </c>
      <c r="H1608" s="160">
        <v>1.3406458333333404</v>
      </c>
      <c r="I1608" s="160">
        <v>-0.47451830086377667</v>
      </c>
      <c r="J1608" s="78">
        <v>11.513248862799685</v>
      </c>
      <c r="K1608" s="79">
        <v>0.15369474974016839</v>
      </c>
    </row>
    <row r="1609" spans="2:11" x14ac:dyDescent="0.35">
      <c r="B1609" s="149" t="s">
        <v>848</v>
      </c>
      <c r="C1609" s="6" t="s">
        <v>226</v>
      </c>
      <c r="D1609" s="6">
        <v>256.15250000000003</v>
      </c>
      <c r="E1609" s="6" t="s">
        <v>1074</v>
      </c>
      <c r="F1609" s="114">
        <v>64.683437500000011</v>
      </c>
      <c r="G1609" s="76" t="s">
        <v>40</v>
      </c>
      <c r="H1609" s="160">
        <v>1.3385624999999948</v>
      </c>
      <c r="I1609" s="160">
        <v>-0.53146218472265905</v>
      </c>
      <c r="J1609" s="78">
        <v>11.76953403860449</v>
      </c>
      <c r="K1609" s="79">
        <v>0.40997992554497387</v>
      </c>
    </row>
    <row r="1610" spans="2:11" x14ac:dyDescent="0.35">
      <c r="B1610" s="149" t="s">
        <v>848</v>
      </c>
      <c r="C1610" s="6" t="s">
        <v>226</v>
      </c>
      <c r="D1610" s="6">
        <v>256.16250000000002</v>
      </c>
      <c r="E1610" s="6" t="s">
        <v>1074</v>
      </c>
      <c r="F1610" s="114">
        <v>64.685520833333342</v>
      </c>
      <c r="G1610" s="76" t="s">
        <v>40</v>
      </c>
      <c r="H1610" s="160">
        <v>1.3364791666666633</v>
      </c>
      <c r="I1610" s="160">
        <v>-0.51572133333333015</v>
      </c>
      <c r="J1610" s="78">
        <v>11.698642186365419</v>
      </c>
      <c r="K1610" s="79">
        <v>0.33908807330590207</v>
      </c>
    </row>
    <row r="1611" spans="2:11" x14ac:dyDescent="0.35">
      <c r="B1611" s="149" t="s">
        <v>848</v>
      </c>
      <c r="C1611" s="6" t="s">
        <v>226</v>
      </c>
      <c r="D1611" s="6">
        <v>256.17250000000001</v>
      </c>
      <c r="E1611" s="6" t="s">
        <v>1074</v>
      </c>
      <c r="F1611" s="114">
        <v>64.687604166666674</v>
      </c>
      <c r="G1611" s="76" t="s">
        <v>40</v>
      </c>
      <c r="H1611" s="160">
        <v>1.3343958333333319</v>
      </c>
      <c r="I1611" s="160">
        <v>-0.65565533333333004</v>
      </c>
      <c r="J1611" s="78">
        <v>12.33014023561401</v>
      </c>
      <c r="K1611" s="79">
        <v>0.97058612255449361</v>
      </c>
    </row>
    <row r="1612" spans="2:11" x14ac:dyDescent="0.35">
      <c r="B1612" s="149" t="s">
        <v>848</v>
      </c>
      <c r="C1612" s="6" t="s">
        <v>226</v>
      </c>
      <c r="D1612" s="6">
        <v>256.1825</v>
      </c>
      <c r="E1612" s="6" t="s">
        <v>1074</v>
      </c>
      <c r="F1612" s="114">
        <v>64.689687500000005</v>
      </c>
      <c r="G1612" s="76" t="s">
        <v>40</v>
      </c>
      <c r="H1612" s="160">
        <v>1.3323125000000005</v>
      </c>
      <c r="I1612" s="160">
        <v>-0.56906833333333007</v>
      </c>
      <c r="J1612" s="78">
        <v>11.939047789216772</v>
      </c>
      <c r="K1612" s="79">
        <v>0.57949367615725578</v>
      </c>
    </row>
    <row r="1613" spans="2:11" x14ac:dyDescent="0.35">
      <c r="B1613" s="149" t="s">
        <v>848</v>
      </c>
      <c r="C1613" s="6" t="s">
        <v>226</v>
      </c>
      <c r="D1613" s="6">
        <v>256.1925</v>
      </c>
      <c r="E1613" s="6" t="s">
        <v>1074</v>
      </c>
      <c r="F1613" s="114">
        <v>64.691770833333337</v>
      </c>
      <c r="G1613" s="76" t="s">
        <v>40</v>
      </c>
      <c r="H1613" s="160">
        <v>1.330229166666669</v>
      </c>
      <c r="I1613" s="160">
        <v>-0.5560043333333301</v>
      </c>
      <c r="J1613" s="78">
        <v>11.880136824479393</v>
      </c>
      <c r="K1613" s="79">
        <v>0.52058271141987689</v>
      </c>
    </row>
    <row r="1614" spans="2:11" x14ac:dyDescent="0.35">
      <c r="B1614" s="149" t="s">
        <v>848</v>
      </c>
      <c r="C1614" s="6" t="s">
        <v>226</v>
      </c>
      <c r="D1614" s="6">
        <v>256.20249999999999</v>
      </c>
      <c r="E1614" s="6" t="s">
        <v>1074</v>
      </c>
      <c r="F1614" s="114">
        <v>64.693854166666668</v>
      </c>
      <c r="G1614" s="76" t="s">
        <v>40</v>
      </c>
      <c r="H1614" s="160">
        <v>1.3281458333333376</v>
      </c>
      <c r="I1614" s="160">
        <v>-0.56751033333333012</v>
      </c>
      <c r="J1614" s="78">
        <v>11.932020805231957</v>
      </c>
      <c r="K1614" s="79">
        <v>0.57246669217244062</v>
      </c>
    </row>
    <row r="1615" spans="2:11" x14ac:dyDescent="0.35">
      <c r="B1615" s="149" t="s">
        <v>848</v>
      </c>
      <c r="C1615" s="6" t="s">
        <v>226</v>
      </c>
      <c r="D1615" s="6">
        <v>256.21249999999998</v>
      </c>
      <c r="E1615" s="6" t="s">
        <v>1074</v>
      </c>
      <c r="F1615" s="114">
        <v>64.695937499999999</v>
      </c>
      <c r="G1615" s="76" t="s">
        <v>40</v>
      </c>
      <c r="H1615" s="160">
        <v>1.3260625000000061</v>
      </c>
      <c r="I1615" s="160">
        <v>-0.64985433333333009</v>
      </c>
      <c r="J1615" s="78">
        <v>12.303903934451967</v>
      </c>
      <c r="K1615" s="79">
        <v>0.94434982139244994</v>
      </c>
    </row>
    <row r="1616" spans="2:11" x14ac:dyDescent="0.35">
      <c r="B1616" s="149" t="s">
        <v>848</v>
      </c>
      <c r="C1616" s="6" t="s">
        <v>226</v>
      </c>
      <c r="D1616" s="6">
        <v>256.22250000000003</v>
      </c>
      <c r="E1616" s="6" t="s">
        <v>1074</v>
      </c>
      <c r="F1616" s="114">
        <v>64.698020833333345</v>
      </c>
      <c r="G1616" s="76" t="s">
        <v>40</v>
      </c>
      <c r="H1616" s="160">
        <v>1.3239791666666605</v>
      </c>
      <c r="I1616" s="160">
        <v>-0.58928933333333011</v>
      </c>
      <c r="J1616" s="78">
        <v>12.030282171793772</v>
      </c>
      <c r="K1616" s="79">
        <v>0.67072805873425523</v>
      </c>
    </row>
    <row r="1617" spans="2:11" x14ac:dyDescent="0.35">
      <c r="B1617" s="149" t="s">
        <v>848</v>
      </c>
      <c r="C1617" s="6" t="s">
        <v>226</v>
      </c>
      <c r="D1617" s="6">
        <v>256.23250000000002</v>
      </c>
      <c r="E1617" s="6" t="s">
        <v>1074</v>
      </c>
      <c r="F1617" s="114">
        <v>64.700104166666677</v>
      </c>
      <c r="G1617" s="76" t="s">
        <v>40</v>
      </c>
      <c r="H1617" s="160">
        <v>1.3218958333333291</v>
      </c>
      <c r="I1617" s="160">
        <v>-0.49776933333333007</v>
      </c>
      <c r="J1617" s="78">
        <v>11.617836423518725</v>
      </c>
      <c r="K1617" s="79">
        <v>0.25828231045920802</v>
      </c>
    </row>
    <row r="1618" spans="2:11" x14ac:dyDescent="0.35">
      <c r="B1618" s="149" t="s">
        <v>848</v>
      </c>
      <c r="C1618" s="6" t="s">
        <v>226</v>
      </c>
      <c r="D1618" s="6">
        <v>256.24250000000001</v>
      </c>
      <c r="E1618" s="6" t="s">
        <v>1074</v>
      </c>
      <c r="F1618" s="114">
        <v>64.702187500000008</v>
      </c>
      <c r="G1618" s="76" t="s">
        <v>40</v>
      </c>
      <c r="H1618" s="160">
        <v>1.3198124999999976</v>
      </c>
      <c r="I1618" s="160">
        <v>-0.55577233333333009</v>
      </c>
      <c r="J1618" s="78">
        <v>11.879090867761022</v>
      </c>
      <c r="K1618" s="79">
        <v>0.51953675470150529</v>
      </c>
    </row>
    <row r="1619" spans="2:11" x14ac:dyDescent="0.35">
      <c r="B1619" s="149" t="s">
        <v>848</v>
      </c>
      <c r="C1619" s="6" t="s">
        <v>226</v>
      </c>
      <c r="D1619" s="6">
        <v>256.2525</v>
      </c>
      <c r="E1619" s="6" t="s">
        <v>1074</v>
      </c>
      <c r="F1619" s="114">
        <v>64.704270833333339</v>
      </c>
      <c r="G1619" s="76" t="s">
        <v>40</v>
      </c>
      <c r="H1619" s="160">
        <v>1.3177291666666662</v>
      </c>
      <c r="I1619" s="160">
        <v>-0.50762033333333001</v>
      </c>
      <c r="J1619" s="78">
        <v>11.662172008822267</v>
      </c>
      <c r="K1619" s="79">
        <v>0.30261789576275078</v>
      </c>
    </row>
    <row r="1620" spans="2:11" x14ac:dyDescent="0.35">
      <c r="B1620" s="149" t="s">
        <v>848</v>
      </c>
      <c r="C1620" s="6" t="s">
        <v>226</v>
      </c>
      <c r="D1620" s="6">
        <v>256.26249999999999</v>
      </c>
      <c r="E1620" s="6" t="s">
        <v>1074</v>
      </c>
      <c r="F1620" s="114">
        <v>64.706354166666671</v>
      </c>
      <c r="G1620" s="76" t="s">
        <v>40</v>
      </c>
      <c r="H1620" s="160">
        <v>1.3156458333333347</v>
      </c>
      <c r="I1620" s="160">
        <v>-0.64588433333333006</v>
      </c>
      <c r="J1620" s="78">
        <v>12.28595160137769</v>
      </c>
      <c r="K1620" s="79">
        <v>0.92639748831817315</v>
      </c>
    </row>
    <row r="1621" spans="2:11" x14ac:dyDescent="0.35">
      <c r="B1621" s="149" t="s">
        <v>848</v>
      </c>
      <c r="C1621" s="6" t="s">
        <v>226</v>
      </c>
      <c r="D1621" s="6">
        <v>256.27249999999998</v>
      </c>
      <c r="E1621" s="6" t="s">
        <v>1074</v>
      </c>
      <c r="F1621" s="114">
        <v>64.708437500000002</v>
      </c>
      <c r="G1621" s="76" t="s">
        <v>40</v>
      </c>
      <c r="H1621" s="160">
        <v>1.3135625000000033</v>
      </c>
      <c r="I1621" s="160">
        <v>-0.60315833333333002</v>
      </c>
      <c r="J1621" s="78">
        <v>12.092892035851492</v>
      </c>
      <c r="K1621" s="79">
        <v>0.73333792279197496</v>
      </c>
    </row>
    <row r="1622" spans="2:11" x14ac:dyDescent="0.35">
      <c r="B1622" s="149" t="s">
        <v>848</v>
      </c>
      <c r="C1622" s="6" t="s">
        <v>226</v>
      </c>
      <c r="D1622" s="6">
        <v>256.28250000000003</v>
      </c>
      <c r="E1622" s="6" t="s">
        <v>1074</v>
      </c>
      <c r="F1622" s="114">
        <v>64.710520833333348</v>
      </c>
      <c r="G1622" s="76" t="s">
        <v>40</v>
      </c>
      <c r="H1622" s="160">
        <v>1.3114791666666576</v>
      </c>
      <c r="I1622" s="160">
        <v>-0.71174033333333009</v>
      </c>
      <c r="J1622" s="78">
        <v>12.584053816045923</v>
      </c>
      <c r="K1622" s="79">
        <v>1.2244997029864066</v>
      </c>
    </row>
    <row r="1623" spans="2:11" x14ac:dyDescent="0.35">
      <c r="B1623" s="149" t="s">
        <v>848</v>
      </c>
      <c r="C1623" s="6" t="s">
        <v>226</v>
      </c>
      <c r="D1623" s="6">
        <v>256.29250000000002</v>
      </c>
      <c r="E1623" s="6" t="s">
        <v>1074</v>
      </c>
      <c r="F1623" s="114">
        <v>64.712604166666679</v>
      </c>
      <c r="G1623" s="76" t="s">
        <v>40</v>
      </c>
      <c r="H1623" s="160">
        <v>1.3093958333333262</v>
      </c>
      <c r="I1623" s="160">
        <v>-0.65364133333333008</v>
      </c>
      <c r="J1623" s="78">
        <v>12.321030912909521</v>
      </c>
      <c r="K1623" s="79">
        <v>0.96147679985000423</v>
      </c>
    </row>
    <row r="1624" spans="2:11" x14ac:dyDescent="0.35">
      <c r="B1624" s="149" t="s">
        <v>848</v>
      </c>
      <c r="C1624" s="6" t="s">
        <v>226</v>
      </c>
      <c r="D1624" s="6">
        <v>256.30250000000001</v>
      </c>
      <c r="E1624" s="6" t="s">
        <v>1074</v>
      </c>
      <c r="F1624" s="114">
        <v>64.714687500000011</v>
      </c>
      <c r="G1624" s="76" t="s">
        <v>40</v>
      </c>
      <c r="H1624" s="160">
        <v>1.3073124999999948</v>
      </c>
      <c r="I1624" s="160">
        <v>-0.84685433333333004</v>
      </c>
      <c r="J1624" s="78">
        <v>13.197672906339335</v>
      </c>
      <c r="K1624" s="79">
        <v>1.8381187932798184</v>
      </c>
    </row>
    <row r="1625" spans="2:11" x14ac:dyDescent="0.35">
      <c r="B1625" s="149" t="s">
        <v>848</v>
      </c>
      <c r="C1625" s="6" t="s">
        <v>226</v>
      </c>
      <c r="D1625" s="6">
        <v>256.3125</v>
      </c>
      <c r="E1625" s="6" t="s">
        <v>1074</v>
      </c>
      <c r="F1625" s="114">
        <v>64.716770833333342</v>
      </c>
      <c r="G1625" s="76" t="s">
        <v>40</v>
      </c>
      <c r="H1625" s="160">
        <v>1.3052291666666633</v>
      </c>
      <c r="I1625" s="160">
        <v>-0.83511233333333001</v>
      </c>
      <c r="J1625" s="78">
        <v>13.144238867204308</v>
      </c>
      <c r="K1625" s="79">
        <v>1.7846847541447914</v>
      </c>
    </row>
    <row r="1626" spans="2:11" x14ac:dyDescent="0.35">
      <c r="B1626" s="149" t="s">
        <v>848</v>
      </c>
      <c r="C1626" s="6" t="s">
        <v>226</v>
      </c>
      <c r="D1626" s="6">
        <v>256.32249999999999</v>
      </c>
      <c r="E1626" s="6" t="s">
        <v>1074</v>
      </c>
      <c r="F1626" s="114">
        <v>64.718854166666674</v>
      </c>
      <c r="G1626" s="76" t="s">
        <v>40</v>
      </c>
      <c r="H1626" s="160">
        <v>1.3031458333333319</v>
      </c>
      <c r="I1626" s="160">
        <v>-0.76698633333333011</v>
      </c>
      <c r="J1626" s="78">
        <v>12.834624939781577</v>
      </c>
      <c r="K1626" s="79">
        <v>1.4750708267220602</v>
      </c>
    </row>
    <row r="1627" spans="2:11" x14ac:dyDescent="0.35">
      <c r="B1627" s="149" t="s">
        <v>848</v>
      </c>
      <c r="C1627" s="6" t="s">
        <v>226</v>
      </c>
      <c r="D1627" s="6">
        <v>256.33249999999998</v>
      </c>
      <c r="E1627" s="6" t="s">
        <v>1074</v>
      </c>
      <c r="F1627" s="114">
        <v>64.720937500000005</v>
      </c>
      <c r="G1627" s="76" t="s">
        <v>40</v>
      </c>
      <c r="H1627" s="160">
        <v>1.3010625000000005</v>
      </c>
      <c r="I1627" s="160">
        <v>-0.87487333333333006</v>
      </c>
      <c r="J1627" s="78">
        <v>13.325261460632817</v>
      </c>
      <c r="K1627" s="79">
        <v>1.9657073475733</v>
      </c>
    </row>
    <row r="1628" spans="2:11" x14ac:dyDescent="0.35">
      <c r="B1628" s="149" t="s">
        <v>848</v>
      </c>
      <c r="C1628" s="6" t="s">
        <v>226</v>
      </c>
      <c r="D1628" s="6">
        <v>256.34250000000003</v>
      </c>
      <c r="E1628" s="6" t="s">
        <v>1074</v>
      </c>
      <c r="F1628" s="114">
        <v>64.723020833333351</v>
      </c>
      <c r="G1628" s="76" t="s">
        <v>40</v>
      </c>
      <c r="H1628" s="160">
        <v>1.2989791666666548</v>
      </c>
      <c r="I1628" s="160">
        <v>-0.91367633333333009</v>
      </c>
      <c r="J1628" s="78">
        <v>13.502150310404488</v>
      </c>
      <c r="K1628" s="79">
        <v>2.1425961973449716</v>
      </c>
    </row>
    <row r="1629" spans="2:11" x14ac:dyDescent="0.35">
      <c r="B1629" s="149" t="s">
        <v>848</v>
      </c>
      <c r="C1629" s="6" t="s">
        <v>226</v>
      </c>
      <c r="D1629" s="6">
        <v>256.35250000000002</v>
      </c>
      <c r="E1629" s="6" t="s">
        <v>1074</v>
      </c>
      <c r="F1629" s="114">
        <v>64.725104166666682</v>
      </c>
      <c r="G1629" s="76" t="s">
        <v>40</v>
      </c>
      <c r="H1629" s="160">
        <v>1.2968958333333234</v>
      </c>
      <c r="I1629" s="160">
        <v>-0.86136633333333001</v>
      </c>
      <c r="J1629" s="78">
        <v>13.263740751826845</v>
      </c>
      <c r="K1629" s="79">
        <v>1.9041866387673281</v>
      </c>
    </row>
    <row r="1630" spans="2:11" x14ac:dyDescent="0.35">
      <c r="B1630" s="149" t="s">
        <v>848</v>
      </c>
      <c r="C1630" s="6" t="s">
        <v>226</v>
      </c>
      <c r="D1630" s="6">
        <v>256.36250000000001</v>
      </c>
      <c r="E1630" s="6" t="s">
        <v>1074</v>
      </c>
      <c r="F1630" s="114">
        <v>64.727187500000014</v>
      </c>
      <c r="G1630" s="76" t="s">
        <v>40</v>
      </c>
      <c r="H1630" s="160">
        <v>1.2948124999999919</v>
      </c>
      <c r="I1630" s="160">
        <v>-0.89323433333333002</v>
      </c>
      <c r="J1630" s="78">
        <v>13.408934547570368</v>
      </c>
      <c r="K1630" s="79">
        <v>2.0493804345108515</v>
      </c>
    </row>
    <row r="1631" spans="2:11" x14ac:dyDescent="0.35">
      <c r="B1631" s="149" t="s">
        <v>848</v>
      </c>
      <c r="C1631" s="6" t="s">
        <v>226</v>
      </c>
      <c r="D1631" s="6">
        <v>256.3725</v>
      </c>
      <c r="E1631" s="6" t="s">
        <v>1074</v>
      </c>
      <c r="F1631" s="114">
        <v>64.729270833333345</v>
      </c>
      <c r="G1631" s="76" t="s">
        <v>40</v>
      </c>
      <c r="H1631" s="160">
        <v>1.2927291666666605</v>
      </c>
      <c r="I1631" s="160">
        <v>-0.92438633333333009</v>
      </c>
      <c r="J1631" s="78">
        <v>13.55101301358178</v>
      </c>
      <c r="K1631" s="79">
        <v>2.1914589005222638</v>
      </c>
    </row>
    <row r="1632" spans="2:11" x14ac:dyDescent="0.35">
      <c r="B1632" s="149" t="s">
        <v>848</v>
      </c>
      <c r="C1632" s="6" t="s">
        <v>226</v>
      </c>
      <c r="D1632" s="6">
        <v>256.38249999999999</v>
      </c>
      <c r="E1632" s="6" t="s">
        <v>1074</v>
      </c>
      <c r="F1632" s="114">
        <v>64.731354166666677</v>
      </c>
      <c r="G1632" s="76" t="s">
        <v>40</v>
      </c>
      <c r="H1632" s="160">
        <v>1.2906458333333291</v>
      </c>
      <c r="I1632" s="160">
        <v>-0.82634133333333004</v>
      </c>
      <c r="J1632" s="78">
        <v>13.104338306343948</v>
      </c>
      <c r="K1632" s="79">
        <v>1.7447841932844312</v>
      </c>
    </row>
    <row r="1633" spans="2:11" x14ac:dyDescent="0.35">
      <c r="B1633" s="149" t="s">
        <v>848</v>
      </c>
      <c r="C1633" s="6" t="s">
        <v>226</v>
      </c>
      <c r="D1633" s="6">
        <v>256.39249999999998</v>
      </c>
      <c r="E1633" s="6" t="s">
        <v>1074</v>
      </c>
      <c r="F1633" s="114">
        <v>64.733437500000008</v>
      </c>
      <c r="G1633" s="76" t="s">
        <v>40</v>
      </c>
      <c r="H1633" s="160">
        <v>1.2885624999999976</v>
      </c>
      <c r="I1633" s="160">
        <v>-0.88592033333333009</v>
      </c>
      <c r="J1633" s="78">
        <v>13.375597808113241</v>
      </c>
      <c r="K1633" s="79">
        <v>2.0160436950537246</v>
      </c>
    </row>
    <row r="1634" spans="2:11" x14ac:dyDescent="0.35">
      <c r="B1634" s="149" t="s">
        <v>848</v>
      </c>
      <c r="C1634" s="6" t="s">
        <v>226</v>
      </c>
      <c r="D1634" s="6">
        <v>256.40250000000003</v>
      </c>
      <c r="E1634" s="6" t="s">
        <v>1074</v>
      </c>
      <c r="F1634" s="114">
        <v>64.735551136363654</v>
      </c>
      <c r="G1634" s="76" t="s">
        <v>40</v>
      </c>
      <c r="H1634" s="160">
        <v>1.2864488636363518</v>
      </c>
      <c r="I1634" s="160">
        <v>-0.80512912820513272</v>
      </c>
      <c r="J1634" s="78">
        <v>13.0078882901322</v>
      </c>
      <c r="K1634" s="79">
        <v>1.6483341770726838</v>
      </c>
    </row>
    <row r="1635" spans="2:11" x14ac:dyDescent="0.35">
      <c r="B1635" s="149" t="s">
        <v>848</v>
      </c>
      <c r="C1635" s="6" t="s">
        <v>226</v>
      </c>
      <c r="D1635" s="6">
        <v>256.41250000000002</v>
      </c>
      <c r="E1635" s="6" t="s">
        <v>1074</v>
      </c>
      <c r="F1635" s="114">
        <v>64.737755681818186</v>
      </c>
      <c r="G1635" s="76" t="s">
        <v>40</v>
      </c>
      <c r="H1635" s="160">
        <v>1.2842443181818197</v>
      </c>
      <c r="I1635" s="160">
        <v>-0.77695053479853937</v>
      </c>
      <c r="J1635" s="78">
        <v>12.879866360305584</v>
      </c>
      <c r="K1635" s="79">
        <v>1.5203122472460677</v>
      </c>
    </row>
    <row r="1636" spans="2:11" x14ac:dyDescent="0.35">
      <c r="B1636" s="149" t="s">
        <v>848</v>
      </c>
      <c r="C1636" s="6" t="s">
        <v>226</v>
      </c>
      <c r="D1636" s="6">
        <v>256.42250000000001</v>
      </c>
      <c r="E1636" s="6" t="s">
        <v>1074</v>
      </c>
      <c r="F1636" s="114">
        <v>64.739960227272732</v>
      </c>
      <c r="G1636" s="76" t="s">
        <v>40</v>
      </c>
      <c r="H1636" s="160">
        <v>1.2820397727272734</v>
      </c>
      <c r="I1636" s="160">
        <v>-0.66341894139194602</v>
      </c>
      <c r="J1636" s="78">
        <v>12.365260649936772</v>
      </c>
      <c r="K1636" s="79">
        <v>1.0057065368772555</v>
      </c>
    </row>
    <row r="1637" spans="2:11" x14ac:dyDescent="0.35">
      <c r="B1637" s="149" t="s">
        <v>848</v>
      </c>
      <c r="C1637" s="6" t="s">
        <v>226</v>
      </c>
      <c r="D1637" s="6">
        <v>256.4325</v>
      </c>
      <c r="E1637" s="6" t="s">
        <v>1074</v>
      </c>
      <c r="F1637" s="114">
        <v>64.742164772727278</v>
      </c>
      <c r="G1637" s="76" t="s">
        <v>40</v>
      </c>
      <c r="H1637" s="160">
        <v>1.2798352272727271</v>
      </c>
      <c r="I1637" s="160">
        <v>-0.66722134798535249</v>
      </c>
      <c r="J1637" s="78">
        <v>12.382464937349255</v>
      </c>
      <c r="K1637" s="79">
        <v>1.0229108242897382</v>
      </c>
    </row>
    <row r="1638" spans="2:11" x14ac:dyDescent="0.35">
      <c r="B1638" s="149" t="s">
        <v>848</v>
      </c>
      <c r="C1638" s="6" t="s">
        <v>226</v>
      </c>
      <c r="D1638" s="6">
        <v>256.4425</v>
      </c>
      <c r="E1638" s="6" t="s">
        <v>1074</v>
      </c>
      <c r="F1638" s="114">
        <v>64.744369318181825</v>
      </c>
      <c r="G1638" s="76" t="s">
        <v>40</v>
      </c>
      <c r="H1638" s="160">
        <v>1.2776306818181808</v>
      </c>
      <c r="I1638" s="160">
        <v>-0.65382575457875913</v>
      </c>
      <c r="J1638" s="78">
        <v>12.321865025324712</v>
      </c>
      <c r="K1638" s="79">
        <v>0.96231091226519538</v>
      </c>
    </row>
    <row r="1639" spans="2:11" x14ac:dyDescent="0.35">
      <c r="B1639" s="149" t="s">
        <v>848</v>
      </c>
      <c r="C1639" s="6" t="s">
        <v>226</v>
      </c>
      <c r="D1639" s="6">
        <v>256.45249999999999</v>
      </c>
      <c r="E1639" s="6" t="s">
        <v>1074</v>
      </c>
      <c r="F1639" s="114">
        <v>64.746573863636371</v>
      </c>
      <c r="G1639" s="76" t="s">
        <v>40</v>
      </c>
      <c r="H1639" s="160">
        <v>1.2754261363636346</v>
      </c>
      <c r="I1639" s="160">
        <v>-0.66249416117216575</v>
      </c>
      <c r="J1639" s="78">
        <v>12.36107673248847</v>
      </c>
      <c r="K1639" s="79">
        <v>1.0015226194289539</v>
      </c>
    </row>
    <row r="1640" spans="2:11" x14ac:dyDescent="0.35">
      <c r="B1640" s="149" t="s">
        <v>848</v>
      </c>
      <c r="C1640" s="6" t="s">
        <v>226</v>
      </c>
      <c r="D1640" s="6">
        <v>256.46249999999998</v>
      </c>
      <c r="E1640" s="6" t="s">
        <v>1074</v>
      </c>
      <c r="F1640" s="114">
        <v>64.748778409090903</v>
      </c>
      <c r="G1640" s="76" t="s">
        <v>40</v>
      </c>
      <c r="H1640" s="160">
        <v>1.2732215909091025</v>
      </c>
      <c r="I1640" s="160">
        <v>-0.71878956776557235</v>
      </c>
      <c r="J1640" s="78">
        <v>12.616000775729219</v>
      </c>
      <c r="K1640" s="79">
        <v>1.2564466626697026</v>
      </c>
    </row>
    <row r="1641" spans="2:11" x14ac:dyDescent="0.35">
      <c r="B1641" s="149" t="s">
        <v>848</v>
      </c>
      <c r="C1641" s="6" t="s">
        <v>226</v>
      </c>
      <c r="D1641" s="6">
        <v>256.47250000000003</v>
      </c>
      <c r="E1641" s="6" t="s">
        <v>1074</v>
      </c>
      <c r="F1641" s="114">
        <v>64.750982954545464</v>
      </c>
      <c r="G1641" s="76" t="s">
        <v>40</v>
      </c>
      <c r="H1641" s="160">
        <v>1.271017045454542</v>
      </c>
      <c r="I1641" s="160">
        <v>-0.63905824386132604</v>
      </c>
      <c r="J1641" s="78">
        <v>12.255089481946868</v>
      </c>
      <c r="K1641" s="79">
        <v>0.89553536888735152</v>
      </c>
    </row>
    <row r="1642" spans="2:11" x14ac:dyDescent="0.35">
      <c r="B1642" s="149" t="s">
        <v>848</v>
      </c>
      <c r="C1642" s="6" t="s">
        <v>226</v>
      </c>
      <c r="D1642" s="6">
        <v>256.47250000000003</v>
      </c>
      <c r="E1642" s="6" t="s">
        <v>1074</v>
      </c>
      <c r="F1642" s="114">
        <v>64.750982954545464</v>
      </c>
      <c r="G1642" s="76" t="s">
        <v>40</v>
      </c>
      <c r="H1642" s="160">
        <v>1.271017045454542</v>
      </c>
      <c r="I1642" s="160">
        <v>-0.65651439818790402</v>
      </c>
      <c r="J1642" s="78">
        <v>12.334025968714229</v>
      </c>
      <c r="K1642" s="79">
        <v>0.97447185565471273</v>
      </c>
    </row>
    <row r="1643" spans="2:11" x14ac:dyDescent="0.35">
      <c r="B1643" s="149" t="s">
        <v>848</v>
      </c>
      <c r="C1643" s="6" t="s">
        <v>226</v>
      </c>
      <c r="D1643" s="6">
        <v>256.48250000000002</v>
      </c>
      <c r="E1643" s="6" t="s">
        <v>1074</v>
      </c>
      <c r="F1643" s="114">
        <v>64.75318750000001</v>
      </c>
      <c r="G1643" s="76" t="s">
        <v>40</v>
      </c>
      <c r="H1643" s="160">
        <v>1.2688124999999957</v>
      </c>
      <c r="I1643" s="160">
        <v>-0.62395994237960595</v>
      </c>
      <c r="J1643" s="78">
        <v>12.186851481547535</v>
      </c>
      <c r="K1643" s="79">
        <v>0.82729736848801849</v>
      </c>
    </row>
    <row r="1644" spans="2:11" x14ac:dyDescent="0.35">
      <c r="B1644" s="149" t="s">
        <v>848</v>
      </c>
      <c r="C1644" s="6" t="s">
        <v>226</v>
      </c>
      <c r="D1644" s="6">
        <v>256.49250000000001</v>
      </c>
      <c r="E1644" s="6" t="s">
        <v>1074</v>
      </c>
      <c r="F1644" s="114">
        <v>64.755392045454556</v>
      </c>
      <c r="G1644" s="76" t="s">
        <v>40</v>
      </c>
      <c r="H1644" s="160">
        <v>1.2666079545454494</v>
      </c>
      <c r="I1644" s="160">
        <v>-0.61834218017984499</v>
      </c>
      <c r="J1644" s="78">
        <v>12.161470140340384</v>
      </c>
      <c r="K1644" s="79">
        <v>0.80191602728086764</v>
      </c>
    </row>
    <row r="1645" spans="2:11" x14ac:dyDescent="0.35">
      <c r="B1645" s="149" t="s">
        <v>848</v>
      </c>
      <c r="C1645" s="6" t="s">
        <v>226</v>
      </c>
      <c r="D1645" s="6">
        <v>256.5025</v>
      </c>
      <c r="E1645" s="6" t="s">
        <v>1074</v>
      </c>
      <c r="F1645" s="114">
        <v>64.757596590909088</v>
      </c>
      <c r="G1645" s="76" t="s">
        <v>40</v>
      </c>
      <c r="H1645" s="160">
        <v>1.2644034090909173</v>
      </c>
      <c r="I1645" s="160">
        <v>-0.696800793781851</v>
      </c>
      <c r="J1645" s="78">
        <v>12.516372533948754</v>
      </c>
      <c r="K1645" s="79">
        <v>1.1568184208892376</v>
      </c>
    </row>
    <row r="1646" spans="2:11" x14ac:dyDescent="0.35">
      <c r="B1646" s="149" t="s">
        <v>848</v>
      </c>
      <c r="C1646" s="6" t="s">
        <v>226</v>
      </c>
      <c r="D1646" s="6">
        <v>256.51249999999999</v>
      </c>
      <c r="E1646" s="6" t="s">
        <v>1074</v>
      </c>
      <c r="F1646" s="114">
        <v>64.759801136363635</v>
      </c>
      <c r="G1646" s="76" t="s">
        <v>40</v>
      </c>
      <c r="H1646" s="160">
        <v>1.262198863636371</v>
      </c>
      <c r="I1646" s="160">
        <v>-0.72215606815637901</v>
      </c>
      <c r="J1646" s="78">
        <v>12.631260274085093</v>
      </c>
      <c r="K1646" s="79">
        <v>1.2717061610255769</v>
      </c>
    </row>
    <row r="1647" spans="2:11" x14ac:dyDescent="0.35">
      <c r="B1647" s="149" t="s">
        <v>848</v>
      </c>
      <c r="C1647" s="6" t="s">
        <v>226</v>
      </c>
      <c r="D1647" s="6">
        <v>256.51249999999999</v>
      </c>
      <c r="E1647" s="6" t="s">
        <v>1074</v>
      </c>
      <c r="F1647" s="114">
        <v>64.759801136363635</v>
      </c>
      <c r="G1647" s="76" t="s">
        <v>40</v>
      </c>
      <c r="H1647" s="160">
        <v>1.262198863636371</v>
      </c>
      <c r="I1647" s="160">
        <v>-0.82217108660096705</v>
      </c>
      <c r="J1647" s="78">
        <v>13.085371268132633</v>
      </c>
      <c r="K1647" s="79">
        <v>1.7258171550731163</v>
      </c>
    </row>
    <row r="1648" spans="2:11" x14ac:dyDescent="0.35">
      <c r="B1648" s="149" t="s">
        <v>848</v>
      </c>
      <c r="C1648" s="6" t="s">
        <v>226</v>
      </c>
      <c r="D1648" s="6">
        <v>256.52249999999998</v>
      </c>
      <c r="E1648" s="6" t="s">
        <v>1074</v>
      </c>
      <c r="F1648" s="114">
        <v>64.762005681818181</v>
      </c>
      <c r="G1648" s="76" t="s">
        <v>40</v>
      </c>
      <c r="H1648" s="160">
        <v>1.2599943181818247</v>
      </c>
      <c r="I1648" s="160">
        <v>-0.61489725004713303</v>
      </c>
      <c r="J1648" s="78">
        <v>12.145908071108352</v>
      </c>
      <c r="K1648" s="79">
        <v>0.78635395804883501</v>
      </c>
    </row>
    <row r="1649" spans="2:11" x14ac:dyDescent="0.35">
      <c r="B1649" s="149" t="s">
        <v>848</v>
      </c>
      <c r="C1649" s="6" t="s">
        <v>226</v>
      </c>
      <c r="D1649" s="6">
        <v>256.53250000000003</v>
      </c>
      <c r="E1649" s="6" t="s">
        <v>1074</v>
      </c>
      <c r="F1649" s="114">
        <v>64.764210227272741</v>
      </c>
      <c r="G1649" s="76" t="s">
        <v>40</v>
      </c>
      <c r="H1649" s="160">
        <v>1.2577897727272642</v>
      </c>
      <c r="I1649" s="160">
        <v>-0.67737446640346</v>
      </c>
      <c r="J1649" s="78">
        <v>12.428414001458862</v>
      </c>
      <c r="K1649" s="79">
        <v>1.068859888399345</v>
      </c>
    </row>
    <row r="1650" spans="2:11" x14ac:dyDescent="0.35">
      <c r="B1650" s="149" t="s">
        <v>848</v>
      </c>
      <c r="C1650" s="6" t="s">
        <v>226</v>
      </c>
      <c r="D1650" s="6">
        <v>256.54250000000002</v>
      </c>
      <c r="E1650" s="6" t="s">
        <v>1074</v>
      </c>
      <c r="F1650" s="114">
        <v>64.766414772727273</v>
      </c>
      <c r="G1650" s="76" t="s">
        <v>40</v>
      </c>
      <c r="H1650" s="160">
        <v>1.2555852272727321</v>
      </c>
      <c r="I1650" s="160">
        <v>-0.70609349070458705</v>
      </c>
      <c r="J1650" s="78">
        <v>12.558467776863949</v>
      </c>
      <c r="K1650" s="79">
        <v>1.1989136638044329</v>
      </c>
    </row>
    <row r="1651" spans="2:11" x14ac:dyDescent="0.35">
      <c r="B1651" s="149" t="s">
        <v>848</v>
      </c>
      <c r="C1651" s="6" t="s">
        <v>226</v>
      </c>
      <c r="D1651" s="6">
        <v>256.55250000000001</v>
      </c>
      <c r="E1651" s="6" t="s">
        <v>1074</v>
      </c>
      <c r="F1651" s="114">
        <v>64.76861931818182</v>
      </c>
      <c r="G1651" s="76" t="s">
        <v>40</v>
      </c>
      <c r="H1651" s="160">
        <v>1.2533806818181858</v>
      </c>
      <c r="I1651" s="160">
        <v>-0.74511545619757802</v>
      </c>
      <c r="J1651" s="78">
        <v>12.735374241718432</v>
      </c>
      <c r="K1651" s="79">
        <v>1.3758201286589156</v>
      </c>
    </row>
    <row r="1652" spans="2:11" x14ac:dyDescent="0.35">
      <c r="B1652" s="149" t="s">
        <v>848</v>
      </c>
      <c r="C1652" s="6" t="s">
        <v>226</v>
      </c>
      <c r="D1652" s="6">
        <v>256.5625</v>
      </c>
      <c r="E1652" s="6" t="s">
        <v>1074</v>
      </c>
      <c r="F1652" s="114">
        <v>64.770823863636366</v>
      </c>
      <c r="G1652" s="76" t="s">
        <v>40</v>
      </c>
      <c r="H1652" s="160">
        <v>1.2511761363636396</v>
      </c>
      <c r="I1652" s="160">
        <v>-0.71218761342426695</v>
      </c>
      <c r="J1652" s="78">
        <v>12.586080659651202</v>
      </c>
      <c r="K1652" s="79">
        <v>1.2265265465916855</v>
      </c>
    </row>
    <row r="1653" spans="2:11" x14ac:dyDescent="0.35">
      <c r="B1653" s="149" t="s">
        <v>848</v>
      </c>
      <c r="C1653" s="6" t="s">
        <v>226</v>
      </c>
      <c r="D1653" s="6">
        <v>256.57249999999999</v>
      </c>
      <c r="E1653" s="6" t="s">
        <v>1074</v>
      </c>
      <c r="F1653" s="114">
        <v>64.773028409090912</v>
      </c>
      <c r="G1653" s="76" t="s">
        <v>40</v>
      </c>
      <c r="H1653" s="160">
        <v>1.2489715909090933</v>
      </c>
      <c r="I1653" s="160">
        <v>-0.76014335542749201</v>
      </c>
      <c r="J1653" s="78">
        <v>12.803563659801966</v>
      </c>
      <c r="K1653" s="79">
        <v>1.4440095467424499</v>
      </c>
    </row>
    <row r="1654" spans="2:11" x14ac:dyDescent="0.35">
      <c r="B1654" s="149" t="s">
        <v>848</v>
      </c>
      <c r="C1654" s="6" t="s">
        <v>226</v>
      </c>
      <c r="D1654" s="6">
        <v>256.58249999999998</v>
      </c>
      <c r="E1654" s="6" t="s">
        <v>1074</v>
      </c>
      <c r="F1654" s="114">
        <v>64.775232954545459</v>
      </c>
      <c r="G1654" s="76" t="s">
        <v>40</v>
      </c>
      <c r="H1654" s="160">
        <v>1.246767045454547</v>
      </c>
      <c r="I1654" s="160">
        <v>-0.69052329042127603</v>
      </c>
      <c r="J1654" s="78">
        <v>12.48794313994739</v>
      </c>
      <c r="K1654" s="79">
        <v>1.1283890268878736</v>
      </c>
    </row>
    <row r="1655" spans="2:11" x14ac:dyDescent="0.35">
      <c r="B1655" s="149" t="s">
        <v>848</v>
      </c>
      <c r="C1655" s="6" t="s">
        <v>226</v>
      </c>
      <c r="D1655" s="6">
        <v>256.59250000000003</v>
      </c>
      <c r="E1655" s="6" t="s">
        <v>1074</v>
      </c>
      <c r="F1655" s="114">
        <v>64.777437500000005</v>
      </c>
      <c r="G1655" s="76" t="s">
        <v>40</v>
      </c>
      <c r="H1655" s="160">
        <v>1.2445625000000007</v>
      </c>
      <c r="I1655" s="160">
        <v>-0.60376337136378799</v>
      </c>
      <c r="J1655" s="78">
        <v>12.095624049894525</v>
      </c>
      <c r="K1655" s="79">
        <v>0.73606993683500832</v>
      </c>
    </row>
    <row r="1656" spans="2:11" x14ac:dyDescent="0.35">
      <c r="B1656" s="149" t="s">
        <v>848</v>
      </c>
      <c r="C1656" s="6" t="s">
        <v>226</v>
      </c>
      <c r="D1656" s="6">
        <v>256.60250000000002</v>
      </c>
      <c r="E1656" s="6" t="s">
        <v>1074</v>
      </c>
      <c r="F1656" s="114">
        <v>64.779642045454551</v>
      </c>
      <c r="G1656" s="76" t="s">
        <v>40</v>
      </c>
      <c r="H1656" s="160">
        <v>1.2423579545454544</v>
      </c>
      <c r="I1656" s="160">
        <v>-0.60026218008266896</v>
      </c>
      <c r="J1656" s="78">
        <v>12.079815371931886</v>
      </c>
      <c r="K1656" s="79">
        <v>0.72026125887236958</v>
      </c>
    </row>
    <row r="1657" spans="2:11" x14ac:dyDescent="0.35">
      <c r="B1657" s="149" t="s">
        <v>848</v>
      </c>
      <c r="C1657" s="6" t="s">
        <v>226</v>
      </c>
      <c r="D1657" s="6">
        <v>256.61250000000001</v>
      </c>
      <c r="E1657" s="6" t="s">
        <v>1074</v>
      </c>
      <c r="F1657" s="114">
        <v>64.781846590909097</v>
      </c>
      <c r="G1657" s="76" t="s">
        <v>40</v>
      </c>
      <c r="H1657" s="160">
        <v>1.2401534090909081</v>
      </c>
      <c r="I1657" s="160">
        <v>-0.54458362315610498</v>
      </c>
      <c r="J1657" s="78">
        <v>11.828656703882189</v>
      </c>
      <c r="K1657" s="79">
        <v>0.46910259082267203</v>
      </c>
    </row>
    <row r="1658" spans="2:11" x14ac:dyDescent="0.35">
      <c r="B1658" s="149" t="s">
        <v>848</v>
      </c>
      <c r="C1658" s="6" t="s">
        <v>226</v>
      </c>
      <c r="D1658" s="6">
        <v>256.6225</v>
      </c>
      <c r="E1658" s="6" t="s">
        <v>1074</v>
      </c>
      <c r="F1658" s="114">
        <v>64.784051136363644</v>
      </c>
      <c r="G1658" s="76" t="s">
        <v>40</v>
      </c>
      <c r="H1658" s="160">
        <v>1.2379488636363618</v>
      </c>
      <c r="I1658" s="160">
        <v>-0.55377719749736498</v>
      </c>
      <c r="J1658" s="78">
        <v>11.870096256151726</v>
      </c>
      <c r="K1658" s="79">
        <v>0.51054214309220924</v>
      </c>
    </row>
    <row r="1659" spans="2:11" x14ac:dyDescent="0.35">
      <c r="B1659" s="149" t="s">
        <v>848</v>
      </c>
      <c r="C1659" s="6" t="s">
        <v>226</v>
      </c>
      <c r="D1659" s="6">
        <v>256.64249999999998</v>
      </c>
      <c r="E1659" s="6" t="s">
        <v>1074</v>
      </c>
      <c r="F1659" s="114">
        <v>64.788460227272722</v>
      </c>
      <c r="G1659" s="76" t="s">
        <v>40</v>
      </c>
      <c r="H1659" s="160">
        <v>1.2335397727272834</v>
      </c>
      <c r="I1659" s="160">
        <v>-0.47660483991871699</v>
      </c>
      <c r="J1659" s="78">
        <v>11.522631274621233</v>
      </c>
      <c r="K1659" s="79">
        <v>0.16307716156171637</v>
      </c>
    </row>
    <row r="1660" spans="2:11" x14ac:dyDescent="0.35">
      <c r="B1660" s="149" t="s">
        <v>848</v>
      </c>
      <c r="C1660" s="6" t="s">
        <v>226</v>
      </c>
      <c r="D1660" s="6">
        <v>256.65250000000003</v>
      </c>
      <c r="E1660" s="6" t="s">
        <v>1074</v>
      </c>
      <c r="F1660" s="114">
        <v>64.790664772727283</v>
      </c>
      <c r="G1660" s="76" t="s">
        <v>40</v>
      </c>
      <c r="H1660" s="160">
        <v>1.2313352272727229</v>
      </c>
      <c r="I1660" s="160">
        <v>-0.46304458584587499</v>
      </c>
      <c r="J1660" s="78">
        <v>11.461667113089391</v>
      </c>
      <c r="K1660" s="79">
        <v>0.102113000029874</v>
      </c>
    </row>
    <row r="1661" spans="2:11" x14ac:dyDescent="0.35">
      <c r="B1661" s="149" t="s">
        <v>848</v>
      </c>
      <c r="C1661" s="6" t="s">
        <v>226</v>
      </c>
      <c r="D1661" s="6">
        <v>256.66250000000002</v>
      </c>
      <c r="E1661" s="6" t="s">
        <v>1074</v>
      </c>
      <c r="F1661" s="114">
        <v>64.792869318181829</v>
      </c>
      <c r="G1661" s="76" t="s">
        <v>40</v>
      </c>
      <c r="H1661" s="160">
        <v>1.2291306818181766</v>
      </c>
      <c r="I1661" s="160">
        <v>-0.575194588321983</v>
      </c>
      <c r="J1661" s="78">
        <v>11.966682253462693</v>
      </c>
      <c r="K1661" s="79">
        <v>0.60712814040317653</v>
      </c>
    </row>
    <row r="1662" spans="2:11" x14ac:dyDescent="0.35">
      <c r="B1662" s="149" t="s">
        <v>848</v>
      </c>
      <c r="C1662" s="6" t="s">
        <v>226</v>
      </c>
      <c r="D1662" s="6">
        <v>256.67250000000001</v>
      </c>
      <c r="E1662" s="6" t="s">
        <v>1074</v>
      </c>
      <c r="F1662" s="114">
        <v>64.795073863636361</v>
      </c>
      <c r="G1662" s="76" t="s">
        <v>40</v>
      </c>
      <c r="H1662" s="160">
        <v>1.2269261363636446</v>
      </c>
      <c r="I1662" s="160">
        <v>-0.43505000846675501</v>
      </c>
      <c r="J1662" s="78">
        <v>11.335894325028278</v>
      </c>
      <c r="K1662" s="79">
        <v>-2.3659788031238804E-2</v>
      </c>
    </row>
    <row r="1663" spans="2:11" x14ac:dyDescent="0.35">
      <c r="B1663" s="149" t="s">
        <v>848</v>
      </c>
      <c r="C1663" s="6" t="s">
        <v>226</v>
      </c>
      <c r="D1663" s="6">
        <v>256.6825</v>
      </c>
      <c r="E1663" s="6" t="s">
        <v>1074</v>
      </c>
      <c r="F1663" s="114">
        <v>64.797278409090907</v>
      </c>
      <c r="G1663" s="76" t="s">
        <v>40</v>
      </c>
      <c r="H1663" s="160">
        <v>1.2247215909090983</v>
      </c>
      <c r="I1663" s="160">
        <v>-0.32027108385577402</v>
      </c>
      <c r="J1663" s="78">
        <v>10.821417473321048</v>
      </c>
      <c r="K1663" s="79">
        <v>-0.53813663973846815</v>
      </c>
    </row>
    <row r="1664" spans="2:11" x14ac:dyDescent="0.35">
      <c r="B1664" s="149" t="s">
        <v>848</v>
      </c>
      <c r="C1664" s="6" t="s">
        <v>226</v>
      </c>
      <c r="D1664" s="6">
        <v>256.6925</v>
      </c>
      <c r="E1664" s="6" t="s">
        <v>1074</v>
      </c>
      <c r="F1664" s="114">
        <v>64.799482954545454</v>
      </c>
      <c r="G1664" s="76" t="s">
        <v>40</v>
      </c>
      <c r="H1664" s="160">
        <v>1.222517045454552</v>
      </c>
      <c r="I1664" s="160">
        <v>-0.346734273120133</v>
      </c>
      <c r="J1664" s="78">
        <v>10.939863824518852</v>
      </c>
      <c r="K1664" s="79">
        <v>-0.41969028854066437</v>
      </c>
    </row>
    <row r="1665" spans="2:11" x14ac:dyDescent="0.35">
      <c r="B1665" s="149" t="s">
        <v>848</v>
      </c>
      <c r="C1665" s="6" t="s">
        <v>226</v>
      </c>
      <c r="D1665" s="6">
        <v>256.70249999999999</v>
      </c>
      <c r="E1665" s="6" t="s">
        <v>1074</v>
      </c>
      <c r="F1665" s="114">
        <v>64.8016875</v>
      </c>
      <c r="G1665" s="76" t="s">
        <v>40</v>
      </c>
      <c r="H1665" s="160">
        <v>1.2203125000000057</v>
      </c>
      <c r="I1665" s="160">
        <v>-0.41501575810208002</v>
      </c>
      <c r="J1665" s="78">
        <v>11.24595571890552</v>
      </c>
      <c r="K1665" s="79">
        <v>-0.1135983941539962</v>
      </c>
    </row>
    <row r="1666" spans="2:11" x14ac:dyDescent="0.35">
      <c r="B1666" s="149" t="s">
        <v>848</v>
      </c>
      <c r="C1666" s="6" t="s">
        <v>226</v>
      </c>
      <c r="D1666" s="6">
        <v>256.71249999999998</v>
      </c>
      <c r="E1666" s="6" t="s">
        <v>1074</v>
      </c>
      <c r="F1666" s="114">
        <v>64.803892045454546</v>
      </c>
      <c r="G1666" s="76" t="s">
        <v>40</v>
      </c>
      <c r="H1666" s="160">
        <v>1.2181079545454594</v>
      </c>
      <c r="I1666" s="160">
        <v>-0.35876811896091598</v>
      </c>
      <c r="J1666" s="78">
        <v>10.993759733776869</v>
      </c>
      <c r="K1666" s="79">
        <v>-0.36579437928264724</v>
      </c>
    </row>
    <row r="1667" spans="2:11" x14ac:dyDescent="0.35">
      <c r="B1667" s="149" t="s">
        <v>848</v>
      </c>
      <c r="C1667" s="6" t="s">
        <v>226</v>
      </c>
      <c r="D1667" s="6">
        <v>256.71249999999998</v>
      </c>
      <c r="E1667" s="6" t="s">
        <v>1074</v>
      </c>
      <c r="F1667" s="114">
        <v>64.803892045454546</v>
      </c>
      <c r="G1667" s="76" t="s">
        <v>40</v>
      </c>
      <c r="H1667" s="160">
        <v>1.2181079545454594</v>
      </c>
      <c r="I1667" s="160">
        <v>-0.31509082002243699</v>
      </c>
      <c r="J1667" s="78">
        <v>10.798243102255697</v>
      </c>
      <c r="K1667" s="79">
        <v>-0.56131101080381995</v>
      </c>
    </row>
    <row r="1668" spans="2:11" x14ac:dyDescent="0.35">
      <c r="B1668" s="149" t="s">
        <v>848</v>
      </c>
      <c r="C1668" s="6" t="s">
        <v>226</v>
      </c>
      <c r="D1668" s="6">
        <v>256.72250000000003</v>
      </c>
      <c r="E1668" s="6" t="s">
        <v>1074</v>
      </c>
      <c r="F1668" s="114">
        <v>64.806096590909092</v>
      </c>
      <c r="G1668" s="76" t="s">
        <v>40</v>
      </c>
      <c r="H1668" s="160">
        <v>1.2159034090909131</v>
      </c>
      <c r="I1668" s="160">
        <v>-0.455803549162421</v>
      </c>
      <c r="J1668" s="78">
        <v>11.429123907537701</v>
      </c>
      <c r="K1668" s="79">
        <v>6.9569794478184122E-2</v>
      </c>
    </row>
    <row r="1669" spans="2:11" x14ac:dyDescent="0.35">
      <c r="B1669" s="149" t="s">
        <v>848</v>
      </c>
      <c r="C1669" s="6" t="s">
        <v>226</v>
      </c>
      <c r="D1669" s="6">
        <v>256.72250000000003</v>
      </c>
      <c r="E1669" s="6" t="s">
        <v>1074</v>
      </c>
      <c r="F1669" s="114">
        <v>64.806096590909092</v>
      </c>
      <c r="G1669" s="76" t="s">
        <v>40</v>
      </c>
      <c r="H1669" s="160">
        <v>1.2159034090909131</v>
      </c>
      <c r="I1669" s="160">
        <v>-0.546238808664536</v>
      </c>
      <c r="J1669" s="78">
        <v>11.836116447824111</v>
      </c>
      <c r="K1669" s="79">
        <v>0.4765623347645942</v>
      </c>
    </row>
    <row r="1670" spans="2:11" x14ac:dyDescent="0.35">
      <c r="B1670" s="149" t="s">
        <v>848</v>
      </c>
      <c r="C1670" s="6" t="s">
        <v>226</v>
      </c>
      <c r="D1670" s="6">
        <v>256.73250000000002</v>
      </c>
      <c r="E1670" s="6" t="s">
        <v>1074</v>
      </c>
      <c r="F1670" s="114">
        <v>64.808301136363639</v>
      </c>
      <c r="G1670" s="76" t="s">
        <v>40</v>
      </c>
      <c r="H1670" s="160">
        <v>1.2136988636363668</v>
      </c>
      <c r="I1670" s="160">
        <v>-0.40591879211047299</v>
      </c>
      <c r="J1670" s="78">
        <v>11.205136598821696</v>
      </c>
      <c r="K1670" s="79">
        <v>-0.1544175142378208</v>
      </c>
    </row>
    <row r="1671" spans="2:11" x14ac:dyDescent="0.35">
      <c r="B1671" s="149" t="s">
        <v>848</v>
      </c>
      <c r="C1671" s="6" t="s">
        <v>226</v>
      </c>
      <c r="D1671" s="6">
        <v>256.74250000000001</v>
      </c>
      <c r="E1671" s="6" t="s">
        <v>1074</v>
      </c>
      <c r="F1671" s="114">
        <v>64.810505681818185</v>
      </c>
      <c r="G1671" s="76" t="s">
        <v>40</v>
      </c>
      <c r="H1671" s="160">
        <v>1.2114943181818205</v>
      </c>
      <c r="I1671" s="160">
        <v>-0.38335936204756599</v>
      </c>
      <c r="J1671" s="78">
        <v>11.103962015444665</v>
      </c>
      <c r="K1671" s="79">
        <v>-0.25559209761485135</v>
      </c>
    </row>
    <row r="1672" spans="2:11" x14ac:dyDescent="0.35">
      <c r="B1672" s="149" t="s">
        <v>848</v>
      </c>
      <c r="C1672" s="6" t="s">
        <v>226</v>
      </c>
      <c r="D1672" s="6">
        <v>256.7525</v>
      </c>
      <c r="E1672" s="6" t="s">
        <v>1074</v>
      </c>
      <c r="F1672" s="114">
        <v>64.812710227272731</v>
      </c>
      <c r="G1672" s="76" t="s">
        <v>40</v>
      </c>
      <c r="H1672" s="160">
        <v>1.2092897727272742</v>
      </c>
      <c r="I1672" s="160">
        <v>-0.41801824798280102</v>
      </c>
      <c r="J1672" s="78">
        <v>11.259430886144173</v>
      </c>
      <c r="K1672" s="79">
        <v>-0.10012322691534337</v>
      </c>
    </row>
    <row r="1673" spans="2:11" x14ac:dyDescent="0.35">
      <c r="B1673" s="149" t="s">
        <v>848</v>
      </c>
      <c r="C1673" s="6" t="s">
        <v>226</v>
      </c>
      <c r="D1673" s="6">
        <v>256.76249999999999</v>
      </c>
      <c r="E1673" s="6" t="s">
        <v>1074</v>
      </c>
      <c r="F1673" s="114">
        <v>64.814914772727263</v>
      </c>
      <c r="G1673" s="76" t="s">
        <v>40</v>
      </c>
      <c r="H1673" s="160">
        <v>1.2070852272727421</v>
      </c>
      <c r="I1673" s="160">
        <v>-0.42949249940913597</v>
      </c>
      <c r="J1673" s="78">
        <v>11.31093943825681</v>
      </c>
      <c r="K1673" s="79">
        <v>-4.8614674802706759E-2</v>
      </c>
    </row>
    <row r="1674" spans="2:11" x14ac:dyDescent="0.35">
      <c r="B1674" s="149" t="s">
        <v>848</v>
      </c>
      <c r="C1674" s="6" t="s">
        <v>226</v>
      </c>
      <c r="D1674" s="6">
        <v>256.77249999999998</v>
      </c>
      <c r="E1674" s="6" t="s">
        <v>1074</v>
      </c>
      <c r="F1674" s="114">
        <v>64.81711931818181</v>
      </c>
      <c r="G1674" s="76" t="s">
        <v>40</v>
      </c>
      <c r="H1674" s="160">
        <v>1.2048806818181959</v>
      </c>
      <c r="I1674" s="160">
        <v>-0.29743497936392599</v>
      </c>
      <c r="J1674" s="78">
        <v>10.719287437173762</v>
      </c>
      <c r="K1674" s="79">
        <v>-0.64026667588575492</v>
      </c>
    </row>
    <row r="1675" spans="2:11" x14ac:dyDescent="0.35">
      <c r="B1675" s="149" t="s">
        <v>848</v>
      </c>
      <c r="C1675" s="6" t="s">
        <v>226</v>
      </c>
      <c r="D1675" s="6">
        <v>256.78250000000003</v>
      </c>
      <c r="E1675" s="6" t="s">
        <v>1074</v>
      </c>
      <c r="F1675" s="114">
        <v>64.81932386363637</v>
      </c>
      <c r="G1675" s="76" t="s">
        <v>40</v>
      </c>
      <c r="H1675" s="160">
        <v>1.2026761363636354</v>
      </c>
      <c r="I1675" s="160">
        <v>-0.35511100553340602</v>
      </c>
      <c r="J1675" s="78">
        <v>10.977378411475058</v>
      </c>
      <c r="K1675" s="79">
        <v>-0.38217570158445824</v>
      </c>
    </row>
    <row r="1676" spans="2:11" x14ac:dyDescent="0.35">
      <c r="B1676" s="149" t="s">
        <v>848</v>
      </c>
      <c r="C1676" s="6" t="s">
        <v>226</v>
      </c>
      <c r="D1676" s="6">
        <v>256.79250000000002</v>
      </c>
      <c r="E1676" s="6" t="s">
        <v>1074</v>
      </c>
      <c r="F1676" s="114">
        <v>64.821528409090917</v>
      </c>
      <c r="G1676" s="76" t="s">
        <v>40</v>
      </c>
      <c r="H1676" s="160">
        <v>1.2004715909090891</v>
      </c>
      <c r="I1676" s="160">
        <v>-0.43530142429746499</v>
      </c>
      <c r="J1676" s="78">
        <v>11.337023364505512</v>
      </c>
      <c r="K1676" s="79">
        <v>-2.2530748554004276E-2</v>
      </c>
    </row>
    <row r="1677" spans="2:11" x14ac:dyDescent="0.35">
      <c r="B1677" s="149" t="s">
        <v>848</v>
      </c>
      <c r="C1677" s="6" t="s">
        <v>226</v>
      </c>
      <c r="D1677" s="6">
        <v>256.80250000000001</v>
      </c>
      <c r="E1677" s="6" t="s">
        <v>1074</v>
      </c>
      <c r="F1677" s="114">
        <v>64.823732954545463</v>
      </c>
      <c r="G1677" s="76" t="s">
        <v>40</v>
      </c>
      <c r="H1677" s="160">
        <v>1.1982670454545428</v>
      </c>
      <c r="I1677" s="160">
        <v>-0.382797337341791</v>
      </c>
      <c r="J1677" s="78">
        <v>11.101442394064577</v>
      </c>
      <c r="K1677" s="79">
        <v>-0.25811171899493957</v>
      </c>
    </row>
    <row r="1678" spans="2:11" x14ac:dyDescent="0.35">
      <c r="B1678" s="149" t="s">
        <v>848</v>
      </c>
      <c r="C1678" s="6" t="s">
        <v>226</v>
      </c>
      <c r="D1678" s="6">
        <v>256.8125</v>
      </c>
      <c r="E1678" s="6" t="s">
        <v>1074</v>
      </c>
      <c r="F1678" s="114">
        <v>64.825937499999995</v>
      </c>
      <c r="G1678" s="76" t="s">
        <v>40</v>
      </c>
      <c r="H1678" s="160">
        <v>1.1960625000000107</v>
      </c>
      <c r="I1678" s="160">
        <v>-0.47814476582217702</v>
      </c>
      <c r="J1678" s="78">
        <v>11.529556173949231</v>
      </c>
      <c r="K1678" s="79">
        <v>0.17000206088971481</v>
      </c>
    </row>
    <row r="1679" spans="2:11" x14ac:dyDescent="0.35">
      <c r="B1679" s="149" t="s">
        <v>848</v>
      </c>
      <c r="C1679" s="6" t="s">
        <v>226</v>
      </c>
      <c r="D1679" s="6">
        <v>256.82249999999999</v>
      </c>
      <c r="E1679" s="6" t="s">
        <v>1074</v>
      </c>
      <c r="F1679" s="114">
        <v>64.828142045454541</v>
      </c>
      <c r="G1679" s="76" t="s">
        <v>40</v>
      </c>
      <c r="H1679" s="160">
        <v>1.1938579545454644</v>
      </c>
      <c r="I1679" s="160">
        <v>-0.43114940956543202</v>
      </c>
      <c r="J1679" s="78">
        <v>11.318378990493159</v>
      </c>
      <c r="K1679" s="79">
        <v>-4.1175122566357913E-2</v>
      </c>
    </row>
    <row r="1680" spans="2:11" x14ac:dyDescent="0.35">
      <c r="B1680" s="149" t="s">
        <v>848</v>
      </c>
      <c r="C1680" s="6" t="s">
        <v>226</v>
      </c>
      <c r="D1680" s="6">
        <v>256.83249999999998</v>
      </c>
      <c r="E1680" s="6" t="s">
        <v>1074</v>
      </c>
      <c r="F1680" s="114">
        <v>64.830346590909087</v>
      </c>
      <c r="G1680" s="76" t="s">
        <v>40</v>
      </c>
      <c r="H1680" s="160">
        <v>1.1916534090909181</v>
      </c>
      <c r="I1680" s="160">
        <v>-0.57541445698725802</v>
      </c>
      <c r="J1680" s="78">
        <v>11.967674145274145</v>
      </c>
      <c r="K1680" s="79">
        <v>0.60812003221462874</v>
      </c>
    </row>
    <row r="1681" spans="2:11" x14ac:dyDescent="0.35">
      <c r="B1681" s="149" t="s">
        <v>848</v>
      </c>
      <c r="C1681" s="6" t="s">
        <v>226</v>
      </c>
      <c r="D1681" s="6">
        <v>256.84250000000003</v>
      </c>
      <c r="E1681" s="6" t="s">
        <v>1074</v>
      </c>
      <c r="F1681" s="114">
        <v>64.832961538461547</v>
      </c>
      <c r="G1681" s="76" t="s">
        <v>40</v>
      </c>
      <c r="H1681" s="160">
        <v>1.189038461538459</v>
      </c>
      <c r="I1681" s="160">
        <v>-0.66376495311879702</v>
      </c>
      <c r="J1681" s="78">
        <v>12.366826118728966</v>
      </c>
      <c r="K1681" s="79">
        <v>1.0072720056694493</v>
      </c>
    </row>
    <row r="1682" spans="2:11" x14ac:dyDescent="0.35">
      <c r="B1682" s="149" t="s">
        <v>848</v>
      </c>
      <c r="C1682" s="6" t="s">
        <v>226</v>
      </c>
      <c r="D1682" s="6">
        <v>256.85250000000002</v>
      </c>
      <c r="E1682" s="6" t="s">
        <v>1074</v>
      </c>
      <c r="F1682" s="114">
        <v>64.836807692307701</v>
      </c>
      <c r="G1682" s="76" t="s">
        <v>40</v>
      </c>
      <c r="H1682" s="160">
        <v>1.1851923076923043</v>
      </c>
      <c r="I1682" s="160">
        <v>-0.67315751581318495</v>
      </c>
      <c r="J1682" s="78">
        <v>12.409327871461755</v>
      </c>
      <c r="K1682" s="79">
        <v>1.0497737584022389</v>
      </c>
    </row>
    <row r="1683" spans="2:11" x14ac:dyDescent="0.35">
      <c r="B1683" s="149" t="s">
        <v>848</v>
      </c>
      <c r="C1683" s="6" t="s">
        <v>226</v>
      </c>
      <c r="D1683" s="6">
        <v>256.86250000000001</v>
      </c>
      <c r="E1683" s="6" t="s">
        <v>1074</v>
      </c>
      <c r="F1683" s="114">
        <v>64.840653846153856</v>
      </c>
      <c r="G1683" s="76" t="s">
        <v>40</v>
      </c>
      <c r="H1683" s="160">
        <v>1.1813461538461496</v>
      </c>
      <c r="I1683" s="160">
        <v>-0.76678668421468399</v>
      </c>
      <c r="J1683" s="78">
        <v>12.833718604581179</v>
      </c>
      <c r="K1683" s="79">
        <v>1.4741644915216625</v>
      </c>
    </row>
    <row r="1684" spans="2:11" x14ac:dyDescent="0.35">
      <c r="B1684" s="149" t="s">
        <v>848</v>
      </c>
      <c r="C1684" s="6" t="s">
        <v>226</v>
      </c>
      <c r="D1684" s="6">
        <v>256.8725</v>
      </c>
      <c r="E1684" s="6" t="s">
        <v>1074</v>
      </c>
      <c r="F1684" s="114">
        <v>64.844499999999996</v>
      </c>
      <c r="G1684" s="76" t="s">
        <v>40</v>
      </c>
      <c r="H1684" s="160">
        <v>1.1775000000000091</v>
      </c>
      <c r="I1684" s="160">
        <v>-0.74649722602080604</v>
      </c>
      <c r="J1684" s="78">
        <v>12.741642651724135</v>
      </c>
      <c r="K1684" s="79">
        <v>1.3820885386646182</v>
      </c>
    </row>
    <row r="1685" spans="2:11" x14ac:dyDescent="0.35">
      <c r="B1685" s="149" t="s">
        <v>848</v>
      </c>
      <c r="C1685" s="6" t="s">
        <v>226</v>
      </c>
      <c r="D1685" s="6">
        <v>256.88249999999999</v>
      </c>
      <c r="E1685" s="6" t="s">
        <v>1074</v>
      </c>
      <c r="F1685" s="114">
        <v>64.848346153846151</v>
      </c>
      <c r="G1685" s="76" t="s">
        <v>40</v>
      </c>
      <c r="H1685" s="160">
        <v>1.1736538461538544</v>
      </c>
      <c r="I1685" s="160">
        <v>-0.58374278749493602</v>
      </c>
      <c r="J1685" s="78">
        <v>12.005250921504398</v>
      </c>
      <c r="K1685" s="79">
        <v>0.64569680844488175</v>
      </c>
    </row>
    <row r="1686" spans="2:11" x14ac:dyDescent="0.35">
      <c r="B1686" s="149" t="s">
        <v>848</v>
      </c>
      <c r="C1686" s="6" t="s">
        <v>226</v>
      </c>
      <c r="D1686" s="6">
        <v>256.89249999999998</v>
      </c>
      <c r="E1686" s="6" t="s">
        <v>1074</v>
      </c>
      <c r="F1686" s="114">
        <v>64.852192307692306</v>
      </c>
      <c r="G1686" s="76" t="s">
        <v>40</v>
      </c>
      <c r="H1686" s="160">
        <v>1.1698076923076997</v>
      </c>
      <c r="I1686" s="160">
        <v>-0.84478112816108897</v>
      </c>
      <c r="J1686" s="78">
        <v>13.188236925486592</v>
      </c>
      <c r="K1686" s="79">
        <v>1.8286828124270755</v>
      </c>
    </row>
    <row r="1687" spans="2:11" x14ac:dyDescent="0.35">
      <c r="B1687" s="149" t="s">
        <v>848</v>
      </c>
      <c r="C1687" s="6" t="s">
        <v>226</v>
      </c>
      <c r="D1687" s="6">
        <v>256.90250000000003</v>
      </c>
      <c r="E1687" s="6" t="s">
        <v>1074</v>
      </c>
      <c r="F1687" s="114">
        <v>64.856038461538475</v>
      </c>
      <c r="G1687" s="76" t="s">
        <v>40</v>
      </c>
      <c r="H1687" s="160">
        <v>1.1659615384615307</v>
      </c>
      <c r="I1687" s="160">
        <v>-0.70302615106063904</v>
      </c>
      <c r="J1687" s="78">
        <v>12.544571535913519</v>
      </c>
      <c r="K1687" s="79">
        <v>1.1850174228540027</v>
      </c>
    </row>
    <row r="1688" spans="2:11" x14ac:dyDescent="0.35">
      <c r="B1688" s="149" t="s">
        <v>848</v>
      </c>
      <c r="C1688" s="6" t="s">
        <v>226</v>
      </c>
      <c r="D1688" s="6">
        <v>256.91250000000002</v>
      </c>
      <c r="E1688" s="6" t="s">
        <v>1074</v>
      </c>
      <c r="F1688" s="114">
        <v>64.85988461538463</v>
      </c>
      <c r="G1688" s="76" t="s">
        <v>40</v>
      </c>
      <c r="H1688" s="160">
        <v>1.162115384615376</v>
      </c>
      <c r="I1688" s="160">
        <v>-0.96983096835676796</v>
      </c>
      <c r="J1688" s="78">
        <v>13.758538343323721</v>
      </c>
      <c r="K1688" s="79">
        <v>2.3989842302642046</v>
      </c>
    </row>
    <row r="1689" spans="2:11" x14ac:dyDescent="0.35">
      <c r="B1689" s="149" t="s">
        <v>848</v>
      </c>
      <c r="C1689" s="6" t="s">
        <v>226</v>
      </c>
      <c r="D1689" s="6">
        <v>256.92250000000001</v>
      </c>
      <c r="E1689" s="6" t="s">
        <v>1074</v>
      </c>
      <c r="F1689" s="114">
        <v>64.86373076923077</v>
      </c>
      <c r="G1689" s="76" t="s">
        <v>40</v>
      </c>
      <c r="H1689" s="160">
        <v>1.1582692307692355</v>
      </c>
      <c r="I1689" s="160">
        <v>-0.89785723583089205</v>
      </c>
      <c r="J1689" s="78">
        <v>13.430009565776857</v>
      </c>
      <c r="K1689" s="79">
        <v>2.07045545271734</v>
      </c>
    </row>
    <row r="1690" spans="2:11" x14ac:dyDescent="0.35">
      <c r="B1690" s="149" t="s">
        <v>848</v>
      </c>
      <c r="C1690" s="6" t="s">
        <v>226</v>
      </c>
      <c r="D1690" s="6">
        <v>256.9325</v>
      </c>
      <c r="E1690" s="6" t="s">
        <v>1074</v>
      </c>
      <c r="F1690" s="114">
        <v>64.867576923076925</v>
      </c>
      <c r="G1690" s="76" t="s">
        <v>40</v>
      </c>
      <c r="H1690" s="160">
        <v>1.1544230769230808</v>
      </c>
      <c r="I1690" s="160">
        <v>-1.096061209961954</v>
      </c>
      <c r="J1690" s="78">
        <v>14.336604585817327</v>
      </c>
      <c r="K1690" s="79">
        <v>2.97705047275781</v>
      </c>
    </row>
    <row r="1691" spans="2:11" x14ac:dyDescent="0.35">
      <c r="B1691" s="149" t="s">
        <v>848</v>
      </c>
      <c r="C1691" s="6" t="s">
        <v>226</v>
      </c>
      <c r="D1691" s="6">
        <v>256.9425</v>
      </c>
      <c r="E1691" s="6" t="s">
        <v>1074</v>
      </c>
      <c r="F1691" s="114">
        <v>64.87142307692308</v>
      </c>
      <c r="G1691" s="76" t="s">
        <v>40</v>
      </c>
      <c r="H1691" s="160">
        <v>1.1505769230769261</v>
      </c>
      <c r="I1691" s="160">
        <v>-1.2010678116140889</v>
      </c>
      <c r="J1691" s="78">
        <v>14.819311813045147</v>
      </c>
      <c r="K1691" s="79">
        <v>3.4597576999856301</v>
      </c>
    </row>
    <row r="1692" spans="2:11" x14ac:dyDescent="0.35">
      <c r="B1692" s="149" t="s">
        <v>848</v>
      </c>
      <c r="C1692" s="6" t="s">
        <v>226</v>
      </c>
      <c r="D1692" s="6">
        <v>256.95249999999999</v>
      </c>
      <c r="E1692" s="6" t="s">
        <v>1074</v>
      </c>
      <c r="F1692" s="114">
        <v>64.87526923076922</v>
      </c>
      <c r="G1692" s="76" t="s">
        <v>40</v>
      </c>
      <c r="H1692" s="160">
        <v>1.1467307692307855</v>
      </c>
      <c r="I1692" s="160">
        <v>-1.0553452660937233</v>
      </c>
      <c r="J1692" s="78">
        <v>14.149885260320218</v>
      </c>
      <c r="K1692" s="79">
        <v>2.7903311472607015</v>
      </c>
    </row>
    <row r="1693" spans="2:11" x14ac:dyDescent="0.35">
      <c r="B1693" s="149" t="s">
        <v>848</v>
      </c>
      <c r="C1693" s="6" t="s">
        <v>226</v>
      </c>
      <c r="D1693" s="6">
        <v>256.96249999999998</v>
      </c>
      <c r="E1693" s="6" t="s">
        <v>1074</v>
      </c>
      <c r="F1693" s="114">
        <v>64.879115384615375</v>
      </c>
      <c r="G1693" s="76" t="s">
        <v>40</v>
      </c>
      <c r="H1693" s="160">
        <v>1.1428846153846308</v>
      </c>
      <c r="I1693" s="160">
        <v>-1.0025065907856918</v>
      </c>
      <c r="J1693" s="78">
        <v>13.907944909932041</v>
      </c>
      <c r="K1693" s="79">
        <v>2.5483907968725248</v>
      </c>
    </row>
    <row r="1694" spans="2:11" x14ac:dyDescent="0.35">
      <c r="B1694" s="149" t="s">
        <v>848</v>
      </c>
      <c r="C1694" s="6" t="s">
        <v>226</v>
      </c>
      <c r="D1694" s="6">
        <v>256.97250000000003</v>
      </c>
      <c r="E1694" s="6" t="s">
        <v>1074</v>
      </c>
      <c r="F1694" s="114">
        <v>64.882961538461544</v>
      </c>
      <c r="G1694" s="76" t="s">
        <v>40</v>
      </c>
      <c r="H1694" s="160">
        <v>1.1390384615384619</v>
      </c>
      <c r="I1694" s="160">
        <v>-1.1705603668028333</v>
      </c>
      <c r="J1694" s="78">
        <v>14.678899235734036</v>
      </c>
      <c r="K1694" s="79">
        <v>3.3193451226745196</v>
      </c>
    </row>
    <row r="1695" spans="2:11" x14ac:dyDescent="0.35">
      <c r="B1695" s="149" t="s">
        <v>848</v>
      </c>
      <c r="C1695" s="6" t="s">
        <v>226</v>
      </c>
      <c r="D1695" s="6">
        <v>256.98250000000002</v>
      </c>
      <c r="E1695" s="6" t="s">
        <v>1074</v>
      </c>
      <c r="F1695" s="114">
        <v>64.886807692307698</v>
      </c>
      <c r="G1695" s="76" t="s">
        <v>40</v>
      </c>
      <c r="H1695" s="160">
        <v>1.1351923076923072</v>
      </c>
      <c r="I1695" s="160">
        <v>-0.94714483976693697</v>
      </c>
      <c r="J1695" s="78">
        <v>13.654902217036067</v>
      </c>
      <c r="K1695" s="79">
        <v>2.2953481039765506</v>
      </c>
    </row>
    <row r="1696" spans="2:11" x14ac:dyDescent="0.35">
      <c r="B1696" s="149" t="s">
        <v>848</v>
      </c>
      <c r="C1696" s="6" t="s">
        <v>226</v>
      </c>
      <c r="D1696" s="6">
        <v>256.98250000000002</v>
      </c>
      <c r="E1696" s="6" t="s">
        <v>1074</v>
      </c>
      <c r="F1696" s="114">
        <v>64.886807692307698</v>
      </c>
      <c r="G1696" s="76" t="s">
        <v>40</v>
      </c>
      <c r="H1696" s="160">
        <v>1.1351923076923072</v>
      </c>
      <c r="I1696" s="160">
        <v>-0.78955540830414594</v>
      </c>
      <c r="J1696" s="78">
        <v>12.93711863517035</v>
      </c>
      <c r="K1696" s="79">
        <v>1.5775645221108334</v>
      </c>
    </row>
    <row r="1697" spans="2:11" x14ac:dyDescent="0.35">
      <c r="B1697" s="149" t="s">
        <v>848</v>
      </c>
      <c r="C1697" s="6" t="s">
        <v>226</v>
      </c>
      <c r="D1697" s="6">
        <v>256.99250000000001</v>
      </c>
      <c r="E1697" s="6" t="s">
        <v>1074</v>
      </c>
      <c r="F1697" s="114">
        <v>64.890653846153853</v>
      </c>
      <c r="G1697" s="76" t="s">
        <v>40</v>
      </c>
      <c r="H1697" s="160">
        <v>1.1313461538461524</v>
      </c>
      <c r="I1697" s="160">
        <v>-1.05409521633846</v>
      </c>
      <c r="J1697" s="78">
        <v>14.144156612565553</v>
      </c>
      <c r="K1697" s="79">
        <v>2.7846024995060361</v>
      </c>
    </row>
    <row r="1698" spans="2:11" x14ac:dyDescent="0.35">
      <c r="B1698" s="149" t="s">
        <v>848</v>
      </c>
      <c r="C1698" s="6" t="s">
        <v>226</v>
      </c>
      <c r="D1698" s="6">
        <v>257.0025</v>
      </c>
      <c r="E1698" s="6" t="s">
        <v>1074</v>
      </c>
      <c r="F1698" s="114">
        <v>64.894499999999994</v>
      </c>
      <c r="G1698" s="76" t="s">
        <v>40</v>
      </c>
      <c r="H1698" s="160">
        <v>1.1275000000000119</v>
      </c>
      <c r="I1698" s="160">
        <v>-1.09388919419471</v>
      </c>
      <c r="J1698" s="78">
        <v>14.326637614251581</v>
      </c>
      <c r="K1698" s="79">
        <v>2.9670835011920644</v>
      </c>
    </row>
    <row r="1699" spans="2:11" x14ac:dyDescent="0.35">
      <c r="B1699" s="149" t="s">
        <v>848</v>
      </c>
      <c r="C1699" s="6" t="s">
        <v>226</v>
      </c>
      <c r="D1699" s="6">
        <v>257.01249999999999</v>
      </c>
      <c r="E1699" s="6" t="s">
        <v>1074</v>
      </c>
      <c r="F1699" s="114">
        <v>64.898346153846148</v>
      </c>
      <c r="G1699" s="76" t="s">
        <v>40</v>
      </c>
      <c r="H1699" s="160">
        <v>1.1236538461538572</v>
      </c>
      <c r="I1699" s="160">
        <v>-1.1252539058107323</v>
      </c>
      <c r="J1699" s="78">
        <v>14.470633576934802</v>
      </c>
      <c r="K1699" s="79">
        <v>3.111079463875285</v>
      </c>
    </row>
    <row r="1700" spans="2:11" x14ac:dyDescent="0.35">
      <c r="B1700" s="149" t="s">
        <v>848</v>
      </c>
      <c r="C1700" s="6" t="s">
        <v>226</v>
      </c>
      <c r="D1700" s="6">
        <v>257.02249999999998</v>
      </c>
      <c r="E1700" s="6" t="s">
        <v>1074</v>
      </c>
      <c r="F1700" s="114">
        <v>64.902192307692303</v>
      </c>
      <c r="G1700" s="76" t="s">
        <v>40</v>
      </c>
      <c r="H1700" s="160">
        <v>1.1198076923077025</v>
      </c>
      <c r="I1700" s="160">
        <v>-1.0377991822206687</v>
      </c>
      <c r="J1700" s="78">
        <v>14.069497745281183</v>
      </c>
      <c r="K1700" s="79">
        <v>2.7099436322216661</v>
      </c>
    </row>
    <row r="1701" spans="2:11" x14ac:dyDescent="0.35">
      <c r="B1701" s="149" t="s">
        <v>848</v>
      </c>
      <c r="C1701" s="6" t="s">
        <v>226</v>
      </c>
      <c r="D1701" s="6">
        <v>257.03250000000003</v>
      </c>
      <c r="E1701" s="6" t="s">
        <v>1074</v>
      </c>
      <c r="F1701" s="114">
        <v>64.906038461538472</v>
      </c>
      <c r="G1701" s="76" t="s">
        <v>40</v>
      </c>
      <c r="H1701" s="160">
        <v>1.1159615384615336</v>
      </c>
      <c r="I1701" s="160">
        <v>-1.028378494659401</v>
      </c>
      <c r="J1701" s="78">
        <v>14.026355934539311</v>
      </c>
      <c r="K1701" s="79">
        <v>2.6668018214797939</v>
      </c>
    </row>
    <row r="1702" spans="2:11" x14ac:dyDescent="0.35">
      <c r="B1702" s="149" t="s">
        <v>848</v>
      </c>
      <c r="C1702" s="6" t="s">
        <v>226</v>
      </c>
      <c r="D1702" s="6">
        <v>257.04250000000002</v>
      </c>
      <c r="E1702" s="6" t="s">
        <v>1074</v>
      </c>
      <c r="F1702" s="114">
        <v>64.909884615384613</v>
      </c>
      <c r="G1702" s="76" t="s">
        <v>40</v>
      </c>
      <c r="H1702" s="160">
        <v>1.1121153846153931</v>
      </c>
      <c r="I1702" s="160">
        <v>-0.94082100045864903</v>
      </c>
      <c r="J1702" s="78">
        <v>13.62602703882402</v>
      </c>
      <c r="K1702" s="79">
        <v>2.2664729257645035</v>
      </c>
    </row>
    <row r="1703" spans="2:11" x14ac:dyDescent="0.35">
      <c r="B1703" s="149" t="s">
        <v>848</v>
      </c>
      <c r="C1703" s="6" t="s">
        <v>226</v>
      </c>
      <c r="D1703" s="6">
        <v>257.05250000000001</v>
      </c>
      <c r="E1703" s="6" t="s">
        <v>1074</v>
      </c>
      <c r="F1703" s="114">
        <v>64.913730769230767</v>
      </c>
      <c r="G1703" s="76" t="s">
        <v>40</v>
      </c>
      <c r="H1703" s="160">
        <v>1.1082692307692383</v>
      </c>
      <c r="I1703" s="160">
        <v>-1.1206404542550641</v>
      </c>
      <c r="J1703" s="78">
        <v>14.449443805015562</v>
      </c>
      <c r="K1703" s="79">
        <v>3.0898896919560457</v>
      </c>
    </row>
    <row r="1704" spans="2:11" x14ac:dyDescent="0.35">
      <c r="B1704" s="149" t="s">
        <v>848</v>
      </c>
      <c r="C1704" s="6" t="s">
        <v>226</v>
      </c>
      <c r="D1704" s="6">
        <v>257.0625</v>
      </c>
      <c r="E1704" s="6" t="s">
        <v>1074</v>
      </c>
      <c r="F1704" s="114">
        <v>64.917576923076922</v>
      </c>
      <c r="G1704" s="76" t="s">
        <v>40</v>
      </c>
      <c r="H1704" s="160">
        <v>1.1044230769230836</v>
      </c>
      <c r="I1704" s="160">
        <v>-0.96254910242253</v>
      </c>
      <c r="J1704" s="78">
        <v>13.725264471273647</v>
      </c>
      <c r="K1704" s="79">
        <v>2.3657103582141303</v>
      </c>
    </row>
    <row r="1705" spans="2:11" x14ac:dyDescent="0.35">
      <c r="B1705" s="149" t="s">
        <v>848</v>
      </c>
      <c r="C1705" s="6" t="s">
        <v>226</v>
      </c>
      <c r="D1705" s="6">
        <v>257.07249999999999</v>
      </c>
      <c r="E1705" s="6" t="s">
        <v>1074</v>
      </c>
      <c r="F1705" s="114">
        <v>64.921423076923062</v>
      </c>
      <c r="G1705" s="76" t="s">
        <v>40</v>
      </c>
      <c r="H1705" s="160">
        <v>1.1005769230769431</v>
      </c>
      <c r="I1705" s="160">
        <v>-0.93279540527389204</v>
      </c>
      <c r="J1705" s="78">
        <v>13.589390134908683</v>
      </c>
      <c r="K1705" s="79">
        <v>2.2298360218491666</v>
      </c>
    </row>
    <row r="1706" spans="2:11" x14ac:dyDescent="0.35">
      <c r="B1706" s="149" t="s">
        <v>848</v>
      </c>
      <c r="C1706" s="6" t="s">
        <v>226</v>
      </c>
      <c r="D1706" s="6">
        <v>257.08249999999998</v>
      </c>
      <c r="E1706" s="6" t="s">
        <v>1074</v>
      </c>
      <c r="F1706" s="114">
        <v>64.925269230769217</v>
      </c>
      <c r="G1706" s="76" t="s">
        <v>40</v>
      </c>
      <c r="H1706" s="160">
        <v>1.0967307692307884</v>
      </c>
      <c r="I1706" s="160">
        <v>-0.95923564893172397</v>
      </c>
      <c r="J1706" s="78">
        <v>13.710126560115668</v>
      </c>
      <c r="K1706" s="79">
        <v>2.3505724470561518</v>
      </c>
    </row>
    <row r="1707" spans="2:11" x14ac:dyDescent="0.35">
      <c r="B1707" s="149" t="s">
        <v>848</v>
      </c>
      <c r="C1707" s="6" t="s">
        <v>226</v>
      </c>
      <c r="D1707" s="6">
        <v>257.09250000000003</v>
      </c>
      <c r="E1707" s="6" t="s">
        <v>1074</v>
      </c>
      <c r="F1707" s="114">
        <v>64.929115384615386</v>
      </c>
      <c r="G1707" s="76" t="s">
        <v>40</v>
      </c>
      <c r="H1707" s="160">
        <v>1.0928846153846195</v>
      </c>
      <c r="I1707" s="160">
        <v>-0.91473663683758999</v>
      </c>
      <c r="J1707" s="78">
        <v>13.506987013427192</v>
      </c>
      <c r="K1707" s="79">
        <v>2.1474329003676758</v>
      </c>
    </row>
    <row r="1708" spans="2:11" x14ac:dyDescent="0.35">
      <c r="B1708" s="149" t="s">
        <v>848</v>
      </c>
      <c r="C1708" s="6" t="s">
        <v>226</v>
      </c>
      <c r="D1708" s="6">
        <v>257.10250000000002</v>
      </c>
      <c r="E1708" s="6" t="s">
        <v>1074</v>
      </c>
      <c r="F1708" s="114">
        <v>64.932585227272725</v>
      </c>
      <c r="G1708" s="76" t="s">
        <v>40</v>
      </c>
      <c r="H1708" s="160">
        <v>1.0894147727272809</v>
      </c>
      <c r="I1708" s="160">
        <v>-0.82503205122484102</v>
      </c>
      <c r="J1708" s="78">
        <v>13.098383174713092</v>
      </c>
      <c r="K1708" s="79">
        <v>1.7388290616535755</v>
      </c>
    </row>
    <row r="1709" spans="2:11" x14ac:dyDescent="0.35">
      <c r="B1709" s="149" t="s">
        <v>848</v>
      </c>
      <c r="C1709" s="6" t="s">
        <v>226</v>
      </c>
      <c r="D1709" s="6">
        <v>257.11250000000001</v>
      </c>
      <c r="E1709" s="6" t="s">
        <v>1074</v>
      </c>
      <c r="F1709" s="114">
        <v>64.934926136363629</v>
      </c>
      <c r="G1709" s="76" t="s">
        <v>40</v>
      </c>
      <c r="H1709" s="160">
        <v>1.0870738636363768</v>
      </c>
      <c r="I1709" s="160">
        <v>-0.73889744672060098</v>
      </c>
      <c r="J1709" s="78">
        <v>12.707169699911674</v>
      </c>
      <c r="K1709" s="79">
        <v>1.3476155868521573</v>
      </c>
    </row>
    <row r="1710" spans="2:11" x14ac:dyDescent="0.35">
      <c r="B1710" s="149" t="s">
        <v>848</v>
      </c>
      <c r="C1710" s="6" t="s">
        <v>226</v>
      </c>
      <c r="D1710" s="6">
        <v>257.1225</v>
      </c>
      <c r="E1710" s="6" t="s">
        <v>1074</v>
      </c>
      <c r="F1710" s="114">
        <v>64.937267045454547</v>
      </c>
      <c r="G1710" s="76" t="s">
        <v>40</v>
      </c>
      <c r="H1710" s="160">
        <v>1.0847329545454585</v>
      </c>
      <c r="I1710" s="160">
        <v>-0.86051207434576704</v>
      </c>
      <c r="J1710" s="78">
        <v>13.259850751009537</v>
      </c>
      <c r="K1710" s="79">
        <v>1.9002966379500208</v>
      </c>
    </row>
    <row r="1711" spans="2:11" x14ac:dyDescent="0.35">
      <c r="B1711" s="149" t="s">
        <v>848</v>
      </c>
      <c r="C1711" s="6" t="s">
        <v>226</v>
      </c>
      <c r="D1711" s="6">
        <v>257.13249999999999</v>
      </c>
      <c r="E1711" s="6" t="s">
        <v>1074</v>
      </c>
      <c r="F1711" s="114">
        <v>64.939607954545451</v>
      </c>
      <c r="G1711" s="76" t="s">
        <v>40</v>
      </c>
      <c r="H1711" s="160">
        <v>1.0823920454545544</v>
      </c>
      <c r="I1711" s="160">
        <v>-0.855754145931511</v>
      </c>
      <c r="J1711" s="78">
        <v>13.238186779788464</v>
      </c>
      <c r="K1711" s="79">
        <v>1.8786326667289472</v>
      </c>
    </row>
    <row r="1712" spans="2:11" x14ac:dyDescent="0.35">
      <c r="B1712" s="149" t="s">
        <v>848</v>
      </c>
      <c r="C1712" s="6" t="s">
        <v>226</v>
      </c>
      <c r="D1712" s="6">
        <v>257.14249999999998</v>
      </c>
      <c r="E1712" s="6" t="s">
        <v>1074</v>
      </c>
      <c r="F1712" s="114">
        <v>64.941948863636355</v>
      </c>
      <c r="G1712" s="76" t="s">
        <v>40</v>
      </c>
      <c r="H1712" s="160">
        <v>1.0800511363636502</v>
      </c>
      <c r="I1712" s="160">
        <v>-0.87180155667841097</v>
      </c>
      <c r="J1712" s="78">
        <v>13.311267959267468</v>
      </c>
      <c r="K1712" s="79">
        <v>1.9517138462079515</v>
      </c>
    </row>
    <row r="1713" spans="2:11" x14ac:dyDescent="0.35">
      <c r="B1713" s="149" t="s">
        <v>848</v>
      </c>
      <c r="C1713" s="6" t="s">
        <v>226</v>
      </c>
      <c r="D1713" s="6">
        <v>257.15250000000003</v>
      </c>
      <c r="E1713" s="6" t="s">
        <v>1074</v>
      </c>
      <c r="F1713" s="114">
        <v>64.944289772727274</v>
      </c>
      <c r="G1713" s="76" t="s">
        <v>40</v>
      </c>
      <c r="H1713" s="160">
        <v>1.0777102272727319</v>
      </c>
      <c r="I1713" s="160">
        <v>-0.89461521833120905</v>
      </c>
      <c r="J1713" s="78">
        <v>13.415229430136606</v>
      </c>
      <c r="K1713" s="79">
        <v>2.0556753170770889</v>
      </c>
    </row>
    <row r="1714" spans="2:11" x14ac:dyDescent="0.35">
      <c r="B1714" s="149" t="s">
        <v>848</v>
      </c>
      <c r="C1714" s="6" t="s">
        <v>226</v>
      </c>
      <c r="D1714" s="6">
        <v>257.16250000000002</v>
      </c>
      <c r="E1714" s="6" t="s">
        <v>1074</v>
      </c>
      <c r="F1714" s="114">
        <v>64.946630681818178</v>
      </c>
      <c r="G1714" s="76" t="s">
        <v>40</v>
      </c>
      <c r="H1714" s="160">
        <v>1.0753693181818278</v>
      </c>
      <c r="I1714" s="160">
        <v>-0.82739248234518203</v>
      </c>
      <c r="J1714" s="78">
        <v>13.10911953176992</v>
      </c>
      <c r="K1714" s="79">
        <v>1.7495654187104037</v>
      </c>
    </row>
    <row r="1715" spans="2:11" x14ac:dyDescent="0.35">
      <c r="B1715" s="149" t="s">
        <v>848</v>
      </c>
      <c r="C1715" s="6" t="s">
        <v>226</v>
      </c>
      <c r="D1715" s="6">
        <v>257.17250000000001</v>
      </c>
      <c r="E1715" s="6" t="s">
        <v>1074</v>
      </c>
      <c r="F1715" s="114">
        <v>64.948971590909096</v>
      </c>
      <c r="G1715" s="76" t="s">
        <v>40</v>
      </c>
      <c r="H1715" s="160">
        <v>1.0730284090909095</v>
      </c>
      <c r="I1715" s="160">
        <v>-0.78389833844314705</v>
      </c>
      <c r="J1715" s="78">
        <v>12.911420878289846</v>
      </c>
      <c r="K1715" s="79">
        <v>1.5518667652303293</v>
      </c>
    </row>
    <row r="1716" spans="2:11" x14ac:dyDescent="0.35">
      <c r="B1716" s="149" t="s">
        <v>848</v>
      </c>
      <c r="C1716" s="6" t="s">
        <v>226</v>
      </c>
      <c r="D1716" s="6">
        <v>257.1825</v>
      </c>
      <c r="E1716" s="6" t="s">
        <v>1074</v>
      </c>
      <c r="F1716" s="114">
        <v>64.9513125</v>
      </c>
      <c r="G1716" s="76" t="s">
        <v>40</v>
      </c>
      <c r="H1716" s="160">
        <v>1.0706875000000053</v>
      </c>
      <c r="I1716" s="160">
        <v>-0.75111829021455001</v>
      </c>
      <c r="J1716" s="78">
        <v>12.762608206896459</v>
      </c>
      <c r="K1716" s="79">
        <v>1.4030540938369427</v>
      </c>
    </row>
    <row r="1717" spans="2:11" x14ac:dyDescent="0.35">
      <c r="B1717" s="149" t="s">
        <v>848</v>
      </c>
      <c r="C1717" s="6" t="s">
        <v>226</v>
      </c>
      <c r="D1717" s="6">
        <v>257.1925</v>
      </c>
      <c r="E1717" s="6" t="s">
        <v>1074</v>
      </c>
      <c r="F1717" s="114">
        <v>64.953653409090904</v>
      </c>
      <c r="G1717" s="76" t="s">
        <v>40</v>
      </c>
      <c r="H1717" s="160">
        <v>1.0683465909091012</v>
      </c>
      <c r="I1717" s="160">
        <v>-0.84844375878876599</v>
      </c>
      <c r="J1717" s="78">
        <v>13.204907447821824</v>
      </c>
      <c r="K1717" s="79">
        <v>1.8453533347623079</v>
      </c>
    </row>
    <row r="1718" spans="2:11" x14ac:dyDescent="0.35">
      <c r="B1718" s="149" t="s">
        <v>848</v>
      </c>
      <c r="C1718" s="6" t="s">
        <v>226</v>
      </c>
      <c r="D1718" s="6">
        <v>257.20249999999999</v>
      </c>
      <c r="E1718" s="6" t="s">
        <v>1074</v>
      </c>
      <c r="F1718" s="114">
        <v>64.955994318181808</v>
      </c>
      <c r="G1718" s="76" t="s">
        <v>40</v>
      </c>
      <c r="H1718" s="160">
        <v>1.0660056818181971</v>
      </c>
      <c r="I1718" s="160">
        <v>-0.76627360844359305</v>
      </c>
      <c r="J1718" s="78">
        <v>12.831389452278358</v>
      </c>
      <c r="K1718" s="79">
        <v>1.4718353392188419</v>
      </c>
    </row>
    <row r="1719" spans="2:11" x14ac:dyDescent="0.35">
      <c r="B1719" s="149" t="s">
        <v>848</v>
      </c>
      <c r="C1719" s="6" t="s">
        <v>226</v>
      </c>
      <c r="D1719" s="6">
        <v>257.21249999999998</v>
      </c>
      <c r="E1719" s="6" t="s">
        <v>1074</v>
      </c>
      <c r="F1719" s="114">
        <v>64.958335227272713</v>
      </c>
      <c r="G1719" s="76" t="s">
        <v>40</v>
      </c>
      <c r="H1719" s="160">
        <v>1.063664772727293</v>
      </c>
      <c r="I1719" s="160">
        <v>-0.76081808558168496</v>
      </c>
      <c r="J1719" s="78">
        <v>12.806626049593717</v>
      </c>
      <c r="K1719" s="79">
        <v>1.4470719365342006</v>
      </c>
    </row>
    <row r="1720" spans="2:11" x14ac:dyDescent="0.35">
      <c r="B1720" s="149" t="s">
        <v>848</v>
      </c>
      <c r="C1720" s="6" t="s">
        <v>226</v>
      </c>
      <c r="D1720" s="6">
        <v>257.22250000000003</v>
      </c>
      <c r="E1720" s="6" t="s">
        <v>1074</v>
      </c>
      <c r="F1720" s="114">
        <v>64.960676136363631</v>
      </c>
      <c r="G1720" s="76" t="s">
        <v>40</v>
      </c>
      <c r="H1720" s="160">
        <v>1.0613238636363747</v>
      </c>
      <c r="I1720" s="160">
        <v>-0.74193179343216198</v>
      </c>
      <c r="J1720" s="78">
        <v>12.720932608997714</v>
      </c>
      <c r="K1720" s="79">
        <v>1.3613784959381974</v>
      </c>
    </row>
    <row r="1721" spans="2:11" x14ac:dyDescent="0.35">
      <c r="B1721" s="149" t="s">
        <v>848</v>
      </c>
      <c r="C1721" s="6" t="s">
        <v>226</v>
      </c>
      <c r="D1721" s="6">
        <v>257.23250000000002</v>
      </c>
      <c r="E1721" s="6" t="s">
        <v>1074</v>
      </c>
      <c r="F1721" s="114">
        <v>64.963017045454549</v>
      </c>
      <c r="G1721" s="76" t="s">
        <v>40</v>
      </c>
      <c r="H1721" s="160">
        <v>1.0589829545454563</v>
      </c>
      <c r="I1721" s="160">
        <v>-0.72125064890191903</v>
      </c>
      <c r="J1721" s="78">
        <v>12.627156071389891</v>
      </c>
      <c r="K1721" s="79">
        <v>1.2676019583303741</v>
      </c>
    </row>
    <row r="1722" spans="2:11" x14ac:dyDescent="0.35">
      <c r="B1722" s="149" t="s">
        <v>848</v>
      </c>
      <c r="C1722" s="6" t="s">
        <v>226</v>
      </c>
      <c r="D1722" s="6">
        <v>257.24250000000001</v>
      </c>
      <c r="E1722" s="6" t="s">
        <v>1074</v>
      </c>
      <c r="F1722" s="114">
        <v>64.965357954545453</v>
      </c>
      <c r="G1722" s="76" t="s">
        <v>40</v>
      </c>
      <c r="H1722" s="160">
        <v>1.0566420454545522</v>
      </c>
      <c r="I1722" s="160">
        <v>-0.69446243869517799</v>
      </c>
      <c r="J1722" s="78">
        <v>12.505781969991745</v>
      </c>
      <c r="K1722" s="79">
        <v>1.146227856932228</v>
      </c>
    </row>
    <row r="1723" spans="2:11" x14ac:dyDescent="0.35">
      <c r="B1723" s="149" t="s">
        <v>848</v>
      </c>
      <c r="C1723" s="6" t="s">
        <v>226</v>
      </c>
      <c r="D1723" s="6">
        <v>257.2525</v>
      </c>
      <c r="E1723" s="6" t="s">
        <v>1074</v>
      </c>
      <c r="F1723" s="114">
        <v>64.967698863636357</v>
      </c>
      <c r="G1723" s="76" t="s">
        <v>40</v>
      </c>
      <c r="H1723" s="160">
        <v>1.0543011363636481</v>
      </c>
      <c r="I1723" s="160">
        <v>-0.64644459822935896</v>
      </c>
      <c r="J1723" s="78">
        <v>12.28848497708907</v>
      </c>
      <c r="K1723" s="79">
        <v>0.92893086402955305</v>
      </c>
    </row>
    <row r="1724" spans="2:11" x14ac:dyDescent="0.35">
      <c r="B1724" s="149" t="s">
        <v>848</v>
      </c>
      <c r="C1724" s="6" t="s">
        <v>226</v>
      </c>
      <c r="D1724" s="6">
        <v>257.26249999999999</v>
      </c>
      <c r="E1724" s="6" t="s">
        <v>1074</v>
      </c>
      <c r="F1724" s="114">
        <v>64.970039772727262</v>
      </c>
      <c r="G1724" s="76" t="s">
        <v>40</v>
      </c>
      <c r="H1724" s="160">
        <v>1.051960227272744</v>
      </c>
      <c r="I1724" s="160">
        <v>-0.68767288473912302</v>
      </c>
      <c r="J1724" s="78">
        <v>12.475036223679524</v>
      </c>
      <c r="K1724" s="79">
        <v>1.1154821106200075</v>
      </c>
    </row>
    <row r="1725" spans="2:11" x14ac:dyDescent="0.35">
      <c r="B1725" s="149" t="s">
        <v>848</v>
      </c>
      <c r="C1725" s="6" t="s">
        <v>226</v>
      </c>
      <c r="D1725" s="6">
        <v>257.27249999999998</v>
      </c>
      <c r="E1725" s="6" t="s">
        <v>1074</v>
      </c>
      <c r="F1725" s="114">
        <v>64.972380681818166</v>
      </c>
      <c r="G1725" s="76" t="s">
        <v>40</v>
      </c>
      <c r="H1725" s="160">
        <v>1.0496193181818398</v>
      </c>
      <c r="I1725" s="160">
        <v>-0.66359096727739597</v>
      </c>
      <c r="J1725" s="78">
        <v>12.366038948383391</v>
      </c>
      <c r="K1725" s="79">
        <v>1.0064848353238744</v>
      </c>
    </row>
    <row r="1726" spans="2:11" x14ac:dyDescent="0.35">
      <c r="B1726" s="149" t="s">
        <v>848</v>
      </c>
      <c r="C1726" s="6" t="s">
        <v>226</v>
      </c>
      <c r="D1726" s="6">
        <v>257.29250000000002</v>
      </c>
      <c r="E1726" s="6" t="s">
        <v>1074</v>
      </c>
      <c r="F1726" s="114">
        <v>64.977062500000002</v>
      </c>
      <c r="G1726" s="76" t="s">
        <v>40</v>
      </c>
      <c r="H1726" s="160">
        <v>1.0449375000000032</v>
      </c>
      <c r="I1726" s="160">
        <v>-0.66483384386204702</v>
      </c>
      <c r="J1726" s="78">
        <v>12.371662237490511</v>
      </c>
      <c r="K1726" s="79">
        <v>1.0121081244309948</v>
      </c>
    </row>
    <row r="1727" spans="2:11" x14ac:dyDescent="0.35">
      <c r="B1727" s="149" t="s">
        <v>848</v>
      </c>
      <c r="C1727" s="6" t="s">
        <v>226</v>
      </c>
      <c r="D1727" s="6">
        <v>257.30250000000001</v>
      </c>
      <c r="E1727" s="6" t="s">
        <v>1074</v>
      </c>
      <c r="F1727" s="114">
        <v>64.979403409090907</v>
      </c>
      <c r="G1727" s="76" t="s">
        <v>40</v>
      </c>
      <c r="H1727" s="160">
        <v>1.0425965909090991</v>
      </c>
      <c r="I1727" s="160">
        <v>-0.60910895921571195</v>
      </c>
      <c r="J1727" s="78">
        <v>12.119764086816247</v>
      </c>
      <c r="K1727" s="79">
        <v>0.76020997375673005</v>
      </c>
    </row>
    <row r="1728" spans="2:11" x14ac:dyDescent="0.35">
      <c r="B1728" s="149" t="s">
        <v>848</v>
      </c>
      <c r="C1728" s="6" t="s">
        <v>226</v>
      </c>
      <c r="D1728" s="6">
        <v>257.3125</v>
      </c>
      <c r="E1728" s="6" t="s">
        <v>1074</v>
      </c>
      <c r="F1728" s="114">
        <v>64.981744318181811</v>
      </c>
      <c r="G1728" s="76" t="s">
        <v>40</v>
      </c>
      <c r="H1728" s="160">
        <v>1.0402556818181949</v>
      </c>
      <c r="I1728" s="160">
        <v>-0.65326880334391102</v>
      </c>
      <c r="J1728" s="78">
        <v>12.319346025357788</v>
      </c>
      <c r="K1728" s="79">
        <v>0.95979191229827165</v>
      </c>
    </row>
    <row r="1729" spans="2:11" x14ac:dyDescent="0.35">
      <c r="B1729" s="149" t="s">
        <v>848</v>
      </c>
      <c r="C1729" s="6" t="s">
        <v>226</v>
      </c>
      <c r="D1729" s="6">
        <v>257.33249999999998</v>
      </c>
      <c r="E1729" s="6" t="s">
        <v>1074</v>
      </c>
      <c r="F1729" s="114">
        <v>64.986426136363633</v>
      </c>
      <c r="G1729" s="76" t="s">
        <v>40</v>
      </c>
      <c r="H1729" s="160">
        <v>1.0355738636363725</v>
      </c>
      <c r="I1729" s="160">
        <v>-0.61461188291531899</v>
      </c>
      <c r="J1729" s="78">
        <v>12.144619036987592</v>
      </c>
      <c r="K1729" s="79">
        <v>0.78506492392807559</v>
      </c>
    </row>
    <row r="1730" spans="2:11" x14ac:dyDescent="0.35">
      <c r="B1730" s="149" t="s">
        <v>848</v>
      </c>
      <c r="C1730" s="6" t="s">
        <v>226</v>
      </c>
      <c r="D1730" s="6">
        <v>257.34250000000003</v>
      </c>
      <c r="E1730" s="6" t="s">
        <v>1074</v>
      </c>
      <c r="F1730" s="114">
        <v>64.988767045454551</v>
      </c>
      <c r="G1730" s="76" t="s">
        <v>40</v>
      </c>
      <c r="H1730" s="160">
        <v>1.0332329545454542</v>
      </c>
      <c r="I1730" s="160">
        <v>-0.55189948492582397</v>
      </c>
      <c r="J1730" s="78">
        <v>11.861631555290558</v>
      </c>
      <c r="K1730" s="79">
        <v>0.502077442231041</v>
      </c>
    </row>
    <row r="1731" spans="2:11" x14ac:dyDescent="0.35">
      <c r="B1731" s="149" t="s">
        <v>848</v>
      </c>
      <c r="C1731" s="6" t="s">
        <v>226</v>
      </c>
      <c r="D1731" s="6">
        <v>257.35250000000002</v>
      </c>
      <c r="E1731" s="6" t="s">
        <v>1074</v>
      </c>
      <c r="F1731" s="114">
        <v>64.991107954545456</v>
      </c>
      <c r="G1731" s="76" t="s">
        <v>40</v>
      </c>
      <c r="H1731" s="160">
        <v>1.03089204545455</v>
      </c>
      <c r="I1731" s="160">
        <v>-0.568715968210045</v>
      </c>
      <c r="J1731" s="78">
        <v>11.937458499870672</v>
      </c>
      <c r="K1731" s="79">
        <v>0.57790438681115575</v>
      </c>
    </row>
    <row r="1732" spans="2:11" x14ac:dyDescent="0.35">
      <c r="B1732" s="149" t="s">
        <v>848</v>
      </c>
      <c r="C1732" s="6" t="s">
        <v>226</v>
      </c>
      <c r="D1732" s="6">
        <v>257.36250000000001</v>
      </c>
      <c r="E1732" s="6" t="s">
        <v>1074</v>
      </c>
      <c r="F1732" s="114">
        <v>64.99344886363636</v>
      </c>
      <c r="G1732" s="76" t="s">
        <v>40</v>
      </c>
      <c r="H1732" s="160">
        <v>1.0285511363636459</v>
      </c>
      <c r="I1732" s="160">
        <v>-0.60977904897883295</v>
      </c>
      <c r="J1732" s="78">
        <v>12.122790429537361</v>
      </c>
      <c r="K1732" s="79">
        <v>0.76323631647784396</v>
      </c>
    </row>
    <row r="1733" spans="2:11" x14ac:dyDescent="0.35">
      <c r="B1733" s="149" t="s">
        <v>848</v>
      </c>
      <c r="C1733" s="6" t="s">
        <v>226</v>
      </c>
      <c r="D1733" s="6">
        <v>257.3725</v>
      </c>
      <c r="E1733" s="6" t="s">
        <v>1074</v>
      </c>
      <c r="F1733" s="114">
        <v>64.995789772727264</v>
      </c>
      <c r="G1733" s="76" t="s">
        <v>40</v>
      </c>
      <c r="H1733" s="160">
        <v>1.0262102272727418</v>
      </c>
      <c r="I1733" s="160">
        <v>-0.54576591466080304</v>
      </c>
      <c r="J1733" s="78">
        <v>11.833985124049718</v>
      </c>
      <c r="K1733" s="79">
        <v>0.47443101099020168</v>
      </c>
    </row>
    <row r="1734" spans="2:11" x14ac:dyDescent="0.35">
      <c r="B1734" s="149" t="s">
        <v>848</v>
      </c>
      <c r="C1734" s="6" t="s">
        <v>226</v>
      </c>
      <c r="D1734" s="6">
        <v>257.38249999999999</v>
      </c>
      <c r="E1734" s="6" t="s">
        <v>1074</v>
      </c>
      <c r="F1734" s="114">
        <v>64.998130681818168</v>
      </c>
      <c r="G1734" s="76" t="s">
        <v>40</v>
      </c>
      <c r="H1734" s="160">
        <v>1.0238693181818377</v>
      </c>
      <c r="I1734" s="160">
        <v>-0.56844862744296598</v>
      </c>
      <c r="J1734" s="78">
        <v>11.936252712160353</v>
      </c>
      <c r="K1734" s="79">
        <v>0.57669859910083687</v>
      </c>
    </row>
    <row r="1735" spans="2:11" x14ac:dyDescent="0.35">
      <c r="B1735" s="149" t="s">
        <v>848</v>
      </c>
      <c r="C1735" s="6" t="s">
        <v>226</v>
      </c>
      <c r="D1735" s="6">
        <v>257.39249999999998</v>
      </c>
      <c r="E1735" s="6" t="s">
        <v>1074</v>
      </c>
      <c r="F1735" s="114">
        <v>65.000471590909086</v>
      </c>
      <c r="G1735" s="76" t="s">
        <v>40</v>
      </c>
      <c r="H1735" s="160">
        <v>1.0215284090909194</v>
      </c>
      <c r="I1735" s="160">
        <v>-0.49189956815818497</v>
      </c>
      <c r="J1735" s="78">
        <v>11.591425624011947</v>
      </c>
      <c r="K1735" s="79">
        <v>0.23187151095243053</v>
      </c>
    </row>
    <row r="1736" spans="2:11" x14ac:dyDescent="0.35">
      <c r="B1736" s="149" t="s">
        <v>848</v>
      </c>
      <c r="C1736" s="6" t="s">
        <v>226</v>
      </c>
      <c r="D1736" s="6">
        <v>257.40250000000003</v>
      </c>
      <c r="E1736" s="6" t="s">
        <v>1074</v>
      </c>
      <c r="F1736" s="114">
        <v>65.002812500000005</v>
      </c>
      <c r="G1736" s="76" t="s">
        <v>40</v>
      </c>
      <c r="H1736" s="160">
        <v>1.019187500000001</v>
      </c>
      <c r="I1736" s="160">
        <v>-0.51589857522525095</v>
      </c>
      <c r="J1736" s="78">
        <v>11.699440225603837</v>
      </c>
      <c r="K1736" s="79">
        <v>0.33988611254432044</v>
      </c>
    </row>
    <row r="1737" spans="2:11" x14ac:dyDescent="0.35">
      <c r="B1737" s="149" t="s">
        <v>848</v>
      </c>
      <c r="C1737" s="6" t="s">
        <v>226</v>
      </c>
      <c r="D1737" s="6">
        <v>257.41250000000002</v>
      </c>
      <c r="E1737" s="6" t="s">
        <v>1074</v>
      </c>
      <c r="F1737" s="114">
        <v>65.005153409090909</v>
      </c>
      <c r="G1737" s="76" t="s">
        <v>40</v>
      </c>
      <c r="H1737" s="160">
        <v>1.0168465909090969</v>
      </c>
      <c r="I1737" s="160">
        <v>-0.55610834850026403</v>
      </c>
      <c r="J1737" s="78">
        <v>11.880605772578122</v>
      </c>
      <c r="K1737" s="79">
        <v>0.52105165951860499</v>
      </c>
    </row>
    <row r="1738" spans="2:11" x14ac:dyDescent="0.35">
      <c r="B1738" s="149" t="s">
        <v>848</v>
      </c>
      <c r="C1738" s="6" t="s">
        <v>226</v>
      </c>
      <c r="D1738" s="6">
        <v>257.42250000000001</v>
      </c>
      <c r="E1738" s="6" t="s">
        <v>1074</v>
      </c>
      <c r="F1738" s="114">
        <v>65.007494318181813</v>
      </c>
      <c r="G1738" s="76" t="s">
        <v>40</v>
      </c>
      <c r="H1738" s="160">
        <v>1.0145056818181928</v>
      </c>
      <c r="I1738" s="160">
        <v>-0.61545836942820298</v>
      </c>
      <c r="J1738" s="78">
        <v>12.148442742933071</v>
      </c>
      <c r="K1738" s="79">
        <v>0.78888862987355424</v>
      </c>
    </row>
    <row r="1739" spans="2:11" x14ac:dyDescent="0.35">
      <c r="B1739" s="149" t="s">
        <v>848</v>
      </c>
      <c r="C1739" s="6" t="s">
        <v>226</v>
      </c>
      <c r="D1739" s="6">
        <v>257.4325</v>
      </c>
      <c r="E1739" s="6" t="s">
        <v>1074</v>
      </c>
      <c r="F1739" s="114">
        <v>65.009835227272717</v>
      </c>
      <c r="G1739" s="76" t="s">
        <v>40</v>
      </c>
      <c r="H1739" s="160">
        <v>1.0121647727272887</v>
      </c>
      <c r="I1739" s="160">
        <v>-0.587973452949344</v>
      </c>
      <c r="J1739" s="78">
        <v>12.024343267244546</v>
      </c>
      <c r="K1739" s="79">
        <v>0.66478915418502993</v>
      </c>
    </row>
    <row r="1740" spans="2:11" x14ac:dyDescent="0.35">
      <c r="B1740" s="149" t="s">
        <v>848</v>
      </c>
      <c r="C1740" s="6" t="s">
        <v>226</v>
      </c>
      <c r="D1740" s="6">
        <v>257.4425</v>
      </c>
      <c r="E1740" s="6" t="s">
        <v>1074</v>
      </c>
      <c r="F1740" s="114">
        <v>65.012176136363635</v>
      </c>
      <c r="G1740" s="76" t="s">
        <v>40</v>
      </c>
      <c r="H1740" s="160">
        <v>1.0098238636363703</v>
      </c>
      <c r="I1740" s="160">
        <v>-0.723642590223041</v>
      </c>
      <c r="J1740" s="78">
        <v>12.637998839256966</v>
      </c>
      <c r="K1740" s="79">
        <v>1.2784447261974492</v>
      </c>
    </row>
    <row r="1741" spans="2:11" x14ac:dyDescent="0.35">
      <c r="B1741" s="149" t="s">
        <v>848</v>
      </c>
      <c r="C1741" s="6" t="s">
        <v>226</v>
      </c>
      <c r="D1741" s="6">
        <v>257.45249999999999</v>
      </c>
      <c r="E1741" s="6" t="s">
        <v>1074</v>
      </c>
      <c r="F1741" s="114">
        <v>65.014517045454539</v>
      </c>
      <c r="G1741" s="76" t="s">
        <v>40</v>
      </c>
      <c r="H1741" s="160">
        <v>1.0074829545454662</v>
      </c>
      <c r="I1741" s="160">
        <v>-0.884025464120344</v>
      </c>
      <c r="J1741" s="78">
        <v>13.366962421472067</v>
      </c>
      <c r="K1741" s="79">
        <v>2.0074083084125505</v>
      </c>
    </row>
    <row r="1742" spans="2:11" x14ac:dyDescent="0.35">
      <c r="B1742" s="149" t="s">
        <v>848</v>
      </c>
      <c r="C1742" s="6" t="s">
        <v>226</v>
      </c>
      <c r="D1742" s="6">
        <v>257.46249999999998</v>
      </c>
      <c r="E1742" s="6" t="s">
        <v>1074</v>
      </c>
      <c r="F1742" s="114">
        <v>65.016857954545443</v>
      </c>
      <c r="G1742" s="76" t="s">
        <v>40</v>
      </c>
      <c r="H1742" s="160">
        <v>1.0051420454545621</v>
      </c>
      <c r="I1742" s="160">
        <v>-0.779961909552076</v>
      </c>
      <c r="J1742" s="78">
        <v>12.893542099810475</v>
      </c>
      <c r="K1742" s="79">
        <v>1.533987986750958</v>
      </c>
    </row>
    <row r="1743" spans="2:11" x14ac:dyDescent="0.35">
      <c r="B1743" s="149" t="s">
        <v>848</v>
      </c>
      <c r="C1743" s="6" t="s">
        <v>226</v>
      </c>
      <c r="D1743" s="6">
        <v>257.47250000000003</v>
      </c>
      <c r="E1743" s="6" t="s">
        <v>1074</v>
      </c>
      <c r="F1743" s="114">
        <v>65.019198863636362</v>
      </c>
      <c r="G1743" s="76" t="s">
        <v>40</v>
      </c>
      <c r="H1743" s="160">
        <v>1.0028011363636438</v>
      </c>
      <c r="I1743" s="160">
        <v>-0.91608261465989904</v>
      </c>
      <c r="J1743" s="78">
        <v>13.513127097004428</v>
      </c>
      <c r="K1743" s="79">
        <v>2.1535729839449118</v>
      </c>
    </row>
    <row r="1744" spans="2:11" x14ac:dyDescent="0.35">
      <c r="B1744" s="149" t="s">
        <v>848</v>
      </c>
      <c r="C1744" s="6" t="s">
        <v>226</v>
      </c>
      <c r="D1744" s="6">
        <v>257.48250000000002</v>
      </c>
      <c r="E1744" s="6" t="s">
        <v>1074</v>
      </c>
      <c r="F1744" s="114">
        <v>65.021539772727266</v>
      </c>
      <c r="G1744" s="76" t="s">
        <v>40</v>
      </c>
      <c r="H1744" s="160">
        <v>1.0004602272727396</v>
      </c>
      <c r="I1744" s="160">
        <v>-0.92426532856946497</v>
      </c>
      <c r="J1744" s="78">
        <v>13.550460852267179</v>
      </c>
      <c r="K1744" s="79">
        <v>2.1909067392076622</v>
      </c>
    </row>
    <row r="1745" spans="2:11" x14ac:dyDescent="0.35">
      <c r="B1745" s="149" t="s">
        <v>848</v>
      </c>
      <c r="C1745" s="6" t="s">
        <v>226</v>
      </c>
      <c r="D1745" s="6">
        <v>257.49250000000001</v>
      </c>
      <c r="E1745" s="6" t="s">
        <v>1074</v>
      </c>
      <c r="F1745" s="114">
        <v>65.02388068181817</v>
      </c>
      <c r="G1745" s="76" t="s">
        <v>40</v>
      </c>
      <c r="H1745" s="160">
        <v>0.99811931818183552</v>
      </c>
      <c r="I1745" s="160">
        <v>-0.89332877289736401</v>
      </c>
      <c r="J1745" s="78">
        <v>13.409365049326539</v>
      </c>
      <c r="K1745" s="79">
        <v>2.049810936267022</v>
      </c>
    </row>
    <row r="1746" spans="2:11" x14ac:dyDescent="0.35">
      <c r="B1746" s="149" t="s">
        <v>848</v>
      </c>
      <c r="C1746" s="6" t="s">
        <v>226</v>
      </c>
      <c r="D1746" s="6">
        <v>257.5025</v>
      </c>
      <c r="E1746" s="6" t="s">
        <v>1074</v>
      </c>
      <c r="F1746" s="114">
        <v>65.026221590909088</v>
      </c>
      <c r="G1746" s="76" t="s">
        <v>40</v>
      </c>
      <c r="H1746" s="160">
        <v>0.99577840909091719</v>
      </c>
      <c r="I1746" s="160">
        <v>-1.0955205997297071</v>
      </c>
      <c r="J1746" s="78">
        <v>14.33412376058169</v>
      </c>
      <c r="K1746" s="79">
        <v>2.9745696475221735</v>
      </c>
    </row>
    <row r="1747" spans="2:11" x14ac:dyDescent="0.35">
      <c r="B1747" s="149" t="s">
        <v>848</v>
      </c>
      <c r="C1747" s="6" t="s">
        <v>226</v>
      </c>
      <c r="D1747" s="6">
        <v>257.51249999999999</v>
      </c>
      <c r="E1747" s="6" t="s">
        <v>1074</v>
      </c>
      <c r="F1747" s="114">
        <v>65.028562499999992</v>
      </c>
      <c r="G1747" s="76" t="s">
        <v>40</v>
      </c>
      <c r="H1747" s="160">
        <v>0.99343750000001307</v>
      </c>
      <c r="I1747" s="160">
        <v>-0.96740872228882302</v>
      </c>
      <c r="J1747" s="78">
        <v>13.747469210642009</v>
      </c>
      <c r="K1747" s="79">
        <v>2.3879150975824928</v>
      </c>
    </row>
    <row r="1748" spans="2:11" x14ac:dyDescent="0.35">
      <c r="B1748" s="149" t="s">
        <v>848</v>
      </c>
      <c r="C1748" s="6" t="s">
        <v>226</v>
      </c>
      <c r="D1748" s="6">
        <v>257.52249999999998</v>
      </c>
      <c r="E1748" s="6" t="s">
        <v>1074</v>
      </c>
      <c r="F1748" s="114">
        <v>65.030903409090897</v>
      </c>
      <c r="G1748" s="76" t="s">
        <v>40</v>
      </c>
      <c r="H1748" s="160">
        <v>0.99109659090910895</v>
      </c>
      <c r="I1748" s="160">
        <v>-1.0526693941231648</v>
      </c>
      <c r="J1748" s="78">
        <v>14.137622733711055</v>
      </c>
      <c r="K1748" s="79">
        <v>2.7780686206515384</v>
      </c>
    </row>
    <row r="1749" spans="2:11" x14ac:dyDescent="0.35">
      <c r="B1749" s="149" t="s">
        <v>848</v>
      </c>
      <c r="C1749" s="6" t="s">
        <v>226</v>
      </c>
      <c r="D1749" s="6">
        <v>257.53250000000003</v>
      </c>
      <c r="E1749" s="6" t="s">
        <v>1074</v>
      </c>
      <c r="F1749" s="114">
        <v>65.033244318181815</v>
      </c>
      <c r="G1749" s="76" t="s">
        <v>40</v>
      </c>
      <c r="H1749" s="160">
        <v>0.98875568181819062</v>
      </c>
      <c r="I1749" s="160">
        <v>-0.954021539305552</v>
      </c>
      <c r="J1749" s="78">
        <v>13.686308609028174</v>
      </c>
      <c r="K1749" s="79">
        <v>2.3267544959686575</v>
      </c>
    </row>
    <row r="1750" spans="2:11" x14ac:dyDescent="0.35">
      <c r="B1750" s="149" t="s">
        <v>848</v>
      </c>
      <c r="C1750" s="6" t="s">
        <v>226</v>
      </c>
      <c r="D1750" s="6">
        <v>257.54250000000002</v>
      </c>
      <c r="E1750" s="6" t="s">
        <v>1074</v>
      </c>
      <c r="F1750" s="114">
        <v>65.035378906250003</v>
      </c>
      <c r="G1750" s="76" t="s">
        <v>40</v>
      </c>
      <c r="H1750" s="160">
        <v>0.98662109375000284</v>
      </c>
      <c r="I1750" s="160">
        <v>-0.930915647048705</v>
      </c>
      <c r="J1750" s="78">
        <v>13.580810419648344</v>
      </c>
      <c r="K1750" s="79">
        <v>2.2212563065888276</v>
      </c>
    </row>
    <row r="1751" spans="2:11" x14ac:dyDescent="0.35">
      <c r="B1751" s="149" t="s">
        <v>848</v>
      </c>
      <c r="C1751" s="6" t="s">
        <v>226</v>
      </c>
      <c r="D1751" s="6">
        <v>257.55250000000001</v>
      </c>
      <c r="E1751" s="6" t="s">
        <v>1074</v>
      </c>
      <c r="F1751" s="114">
        <v>65.036894531249999</v>
      </c>
      <c r="G1751" s="76" t="s">
        <v>40</v>
      </c>
      <c r="H1751" s="160">
        <v>0.98510546875000671</v>
      </c>
      <c r="I1751" s="160">
        <v>-0.83631432031203901</v>
      </c>
      <c r="J1751" s="78">
        <v>13.149707775577269</v>
      </c>
      <c r="K1751" s="79">
        <v>1.7901536625177528</v>
      </c>
    </row>
    <row r="1752" spans="2:11" x14ac:dyDescent="0.35">
      <c r="B1752" s="149" t="s">
        <v>848</v>
      </c>
      <c r="C1752" s="6" t="s">
        <v>226</v>
      </c>
      <c r="D1752" s="6">
        <v>257.5625</v>
      </c>
      <c r="E1752" s="6" t="s">
        <v>1074</v>
      </c>
      <c r="F1752" s="114">
        <v>65.038410156249995</v>
      </c>
      <c r="G1752" s="76" t="s">
        <v>40</v>
      </c>
      <c r="H1752" s="160">
        <v>0.98358984375001057</v>
      </c>
      <c r="I1752" s="160">
        <v>-0.91959231107394901</v>
      </c>
      <c r="J1752" s="78">
        <v>13.52913891133386</v>
      </c>
      <c r="K1752" s="79">
        <v>2.169584798274343</v>
      </c>
    </row>
    <row r="1753" spans="2:11" x14ac:dyDescent="0.35">
      <c r="B1753" s="149" t="s">
        <v>848</v>
      </c>
      <c r="C1753" s="6" t="s">
        <v>226</v>
      </c>
      <c r="D1753" s="6">
        <v>257.57249999999999</v>
      </c>
      <c r="E1753" s="6" t="s">
        <v>1074</v>
      </c>
      <c r="F1753" s="114">
        <v>65.039925781249991</v>
      </c>
      <c r="G1753" s="76" t="s">
        <v>40</v>
      </c>
      <c r="H1753" s="160">
        <v>0.98207421875001444</v>
      </c>
      <c r="I1753" s="160">
        <v>-0.93745836534085103</v>
      </c>
      <c r="J1753" s="78">
        <v>13.610675408254849</v>
      </c>
      <c r="K1753" s="79">
        <v>2.2511212951953326</v>
      </c>
    </row>
    <row r="1754" spans="2:11" x14ac:dyDescent="0.35">
      <c r="B1754" s="149" t="s">
        <v>848</v>
      </c>
      <c r="C1754" s="6" t="s">
        <v>226</v>
      </c>
      <c r="D1754" s="6">
        <v>257.58249999999998</v>
      </c>
      <c r="E1754" s="6" t="s">
        <v>1074</v>
      </c>
      <c r="F1754" s="114">
        <v>65.041441406249987</v>
      </c>
      <c r="G1754" s="76" t="s">
        <v>40</v>
      </c>
      <c r="H1754" s="160">
        <v>0.9805585937500183</v>
      </c>
      <c r="I1754" s="160">
        <v>-0.955278743780965</v>
      </c>
      <c r="J1754" s="78">
        <v>13.692051121316183</v>
      </c>
      <c r="K1754" s="79">
        <v>2.3324970082566665</v>
      </c>
    </row>
    <row r="1755" spans="2:11" x14ac:dyDescent="0.35">
      <c r="B1755" s="149" t="s">
        <v>848</v>
      </c>
      <c r="C1755" s="6" t="s">
        <v>226</v>
      </c>
      <c r="D1755" s="6">
        <v>257.59250000000003</v>
      </c>
      <c r="E1755" s="6" t="s">
        <v>1074</v>
      </c>
      <c r="F1755" s="114">
        <v>65.042957031249998</v>
      </c>
      <c r="G1755" s="76" t="s">
        <v>40</v>
      </c>
      <c r="H1755" s="160">
        <v>0.97904296875000796</v>
      </c>
      <c r="I1755" s="160">
        <v>-0.894310396960731</v>
      </c>
      <c r="J1755" s="78">
        <v>13.413839851269927</v>
      </c>
      <c r="K1755" s="79">
        <v>2.0542857382104103</v>
      </c>
    </row>
    <row r="1756" spans="2:11" x14ac:dyDescent="0.35">
      <c r="B1756" s="149" t="s">
        <v>848</v>
      </c>
      <c r="C1756" s="6" t="s">
        <v>226</v>
      </c>
      <c r="D1756" s="6">
        <v>257.60250000000002</v>
      </c>
      <c r="E1756" s="6" t="s">
        <v>1074</v>
      </c>
      <c r="F1756" s="114">
        <v>65.044472656249994</v>
      </c>
      <c r="G1756" s="76" t="s">
        <v>40</v>
      </c>
      <c r="H1756" s="160">
        <v>0.97752734375001182</v>
      </c>
      <c r="I1756" s="160">
        <v>-0.96177728500000104</v>
      </c>
      <c r="J1756" s="78">
        <v>13.721738183246941</v>
      </c>
      <c r="K1756" s="79">
        <v>2.3621840701874248</v>
      </c>
    </row>
    <row r="1757" spans="2:11" x14ac:dyDescent="0.35">
      <c r="B1757" s="149" t="s">
        <v>848</v>
      </c>
      <c r="C1757" s="6" t="s">
        <v>226</v>
      </c>
      <c r="D1757" s="6">
        <v>257.61250000000001</v>
      </c>
      <c r="E1757" s="6" t="s">
        <v>1074</v>
      </c>
      <c r="F1757" s="114">
        <v>65.04598828124999</v>
      </c>
      <c r="G1757" s="76" t="s">
        <v>40</v>
      </c>
      <c r="H1757" s="160">
        <v>0.97601171875001569</v>
      </c>
      <c r="I1757" s="160">
        <v>-1.0111077554919379</v>
      </c>
      <c r="J1757" s="78">
        <v>13.947299707935258</v>
      </c>
      <c r="K1757" s="79">
        <v>2.5877455948757415</v>
      </c>
    </row>
    <row r="1758" spans="2:11" x14ac:dyDescent="0.35">
      <c r="B1758" s="149" t="s">
        <v>848</v>
      </c>
      <c r="C1758" s="6" t="s">
        <v>226</v>
      </c>
      <c r="D1758" s="6">
        <v>257.6225</v>
      </c>
      <c r="E1758" s="6" t="s">
        <v>1074</v>
      </c>
      <c r="F1758" s="114">
        <v>65.04750390625</v>
      </c>
      <c r="G1758" s="76" t="s">
        <v>40</v>
      </c>
      <c r="H1758" s="160">
        <v>0.97449609375000534</v>
      </c>
      <c r="I1758" s="160">
        <v>-0.91810819695823598</v>
      </c>
      <c r="J1758" s="78">
        <v>13.522367912654261</v>
      </c>
      <c r="K1758" s="79">
        <v>2.1628137995947441</v>
      </c>
    </row>
    <row r="1759" spans="2:11" x14ac:dyDescent="0.35">
      <c r="B1759" s="149" t="s">
        <v>848</v>
      </c>
      <c r="C1759" s="6" t="s">
        <v>226</v>
      </c>
      <c r="D1759" s="6">
        <v>257.63249999999999</v>
      </c>
      <c r="E1759" s="6" t="s">
        <v>1074</v>
      </c>
      <c r="F1759" s="114">
        <v>65.049019531249996</v>
      </c>
      <c r="G1759" s="76" t="s">
        <v>40</v>
      </c>
      <c r="H1759" s="160">
        <v>0.97298046875000921</v>
      </c>
      <c r="I1759" s="160">
        <v>-0.97795552659805296</v>
      </c>
      <c r="J1759" s="78">
        <v>13.795672224559098</v>
      </c>
      <c r="K1759" s="79">
        <v>2.4361181114995816</v>
      </c>
    </row>
    <row r="1760" spans="2:11" x14ac:dyDescent="0.35">
      <c r="B1760" s="149" t="s">
        <v>848</v>
      </c>
      <c r="C1760" s="6" t="s">
        <v>226</v>
      </c>
      <c r="D1760" s="6">
        <v>257.64249999999998</v>
      </c>
      <c r="E1760" s="6" t="s">
        <v>1074</v>
      </c>
      <c r="F1760" s="114">
        <v>65.050535156249992</v>
      </c>
      <c r="G1760" s="76" t="s">
        <v>40</v>
      </c>
      <c r="H1760" s="160">
        <v>0.97146484375001307</v>
      </c>
      <c r="I1760" s="160">
        <v>-1.0120531088125633</v>
      </c>
      <c r="J1760" s="78">
        <v>13.951625869485952</v>
      </c>
      <c r="K1760" s="79">
        <v>2.5920717564264351</v>
      </c>
    </row>
    <row r="1761" spans="2:11" x14ac:dyDescent="0.35">
      <c r="B1761" s="149" t="s">
        <v>848</v>
      </c>
      <c r="C1761" s="6" t="s">
        <v>226</v>
      </c>
      <c r="D1761" s="6">
        <v>257.65250000000003</v>
      </c>
      <c r="E1761" s="6" t="s">
        <v>1074</v>
      </c>
      <c r="F1761" s="114">
        <v>65.052050781250003</v>
      </c>
      <c r="G1761" s="76" t="s">
        <v>40</v>
      </c>
      <c r="H1761" s="160">
        <v>0.96994921875000273</v>
      </c>
      <c r="I1761" s="160">
        <v>-0.93543767701196501</v>
      </c>
      <c r="J1761" s="78">
        <v>13.601451059595149</v>
      </c>
      <c r="K1761" s="79">
        <v>2.2418969465356327</v>
      </c>
    </row>
    <row r="1762" spans="2:11" x14ac:dyDescent="0.35">
      <c r="B1762" s="149" t="s">
        <v>848</v>
      </c>
      <c r="C1762" s="6" t="s">
        <v>226</v>
      </c>
      <c r="D1762" s="6">
        <v>257.66250000000002</v>
      </c>
      <c r="E1762" s="6" t="s">
        <v>1074</v>
      </c>
      <c r="F1762" s="114">
        <v>65.053566406249999</v>
      </c>
      <c r="G1762" s="76" t="s">
        <v>40</v>
      </c>
      <c r="H1762" s="160">
        <v>0.96843359375000659</v>
      </c>
      <c r="I1762" s="160">
        <v>-0.82903330136483599</v>
      </c>
      <c r="J1762" s="78">
        <v>13.116583242133004</v>
      </c>
      <c r="K1762" s="79">
        <v>1.7570291290734872</v>
      </c>
    </row>
    <row r="1763" spans="2:11" x14ac:dyDescent="0.35">
      <c r="B1763" s="149" t="s">
        <v>848</v>
      </c>
      <c r="C1763" s="6" t="s">
        <v>226</v>
      </c>
      <c r="D1763" s="6">
        <v>257.67250000000001</v>
      </c>
      <c r="E1763" s="6" t="s">
        <v>1074</v>
      </c>
      <c r="F1763" s="114">
        <v>65.055082031249995</v>
      </c>
      <c r="G1763" s="76" t="s">
        <v>40</v>
      </c>
      <c r="H1763" s="160">
        <v>0.96691796875001046</v>
      </c>
      <c r="I1763" s="160">
        <v>-0.877288313750204</v>
      </c>
      <c r="J1763" s="78">
        <v>13.336263912029438</v>
      </c>
      <c r="K1763" s="79">
        <v>1.9767097989699209</v>
      </c>
    </row>
    <row r="1764" spans="2:11" x14ac:dyDescent="0.35">
      <c r="B1764" s="149" t="s">
        <v>848</v>
      </c>
      <c r="C1764" s="6" t="s">
        <v>226</v>
      </c>
      <c r="D1764" s="6">
        <v>257.6825</v>
      </c>
      <c r="E1764" s="6" t="s">
        <v>1074</v>
      </c>
      <c r="F1764" s="114">
        <v>65.056597656249991</v>
      </c>
      <c r="G1764" s="76" t="s">
        <v>40</v>
      </c>
      <c r="H1764" s="160">
        <v>0.96540234375001432</v>
      </c>
      <c r="I1764" s="160">
        <v>-0.90246561458482599</v>
      </c>
      <c r="J1764" s="78">
        <v>13.451021555372563</v>
      </c>
      <c r="K1764" s="79">
        <v>2.0914674423130464</v>
      </c>
    </row>
    <row r="1765" spans="2:11" x14ac:dyDescent="0.35">
      <c r="B1765" s="149" t="s">
        <v>848</v>
      </c>
      <c r="C1765" s="6" t="s">
        <v>226</v>
      </c>
      <c r="D1765" s="6">
        <v>257.6925</v>
      </c>
      <c r="E1765" s="6" t="s">
        <v>1074</v>
      </c>
      <c r="F1765" s="114">
        <v>65.058113281250002</v>
      </c>
      <c r="G1765" s="76" t="s">
        <v>40</v>
      </c>
      <c r="H1765" s="160">
        <v>0.96388671875000398</v>
      </c>
      <c r="I1765" s="160">
        <v>-0.88056059740269299</v>
      </c>
      <c r="J1765" s="78">
        <v>13.351173557096786</v>
      </c>
      <c r="K1765" s="79">
        <v>1.9916194440372692</v>
      </c>
    </row>
    <row r="1766" spans="2:11" x14ac:dyDescent="0.35">
      <c r="B1766" s="149" t="s">
        <v>848</v>
      </c>
      <c r="C1766" s="6" t="s">
        <v>226</v>
      </c>
      <c r="D1766" s="6">
        <v>257.70249999999999</v>
      </c>
      <c r="E1766" s="6" t="s">
        <v>1074</v>
      </c>
      <c r="F1766" s="114">
        <v>65.059628906249998</v>
      </c>
      <c r="G1766" s="76" t="s">
        <v>40</v>
      </c>
      <c r="H1766" s="160">
        <v>0.96237109375000784</v>
      </c>
      <c r="I1766" s="160">
        <v>-1.0051056596984489</v>
      </c>
      <c r="J1766" s="78">
        <v>13.919835827451209</v>
      </c>
      <c r="K1766" s="79">
        <v>2.5602817143916923</v>
      </c>
    </row>
    <row r="1767" spans="2:11" x14ac:dyDescent="0.35">
      <c r="B1767" s="149" t="s">
        <v>848</v>
      </c>
      <c r="C1767" s="6" t="s">
        <v>226</v>
      </c>
      <c r="D1767" s="6">
        <v>257.71249999999998</v>
      </c>
      <c r="E1767" s="6" t="s">
        <v>1074</v>
      </c>
      <c r="F1767" s="114">
        <v>65.061144531249994</v>
      </c>
      <c r="G1767" s="76" t="s">
        <v>40</v>
      </c>
      <c r="H1767" s="160">
        <v>0.96085546875001171</v>
      </c>
      <c r="I1767" s="160">
        <v>-0.95030666377302797</v>
      </c>
      <c r="J1767" s="78">
        <v>13.66934161853618</v>
      </c>
      <c r="K1767" s="79">
        <v>2.3097875054766632</v>
      </c>
    </row>
    <row r="1768" spans="2:11" x14ac:dyDescent="0.35">
      <c r="B1768" s="149" t="s">
        <v>848</v>
      </c>
      <c r="C1768" s="6" t="s">
        <v>226</v>
      </c>
      <c r="D1768" s="6">
        <v>257.72250000000003</v>
      </c>
      <c r="E1768" s="6" t="s">
        <v>1074</v>
      </c>
      <c r="F1768" s="114">
        <v>65.062660156250004</v>
      </c>
      <c r="G1768" s="76" t="s">
        <v>40</v>
      </c>
      <c r="H1768" s="160">
        <v>0.95933984375000136</v>
      </c>
      <c r="I1768" s="160">
        <v>-0.90850659295403002</v>
      </c>
      <c r="J1768" s="78">
        <v>13.478570323979284</v>
      </c>
      <c r="K1768" s="79">
        <v>2.1190162109197672</v>
      </c>
    </row>
    <row r="1769" spans="2:11" x14ac:dyDescent="0.35">
      <c r="B1769" s="149" t="s">
        <v>848</v>
      </c>
      <c r="C1769" s="6" t="s">
        <v>226</v>
      </c>
      <c r="D1769" s="6">
        <v>257.73250000000002</v>
      </c>
      <c r="E1769" s="6" t="s">
        <v>1074</v>
      </c>
      <c r="F1769" s="114">
        <v>65.06417578125</v>
      </c>
      <c r="G1769" s="76" t="s">
        <v>40</v>
      </c>
      <c r="H1769" s="160">
        <v>0.95782421875000523</v>
      </c>
      <c r="I1769" s="160">
        <v>-1.0583041590137372</v>
      </c>
      <c r="J1769" s="78">
        <v>14.16344602380434</v>
      </c>
      <c r="K1769" s="79">
        <v>2.8038919107448237</v>
      </c>
    </row>
    <row r="1770" spans="2:11" x14ac:dyDescent="0.35">
      <c r="B1770" s="149" t="s">
        <v>848</v>
      </c>
      <c r="C1770" s="6" t="s">
        <v>226</v>
      </c>
      <c r="D1770" s="6">
        <v>257.74250000000001</v>
      </c>
      <c r="E1770" s="6" t="s">
        <v>1074</v>
      </c>
      <c r="F1770" s="114">
        <v>65.065691406249996</v>
      </c>
      <c r="G1770" s="76" t="s">
        <v>40</v>
      </c>
      <c r="H1770" s="160">
        <v>0.95630859375000909</v>
      </c>
      <c r="I1770" s="160">
        <v>-1.0596926587198368</v>
      </c>
      <c r="J1770" s="78">
        <v>14.169810046913824</v>
      </c>
      <c r="K1770" s="79">
        <v>2.8102559338543074</v>
      </c>
    </row>
    <row r="1771" spans="2:11" x14ac:dyDescent="0.35">
      <c r="B1771" s="149" t="s">
        <v>848</v>
      </c>
      <c r="C1771" s="6" t="s">
        <v>226</v>
      </c>
      <c r="D1771" s="6">
        <v>257.7525</v>
      </c>
      <c r="E1771" s="6" t="s">
        <v>1074</v>
      </c>
      <c r="F1771" s="114">
        <v>65.067207031249993</v>
      </c>
      <c r="G1771" s="76" t="s">
        <v>40</v>
      </c>
      <c r="H1771" s="160">
        <v>0.95479296875001296</v>
      </c>
      <c r="I1771" s="160">
        <v>-1.07122119200185</v>
      </c>
      <c r="J1771" s="78">
        <v>14.222660938685806</v>
      </c>
      <c r="K1771" s="79">
        <v>2.8631068256262893</v>
      </c>
    </row>
    <row r="1772" spans="2:11" x14ac:dyDescent="0.35">
      <c r="B1772" s="149" t="s">
        <v>848</v>
      </c>
      <c r="C1772" s="6" t="s">
        <v>226</v>
      </c>
      <c r="D1772" s="6">
        <v>257.76249999999999</v>
      </c>
      <c r="E1772" s="6" t="s">
        <v>1074</v>
      </c>
      <c r="F1772" s="114">
        <v>65.068722656249989</v>
      </c>
      <c r="G1772" s="76" t="s">
        <v>40</v>
      </c>
      <c r="H1772" s="160">
        <v>0.95327734375001683</v>
      </c>
      <c r="I1772" s="160">
        <v>-0.90502196848361205</v>
      </c>
      <c r="J1772" s="78">
        <v>13.462678669561967</v>
      </c>
      <c r="K1772" s="79">
        <v>2.1031245565024506</v>
      </c>
    </row>
    <row r="1773" spans="2:11" x14ac:dyDescent="0.35">
      <c r="B1773" s="149" t="s">
        <v>848</v>
      </c>
      <c r="C1773" s="6" t="s">
        <v>226</v>
      </c>
      <c r="D1773" s="6">
        <v>257.77249999999998</v>
      </c>
      <c r="E1773" s="6" t="s">
        <v>1074</v>
      </c>
      <c r="F1773" s="114">
        <v>65.070238281249999</v>
      </c>
      <c r="G1773" s="76" t="s">
        <v>40</v>
      </c>
      <c r="H1773" s="160">
        <v>0.95176171875000648</v>
      </c>
      <c r="I1773" s="160">
        <v>-0.99739048688927401</v>
      </c>
      <c r="J1773" s="78">
        <v>13.884541353854104</v>
      </c>
      <c r="K1773" s="79">
        <v>2.5249872407945873</v>
      </c>
    </row>
    <row r="1774" spans="2:11" x14ac:dyDescent="0.35">
      <c r="B1774" s="149" t="s">
        <v>848</v>
      </c>
      <c r="C1774" s="6" t="s">
        <v>226</v>
      </c>
      <c r="D1774" s="6">
        <v>257.78250000000003</v>
      </c>
      <c r="E1774" s="6" t="s">
        <v>1074</v>
      </c>
      <c r="F1774" s="114">
        <v>65.071753906249995</v>
      </c>
      <c r="G1774" s="76" t="s">
        <v>40</v>
      </c>
      <c r="H1774" s="160">
        <v>0.95024609375001035</v>
      </c>
      <c r="I1774" s="160">
        <v>-0.97912696206390504</v>
      </c>
      <c r="J1774" s="78">
        <v>13.801027172924989</v>
      </c>
      <c r="K1774" s="79">
        <v>2.4414730598654728</v>
      </c>
    </row>
    <row r="1775" spans="2:11" x14ac:dyDescent="0.35">
      <c r="B1775" s="149" t="s">
        <v>848</v>
      </c>
      <c r="C1775" s="6" t="s">
        <v>226</v>
      </c>
      <c r="D1775" s="6">
        <v>257.79250000000002</v>
      </c>
      <c r="E1775" s="6" t="s">
        <v>1074</v>
      </c>
      <c r="F1775" s="114">
        <v>65.073269531250006</v>
      </c>
      <c r="G1775" s="76" t="s">
        <v>40</v>
      </c>
      <c r="H1775" s="160">
        <v>0.94873046875</v>
      </c>
      <c r="I1775" s="160">
        <v>-0.96621581368359299</v>
      </c>
      <c r="J1775" s="78">
        <v>13.742018203991108</v>
      </c>
      <c r="K1775" s="79">
        <v>2.3824640909315917</v>
      </c>
    </row>
    <row r="1776" spans="2:11" x14ac:dyDescent="0.35">
      <c r="B1776" s="149" t="s">
        <v>848</v>
      </c>
      <c r="C1776" s="6" t="s">
        <v>226</v>
      </c>
      <c r="D1776" s="6">
        <v>257.80250000000001</v>
      </c>
      <c r="E1776" s="6" t="s">
        <v>1074</v>
      </c>
      <c r="F1776" s="114">
        <v>65.074785156250002</v>
      </c>
      <c r="G1776" s="76" t="s">
        <v>40</v>
      </c>
      <c r="H1776" s="160">
        <v>0.94721484375000387</v>
      </c>
      <c r="I1776" s="160">
        <v>-0.96706347007556004</v>
      </c>
      <c r="J1776" s="78">
        <v>13.745891555564299</v>
      </c>
      <c r="K1776" s="79">
        <v>2.3863374425047823</v>
      </c>
    </row>
    <row r="1777" spans="2:11" x14ac:dyDescent="0.35">
      <c r="B1777" s="149" t="s">
        <v>848</v>
      </c>
      <c r="C1777" s="6" t="s">
        <v>226</v>
      </c>
      <c r="D1777" s="6">
        <v>257.8125</v>
      </c>
      <c r="E1777" s="6" t="s">
        <v>1074</v>
      </c>
      <c r="F1777" s="114">
        <v>65.076300781249998</v>
      </c>
      <c r="G1777" s="76" t="s">
        <v>40</v>
      </c>
      <c r="H1777" s="160">
        <v>0.94569921875000773</v>
      </c>
      <c r="I1777" s="160">
        <v>-1.0574149854879278</v>
      </c>
      <c r="J1777" s="78">
        <v>14.159370755519205</v>
      </c>
      <c r="K1777" s="79">
        <v>2.7998166424596889</v>
      </c>
    </row>
    <row r="1778" spans="2:11" x14ac:dyDescent="0.35">
      <c r="B1778" s="149" t="s">
        <v>848</v>
      </c>
      <c r="C1778" s="6" t="s">
        <v>226</v>
      </c>
      <c r="D1778" s="6">
        <v>257.82249999999999</v>
      </c>
      <c r="E1778" s="6" t="s">
        <v>1074</v>
      </c>
      <c r="F1778" s="114">
        <v>65.077816406249994</v>
      </c>
      <c r="G1778" s="76" t="s">
        <v>40</v>
      </c>
      <c r="H1778" s="160">
        <v>0.9441835937500116</v>
      </c>
      <c r="I1778" s="160">
        <v>-1.1379181697646981</v>
      </c>
      <c r="J1778" s="78">
        <v>14.528817616584718</v>
      </c>
      <c r="K1778" s="79">
        <v>3.169263503525201</v>
      </c>
    </row>
    <row r="1779" spans="2:11" x14ac:dyDescent="0.35">
      <c r="B1779" s="149" t="s">
        <v>848</v>
      </c>
      <c r="C1779" s="6" t="s">
        <v>226</v>
      </c>
      <c r="D1779" s="6">
        <v>257.83249999999998</v>
      </c>
      <c r="E1779" s="6" t="s">
        <v>1074</v>
      </c>
      <c r="F1779" s="114">
        <v>65.07933203124999</v>
      </c>
      <c r="G1779" s="76" t="s">
        <v>40</v>
      </c>
      <c r="H1779" s="160">
        <v>0.94266796875001546</v>
      </c>
      <c r="I1779" s="160">
        <v>-1.1843731393344852</v>
      </c>
      <c r="J1779" s="78">
        <v>14.742455956747904</v>
      </c>
      <c r="K1779" s="79">
        <v>3.3829018436883871</v>
      </c>
    </row>
    <row r="1780" spans="2:11" x14ac:dyDescent="0.35">
      <c r="B1780" s="149" t="s">
        <v>848</v>
      </c>
      <c r="C1780" s="6" t="s">
        <v>226</v>
      </c>
      <c r="D1780" s="6">
        <v>257.84250000000003</v>
      </c>
      <c r="E1780" s="6" t="s">
        <v>1074</v>
      </c>
      <c r="F1780" s="114">
        <v>65.08084765625</v>
      </c>
      <c r="G1780" s="76" t="s">
        <v>40</v>
      </c>
      <c r="H1780" s="160">
        <v>0.94115234375000512</v>
      </c>
      <c r="I1780" s="160">
        <v>-1.1422924508124399</v>
      </c>
      <c r="J1780" s="78">
        <v>14.548920228899135</v>
      </c>
      <c r="K1780" s="79">
        <v>3.1893661158396185</v>
      </c>
    </row>
    <row r="1781" spans="2:11" x14ac:dyDescent="0.35">
      <c r="B1781" s="149" t="s">
        <v>848</v>
      </c>
      <c r="C1781" s="6" t="s">
        <v>226</v>
      </c>
      <c r="D1781" s="6">
        <v>257.85250000000002</v>
      </c>
      <c r="E1781" s="6" t="s">
        <v>1074</v>
      </c>
      <c r="F1781" s="114">
        <v>65.082363281249997</v>
      </c>
      <c r="G1781" s="76" t="s">
        <v>40</v>
      </c>
      <c r="H1781" s="160">
        <v>0.93963671875000898</v>
      </c>
      <c r="I1781" s="160">
        <v>-1.0263207958261968</v>
      </c>
      <c r="J1781" s="78">
        <v>14.01693453115837</v>
      </c>
      <c r="K1781" s="79">
        <v>2.6573804180988532</v>
      </c>
    </row>
    <row r="1782" spans="2:11" x14ac:dyDescent="0.35">
      <c r="B1782" s="149" t="s">
        <v>848</v>
      </c>
      <c r="C1782" s="6" t="s">
        <v>226</v>
      </c>
      <c r="D1782" s="6">
        <v>257.86250000000001</v>
      </c>
      <c r="E1782" s="6" t="s">
        <v>1074</v>
      </c>
      <c r="F1782" s="114">
        <v>65.083878906250007</v>
      </c>
      <c r="G1782" s="76" t="s">
        <v>40</v>
      </c>
      <c r="H1782" s="160">
        <v>0.93812109374999864</v>
      </c>
      <c r="I1782" s="160">
        <v>-0.97987914083995364</v>
      </c>
      <c r="J1782" s="78">
        <v>13.804465694240719</v>
      </c>
      <c r="K1782" s="79">
        <v>2.4449115811812021</v>
      </c>
    </row>
    <row r="1783" spans="2:11" x14ac:dyDescent="0.35">
      <c r="B1783" s="149" t="s">
        <v>848</v>
      </c>
      <c r="C1783" s="6" t="s">
        <v>226</v>
      </c>
      <c r="D1783" s="6">
        <v>257.8725</v>
      </c>
      <c r="E1783" s="6" t="s">
        <v>1074</v>
      </c>
      <c r="F1783" s="114">
        <v>65.085394531250003</v>
      </c>
      <c r="G1783" s="76" t="s">
        <v>40</v>
      </c>
      <c r="H1783" s="160">
        <v>0.9366054687500025</v>
      </c>
      <c r="I1783" s="160">
        <v>-0.84692638008900212</v>
      </c>
      <c r="J1783" s="78">
        <v>13.19800083129627</v>
      </c>
      <c r="K1783" s="79">
        <v>1.838446718236753</v>
      </c>
    </row>
    <row r="1784" spans="2:11" x14ac:dyDescent="0.35">
      <c r="B1784" s="149" t="s">
        <v>848</v>
      </c>
      <c r="C1784" s="6" t="s">
        <v>226</v>
      </c>
      <c r="D1784" s="6">
        <v>257.88249999999999</v>
      </c>
      <c r="E1784" s="6" t="s">
        <v>1074</v>
      </c>
      <c r="F1784" s="114">
        <v>65.086910156249999</v>
      </c>
      <c r="G1784" s="76" t="s">
        <v>40</v>
      </c>
      <c r="H1784" s="160">
        <v>0.93508984375000637</v>
      </c>
      <c r="I1784" s="160">
        <v>-0.89468248585371069</v>
      </c>
      <c r="J1784" s="78">
        <v>13.415536082187202</v>
      </c>
      <c r="K1784" s="79">
        <v>2.0559819691276857</v>
      </c>
    </row>
    <row r="1785" spans="2:11" x14ac:dyDescent="0.35">
      <c r="B1785" s="149" t="s">
        <v>848</v>
      </c>
      <c r="C1785" s="6" t="s">
        <v>226</v>
      </c>
      <c r="D1785" s="6">
        <v>257.89249999999998</v>
      </c>
      <c r="E1785" s="6" t="s">
        <v>1074</v>
      </c>
      <c r="F1785" s="114">
        <v>65.088425781249995</v>
      </c>
      <c r="G1785" s="76" t="s">
        <v>40</v>
      </c>
      <c r="H1785" s="160">
        <v>0.93357421875001023</v>
      </c>
      <c r="I1785" s="160">
        <v>-0.93877983086746752</v>
      </c>
      <c r="J1785" s="78">
        <v>13.616708168254263</v>
      </c>
      <c r="K1785" s="79">
        <v>2.2571540551947464</v>
      </c>
    </row>
    <row r="1786" spans="2:11" x14ac:dyDescent="0.35">
      <c r="B1786" s="149" t="s">
        <v>848</v>
      </c>
      <c r="C1786" s="6" t="s">
        <v>226</v>
      </c>
      <c r="D1786" s="6">
        <v>257.90250000000003</v>
      </c>
      <c r="E1786" s="6" t="s">
        <v>1074</v>
      </c>
      <c r="F1786" s="114">
        <v>65.089941406250006</v>
      </c>
      <c r="G1786" s="76" t="s">
        <v>40</v>
      </c>
      <c r="H1786" s="160">
        <v>0.93205859374999989</v>
      </c>
      <c r="I1786" s="160">
        <v>-0.79065862375693219</v>
      </c>
      <c r="J1786" s="78">
        <v>12.942130647148304</v>
      </c>
      <c r="K1786" s="79">
        <v>1.582576534088787</v>
      </c>
    </row>
    <row r="1787" spans="2:11" x14ac:dyDescent="0.35">
      <c r="B1787" s="149" t="s">
        <v>848</v>
      </c>
      <c r="C1787" s="6" t="s">
        <v>226</v>
      </c>
      <c r="D1787" s="6">
        <v>257.91250000000002</v>
      </c>
      <c r="E1787" s="6" t="s">
        <v>1074</v>
      </c>
      <c r="F1787" s="114">
        <v>65.091457031250002</v>
      </c>
      <c r="G1787" s="76" t="s">
        <v>40</v>
      </c>
      <c r="H1787" s="160">
        <v>0.93054296875000375</v>
      </c>
      <c r="I1787" s="160">
        <v>-0.89862986742486262</v>
      </c>
      <c r="J1787" s="78">
        <v>13.433532172323169</v>
      </c>
      <c r="K1787" s="79">
        <v>2.0739780592636521</v>
      </c>
    </row>
    <row r="1788" spans="2:11" x14ac:dyDescent="0.35">
      <c r="B1788" s="149" t="s">
        <v>848</v>
      </c>
      <c r="C1788" s="6" t="s">
        <v>226</v>
      </c>
      <c r="D1788" s="6">
        <v>257.9180275229358</v>
      </c>
      <c r="E1788" s="6" t="s">
        <v>1074</v>
      </c>
      <c r="F1788" s="114">
        <v>65.092294796444961</v>
      </c>
      <c r="G1788" s="76" t="s">
        <v>40</v>
      </c>
      <c r="H1788" s="160">
        <v>0.92970520355504505</v>
      </c>
      <c r="I1788" s="160">
        <v>-0.83530839763421805</v>
      </c>
      <c r="J1788" s="78">
        <v>13.145130923469935</v>
      </c>
      <c r="K1788" s="79">
        <v>1.7855768104104186</v>
      </c>
    </row>
    <row r="1789" spans="2:11" x14ac:dyDescent="0.35">
      <c r="B1789" s="149" t="s">
        <v>848</v>
      </c>
      <c r="C1789" s="6" t="s">
        <v>226</v>
      </c>
      <c r="D1789" s="6">
        <v>257.92250000000001</v>
      </c>
      <c r="E1789" s="6" t="s">
        <v>1074</v>
      </c>
      <c r="F1789" s="114">
        <v>65.092972656249998</v>
      </c>
      <c r="G1789" s="76" t="s">
        <v>40</v>
      </c>
      <c r="H1789" s="160">
        <v>0.92902734375000762</v>
      </c>
      <c r="I1789" s="160">
        <v>-0.96132811109279293</v>
      </c>
      <c r="J1789" s="78">
        <v>13.719686033662526</v>
      </c>
      <c r="K1789" s="79">
        <v>2.3601319206030098</v>
      </c>
    </row>
    <row r="1790" spans="2:11" x14ac:dyDescent="0.35">
      <c r="B1790" s="149" t="s">
        <v>848</v>
      </c>
      <c r="C1790" s="6" t="s">
        <v>226</v>
      </c>
      <c r="D1790" s="6">
        <v>257.92848623853212</v>
      </c>
      <c r="E1790" s="6" t="s">
        <v>1074</v>
      </c>
      <c r="F1790" s="114">
        <v>65.093879945527519</v>
      </c>
      <c r="G1790" s="76" t="s">
        <v>40</v>
      </c>
      <c r="H1790" s="160">
        <v>0.9281200544724868</v>
      </c>
      <c r="I1790" s="160">
        <v>-1.0290326989196099</v>
      </c>
      <c r="J1790" s="78">
        <v>14.029351415220276</v>
      </c>
      <c r="K1790" s="79">
        <v>2.6697973021607595</v>
      </c>
    </row>
    <row r="1791" spans="2:11" x14ac:dyDescent="0.35">
      <c r="B1791" s="149" t="s">
        <v>848</v>
      </c>
      <c r="C1791" s="6" t="s">
        <v>226</v>
      </c>
      <c r="D1791" s="6">
        <v>257.9325</v>
      </c>
      <c r="E1791" s="6" t="s">
        <v>1074</v>
      </c>
      <c r="F1791" s="114">
        <v>65.094488281249994</v>
      </c>
      <c r="G1791" s="76" t="s">
        <v>40</v>
      </c>
      <c r="H1791" s="160">
        <v>0.92751171875001148</v>
      </c>
      <c r="I1791" s="160">
        <v>-0.94331335476072331</v>
      </c>
      <c r="J1791" s="78">
        <v>13.63740662059638</v>
      </c>
      <c r="K1791" s="79">
        <v>2.2778525075368634</v>
      </c>
    </row>
    <row r="1792" spans="2:11" x14ac:dyDescent="0.35">
      <c r="B1792" s="149" t="s">
        <v>848</v>
      </c>
      <c r="C1792" s="6" t="s">
        <v>226</v>
      </c>
      <c r="D1792" s="6">
        <v>257.9425</v>
      </c>
      <c r="E1792" s="6" t="s">
        <v>1074</v>
      </c>
      <c r="F1792" s="114">
        <v>65.096003906250004</v>
      </c>
      <c r="G1792" s="76" t="s">
        <v>40</v>
      </c>
      <c r="H1792" s="160">
        <v>0.92599609375000114</v>
      </c>
      <c r="I1792" s="160">
        <v>-0.94804859842865352</v>
      </c>
      <c r="J1792" s="78">
        <v>13.65902934435718</v>
      </c>
      <c r="K1792" s="79">
        <v>2.299475231297663</v>
      </c>
    </row>
    <row r="1793" spans="2:11" x14ac:dyDescent="0.35">
      <c r="B1793" s="149" t="s">
        <v>848</v>
      </c>
      <c r="C1793" s="6" t="s">
        <v>226</v>
      </c>
      <c r="D1793" s="6">
        <v>257.94940366972475</v>
      </c>
      <c r="E1793" s="6" t="s">
        <v>1074</v>
      </c>
      <c r="F1793" s="114">
        <v>65.097050243692664</v>
      </c>
      <c r="G1793" s="76" t="s">
        <v>40</v>
      </c>
      <c r="H1793" s="160">
        <v>0.92494975630734189</v>
      </c>
      <c r="I1793" s="160">
        <v>-0.85493126639944095</v>
      </c>
      <c r="J1793" s="78">
        <v>13.234440357909307</v>
      </c>
      <c r="K1793" s="79">
        <v>1.8748862448497903</v>
      </c>
    </row>
    <row r="1794" spans="2:11" x14ac:dyDescent="0.35">
      <c r="B1794" s="149" t="s">
        <v>848</v>
      </c>
      <c r="C1794" s="6" t="s">
        <v>226</v>
      </c>
      <c r="D1794" s="6">
        <v>257.95249999999999</v>
      </c>
      <c r="E1794" s="6" t="s">
        <v>1074</v>
      </c>
      <c r="F1794" s="114">
        <v>65.097519531250001</v>
      </c>
      <c r="G1794" s="76" t="s">
        <v>40</v>
      </c>
      <c r="H1794" s="160">
        <v>0.924480468750005</v>
      </c>
      <c r="I1794" s="160">
        <v>-0.94071384209658393</v>
      </c>
      <c r="J1794" s="78">
        <v>13.625537796467484</v>
      </c>
      <c r="K1794" s="79">
        <v>2.265983683407967</v>
      </c>
    </row>
    <row r="1795" spans="2:11" x14ac:dyDescent="0.35">
      <c r="B1795" s="149" t="s">
        <v>848</v>
      </c>
      <c r="C1795" s="6" t="s">
        <v>226</v>
      </c>
      <c r="D1795" s="6">
        <v>257.95986238532106</v>
      </c>
      <c r="E1795" s="6" t="s">
        <v>1074</v>
      </c>
      <c r="F1795" s="114">
        <v>65.098635392775222</v>
      </c>
      <c r="G1795" s="76" t="s">
        <v>40</v>
      </c>
      <c r="H1795" s="160">
        <v>0.92336460722478364</v>
      </c>
      <c r="I1795" s="160">
        <v>-0.69254398311600296</v>
      </c>
      <c r="J1795" s="78">
        <v>12.497093763403257</v>
      </c>
      <c r="K1795" s="79">
        <v>1.13753965034374</v>
      </c>
    </row>
    <row r="1796" spans="2:11" x14ac:dyDescent="0.35">
      <c r="B1796" s="149" t="s">
        <v>848</v>
      </c>
      <c r="C1796" s="6" t="s">
        <v>226</v>
      </c>
      <c r="D1796" s="6">
        <v>257.96249999999998</v>
      </c>
      <c r="E1796" s="6" t="s">
        <v>1074</v>
      </c>
      <c r="F1796" s="114">
        <v>65.099035156249997</v>
      </c>
      <c r="G1796" s="76" t="s">
        <v>40</v>
      </c>
      <c r="H1796" s="160">
        <v>0.92296484375000887</v>
      </c>
      <c r="I1796" s="160">
        <v>-0.86456808576451427</v>
      </c>
      <c r="J1796" s="78">
        <v>13.278321398039679</v>
      </c>
      <c r="K1796" s="79">
        <v>1.9187672849801629</v>
      </c>
    </row>
    <row r="1797" spans="2:11" x14ac:dyDescent="0.35">
      <c r="B1797" s="149" t="s">
        <v>848</v>
      </c>
      <c r="C1797" s="6" t="s">
        <v>226</v>
      </c>
      <c r="D1797" s="6">
        <v>257.97032110091737</v>
      </c>
      <c r="E1797" s="6" t="s">
        <v>1074</v>
      </c>
      <c r="F1797" s="114">
        <v>65.100220541857794</v>
      </c>
      <c r="G1797" s="76" t="s">
        <v>40</v>
      </c>
      <c r="H1797" s="160">
        <v>0.92177945814221118</v>
      </c>
      <c r="I1797" s="160">
        <v>-0.76335048181628495</v>
      </c>
      <c r="J1797" s="78">
        <v>12.818120410063045</v>
      </c>
      <c r="K1797" s="79">
        <v>1.4585662970035287</v>
      </c>
    </row>
    <row r="1798" spans="2:11" x14ac:dyDescent="0.35">
      <c r="B1798" s="149" t="s">
        <v>848</v>
      </c>
      <c r="C1798" s="6" t="s">
        <v>226</v>
      </c>
      <c r="D1798" s="6">
        <v>257.97250000000003</v>
      </c>
      <c r="E1798" s="6" t="s">
        <v>1074</v>
      </c>
      <c r="F1798" s="114">
        <v>65.100550781250007</v>
      </c>
      <c r="G1798" s="76" t="s">
        <v>40</v>
      </c>
      <c r="H1798" s="160">
        <v>0.92144921874999852</v>
      </c>
      <c r="I1798" s="160">
        <v>-0.81280232943244468</v>
      </c>
      <c r="J1798" s="78">
        <v>13.042769915439067</v>
      </c>
      <c r="K1798" s="79">
        <v>1.68321580237955</v>
      </c>
    </row>
    <row r="1799" spans="2:11" x14ac:dyDescent="0.35">
      <c r="B1799" s="149" t="s">
        <v>848</v>
      </c>
      <c r="C1799" s="6" t="s">
        <v>226</v>
      </c>
      <c r="D1799" s="6">
        <v>257.98077981651375</v>
      </c>
      <c r="E1799" s="6" t="s">
        <v>1074</v>
      </c>
      <c r="F1799" s="114">
        <v>65.101805690940367</v>
      </c>
      <c r="G1799" s="76" t="s">
        <v>40</v>
      </c>
      <c r="H1799" s="160">
        <v>0.92019430905963873</v>
      </c>
      <c r="I1799" s="160">
        <v>-0.83296733284264002</v>
      </c>
      <c r="J1799" s="78">
        <v>13.134479886652514</v>
      </c>
      <c r="K1799" s="79">
        <v>1.7749257735929973</v>
      </c>
    </row>
    <row r="1800" spans="2:11" x14ac:dyDescent="0.35">
      <c r="B1800" s="149" t="s">
        <v>848</v>
      </c>
      <c r="C1800" s="6" t="s">
        <v>226</v>
      </c>
      <c r="D1800" s="6">
        <v>257.98250000000002</v>
      </c>
      <c r="E1800" s="6" t="s">
        <v>1074</v>
      </c>
      <c r="F1800" s="114">
        <v>65.102066406250003</v>
      </c>
      <c r="G1800" s="76" t="s">
        <v>40</v>
      </c>
      <c r="H1800" s="160">
        <v>0.91993359375000239</v>
      </c>
      <c r="I1800" s="160">
        <v>-0.98245957310037491</v>
      </c>
      <c r="J1800" s="78">
        <v>13.81626256688628</v>
      </c>
      <c r="K1800" s="79">
        <v>2.4567084538267636</v>
      </c>
    </row>
    <row r="1801" spans="2:11" x14ac:dyDescent="0.35">
      <c r="B1801" s="149" t="s">
        <v>848</v>
      </c>
      <c r="C1801" s="6" t="s">
        <v>226</v>
      </c>
      <c r="D1801" s="6">
        <v>257.99123853211012</v>
      </c>
      <c r="E1801" s="6" t="s">
        <v>1074</v>
      </c>
      <c r="F1801" s="114">
        <v>65.103390840022939</v>
      </c>
      <c r="G1801" s="76" t="s">
        <v>40</v>
      </c>
      <c r="H1801" s="160">
        <v>0.91860915997706627</v>
      </c>
      <c r="I1801" s="160">
        <v>-0.83022121698670603</v>
      </c>
      <c r="J1801" s="78">
        <v>13.121987049087807</v>
      </c>
      <c r="K1801" s="79">
        <v>1.76243293602829</v>
      </c>
    </row>
    <row r="1802" spans="2:11" x14ac:dyDescent="0.35">
      <c r="B1802" s="149" t="s">
        <v>848</v>
      </c>
      <c r="C1802" s="6" t="s">
        <v>226</v>
      </c>
      <c r="D1802" s="6">
        <v>257.99250000000001</v>
      </c>
      <c r="E1802" s="6" t="s">
        <v>1074</v>
      </c>
      <c r="F1802" s="114">
        <v>65.103582031249999</v>
      </c>
      <c r="G1802" s="76" t="s">
        <v>40</v>
      </c>
      <c r="H1802" s="160">
        <v>0.91841796875000625</v>
      </c>
      <c r="I1802" s="160">
        <v>-0.84299881676830535</v>
      </c>
      <c r="J1802" s="78">
        <v>13.180125430614623</v>
      </c>
      <c r="K1802" s="79">
        <v>1.8205713175551068</v>
      </c>
    </row>
    <row r="1803" spans="2:11" x14ac:dyDescent="0.35">
      <c r="B1803" s="149" t="s">
        <v>848</v>
      </c>
      <c r="C1803" s="6" t="s">
        <v>226</v>
      </c>
      <c r="D1803" s="6">
        <v>258.0025</v>
      </c>
      <c r="E1803" s="6" t="s">
        <v>1074</v>
      </c>
      <c r="F1803" s="114">
        <v>65.105097656249995</v>
      </c>
      <c r="G1803" s="76" t="s">
        <v>40</v>
      </c>
      <c r="H1803" s="160">
        <v>0.91690234375001012</v>
      </c>
      <c r="I1803" s="160">
        <v>-0.91042106043623572</v>
      </c>
      <c r="J1803" s="78">
        <v>13.487302040085069</v>
      </c>
      <c r="K1803" s="79">
        <v>2.1277479270255526</v>
      </c>
    </row>
    <row r="1804" spans="2:11" x14ac:dyDescent="0.35">
      <c r="B1804" s="149" t="s">
        <v>848</v>
      </c>
      <c r="C1804" s="6" t="s">
        <v>226</v>
      </c>
      <c r="D1804" s="6">
        <v>258.01215596330275</v>
      </c>
      <c r="E1804" s="6" t="s">
        <v>1074</v>
      </c>
      <c r="F1804" s="114">
        <v>65.10656113818807</v>
      </c>
      <c r="G1804" s="76" t="s">
        <v>40</v>
      </c>
      <c r="H1804" s="160">
        <v>0.91543886181193557</v>
      </c>
      <c r="I1804" s="160">
        <v>-0.86302089953702799</v>
      </c>
      <c r="J1804" s="78">
        <v>13.271275385698686</v>
      </c>
      <c r="K1804" s="79">
        <v>1.9117212726391699</v>
      </c>
    </row>
    <row r="1805" spans="2:11" x14ac:dyDescent="0.35">
      <c r="B1805" s="149" t="s">
        <v>848</v>
      </c>
      <c r="C1805" s="6" t="s">
        <v>226</v>
      </c>
      <c r="D1805" s="6">
        <v>258.01249999999999</v>
      </c>
      <c r="E1805" s="6" t="s">
        <v>1074</v>
      </c>
      <c r="F1805" s="114">
        <v>65.106613281250006</v>
      </c>
      <c r="G1805" s="76" t="s">
        <v>40</v>
      </c>
      <c r="H1805" s="160">
        <v>0.91538671874999977</v>
      </c>
      <c r="I1805" s="160">
        <v>-1.0071757914400266</v>
      </c>
      <c r="J1805" s="78">
        <v>13.929307548301892</v>
      </c>
      <c r="K1805" s="79">
        <v>2.5697534352423759</v>
      </c>
    </row>
    <row r="1806" spans="2:11" x14ac:dyDescent="0.35">
      <c r="B1806" s="149" t="s">
        <v>848</v>
      </c>
      <c r="C1806" s="6" t="s">
        <v>226</v>
      </c>
      <c r="D1806" s="6">
        <v>258.02218333333332</v>
      </c>
      <c r="E1806" s="6" t="s">
        <v>1074</v>
      </c>
      <c r="F1806" s="114">
        <v>65.10808091145833</v>
      </c>
      <c r="G1806" s="76" t="s">
        <v>40</v>
      </c>
      <c r="H1806" s="160">
        <v>0.91391908854167525</v>
      </c>
      <c r="I1806" s="160">
        <v>-0.87494903510795685</v>
      </c>
      <c r="J1806" s="78">
        <v>13.325606338433658</v>
      </c>
      <c r="K1806" s="79">
        <v>1.9660522253741419</v>
      </c>
    </row>
    <row r="1807" spans="2:11" x14ac:dyDescent="0.35">
      <c r="B1807" s="149" t="s">
        <v>848</v>
      </c>
      <c r="C1807" s="6" t="s">
        <v>226</v>
      </c>
      <c r="D1807" s="6">
        <v>258.02250000000004</v>
      </c>
      <c r="E1807" s="6" t="s">
        <v>1074</v>
      </c>
      <c r="F1807" s="114">
        <v>65.108128906250002</v>
      </c>
      <c r="G1807" s="76" t="s">
        <v>40</v>
      </c>
      <c r="H1807" s="160">
        <v>0.91387109375000364</v>
      </c>
      <c r="I1807" s="160">
        <v>-0.90077180144507896</v>
      </c>
      <c r="J1807" s="78">
        <v>13.443298213130049</v>
      </c>
      <c r="K1807" s="79">
        <v>2.0837441000705326</v>
      </c>
    </row>
    <row r="1808" spans="2:11" x14ac:dyDescent="0.35">
      <c r="B1808" s="149" t="s">
        <v>848</v>
      </c>
      <c r="C1808" s="6" t="s">
        <v>226</v>
      </c>
      <c r="D1808" s="6">
        <v>258.03091666666671</v>
      </c>
      <c r="E1808" s="6" t="s">
        <v>1074</v>
      </c>
      <c r="F1808" s="114">
        <v>65.109404557291668</v>
      </c>
      <c r="G1808" s="76" t="s">
        <v>40</v>
      </c>
      <c r="H1808" s="160">
        <v>0.91259544270833715</v>
      </c>
      <c r="I1808" s="160">
        <v>-0.85201127877588723</v>
      </c>
      <c r="J1808" s="78">
        <v>13.221146997558151</v>
      </c>
      <c r="K1808" s="79">
        <v>1.8615928844986342</v>
      </c>
    </row>
    <row r="1809" spans="2:11" x14ac:dyDescent="0.35">
      <c r="B1809" s="149" t="s">
        <v>848</v>
      </c>
      <c r="C1809" s="6" t="s">
        <v>226</v>
      </c>
      <c r="D1809" s="6">
        <v>258.03250000000003</v>
      </c>
      <c r="E1809" s="6" t="s">
        <v>1074</v>
      </c>
      <c r="F1809" s="114">
        <v>65.109644531250012</v>
      </c>
      <c r="G1809" s="76" t="s">
        <v>40</v>
      </c>
      <c r="H1809" s="160">
        <v>0.91235546874999329</v>
      </c>
      <c r="I1809" s="160">
        <v>-0.83679269713386095</v>
      </c>
      <c r="J1809" s="78">
        <v>13.151884397386311</v>
      </c>
      <c r="K1809" s="79">
        <v>1.7923302843267948</v>
      </c>
    </row>
    <row r="1810" spans="2:11" x14ac:dyDescent="0.35">
      <c r="B1810" s="149" t="s">
        <v>848</v>
      </c>
      <c r="C1810" s="6" t="s">
        <v>226</v>
      </c>
      <c r="D1810" s="6">
        <v>258.03964999999999</v>
      </c>
      <c r="E1810" s="6" t="s">
        <v>1074</v>
      </c>
      <c r="F1810" s="114">
        <v>65.110728203125007</v>
      </c>
      <c r="G1810" s="76" t="s">
        <v>40</v>
      </c>
      <c r="H1810" s="160">
        <v>0.91127179687499904</v>
      </c>
      <c r="I1810" s="160">
        <v>-0.94796152244381759</v>
      </c>
      <c r="J1810" s="78">
        <v>13.658631695613508</v>
      </c>
      <c r="K1810" s="79">
        <v>2.2990775825539913</v>
      </c>
    </row>
    <row r="1811" spans="2:11" x14ac:dyDescent="0.35">
      <c r="B1811" s="149" t="s">
        <v>848</v>
      </c>
      <c r="C1811" s="6" t="s">
        <v>226</v>
      </c>
      <c r="D1811" s="6">
        <v>258.04250000000002</v>
      </c>
      <c r="E1811" s="6" t="s">
        <v>1074</v>
      </c>
      <c r="F1811" s="114">
        <v>65.111160156250008</v>
      </c>
      <c r="G1811" s="76" t="s">
        <v>40</v>
      </c>
      <c r="H1811" s="160">
        <v>0.91083984374999716</v>
      </c>
      <c r="I1811" s="160">
        <v>-0.86838818447519095</v>
      </c>
      <c r="J1811" s="78">
        <v>13.295719970793243</v>
      </c>
      <c r="K1811" s="79">
        <v>1.9361658577337266</v>
      </c>
    </row>
    <row r="1812" spans="2:11" x14ac:dyDescent="0.35">
      <c r="B1812" s="149" t="s">
        <v>848</v>
      </c>
      <c r="C1812" s="6" t="s">
        <v>226</v>
      </c>
      <c r="D1812" s="6">
        <v>258.04838333333333</v>
      </c>
      <c r="E1812" s="6" t="s">
        <v>1074</v>
      </c>
      <c r="F1812" s="114">
        <v>65.11205184895833</v>
      </c>
      <c r="G1812" s="76" t="s">
        <v>40</v>
      </c>
      <c r="H1812" s="160">
        <v>0.90994815104167515</v>
      </c>
      <c r="I1812" s="160">
        <v>-0.83414876611174793</v>
      </c>
      <c r="J1812" s="78">
        <v>13.139854898097383</v>
      </c>
      <c r="K1812" s="79">
        <v>1.7803007850378663</v>
      </c>
    </row>
    <row r="1813" spans="2:11" x14ac:dyDescent="0.35">
      <c r="B1813" s="149" t="s">
        <v>848</v>
      </c>
      <c r="C1813" s="6" t="s">
        <v>226</v>
      </c>
      <c r="D1813" s="6">
        <v>258.05250000000001</v>
      </c>
      <c r="E1813" s="6" t="s">
        <v>1074</v>
      </c>
      <c r="F1813" s="114">
        <v>65.112675781250005</v>
      </c>
      <c r="G1813" s="76" t="s">
        <v>40</v>
      </c>
      <c r="H1813" s="160">
        <v>0.90932421875000102</v>
      </c>
      <c r="I1813" s="160">
        <v>-0.79048625764963798</v>
      </c>
      <c r="J1813" s="78">
        <v>12.941347559706401</v>
      </c>
      <c r="K1813" s="79">
        <v>1.5817934466468841</v>
      </c>
    </row>
    <row r="1814" spans="2:11" x14ac:dyDescent="0.35">
      <c r="B1814" s="149" t="s">
        <v>848</v>
      </c>
      <c r="C1814" s="6" t="s">
        <v>226</v>
      </c>
      <c r="D1814" s="6">
        <v>258.05711666666667</v>
      </c>
      <c r="E1814" s="6" t="s">
        <v>1074</v>
      </c>
      <c r="F1814" s="114">
        <v>65.113375494791669</v>
      </c>
      <c r="G1814" s="76" t="s">
        <v>40</v>
      </c>
      <c r="H1814" s="160">
        <v>0.90862450520833704</v>
      </c>
      <c r="I1814" s="160">
        <v>-0.95585200977967832</v>
      </c>
      <c r="J1814" s="78">
        <v>13.694669697752545</v>
      </c>
      <c r="K1814" s="79">
        <v>2.3351155846930283</v>
      </c>
    </row>
    <row r="1815" spans="2:11" x14ac:dyDescent="0.35">
      <c r="B1815" s="149" t="s">
        <v>848</v>
      </c>
      <c r="C1815" s="6" t="s">
        <v>226</v>
      </c>
      <c r="D1815" s="6">
        <v>258.0625</v>
      </c>
      <c r="E1815" s="6" t="s">
        <v>1074</v>
      </c>
      <c r="F1815" s="114">
        <v>65.114191406250001</v>
      </c>
      <c r="G1815" s="76" t="s">
        <v>40</v>
      </c>
      <c r="H1815" s="160">
        <v>0.90780859375000489</v>
      </c>
      <c r="I1815" s="160">
        <v>-0.89882855317067401</v>
      </c>
      <c r="J1815" s="78">
        <v>13.434438041135024</v>
      </c>
      <c r="K1815" s="79">
        <v>2.0748839280755078</v>
      </c>
    </row>
    <row r="1816" spans="2:11" x14ac:dyDescent="0.35">
      <c r="B1816" s="149" t="s">
        <v>848</v>
      </c>
      <c r="C1816" s="6" t="s">
        <v>226</v>
      </c>
      <c r="D1816" s="6">
        <v>258.06585000000001</v>
      </c>
      <c r="E1816" s="6" t="s">
        <v>1074</v>
      </c>
      <c r="F1816" s="114">
        <v>65.114699140625007</v>
      </c>
      <c r="G1816" s="76" t="s">
        <v>40</v>
      </c>
      <c r="H1816" s="160">
        <v>0.90730085937499894</v>
      </c>
      <c r="I1816" s="160">
        <v>-0.88816725344760861</v>
      </c>
      <c r="J1816" s="78">
        <v>13.385838273421427</v>
      </c>
      <c r="K1816" s="79">
        <v>2.0262841603619108</v>
      </c>
    </row>
    <row r="1817" spans="2:11" x14ac:dyDescent="0.35">
      <c r="B1817" s="149" t="s">
        <v>848</v>
      </c>
      <c r="C1817" s="6" t="s">
        <v>226</v>
      </c>
      <c r="D1817" s="6">
        <v>258.07249999999999</v>
      </c>
      <c r="E1817" s="6" t="s">
        <v>1074</v>
      </c>
      <c r="F1817" s="114">
        <v>65.115707031249997</v>
      </c>
      <c r="G1817" s="76" t="s">
        <v>40</v>
      </c>
      <c r="H1817" s="160">
        <v>0.90629296875000875</v>
      </c>
      <c r="I1817" s="160">
        <v>-0.92409690039683401</v>
      </c>
      <c r="J1817" s="78">
        <v>13.549692295094928</v>
      </c>
      <c r="K1817" s="79">
        <v>2.1901381820354118</v>
      </c>
    </row>
    <row r="1818" spans="2:11" x14ac:dyDescent="0.35">
      <c r="B1818" s="149" t="s">
        <v>848</v>
      </c>
      <c r="C1818" s="6" t="s">
        <v>226</v>
      </c>
      <c r="D1818" s="6">
        <v>258.07458333333329</v>
      </c>
      <c r="E1818" s="6" t="s">
        <v>1074</v>
      </c>
      <c r="F1818" s="114">
        <v>65.116022786458331</v>
      </c>
      <c r="G1818" s="76" t="s">
        <v>40</v>
      </c>
      <c r="H1818" s="160">
        <v>0.90597721354167504</v>
      </c>
      <c r="I1818" s="160">
        <v>-0.83101849711553888</v>
      </c>
      <c r="J1818" s="78">
        <v>13.125613980176752</v>
      </c>
      <c r="K1818" s="79">
        <v>1.7660598671172352</v>
      </c>
    </row>
    <row r="1819" spans="2:11" x14ac:dyDescent="0.35">
      <c r="B1819" s="149" t="s">
        <v>848</v>
      </c>
      <c r="C1819" s="6" t="s">
        <v>226</v>
      </c>
      <c r="D1819" s="6">
        <v>258.08249999999998</v>
      </c>
      <c r="E1819" s="6" t="s">
        <v>1074</v>
      </c>
      <c r="F1819" s="114">
        <v>65.117222656249993</v>
      </c>
      <c r="G1819" s="76" t="s">
        <v>40</v>
      </c>
      <c r="H1819" s="160">
        <v>0.90477734375001262</v>
      </c>
      <c r="I1819" s="160">
        <v>-0.91236782781931802</v>
      </c>
      <c r="J1819" s="78">
        <v>13.496181635883318</v>
      </c>
      <c r="K1819" s="79">
        <v>2.136627522823801</v>
      </c>
    </row>
    <row r="1820" spans="2:11" x14ac:dyDescent="0.35">
      <c r="B1820" s="149" t="s">
        <v>848</v>
      </c>
      <c r="C1820" s="6" t="s">
        <v>226</v>
      </c>
      <c r="D1820" s="6">
        <v>258.08331666666669</v>
      </c>
      <c r="E1820" s="6" t="s">
        <v>1074</v>
      </c>
      <c r="F1820" s="114">
        <v>65.117346432291669</v>
      </c>
      <c r="G1820" s="76" t="s">
        <v>40</v>
      </c>
      <c r="H1820" s="160">
        <v>0.90465356770833694</v>
      </c>
      <c r="I1820" s="160">
        <v>-0.84721774078346923</v>
      </c>
      <c r="J1820" s="78">
        <v>13.199326984179152</v>
      </c>
      <c r="K1820" s="79">
        <v>1.8397728711196351</v>
      </c>
    </row>
    <row r="1821" spans="2:11" x14ac:dyDescent="0.35">
      <c r="B1821" s="149" t="s">
        <v>848</v>
      </c>
      <c r="C1821" s="6" t="s">
        <v>226</v>
      </c>
      <c r="D1821" s="6">
        <v>258.09205000000003</v>
      </c>
      <c r="E1821" s="6" t="s">
        <v>1074</v>
      </c>
      <c r="F1821" s="114">
        <v>65.118670078125007</v>
      </c>
      <c r="G1821" s="76" t="s">
        <v>40</v>
      </c>
      <c r="H1821" s="160">
        <v>0.90332992187499883</v>
      </c>
      <c r="I1821" s="160">
        <v>-0.88639298445139958</v>
      </c>
      <c r="J1821" s="78">
        <v>13.377751879570667</v>
      </c>
      <c r="K1821" s="79">
        <v>2.0181977665111503</v>
      </c>
    </row>
    <row r="1822" spans="2:11" x14ac:dyDescent="0.35">
      <c r="B1822" s="149" t="s">
        <v>848</v>
      </c>
      <c r="C1822" s="6" t="s">
        <v>226</v>
      </c>
      <c r="D1822" s="6">
        <v>258.09249999999997</v>
      </c>
      <c r="E1822" s="6" t="s">
        <v>1074</v>
      </c>
      <c r="F1822" s="114">
        <v>65.118738281250003</v>
      </c>
      <c r="G1822" s="76" t="s">
        <v>40</v>
      </c>
      <c r="H1822" s="160">
        <v>0.90326171875000227</v>
      </c>
      <c r="I1822" s="160">
        <v>-0.82437416373402295</v>
      </c>
      <c r="J1822" s="78">
        <v>13.09539093930033</v>
      </c>
      <c r="K1822" s="79">
        <v>1.7358368262408135</v>
      </c>
    </row>
    <row r="1823" spans="2:11" x14ac:dyDescent="0.35">
      <c r="B1823" s="149" t="s">
        <v>848</v>
      </c>
      <c r="C1823" s="6" t="s">
        <v>226</v>
      </c>
      <c r="D1823" s="6">
        <v>258.10078333333337</v>
      </c>
      <c r="E1823" s="6" t="s">
        <v>1074</v>
      </c>
      <c r="F1823" s="114">
        <v>65.119993723958345</v>
      </c>
      <c r="G1823" s="76" t="s">
        <v>40</v>
      </c>
      <c r="H1823" s="160">
        <v>0.90200627604166073</v>
      </c>
      <c r="I1823" s="160">
        <v>-0.80593722811933</v>
      </c>
      <c r="J1823" s="78">
        <v>13.011561420414466</v>
      </c>
      <c r="K1823" s="79">
        <v>1.6520073073549497</v>
      </c>
    </row>
    <row r="1824" spans="2:11" x14ac:dyDescent="0.35">
      <c r="B1824" s="149" t="s">
        <v>848</v>
      </c>
      <c r="C1824" s="6" t="s">
        <v>226</v>
      </c>
      <c r="D1824" s="6">
        <v>258.10249999999996</v>
      </c>
      <c r="E1824" s="6" t="s">
        <v>1074</v>
      </c>
      <c r="F1824" s="114">
        <v>65.120253906249999</v>
      </c>
      <c r="G1824" s="76" t="s">
        <v>40</v>
      </c>
      <c r="H1824" s="160">
        <v>0.90174609375000614</v>
      </c>
      <c r="I1824" s="160">
        <v>-0.84363821589448396</v>
      </c>
      <c r="J1824" s="78">
        <v>13.183035351727483</v>
      </c>
      <c r="K1824" s="79">
        <v>1.8234812386679664</v>
      </c>
    </row>
    <row r="1825" spans="2:11" x14ac:dyDescent="0.35">
      <c r="B1825" s="149" t="s">
        <v>848</v>
      </c>
      <c r="C1825" s="6" t="s">
        <v>226</v>
      </c>
      <c r="D1825" s="6">
        <v>258.11250000000001</v>
      </c>
      <c r="E1825" s="6" t="s">
        <v>1074</v>
      </c>
      <c r="F1825" s="114">
        <v>65.12176953125001</v>
      </c>
      <c r="G1825" s="76" t="s">
        <v>40</v>
      </c>
      <c r="H1825" s="160">
        <v>0.90023046874999579</v>
      </c>
      <c r="I1825" s="160">
        <v>-0.86187663812318505</v>
      </c>
      <c r="J1825" s="78">
        <v>13.266064555850619</v>
      </c>
      <c r="K1825" s="79">
        <v>1.9065104427911024</v>
      </c>
    </row>
    <row r="1826" spans="2:11" x14ac:dyDescent="0.35">
      <c r="B1826" s="149" t="s">
        <v>848</v>
      </c>
      <c r="C1826" s="6" t="s">
        <v>226</v>
      </c>
      <c r="D1826" s="6">
        <v>258.1225</v>
      </c>
      <c r="E1826" s="6" t="s">
        <v>1074</v>
      </c>
      <c r="F1826" s="114">
        <v>65.123285156250006</v>
      </c>
      <c r="G1826" s="76" t="s">
        <v>40</v>
      </c>
      <c r="H1826" s="160">
        <v>0.89871484374999966</v>
      </c>
      <c r="I1826" s="160">
        <v>-0.75072374738813996</v>
      </c>
      <c r="J1826" s="78">
        <v>12.760818060439249</v>
      </c>
      <c r="K1826" s="79">
        <v>1.4012639473797321</v>
      </c>
    </row>
    <row r="1827" spans="2:11" x14ac:dyDescent="0.35">
      <c r="B1827" s="149" t="s">
        <v>848</v>
      </c>
      <c r="C1827" s="6" t="s">
        <v>226</v>
      </c>
      <c r="D1827" s="6">
        <v>258.13249999999999</v>
      </c>
      <c r="E1827" s="6" t="s">
        <v>1074</v>
      </c>
      <c r="F1827" s="114">
        <v>65.124800781250002</v>
      </c>
      <c r="G1827" s="76" t="s">
        <v>40</v>
      </c>
      <c r="H1827" s="160">
        <v>0.89719921875000352</v>
      </c>
      <c r="I1827" s="160">
        <v>-0.72670995354338297</v>
      </c>
      <c r="J1827" s="78">
        <v>12.651904564800532</v>
      </c>
      <c r="K1827" s="79">
        <v>1.2923504517410151</v>
      </c>
    </row>
    <row r="1828" spans="2:11" x14ac:dyDescent="0.35">
      <c r="B1828" s="149" t="s">
        <v>848</v>
      </c>
      <c r="C1828" s="6" t="s">
        <v>226</v>
      </c>
      <c r="D1828" s="6">
        <v>258.14250000000004</v>
      </c>
      <c r="E1828" s="6" t="s">
        <v>1074</v>
      </c>
      <c r="F1828" s="114">
        <v>65.126316406250012</v>
      </c>
      <c r="G1828" s="76" t="s">
        <v>40</v>
      </c>
      <c r="H1828" s="160">
        <v>0.89568359374999318</v>
      </c>
      <c r="I1828" s="160">
        <v>-0.831006824121163</v>
      </c>
      <c r="J1828" s="78">
        <v>13.12556087752273</v>
      </c>
      <c r="K1828" s="79">
        <v>1.7660067644632136</v>
      </c>
    </row>
    <row r="1829" spans="2:11" x14ac:dyDescent="0.35">
      <c r="B1829" s="149" t="s">
        <v>848</v>
      </c>
      <c r="C1829" s="6" t="s">
        <v>226</v>
      </c>
      <c r="D1829" s="6">
        <v>258.15250000000003</v>
      </c>
      <c r="E1829" s="6" t="s">
        <v>1074</v>
      </c>
      <c r="F1829" s="114">
        <v>65.127832031250009</v>
      </c>
      <c r="G1829" s="76" t="s">
        <v>40</v>
      </c>
      <c r="H1829" s="160">
        <v>0.89416796874999704</v>
      </c>
      <c r="I1829" s="160">
        <v>-0.95426227713100398</v>
      </c>
      <c r="J1829" s="78">
        <v>13.687408204892961</v>
      </c>
      <c r="K1829" s="79">
        <v>2.3278540918334443</v>
      </c>
    </row>
    <row r="1830" spans="2:11" x14ac:dyDescent="0.35">
      <c r="B1830" s="149" t="s">
        <v>848</v>
      </c>
      <c r="C1830" s="6" t="s">
        <v>226</v>
      </c>
      <c r="D1830" s="6">
        <v>258.16250000000002</v>
      </c>
      <c r="E1830" s="6" t="s">
        <v>1074</v>
      </c>
      <c r="F1830" s="114">
        <v>65.129347656250005</v>
      </c>
      <c r="G1830" s="76" t="s">
        <v>40</v>
      </c>
      <c r="H1830" s="160">
        <v>0.89265234375000091</v>
      </c>
      <c r="I1830" s="160">
        <v>-0.89607404575684702</v>
      </c>
      <c r="J1830" s="78">
        <v>13.421879929812292</v>
      </c>
      <c r="K1830" s="79">
        <v>2.0623258167527752</v>
      </c>
    </row>
    <row r="1831" spans="2:11" x14ac:dyDescent="0.35">
      <c r="B1831" s="149" t="s">
        <v>848</v>
      </c>
      <c r="C1831" s="6" t="s">
        <v>226</v>
      </c>
      <c r="D1831" s="6">
        <v>258.17250000000001</v>
      </c>
      <c r="E1831" s="6" t="s">
        <v>1074</v>
      </c>
      <c r="F1831" s="114">
        <v>65.130863281250001</v>
      </c>
      <c r="G1831" s="76" t="s">
        <v>40</v>
      </c>
      <c r="H1831" s="160">
        <v>0.89113671875000477</v>
      </c>
      <c r="I1831" s="160">
        <v>-0.788785680673734</v>
      </c>
      <c r="J1831" s="78">
        <v>12.933621797142735</v>
      </c>
      <c r="K1831" s="79">
        <v>1.574067684083218</v>
      </c>
    </row>
    <row r="1832" spans="2:11" x14ac:dyDescent="0.35">
      <c r="B1832" s="149" t="s">
        <v>848</v>
      </c>
      <c r="C1832" s="6" t="s">
        <v>226</v>
      </c>
      <c r="D1832" s="6">
        <v>258.1825</v>
      </c>
      <c r="E1832" s="6" t="s">
        <v>1074</v>
      </c>
      <c r="F1832" s="114">
        <v>65.133291666666665</v>
      </c>
      <c r="G1832" s="76" t="s">
        <v>40</v>
      </c>
      <c r="H1832" s="160">
        <v>0.88870833333334076</v>
      </c>
      <c r="I1832" s="160">
        <v>-0.79023381200436205</v>
      </c>
      <c r="J1832" s="78">
        <v>12.940200665794464</v>
      </c>
      <c r="K1832" s="79">
        <v>1.5806465527349474</v>
      </c>
    </row>
    <row r="1833" spans="2:11" x14ac:dyDescent="0.35">
      <c r="B1833" s="149" t="s">
        <v>848</v>
      </c>
      <c r="C1833" s="6" t="s">
        <v>226</v>
      </c>
      <c r="D1833" s="6">
        <v>258.1925</v>
      </c>
      <c r="E1833" s="6" t="s">
        <v>1074</v>
      </c>
      <c r="F1833" s="114">
        <v>65.138458333333332</v>
      </c>
      <c r="G1833" s="76" t="s">
        <v>40</v>
      </c>
      <c r="H1833" s="160">
        <v>0.88354166666667311</v>
      </c>
      <c r="I1833" s="160">
        <v>-0.70767475484932096</v>
      </c>
      <c r="J1833" s="78">
        <v>12.565632062875125</v>
      </c>
      <c r="K1833" s="79">
        <v>1.206077949815608</v>
      </c>
    </row>
    <row r="1834" spans="2:11" x14ac:dyDescent="0.35">
      <c r="B1834" s="149" t="s">
        <v>848</v>
      </c>
      <c r="C1834" s="6" t="s">
        <v>226</v>
      </c>
      <c r="D1834" s="6">
        <v>258.20249999999999</v>
      </c>
      <c r="E1834" s="6" t="s">
        <v>1074</v>
      </c>
      <c r="F1834" s="114">
        <v>65.143624999999986</v>
      </c>
      <c r="G1834" s="76" t="s">
        <v>40</v>
      </c>
      <c r="H1834" s="160">
        <v>0.87837500000001967</v>
      </c>
      <c r="I1834" s="160">
        <v>-0.69167368221032699</v>
      </c>
      <c r="J1834" s="78">
        <v>12.493152567531581</v>
      </c>
      <c r="K1834" s="79">
        <v>1.1335984544720645</v>
      </c>
    </row>
    <row r="1835" spans="2:11" x14ac:dyDescent="0.35">
      <c r="B1835" s="149" t="s">
        <v>848</v>
      </c>
      <c r="C1835" s="6" t="s">
        <v>226</v>
      </c>
      <c r="D1835" s="6">
        <v>258.21249999999998</v>
      </c>
      <c r="E1835" s="6" t="s">
        <v>1074</v>
      </c>
      <c r="F1835" s="114">
        <v>65.148791666666654</v>
      </c>
      <c r="G1835" s="76" t="s">
        <v>40</v>
      </c>
      <c r="H1835" s="160">
        <v>0.87320833333335202</v>
      </c>
      <c r="I1835" s="160">
        <v>-0.49682787118541499</v>
      </c>
      <c r="J1835" s="78">
        <v>11.613600007759374</v>
      </c>
      <c r="K1835" s="79">
        <v>0.25404589469985694</v>
      </c>
    </row>
    <row r="1836" spans="2:11" x14ac:dyDescent="0.35">
      <c r="B1836" s="149" t="s">
        <v>848</v>
      </c>
      <c r="C1836" s="6" t="s">
        <v>226</v>
      </c>
      <c r="D1836" s="6">
        <v>258.22249999999997</v>
      </c>
      <c r="E1836" s="6" t="s">
        <v>1074</v>
      </c>
      <c r="F1836" s="114">
        <v>65.153958333333321</v>
      </c>
      <c r="G1836" s="76" t="s">
        <v>40</v>
      </c>
      <c r="H1836" s="160">
        <v>0.86804166666668436</v>
      </c>
      <c r="I1836" s="160">
        <v>-0.48727954718550598</v>
      </c>
      <c r="J1836" s="78">
        <v>11.570641558285217</v>
      </c>
      <c r="K1836" s="79">
        <v>0.21108744522570078</v>
      </c>
    </row>
    <row r="1837" spans="2:11" x14ac:dyDescent="0.35">
      <c r="B1837" s="149" t="s">
        <v>848</v>
      </c>
      <c r="C1837" s="6" t="s">
        <v>226</v>
      </c>
      <c r="D1837" s="6">
        <v>258.23249999999996</v>
      </c>
      <c r="E1837" s="6" t="s">
        <v>1074</v>
      </c>
      <c r="F1837" s="114">
        <v>65.159124999999975</v>
      </c>
      <c r="G1837" s="76" t="s">
        <v>40</v>
      </c>
      <c r="H1837" s="160">
        <v>0.86287500000003092</v>
      </c>
      <c r="I1837" s="160">
        <v>-0.37394328738336302</v>
      </c>
      <c r="J1837" s="78">
        <v>11.061754750851833</v>
      </c>
      <c r="K1837" s="79">
        <v>-0.29779936220768377</v>
      </c>
    </row>
    <row r="1838" spans="2:11" x14ac:dyDescent="0.35">
      <c r="B1838" s="149" t="s">
        <v>848</v>
      </c>
      <c r="C1838" s="6" t="s">
        <v>226</v>
      </c>
      <c r="D1838" s="6">
        <v>258.24250000000001</v>
      </c>
      <c r="E1838" s="6" t="s">
        <v>1074</v>
      </c>
      <c r="F1838" s="114">
        <v>65.164291666666671</v>
      </c>
      <c r="G1838" s="76" t="s">
        <v>40</v>
      </c>
      <c r="H1838" s="160">
        <v>0.85770833333333485</v>
      </c>
      <c r="I1838" s="160">
        <v>-0.38937652644697401</v>
      </c>
      <c r="J1838" s="78">
        <v>11.130940543495285</v>
      </c>
      <c r="K1838" s="79">
        <v>-0.22861356956423151</v>
      </c>
    </row>
    <row r="1839" spans="2:11" x14ac:dyDescent="0.35">
      <c r="B1839" s="149" t="s">
        <v>848</v>
      </c>
      <c r="C1839" s="6" t="s">
        <v>226</v>
      </c>
      <c r="D1839" s="6">
        <v>258.2525</v>
      </c>
      <c r="E1839" s="6" t="s">
        <v>1074</v>
      </c>
      <c r="F1839" s="114">
        <v>65.169458333333324</v>
      </c>
      <c r="G1839" s="76" t="s">
        <v>40</v>
      </c>
      <c r="H1839" s="160">
        <v>0.85254166666668141</v>
      </c>
      <c r="I1839" s="160">
        <v>-0.52921722290542295</v>
      </c>
      <c r="J1839" s="78">
        <v>11.759421209861671</v>
      </c>
      <c r="K1839" s="79">
        <v>0.39986709680215426</v>
      </c>
    </row>
    <row r="1840" spans="2:11" x14ac:dyDescent="0.35">
      <c r="B1840" s="149" t="s">
        <v>848</v>
      </c>
      <c r="C1840" s="6" t="s">
        <v>226</v>
      </c>
      <c r="D1840" s="6">
        <v>258.26249999999999</v>
      </c>
      <c r="E1840" s="6" t="s">
        <v>1074</v>
      </c>
      <c r="F1840" s="114">
        <v>65.174624999999992</v>
      </c>
      <c r="G1840" s="76" t="s">
        <v>40</v>
      </c>
      <c r="H1840" s="160">
        <v>0.84737500000001376</v>
      </c>
      <c r="I1840" s="160">
        <v>-0.60051421991701304</v>
      </c>
      <c r="J1840" s="78">
        <v>12.080953328944588</v>
      </c>
      <c r="K1840" s="79">
        <v>0.7213992158850715</v>
      </c>
    </row>
    <row r="1841" spans="2:11" x14ac:dyDescent="0.35">
      <c r="B1841" s="149" t="s">
        <v>848</v>
      </c>
      <c r="C1841" s="6" t="s">
        <v>226</v>
      </c>
      <c r="D1841" s="6">
        <v>258.27250000000004</v>
      </c>
      <c r="E1841" s="6" t="s">
        <v>1074</v>
      </c>
      <c r="F1841" s="114">
        <v>65.179791666666674</v>
      </c>
      <c r="G1841" s="76" t="s">
        <v>40</v>
      </c>
      <c r="H1841" s="160">
        <v>0.84220833333333189</v>
      </c>
      <c r="I1841" s="160">
        <v>-0.75241548340248998</v>
      </c>
      <c r="J1841" s="78">
        <v>12.768494082766153</v>
      </c>
      <c r="K1841" s="79">
        <v>1.4089399697066369</v>
      </c>
    </row>
    <row r="1842" spans="2:11" x14ac:dyDescent="0.35">
      <c r="B1842" s="149" t="s">
        <v>848</v>
      </c>
      <c r="C1842" s="6" t="s">
        <v>226</v>
      </c>
      <c r="D1842" s="6">
        <v>258.28250000000003</v>
      </c>
      <c r="E1842" s="6" t="s">
        <v>1074</v>
      </c>
      <c r="F1842" s="114">
        <v>65.184958333333341</v>
      </c>
      <c r="G1842" s="76" t="s">
        <v>40</v>
      </c>
      <c r="H1842" s="160">
        <v>0.83704166666666424</v>
      </c>
      <c r="I1842" s="160">
        <v>-0.730069746887968</v>
      </c>
      <c r="J1842" s="78">
        <v>12.667137608004225</v>
      </c>
      <c r="K1842" s="79">
        <v>1.3075834949447085</v>
      </c>
    </row>
    <row r="1843" spans="2:11" x14ac:dyDescent="0.35">
      <c r="B1843" s="149" t="s">
        <v>848</v>
      </c>
      <c r="C1843" s="6" t="s">
        <v>226</v>
      </c>
      <c r="D1843" s="6">
        <v>258.29250000000002</v>
      </c>
      <c r="E1843" s="6" t="s">
        <v>1074</v>
      </c>
      <c r="F1843" s="114">
        <v>65.190125000000009</v>
      </c>
      <c r="G1843" s="76" t="s">
        <v>40</v>
      </c>
      <c r="H1843" s="160">
        <v>0.83187499999999659</v>
      </c>
      <c r="I1843" s="160">
        <v>-0.90552901037344502</v>
      </c>
      <c r="J1843" s="78">
        <v>13.464990924670417</v>
      </c>
      <c r="K1843" s="79">
        <v>2.1054368116109003</v>
      </c>
    </row>
    <row r="1844" spans="2:11" x14ac:dyDescent="0.35">
      <c r="B1844" s="149" t="s">
        <v>848</v>
      </c>
      <c r="C1844" s="6" t="s">
        <v>226</v>
      </c>
      <c r="D1844" s="6">
        <v>258.30250000000001</v>
      </c>
      <c r="E1844" s="6" t="s">
        <v>1074</v>
      </c>
      <c r="F1844" s="114">
        <v>65.195291666666662</v>
      </c>
      <c r="G1844" s="76" t="s">
        <v>40</v>
      </c>
      <c r="H1844" s="160">
        <v>0.82670833333334315</v>
      </c>
      <c r="I1844" s="160">
        <v>-0.72665627385892195</v>
      </c>
      <c r="J1844" s="78">
        <v>12.651661198857312</v>
      </c>
      <c r="K1844" s="79">
        <v>1.2921070857977952</v>
      </c>
    </row>
    <row r="1845" spans="2:11" x14ac:dyDescent="0.35">
      <c r="B1845" s="149" t="s">
        <v>848</v>
      </c>
      <c r="C1845" s="6" t="s">
        <v>226</v>
      </c>
      <c r="D1845" s="6">
        <v>258.3125</v>
      </c>
      <c r="E1845" s="6" t="s">
        <v>1074</v>
      </c>
      <c r="F1845" s="114">
        <v>65.20045833333333</v>
      </c>
      <c r="G1845" s="76" t="s">
        <v>40</v>
      </c>
      <c r="H1845" s="160">
        <v>0.8215416666666755</v>
      </c>
      <c r="I1845" s="160">
        <v>-0.77249453734439899</v>
      </c>
      <c r="J1845" s="78">
        <v>12.859632542335021</v>
      </c>
      <c r="K1845" s="79">
        <v>1.5000784292755043</v>
      </c>
    </row>
    <row r="1846" spans="2:11" x14ac:dyDescent="0.35">
      <c r="B1846" s="149" t="s">
        <v>848</v>
      </c>
      <c r="C1846" s="6" t="s">
        <v>226</v>
      </c>
      <c r="D1846" s="6">
        <v>258.33249999999998</v>
      </c>
      <c r="E1846" s="6" t="s">
        <v>1074</v>
      </c>
      <c r="F1846" s="114">
        <v>65.210791666666651</v>
      </c>
      <c r="G1846" s="76" t="s">
        <v>40</v>
      </c>
      <c r="H1846" s="160">
        <v>0.8112083333333544</v>
      </c>
      <c r="I1846" s="160">
        <v>-0.63861406431535295</v>
      </c>
      <c r="J1846" s="78">
        <v>12.253081495708045</v>
      </c>
      <c r="K1846" s="79">
        <v>0.8935273826485286</v>
      </c>
    </row>
    <row r="1847" spans="2:11" x14ac:dyDescent="0.35">
      <c r="B1847" s="149" t="s">
        <v>848</v>
      </c>
      <c r="C1847" s="6" t="s">
        <v>226</v>
      </c>
      <c r="D1847" s="6">
        <v>258.34249999999997</v>
      </c>
      <c r="E1847" s="6" t="s">
        <v>1074</v>
      </c>
      <c r="F1847" s="114">
        <v>65.215958333333305</v>
      </c>
      <c r="G1847" s="76" t="s">
        <v>40</v>
      </c>
      <c r="H1847" s="160">
        <v>0.80604166666670096</v>
      </c>
      <c r="I1847" s="160">
        <v>-0.64822032780083105</v>
      </c>
      <c r="J1847" s="78">
        <v>12.296514682205327</v>
      </c>
      <c r="K1847" s="79">
        <v>0.9369605691458105</v>
      </c>
    </row>
    <row r="1848" spans="2:11" x14ac:dyDescent="0.35">
      <c r="B1848" s="149" t="s">
        <v>848</v>
      </c>
      <c r="C1848" s="6" t="s">
        <v>226</v>
      </c>
      <c r="D1848" s="6">
        <v>258.35249999999996</v>
      </c>
      <c r="E1848" s="6" t="s">
        <v>1074</v>
      </c>
      <c r="F1848" s="114">
        <v>65.221124999999972</v>
      </c>
      <c r="G1848" s="76" t="s">
        <v>40</v>
      </c>
      <c r="H1848" s="160">
        <v>0.80087500000003331</v>
      </c>
      <c r="I1848" s="160">
        <v>-0.689306591286308</v>
      </c>
      <c r="J1848" s="78">
        <v>12.482433659837056</v>
      </c>
      <c r="K1848" s="79">
        <v>1.1228795467775399</v>
      </c>
    </row>
    <row r="1849" spans="2:11" x14ac:dyDescent="0.35">
      <c r="B1849" s="149" t="s">
        <v>848</v>
      </c>
      <c r="C1849" s="6" t="s">
        <v>226</v>
      </c>
      <c r="D1849" s="6">
        <v>258.36250000000001</v>
      </c>
      <c r="E1849" s="6" t="s">
        <v>1074</v>
      </c>
      <c r="F1849" s="114">
        <v>65.225590909090897</v>
      </c>
      <c r="G1849" s="76" t="s">
        <v>40</v>
      </c>
      <c r="H1849" s="160">
        <v>0.79640909090910839</v>
      </c>
      <c r="I1849" s="160">
        <v>-0.64732285477178497</v>
      </c>
      <c r="J1849" s="78">
        <v>12.292456323703675</v>
      </c>
      <c r="K1849" s="79">
        <v>0.93290221064415846</v>
      </c>
    </row>
    <row r="1850" spans="2:11" x14ac:dyDescent="0.35">
      <c r="B1850" s="149" t="s">
        <v>848</v>
      </c>
      <c r="C1850" s="6" t="s">
        <v>226</v>
      </c>
      <c r="D1850" s="6">
        <v>258.3725</v>
      </c>
      <c r="E1850" s="6" t="s">
        <v>1074</v>
      </c>
      <c r="F1850" s="114">
        <v>65.227954545454537</v>
      </c>
      <c r="G1850" s="76" t="s">
        <v>40</v>
      </c>
      <c r="H1850" s="160">
        <v>0.79404545454546849</v>
      </c>
      <c r="I1850" s="160">
        <v>-0.74669464522821705</v>
      </c>
      <c r="J1850" s="78">
        <v>12.742538268709779</v>
      </c>
      <c r="K1850" s="79">
        <v>1.3829841556502629</v>
      </c>
    </row>
    <row r="1851" spans="2:11" x14ac:dyDescent="0.35">
      <c r="B1851" s="149" t="s">
        <v>848</v>
      </c>
      <c r="C1851" s="6" t="s">
        <v>226</v>
      </c>
      <c r="D1851" s="6">
        <v>258.38249999999999</v>
      </c>
      <c r="E1851" s="6" t="s">
        <v>1074</v>
      </c>
      <c r="F1851" s="114">
        <v>65.230318181818177</v>
      </c>
      <c r="G1851" s="76" t="s">
        <v>40</v>
      </c>
      <c r="H1851" s="160">
        <v>0.79168181818182859</v>
      </c>
      <c r="I1851" s="160">
        <v>-0.73194290871369405</v>
      </c>
      <c r="J1851" s="78">
        <v>12.675631106154071</v>
      </c>
      <c r="K1851" s="79">
        <v>1.3160769930945548</v>
      </c>
    </row>
    <row r="1852" spans="2:11" x14ac:dyDescent="0.35">
      <c r="B1852" s="149" t="s">
        <v>848</v>
      </c>
      <c r="C1852" s="6" t="s">
        <v>226</v>
      </c>
      <c r="D1852" s="6">
        <v>258.39250000000004</v>
      </c>
      <c r="E1852" s="6" t="s">
        <v>1074</v>
      </c>
      <c r="F1852" s="114">
        <v>65.232681818181817</v>
      </c>
      <c r="G1852" s="76" t="s">
        <v>40</v>
      </c>
      <c r="H1852" s="160">
        <v>0.78931818181818869</v>
      </c>
      <c r="I1852" s="160">
        <v>-0.59913217219917103</v>
      </c>
      <c r="J1852" s="78">
        <v>12.074713514206735</v>
      </c>
      <c r="K1852" s="79">
        <v>0.71515940114721843</v>
      </c>
    </row>
    <row r="1853" spans="2:11" x14ac:dyDescent="0.35">
      <c r="B1853" s="149" t="s">
        <v>848</v>
      </c>
      <c r="C1853" s="6" t="s">
        <v>226</v>
      </c>
      <c r="D1853" s="6">
        <v>258.40250000000003</v>
      </c>
      <c r="E1853" s="6" t="s">
        <v>1074</v>
      </c>
      <c r="F1853" s="114">
        <v>65.235045454545457</v>
      </c>
      <c r="G1853" s="76" t="s">
        <v>40</v>
      </c>
      <c r="H1853" s="160">
        <v>0.78695454545454879</v>
      </c>
      <c r="I1853" s="160">
        <v>-0.53924243568464802</v>
      </c>
      <c r="J1853" s="78">
        <v>11.804587291024518</v>
      </c>
      <c r="K1853" s="79">
        <v>0.44503317796500141</v>
      </c>
    </row>
    <row r="1854" spans="2:11" x14ac:dyDescent="0.35">
      <c r="B1854" s="149" t="s">
        <v>848</v>
      </c>
      <c r="C1854" s="6" t="s">
        <v>226</v>
      </c>
      <c r="D1854" s="6">
        <v>258.41250000000002</v>
      </c>
      <c r="E1854" s="6" t="s">
        <v>1074</v>
      </c>
      <c r="F1854" s="114">
        <v>65.237409090909082</v>
      </c>
      <c r="G1854" s="76" t="s">
        <v>40</v>
      </c>
      <c r="H1854" s="160">
        <v>0.78459090909092311</v>
      </c>
      <c r="I1854" s="160">
        <v>-0.49088369917012498</v>
      </c>
      <c r="J1854" s="78">
        <v>11.586855270681497</v>
      </c>
      <c r="K1854" s="79">
        <v>0.22730115762198011</v>
      </c>
    </row>
    <row r="1855" spans="2:11" x14ac:dyDescent="0.35">
      <c r="B1855" s="149" t="s">
        <v>848</v>
      </c>
      <c r="C1855" s="6" t="s">
        <v>226</v>
      </c>
      <c r="D1855" s="6">
        <v>258.42250000000001</v>
      </c>
      <c r="E1855" s="6" t="s">
        <v>1074</v>
      </c>
      <c r="F1855" s="114">
        <v>65.239772727272722</v>
      </c>
      <c r="G1855" s="76" t="s">
        <v>40</v>
      </c>
      <c r="H1855" s="160">
        <v>0.78222727272728321</v>
      </c>
      <c r="I1855" s="160">
        <v>-0.34934096265560199</v>
      </c>
      <c r="J1855" s="78">
        <v>10.95153659859966</v>
      </c>
      <c r="K1855" s="79">
        <v>-0.40801751445985701</v>
      </c>
    </row>
    <row r="1856" spans="2:11" x14ac:dyDescent="0.35">
      <c r="B1856" s="149" t="s">
        <v>848</v>
      </c>
      <c r="C1856" s="6" t="s">
        <v>226</v>
      </c>
      <c r="D1856" s="6">
        <v>258.4325</v>
      </c>
      <c r="E1856" s="6" t="s">
        <v>1074</v>
      </c>
      <c r="F1856" s="114">
        <v>65.242136363636362</v>
      </c>
      <c r="G1856" s="76" t="s">
        <v>40</v>
      </c>
      <c r="H1856" s="160">
        <v>0.77986363636364331</v>
      </c>
      <c r="I1856" s="160">
        <v>-0.37148822614108001</v>
      </c>
      <c r="J1856" s="78">
        <v>11.050752139791939</v>
      </c>
      <c r="K1856" s="79">
        <v>-0.30880197326757752</v>
      </c>
    </row>
    <row r="1857" spans="2:11" x14ac:dyDescent="0.35">
      <c r="B1857" s="149" t="s">
        <v>848</v>
      </c>
      <c r="C1857" s="6" t="s">
        <v>226</v>
      </c>
      <c r="D1857" s="6">
        <v>258.4425</v>
      </c>
      <c r="E1857" s="6" t="s">
        <v>1074</v>
      </c>
      <c r="F1857" s="114">
        <v>65.244499999999988</v>
      </c>
      <c r="G1857" s="76" t="s">
        <v>40</v>
      </c>
      <c r="H1857" s="160">
        <v>0.77750000000001762</v>
      </c>
      <c r="I1857" s="160">
        <v>-0.24870948962655701</v>
      </c>
      <c r="J1857" s="78">
        <v>10.501625354537737</v>
      </c>
      <c r="K1857" s="79">
        <v>-0.85792875852177986</v>
      </c>
    </row>
    <row r="1858" spans="2:11" x14ac:dyDescent="0.35">
      <c r="B1858" s="149" t="s">
        <v>848</v>
      </c>
      <c r="C1858" s="6" t="s">
        <v>226</v>
      </c>
      <c r="D1858" s="6">
        <v>258.45249999999999</v>
      </c>
      <c r="E1858" s="6" t="s">
        <v>1074</v>
      </c>
      <c r="F1858" s="114">
        <v>65.246863636363628</v>
      </c>
      <c r="G1858" s="76" t="s">
        <v>40</v>
      </c>
      <c r="H1858" s="160">
        <v>0.77513636363637772</v>
      </c>
      <c r="I1858" s="160">
        <v>-0.28500275311203399</v>
      </c>
      <c r="J1858" s="78">
        <v>10.663718580259399</v>
      </c>
      <c r="K1858" s="79">
        <v>-0.69583553280011756</v>
      </c>
    </row>
    <row r="1859" spans="2:11" x14ac:dyDescent="0.35">
      <c r="B1859" s="149" t="s">
        <v>848</v>
      </c>
      <c r="C1859" s="6" t="s">
        <v>226</v>
      </c>
      <c r="D1859" s="6">
        <v>258.46249999999998</v>
      </c>
      <c r="E1859" s="6" t="s">
        <v>1074</v>
      </c>
      <c r="F1859" s="114">
        <v>65.249227272727254</v>
      </c>
      <c r="G1859" s="76" t="s">
        <v>40</v>
      </c>
      <c r="H1859" s="160">
        <v>0.77277272727275204</v>
      </c>
      <c r="I1859" s="160">
        <v>-0.31235369494518</v>
      </c>
      <c r="J1859" s="78">
        <v>10.785999905421022</v>
      </c>
      <c r="K1859" s="79">
        <v>-0.57355420763849452</v>
      </c>
    </row>
    <row r="1860" spans="2:11" x14ac:dyDescent="0.35">
      <c r="B1860" s="149" t="s">
        <v>848</v>
      </c>
      <c r="C1860" s="6" t="s">
        <v>226</v>
      </c>
      <c r="D1860" s="6">
        <v>258.47249999999997</v>
      </c>
      <c r="E1860" s="6" t="s">
        <v>1074</v>
      </c>
      <c r="F1860" s="114">
        <v>65.251590909090893</v>
      </c>
      <c r="G1860" s="76" t="s">
        <v>40</v>
      </c>
      <c r="H1860" s="160">
        <v>0.77040909090911214</v>
      </c>
      <c r="I1860" s="160">
        <v>-0.36628200733399802</v>
      </c>
      <c r="J1860" s="78">
        <v>11.027422839215319</v>
      </c>
      <c r="K1860" s="79">
        <v>-0.33213127384419749</v>
      </c>
    </row>
    <row r="1861" spans="2:11" x14ac:dyDescent="0.35">
      <c r="B1861" s="149" t="s">
        <v>848</v>
      </c>
      <c r="C1861" s="6" t="s">
        <v>226</v>
      </c>
      <c r="D1861" s="6">
        <v>258.48249999999996</v>
      </c>
      <c r="E1861" s="6" t="s">
        <v>1074</v>
      </c>
      <c r="F1861" s="114">
        <v>65.253954545454533</v>
      </c>
      <c r="G1861" s="76" t="s">
        <v>40</v>
      </c>
      <c r="H1861" s="160">
        <v>0.76804545454547224</v>
      </c>
      <c r="I1861" s="160">
        <v>-0.75544182286822104</v>
      </c>
      <c r="J1861" s="78">
        <v>12.782226747562561</v>
      </c>
      <c r="K1861" s="79">
        <v>1.4226726345030443</v>
      </c>
    </row>
    <row r="1862" spans="2:11" x14ac:dyDescent="0.35">
      <c r="B1862" s="149" t="s">
        <v>848</v>
      </c>
      <c r="C1862" s="6" t="s">
        <v>226</v>
      </c>
      <c r="D1862" s="6">
        <v>258.49250000000001</v>
      </c>
      <c r="E1862" s="6" t="s">
        <v>1074</v>
      </c>
      <c r="F1862" s="114">
        <v>65.256318181818173</v>
      </c>
      <c r="G1862" s="76" t="s">
        <v>40</v>
      </c>
      <c r="H1862" s="160">
        <v>0.76568181818183234</v>
      </c>
      <c r="I1862" s="160">
        <v>-0.74941126964387605</v>
      </c>
      <c r="J1862" s="78">
        <v>12.754863163846721</v>
      </c>
      <c r="K1862" s="79">
        <v>1.3953090507872048</v>
      </c>
    </row>
    <row r="1863" spans="2:11" x14ac:dyDescent="0.35">
      <c r="B1863" s="149" t="s">
        <v>848</v>
      </c>
      <c r="C1863" s="6" t="s">
        <v>226</v>
      </c>
      <c r="D1863" s="6">
        <v>258.5025</v>
      </c>
      <c r="E1863" s="6" t="s">
        <v>1074</v>
      </c>
      <c r="F1863" s="114">
        <v>65.258681818181813</v>
      </c>
      <c r="G1863" s="76" t="s">
        <v>40</v>
      </c>
      <c r="H1863" s="160">
        <v>0.76331818181819244</v>
      </c>
      <c r="I1863" s="160">
        <v>-0.677392641653209</v>
      </c>
      <c r="J1863" s="78">
        <v>12.428496269247319</v>
      </c>
      <c r="K1863" s="79">
        <v>1.0689421561878021</v>
      </c>
    </row>
    <row r="1864" spans="2:11" x14ac:dyDescent="0.35">
      <c r="B1864" s="149" t="s">
        <v>848</v>
      </c>
      <c r="C1864" s="6" t="s">
        <v>226</v>
      </c>
      <c r="D1864" s="6">
        <v>258.51249999999999</v>
      </c>
      <c r="E1864" s="6" t="s">
        <v>1074</v>
      </c>
      <c r="F1864" s="114">
        <v>65.261045454545439</v>
      </c>
      <c r="G1864" s="76" t="s">
        <v>40</v>
      </c>
      <c r="H1864" s="160">
        <v>0.76095454545456676</v>
      </c>
      <c r="I1864" s="160">
        <v>-0.65829361149547705</v>
      </c>
      <c r="J1864" s="78">
        <v>12.342074076065558</v>
      </c>
      <c r="K1864" s="79">
        <v>0.98251996300604105</v>
      </c>
    </row>
    <row r="1865" spans="2:11" x14ac:dyDescent="0.35">
      <c r="B1865" s="149" t="s">
        <v>848</v>
      </c>
      <c r="C1865" s="6" t="s">
        <v>226</v>
      </c>
      <c r="D1865" s="6">
        <v>258.52250000000004</v>
      </c>
      <c r="E1865" s="6" t="s">
        <v>1074</v>
      </c>
      <c r="F1865" s="114">
        <v>65.263409090909093</v>
      </c>
      <c r="G1865" s="76" t="s">
        <v>40</v>
      </c>
      <c r="H1865" s="160">
        <v>0.75859090909091265</v>
      </c>
      <c r="I1865" s="160">
        <v>-0.70000156400971303</v>
      </c>
      <c r="J1865" s="78">
        <v>12.530870346162544</v>
      </c>
      <c r="K1865" s="79">
        <v>1.1713162331030276</v>
      </c>
    </row>
    <row r="1866" spans="2:11" x14ac:dyDescent="0.35">
      <c r="B1866" s="149" t="s">
        <v>848</v>
      </c>
      <c r="C1866" s="6" t="s">
        <v>226</v>
      </c>
      <c r="D1866" s="6">
        <v>258.53250000000003</v>
      </c>
      <c r="E1866" s="6" t="s">
        <v>1074</v>
      </c>
      <c r="F1866" s="114">
        <v>65.265772727272719</v>
      </c>
      <c r="G1866" s="76" t="s">
        <v>40</v>
      </c>
      <c r="H1866" s="160">
        <v>0.75622727272728696</v>
      </c>
      <c r="I1866" s="160">
        <v>-0.65484136033398199</v>
      </c>
      <c r="J1866" s="78">
        <v>12.326458563245353</v>
      </c>
      <c r="K1866" s="79">
        <v>0.96690445018583659</v>
      </c>
    </row>
    <row r="1867" spans="2:11" x14ac:dyDescent="0.35">
      <c r="B1867" s="149" t="s">
        <v>848</v>
      </c>
      <c r="C1867" s="6" t="s">
        <v>226</v>
      </c>
      <c r="D1867" s="6">
        <v>258.54250000000002</v>
      </c>
      <c r="E1867" s="6" t="s">
        <v>1074</v>
      </c>
      <c r="F1867" s="114">
        <v>65.268136363636359</v>
      </c>
      <c r="G1867" s="76" t="s">
        <v>40</v>
      </c>
      <c r="H1867" s="160">
        <v>0.75386363636364706</v>
      </c>
      <c r="I1867" s="160">
        <v>-0.72130145869007301</v>
      </c>
      <c r="J1867" s="78">
        <v>12.627386385415832</v>
      </c>
      <c r="K1867" s="79">
        <v>1.2678322723563156</v>
      </c>
    </row>
    <row r="1868" spans="2:11" x14ac:dyDescent="0.35">
      <c r="B1868" s="149" t="s">
        <v>848</v>
      </c>
      <c r="C1868" s="6" t="s">
        <v>226</v>
      </c>
      <c r="D1868" s="6">
        <v>258.55250000000001</v>
      </c>
      <c r="E1868" s="6" t="s">
        <v>1074</v>
      </c>
      <c r="F1868" s="114">
        <v>65.270499999999998</v>
      </c>
      <c r="G1868" s="76" t="s">
        <v>40</v>
      </c>
      <c r="H1868" s="160">
        <v>0.75150000000000716</v>
      </c>
      <c r="I1868" s="160">
        <v>-0.75655873873912405</v>
      </c>
      <c r="J1868" s="78">
        <v>12.787295336806892</v>
      </c>
      <c r="K1868" s="79">
        <v>1.4277412237473754</v>
      </c>
    </row>
    <row r="1869" spans="2:11" x14ac:dyDescent="0.35">
      <c r="B1869" s="149" t="s">
        <v>848</v>
      </c>
      <c r="C1869" s="6" t="s">
        <v>226</v>
      </c>
      <c r="D1869" s="6">
        <v>258.5625</v>
      </c>
      <c r="E1869" s="6" t="s">
        <v>1074</v>
      </c>
      <c r="F1869" s="114">
        <v>65.272863636363624</v>
      </c>
      <c r="G1869" s="76" t="s">
        <v>40</v>
      </c>
      <c r="H1869" s="160">
        <v>0.74913636363638147</v>
      </c>
      <c r="I1869" s="160">
        <v>-0.84519341297693196</v>
      </c>
      <c r="J1869" s="78">
        <v>13.190113346472231</v>
      </c>
      <c r="K1869" s="79">
        <v>1.8305592334127141</v>
      </c>
    </row>
    <row r="1870" spans="2:11" x14ac:dyDescent="0.35">
      <c r="B1870" s="149" t="s">
        <v>848</v>
      </c>
      <c r="C1870" s="6" t="s">
        <v>226</v>
      </c>
      <c r="D1870" s="6">
        <v>258.57249999999999</v>
      </c>
      <c r="E1870" s="6" t="s">
        <v>1074</v>
      </c>
      <c r="F1870" s="114">
        <v>65.275227272727264</v>
      </c>
      <c r="G1870" s="76" t="s">
        <v>40</v>
      </c>
      <c r="H1870" s="160">
        <v>0.74677272727274158</v>
      </c>
      <c r="I1870" s="160">
        <v>-0.88333346055666995</v>
      </c>
      <c r="J1870" s="78">
        <v>13.363808924289629</v>
      </c>
      <c r="K1870" s="79">
        <v>2.004254811230112</v>
      </c>
    </row>
    <row r="1871" spans="2:11" x14ac:dyDescent="0.35">
      <c r="B1871" s="149" t="s">
        <v>848</v>
      </c>
      <c r="C1871" s="6" t="s">
        <v>226</v>
      </c>
      <c r="D1871" s="6">
        <v>258.58249999999998</v>
      </c>
      <c r="E1871" s="6" t="s">
        <v>1074</v>
      </c>
      <c r="F1871" s="114">
        <v>65.27759090909089</v>
      </c>
      <c r="G1871" s="76" t="s">
        <v>40</v>
      </c>
      <c r="H1871" s="160">
        <v>0.74440909090911589</v>
      </c>
      <c r="I1871" s="160">
        <v>-0.89444691373139695</v>
      </c>
      <c r="J1871" s="78">
        <v>13.414462183933097</v>
      </c>
      <c r="K1871" s="79">
        <v>2.0549080708735801</v>
      </c>
    </row>
    <row r="1872" spans="2:11" x14ac:dyDescent="0.35">
      <c r="B1872" s="149" t="s">
        <v>848</v>
      </c>
      <c r="C1872" s="6" t="s">
        <v>226</v>
      </c>
      <c r="D1872" s="6">
        <v>258.59249999999997</v>
      </c>
      <c r="E1872" s="6" t="s">
        <v>1074</v>
      </c>
      <c r="F1872" s="114">
        <v>65.27995454545453</v>
      </c>
      <c r="G1872" s="76" t="s">
        <v>40</v>
      </c>
      <c r="H1872" s="160">
        <v>0.74204545454547599</v>
      </c>
      <c r="I1872" s="160">
        <v>-0.84128824991012396</v>
      </c>
      <c r="J1872" s="78">
        <v>13.172340898786558</v>
      </c>
      <c r="K1872" s="79">
        <v>1.8127867857270417</v>
      </c>
    </row>
    <row r="1873" spans="2:11" x14ac:dyDescent="0.35">
      <c r="B1873" s="149" t="s">
        <v>848</v>
      </c>
      <c r="C1873" s="6" t="s">
        <v>226</v>
      </c>
      <c r="D1873" s="6">
        <v>258.60249999999996</v>
      </c>
      <c r="E1873" s="6" t="s">
        <v>1074</v>
      </c>
      <c r="F1873" s="114">
        <v>65.282318181818169</v>
      </c>
      <c r="G1873" s="76" t="s">
        <v>40</v>
      </c>
      <c r="H1873" s="160">
        <v>0.73968181818183609</v>
      </c>
      <c r="I1873" s="160">
        <v>-0.84858880962410899</v>
      </c>
      <c r="J1873" s="78">
        <v>13.205567690253474</v>
      </c>
      <c r="K1873" s="79">
        <v>1.8460135771939576</v>
      </c>
    </row>
    <row r="1874" spans="2:11" x14ac:dyDescent="0.35">
      <c r="B1874" s="149" t="s">
        <v>848</v>
      </c>
      <c r="C1874" s="6" t="s">
        <v>226</v>
      </c>
      <c r="D1874" s="6">
        <v>258.61250000000001</v>
      </c>
      <c r="E1874" s="6" t="s">
        <v>1074</v>
      </c>
      <c r="F1874" s="114">
        <v>65.284681818181809</v>
      </c>
      <c r="G1874" s="76" t="s">
        <v>40</v>
      </c>
      <c r="H1874" s="160">
        <v>0.73731818181819619</v>
      </c>
      <c r="I1874" s="160">
        <v>-0.76869525383802795</v>
      </c>
      <c r="J1874" s="78">
        <v>12.842383066750926</v>
      </c>
      <c r="K1874" s="79">
        <v>1.4828289536914099</v>
      </c>
    </row>
    <row r="1875" spans="2:11" x14ac:dyDescent="0.35">
      <c r="B1875" s="149" t="s">
        <v>848</v>
      </c>
      <c r="C1875" s="6" t="s">
        <v>226</v>
      </c>
      <c r="D1875" s="6">
        <v>258.6225</v>
      </c>
      <c r="E1875" s="6" t="s">
        <v>1074</v>
      </c>
      <c r="F1875" s="114">
        <v>65.287045454545449</v>
      </c>
      <c r="G1875" s="76" t="s">
        <v>40</v>
      </c>
      <c r="H1875" s="160">
        <v>0.7349545454545563</v>
      </c>
      <c r="I1875" s="160">
        <v>-0.70829800953718003</v>
      </c>
      <c r="J1875" s="78">
        <v>12.568455965436044</v>
      </c>
      <c r="K1875" s="79">
        <v>1.2089018523765276</v>
      </c>
    </row>
    <row r="1876" spans="2:11" x14ac:dyDescent="0.35">
      <c r="B1876" s="149" t="s">
        <v>848</v>
      </c>
      <c r="C1876" s="6" t="s">
        <v>226</v>
      </c>
      <c r="D1876" s="6">
        <v>258.64250000000004</v>
      </c>
      <c r="E1876" s="6" t="s">
        <v>1074</v>
      </c>
      <c r="F1876" s="114">
        <v>65.291772727272729</v>
      </c>
      <c r="G1876" s="76" t="s">
        <v>40</v>
      </c>
      <c r="H1876" s="160">
        <v>0.7302272727272765</v>
      </c>
      <c r="I1876" s="160">
        <v>-0.74950157191597999</v>
      </c>
      <c r="J1876" s="78">
        <v>12.755272869790986</v>
      </c>
      <c r="K1876" s="79">
        <v>1.3957187567314691</v>
      </c>
    </row>
    <row r="1877" spans="2:11" x14ac:dyDescent="0.35">
      <c r="B1877" s="149" t="s">
        <v>848</v>
      </c>
      <c r="C1877" s="6" t="s">
        <v>226</v>
      </c>
      <c r="D1877" s="6">
        <v>258.65250000000003</v>
      </c>
      <c r="E1877" s="6" t="s">
        <v>1074</v>
      </c>
      <c r="F1877" s="114">
        <v>65.294136363636369</v>
      </c>
      <c r="G1877" s="76" t="s">
        <v>40</v>
      </c>
      <c r="H1877" s="160">
        <v>0.7278636363636366</v>
      </c>
      <c r="I1877" s="160">
        <v>-0.59036357068751499</v>
      </c>
      <c r="J1877" s="78">
        <v>12.035130668774286</v>
      </c>
      <c r="K1877" s="79">
        <v>0.67557655571476971</v>
      </c>
    </row>
    <row r="1878" spans="2:11" x14ac:dyDescent="0.35">
      <c r="B1878" s="149" t="s">
        <v>848</v>
      </c>
      <c r="C1878" s="6" t="s">
        <v>226</v>
      </c>
      <c r="D1878" s="6">
        <v>258.66250000000002</v>
      </c>
      <c r="E1878" s="6" t="s">
        <v>1074</v>
      </c>
      <c r="F1878" s="114">
        <v>65.296499999999995</v>
      </c>
      <c r="G1878" s="76" t="s">
        <v>40</v>
      </c>
      <c r="H1878" s="160">
        <v>0.72550000000001091</v>
      </c>
      <c r="I1878" s="160">
        <v>-0.66220926427194204</v>
      </c>
      <c r="J1878" s="78">
        <v>12.359787819169867</v>
      </c>
      <c r="K1878" s="79">
        <v>1.0002337061103503</v>
      </c>
    </row>
    <row r="1879" spans="2:11" x14ac:dyDescent="0.35">
      <c r="B1879" s="149" t="s">
        <v>848</v>
      </c>
      <c r="C1879" s="6" t="s">
        <v>226</v>
      </c>
      <c r="D1879" s="6">
        <v>258.67250000000001</v>
      </c>
      <c r="E1879" s="6" t="s">
        <v>1074</v>
      </c>
      <c r="F1879" s="114">
        <v>65.298863636363635</v>
      </c>
      <c r="G1879" s="76" t="s">
        <v>40</v>
      </c>
      <c r="H1879" s="160">
        <v>0.72313636363637102</v>
      </c>
      <c r="I1879" s="160">
        <v>-0.69575162463762197</v>
      </c>
      <c r="J1879" s="78">
        <v>12.511620677712529</v>
      </c>
      <c r="K1879" s="79">
        <v>1.1520665646530119</v>
      </c>
    </row>
    <row r="1880" spans="2:11" x14ac:dyDescent="0.35">
      <c r="B1880" s="149" t="s">
        <v>848</v>
      </c>
      <c r="C1880" s="6" t="s">
        <v>226</v>
      </c>
      <c r="D1880" s="6">
        <v>258.6825</v>
      </c>
      <c r="E1880" s="6" t="s">
        <v>1074</v>
      </c>
      <c r="F1880" s="114">
        <v>65.30122727272726</v>
      </c>
      <c r="G1880" s="76" t="s">
        <v>40</v>
      </c>
      <c r="H1880" s="160">
        <v>0.72077272727274533</v>
      </c>
      <c r="I1880" s="160">
        <v>-0.69388276209778799</v>
      </c>
      <c r="J1880" s="78">
        <v>12.503156701854721</v>
      </c>
      <c r="K1880" s="79">
        <v>1.1436025887952042</v>
      </c>
    </row>
    <row r="1881" spans="2:11" x14ac:dyDescent="0.35">
      <c r="B1881" s="149" t="s">
        <v>848</v>
      </c>
      <c r="C1881" s="6" t="s">
        <v>226</v>
      </c>
      <c r="D1881" s="6">
        <v>258.6925</v>
      </c>
      <c r="E1881" s="6" t="s">
        <v>1074</v>
      </c>
      <c r="F1881" s="114">
        <v>65.3035909090909</v>
      </c>
      <c r="G1881" s="76" t="s">
        <v>40</v>
      </c>
      <c r="H1881" s="160">
        <v>0.71840909090910543</v>
      </c>
      <c r="I1881" s="160">
        <v>-0.77586641308422699</v>
      </c>
      <c r="J1881" s="78">
        <v>12.874943302573115</v>
      </c>
      <c r="K1881" s="79">
        <v>1.5153891895135985</v>
      </c>
    </row>
    <row r="1882" spans="2:11" x14ac:dyDescent="0.35">
      <c r="B1882" s="149" t="s">
        <v>848</v>
      </c>
      <c r="C1882" s="6" t="s">
        <v>226</v>
      </c>
      <c r="D1882" s="6">
        <v>258.70249999999999</v>
      </c>
      <c r="E1882" s="6" t="s">
        <v>1074</v>
      </c>
      <c r="F1882" s="114">
        <v>65.30595454545454</v>
      </c>
      <c r="G1882" s="76" t="s">
        <v>40</v>
      </c>
      <c r="H1882" s="160">
        <v>0.71604545454546553</v>
      </c>
      <c r="I1882" s="160">
        <v>-0.77057809204737104</v>
      </c>
      <c r="J1882" s="78">
        <v>12.850931244964556</v>
      </c>
      <c r="K1882" s="79">
        <v>1.4913771319050397</v>
      </c>
    </row>
    <row r="1883" spans="2:11" x14ac:dyDescent="0.35">
      <c r="B1883" s="149" t="s">
        <v>848</v>
      </c>
      <c r="C1883" s="6" t="s">
        <v>226</v>
      </c>
      <c r="D1883" s="6">
        <v>258.71249999999998</v>
      </c>
      <c r="E1883" s="6" t="s">
        <v>1074</v>
      </c>
      <c r="F1883" s="114">
        <v>65.308318181818166</v>
      </c>
      <c r="G1883" s="76" t="s">
        <v>40</v>
      </c>
      <c r="H1883" s="160">
        <v>0.71368181818183984</v>
      </c>
      <c r="I1883" s="160">
        <v>-0.879642317961429</v>
      </c>
      <c r="J1883" s="78">
        <v>13.346989399884819</v>
      </c>
      <c r="K1883" s="79">
        <v>1.9874352868253027</v>
      </c>
    </row>
    <row r="1884" spans="2:11" x14ac:dyDescent="0.35">
      <c r="B1884" s="149" t="s">
        <v>848</v>
      </c>
      <c r="C1884" s="6" t="s">
        <v>226</v>
      </c>
      <c r="D1884" s="6">
        <v>258.72249999999997</v>
      </c>
      <c r="E1884" s="6" t="s">
        <v>1074</v>
      </c>
      <c r="F1884" s="114">
        <v>65.310681818181806</v>
      </c>
      <c r="G1884" s="76" t="s">
        <v>40</v>
      </c>
      <c r="H1884" s="160">
        <v>0.71131818181819995</v>
      </c>
      <c r="I1884" s="160">
        <v>-0.84584293814469402</v>
      </c>
      <c r="J1884" s="78">
        <v>13.193069564663062</v>
      </c>
      <c r="K1884" s="79">
        <v>1.8335154516035459</v>
      </c>
    </row>
    <row r="1885" spans="2:11" x14ac:dyDescent="0.35">
      <c r="B1885" s="149" t="s">
        <v>848</v>
      </c>
      <c r="C1885" s="6" t="s">
        <v>226</v>
      </c>
      <c r="D1885" s="6">
        <v>258.73249999999996</v>
      </c>
      <c r="E1885" s="6" t="s">
        <v>1074</v>
      </c>
      <c r="F1885" s="114">
        <v>65.313045454545431</v>
      </c>
      <c r="G1885" s="76" t="s">
        <v>40</v>
      </c>
      <c r="H1885" s="160">
        <v>0.70895454545457426</v>
      </c>
      <c r="I1885" s="160">
        <v>-0.962797663159078</v>
      </c>
      <c r="J1885" s="78">
        <v>13.726400117367064</v>
      </c>
      <c r="K1885" s="79">
        <v>2.366846004307547</v>
      </c>
    </row>
    <row r="1886" spans="2:11" x14ac:dyDescent="0.35">
      <c r="B1886" s="149" t="s">
        <v>848</v>
      </c>
      <c r="C1886" s="6" t="s">
        <v>226</v>
      </c>
      <c r="D1886" s="6">
        <v>258.74250000000001</v>
      </c>
      <c r="E1886" s="6" t="s">
        <v>1074</v>
      </c>
      <c r="F1886" s="114">
        <v>65.315409090909085</v>
      </c>
      <c r="G1886" s="76" t="s">
        <v>40</v>
      </c>
      <c r="H1886" s="160">
        <v>0.70659090909092015</v>
      </c>
      <c r="I1886" s="160">
        <v>-0.92539612153761597</v>
      </c>
      <c r="J1886" s="78">
        <v>13.555620901029727</v>
      </c>
      <c r="K1886" s="79">
        <v>2.19606678797021</v>
      </c>
    </row>
    <row r="1887" spans="2:11" x14ac:dyDescent="0.35">
      <c r="B1887" s="149" t="s">
        <v>848</v>
      </c>
      <c r="C1887" s="6" t="s">
        <v>226</v>
      </c>
      <c r="D1887" s="6">
        <v>258.7525</v>
      </c>
      <c r="E1887" s="6" t="s">
        <v>1074</v>
      </c>
      <c r="F1887" s="114">
        <v>65.317772727272711</v>
      </c>
      <c r="G1887" s="76" t="s">
        <v>40</v>
      </c>
      <c r="H1887" s="160">
        <v>0.70422727272729446</v>
      </c>
      <c r="I1887" s="160">
        <v>-1.0168440114790369</v>
      </c>
      <c r="J1887" s="78">
        <v>13.973552246851625</v>
      </c>
      <c r="K1887" s="79">
        <v>2.6139981337921085</v>
      </c>
    </row>
    <row r="1888" spans="2:11" x14ac:dyDescent="0.35">
      <c r="B1888" s="149" t="s">
        <v>848</v>
      </c>
      <c r="C1888" s="6" t="s">
        <v>226</v>
      </c>
      <c r="D1888" s="6">
        <v>258.76249999999999</v>
      </c>
      <c r="E1888" s="6" t="s">
        <v>1074</v>
      </c>
      <c r="F1888" s="114">
        <v>65.320136363636351</v>
      </c>
      <c r="G1888" s="76" t="s">
        <v>40</v>
      </c>
      <c r="H1888" s="160">
        <v>0.70186363636365456</v>
      </c>
      <c r="I1888" s="160">
        <v>-0.95076946950954</v>
      </c>
      <c r="J1888" s="78">
        <v>13.671455283195826</v>
      </c>
      <c r="K1888" s="79">
        <v>2.3119011701363092</v>
      </c>
    </row>
    <row r="1889" spans="2:11" x14ac:dyDescent="0.35">
      <c r="B1889" s="149" t="s">
        <v>848</v>
      </c>
      <c r="C1889" s="6" t="s">
        <v>226</v>
      </c>
      <c r="D1889" s="6">
        <v>258.77250000000004</v>
      </c>
      <c r="E1889" s="6" t="s">
        <v>1074</v>
      </c>
      <c r="F1889" s="114">
        <v>65.322500000000005</v>
      </c>
      <c r="G1889" s="76" t="s">
        <v>40</v>
      </c>
      <c r="H1889" s="160">
        <v>0.69950000000000045</v>
      </c>
      <c r="I1889" s="160">
        <v>-0.92862988260076396</v>
      </c>
      <c r="J1889" s="78">
        <v>13.570378297751859</v>
      </c>
      <c r="K1889" s="79">
        <v>2.210824184692342</v>
      </c>
    </row>
    <row r="1890" spans="2:11" x14ac:dyDescent="0.35">
      <c r="B1890" s="149" t="s">
        <v>848</v>
      </c>
      <c r="C1890" s="6" t="s">
        <v>226</v>
      </c>
      <c r="D1890" s="6">
        <v>258.78250000000003</v>
      </c>
      <c r="E1890" s="6" t="s">
        <v>1074</v>
      </c>
      <c r="F1890" s="114">
        <v>65.324863636363631</v>
      </c>
      <c r="G1890" s="76" t="s">
        <v>40</v>
      </c>
      <c r="H1890" s="160">
        <v>0.69713636363637477</v>
      </c>
      <c r="I1890" s="160">
        <v>-0.94878092098358502</v>
      </c>
      <c r="J1890" s="78">
        <v>13.662373677044855</v>
      </c>
      <c r="K1890" s="79">
        <v>2.3028195639853379</v>
      </c>
    </row>
    <row r="1891" spans="2:11" x14ac:dyDescent="0.35">
      <c r="B1891" s="149" t="s">
        <v>848</v>
      </c>
      <c r="C1891" s="6" t="s">
        <v>226</v>
      </c>
      <c r="D1891" s="6">
        <v>258.79250000000002</v>
      </c>
      <c r="E1891" s="6" t="s">
        <v>1074</v>
      </c>
      <c r="F1891" s="114">
        <v>65.327227272727271</v>
      </c>
      <c r="G1891" s="76" t="s">
        <v>40</v>
      </c>
      <c r="H1891" s="160">
        <v>0.69477272727273487</v>
      </c>
      <c r="I1891" s="160">
        <v>-0.97986197713027201</v>
      </c>
      <c r="J1891" s="78">
        <v>13.804387230853422</v>
      </c>
      <c r="K1891" s="79">
        <v>2.4448331177939053</v>
      </c>
    </row>
    <row r="1892" spans="2:11" x14ac:dyDescent="0.35">
      <c r="B1892" s="149" t="s">
        <v>848</v>
      </c>
      <c r="C1892" s="6" t="s">
        <v>226</v>
      </c>
      <c r="D1892" s="6">
        <v>258.80250000000001</v>
      </c>
      <c r="E1892" s="6" t="s">
        <v>1074</v>
      </c>
      <c r="F1892" s="114">
        <v>65.330009615384611</v>
      </c>
      <c r="G1892" s="76" t="s">
        <v>40</v>
      </c>
      <c r="H1892" s="160">
        <v>0.69199038461539431</v>
      </c>
      <c r="I1892" s="160">
        <v>-0.93887988644689102</v>
      </c>
      <c r="J1892" s="78">
        <v>13.617164953070017</v>
      </c>
      <c r="K1892" s="79">
        <v>2.2576108400104999</v>
      </c>
    </row>
    <row r="1893" spans="2:11" x14ac:dyDescent="0.35">
      <c r="B1893" s="149" t="s">
        <v>848</v>
      </c>
      <c r="C1893" s="6" t="s">
        <v>226</v>
      </c>
      <c r="D1893" s="6">
        <v>258.8125</v>
      </c>
      <c r="E1893" s="6" t="s">
        <v>1074</v>
      </c>
      <c r="F1893" s="114">
        <v>65.334048076923068</v>
      </c>
      <c r="G1893" s="76" t="s">
        <v>40</v>
      </c>
      <c r="H1893" s="160">
        <v>0.68795192307693753</v>
      </c>
      <c r="I1893" s="160">
        <v>-0.91916329304029765</v>
      </c>
      <c r="J1893" s="78">
        <v>13.527181561276734</v>
      </c>
      <c r="K1893" s="79">
        <v>2.1676274482172175</v>
      </c>
    </row>
    <row r="1894" spans="2:11" x14ac:dyDescent="0.35">
      <c r="B1894" s="149" t="s">
        <v>848</v>
      </c>
      <c r="C1894" s="6" t="s">
        <v>226</v>
      </c>
      <c r="D1894" s="6">
        <v>258.82249999999999</v>
      </c>
      <c r="E1894" s="6" t="s">
        <v>1074</v>
      </c>
      <c r="F1894" s="114">
        <v>65.338086538461525</v>
      </c>
      <c r="G1894" s="76" t="s">
        <v>40</v>
      </c>
      <c r="H1894" s="160">
        <v>0.68391346153848076</v>
      </c>
      <c r="I1894" s="160">
        <v>-1.0114596996337042</v>
      </c>
      <c r="J1894" s="78">
        <v>13.948910272288856</v>
      </c>
      <c r="K1894" s="79">
        <v>2.5893561592293395</v>
      </c>
    </row>
    <row r="1895" spans="2:11" x14ac:dyDescent="0.35">
      <c r="B1895" s="149" t="s">
        <v>848</v>
      </c>
      <c r="C1895" s="6" t="s">
        <v>226</v>
      </c>
      <c r="D1895" s="6">
        <v>258.83249999999998</v>
      </c>
      <c r="E1895" s="6" t="s">
        <v>1074</v>
      </c>
      <c r="F1895" s="114">
        <v>65.342124999999982</v>
      </c>
      <c r="G1895" s="76" t="s">
        <v>40</v>
      </c>
      <c r="H1895" s="160">
        <v>0.67987500000002399</v>
      </c>
      <c r="I1895" s="160">
        <v>-1.0178141062271107</v>
      </c>
      <c r="J1895" s="78">
        <v>13.977992470288939</v>
      </c>
      <c r="K1895" s="79">
        <v>2.6184383572294223</v>
      </c>
    </row>
    <row r="1896" spans="2:11" x14ac:dyDescent="0.35">
      <c r="B1896" s="149" t="s">
        <v>848</v>
      </c>
      <c r="C1896" s="6" t="s">
        <v>226</v>
      </c>
      <c r="D1896" s="6">
        <v>258.85249999999996</v>
      </c>
      <c r="E1896" s="6" t="s">
        <v>1074</v>
      </c>
      <c r="F1896" s="114">
        <v>65.350201923076895</v>
      </c>
      <c r="G1896" s="76" t="s">
        <v>40</v>
      </c>
      <c r="H1896" s="160">
        <v>0.67179807692311044</v>
      </c>
      <c r="I1896" s="160">
        <v>-0.99922791941392397</v>
      </c>
      <c r="J1896" s="78">
        <v>13.892946213992673</v>
      </c>
      <c r="K1896" s="79">
        <v>2.5333921009331561</v>
      </c>
    </row>
    <row r="1897" spans="2:11" x14ac:dyDescent="0.35">
      <c r="B1897" s="149" t="s">
        <v>848</v>
      </c>
      <c r="C1897" s="6" t="s">
        <v>226</v>
      </c>
      <c r="D1897" s="6">
        <v>258.86250000000001</v>
      </c>
      <c r="E1897" s="6" t="s">
        <v>1074</v>
      </c>
      <c r="F1897" s="114">
        <v>65.35424038461538</v>
      </c>
      <c r="G1897" s="76" t="s">
        <v>40</v>
      </c>
      <c r="H1897" s="160">
        <v>0.66775961538462525</v>
      </c>
      <c r="I1897" s="160">
        <v>-1.1258073260073305</v>
      </c>
      <c r="J1897" s="78">
        <v>14.473175674884146</v>
      </c>
      <c r="K1897" s="79">
        <v>3.1136215618246297</v>
      </c>
    </row>
    <row r="1898" spans="2:11" x14ac:dyDescent="0.35">
      <c r="B1898" s="149" t="s">
        <v>848</v>
      </c>
      <c r="C1898" s="6" t="s">
        <v>226</v>
      </c>
      <c r="D1898" s="6">
        <v>258.8725</v>
      </c>
      <c r="E1898" s="6" t="s">
        <v>1074</v>
      </c>
      <c r="F1898" s="114">
        <v>65.358278846153837</v>
      </c>
      <c r="G1898" s="76" t="s">
        <v>40</v>
      </c>
      <c r="H1898" s="160">
        <v>0.66372115384616848</v>
      </c>
      <c r="I1898" s="160">
        <v>-1.023120732600737</v>
      </c>
      <c r="J1898" s="78">
        <v>14.002283951837342</v>
      </c>
      <c r="K1898" s="79">
        <v>2.6427298387778251</v>
      </c>
    </row>
    <row r="1899" spans="2:11" x14ac:dyDescent="0.35">
      <c r="B1899" s="149" t="s">
        <v>848</v>
      </c>
      <c r="C1899" s="6" t="s">
        <v>226</v>
      </c>
      <c r="D1899" s="6">
        <v>258.88249999999999</v>
      </c>
      <c r="E1899" s="6" t="s">
        <v>1074</v>
      </c>
      <c r="F1899" s="114">
        <v>65.362317307692294</v>
      </c>
      <c r="G1899" s="76" t="s">
        <v>40</v>
      </c>
      <c r="H1899" s="160">
        <v>0.6596826923077117</v>
      </c>
      <c r="I1899" s="160">
        <v>-0.89873800000000004</v>
      </c>
      <c r="J1899" s="78">
        <v>13.434025180925516</v>
      </c>
      <c r="K1899" s="79">
        <v>2.0744710678659999</v>
      </c>
    </row>
    <row r="1900" spans="2:11" x14ac:dyDescent="0.35">
      <c r="B1900" s="149" t="s">
        <v>848</v>
      </c>
      <c r="C1900" s="6" t="s">
        <v>226</v>
      </c>
      <c r="D1900" s="6">
        <v>258.89250000000004</v>
      </c>
      <c r="E1900" s="6" t="s">
        <v>1074</v>
      </c>
      <c r="F1900" s="114">
        <v>65.366355769230779</v>
      </c>
      <c r="G1900" s="76" t="s">
        <v>40</v>
      </c>
      <c r="H1900" s="160">
        <v>0.65564423076922651</v>
      </c>
      <c r="I1900" s="160">
        <v>-0.85729799999999989</v>
      </c>
      <c r="J1900" s="78">
        <v>13.245215941305446</v>
      </c>
      <c r="K1900" s="79">
        <v>1.8856618282459294</v>
      </c>
    </row>
    <row r="1901" spans="2:11" x14ac:dyDescent="0.35">
      <c r="B1901" s="149" t="s">
        <v>848</v>
      </c>
      <c r="C1901" s="6" t="s">
        <v>226</v>
      </c>
      <c r="D1901" s="6">
        <v>258.90250000000003</v>
      </c>
      <c r="E1901" s="6" t="s">
        <v>1074</v>
      </c>
      <c r="F1901" s="114">
        <v>65.370394230769236</v>
      </c>
      <c r="G1901" s="76" t="s">
        <v>40</v>
      </c>
      <c r="H1901" s="160">
        <v>0.65160576923076974</v>
      </c>
      <c r="I1901" s="160">
        <v>-0.79117799999999994</v>
      </c>
      <c r="J1901" s="78">
        <v>12.944490285180677</v>
      </c>
      <c r="K1901" s="79">
        <v>1.5849361721211608</v>
      </c>
    </row>
    <row r="1902" spans="2:11" x14ac:dyDescent="0.35">
      <c r="B1902" s="149" t="s">
        <v>848</v>
      </c>
      <c r="C1902" s="6" t="s">
        <v>226</v>
      </c>
      <c r="D1902" s="6">
        <v>258.91250000000002</v>
      </c>
      <c r="E1902" s="6" t="s">
        <v>1074</v>
      </c>
      <c r="F1902" s="114">
        <v>65.374432692307693</v>
      </c>
      <c r="G1902" s="76" t="s">
        <v>40</v>
      </c>
      <c r="H1902" s="160">
        <v>0.64756730769231297</v>
      </c>
      <c r="I1902" s="160">
        <v>-0.87433800000000006</v>
      </c>
      <c r="J1902" s="78">
        <v>13.322822644192456</v>
      </c>
      <c r="K1902" s="79">
        <v>1.9632685311329396</v>
      </c>
    </row>
    <row r="1903" spans="2:11" x14ac:dyDescent="0.35">
      <c r="B1903" s="149" t="s">
        <v>848</v>
      </c>
      <c r="C1903" s="6" t="s">
        <v>226</v>
      </c>
      <c r="D1903" s="6">
        <v>258.92250000000001</v>
      </c>
      <c r="E1903" s="6" t="s">
        <v>1074</v>
      </c>
      <c r="F1903" s="114">
        <v>65.378471153846149</v>
      </c>
      <c r="G1903" s="76" t="s">
        <v>40</v>
      </c>
      <c r="H1903" s="160">
        <v>0.64352884615385619</v>
      </c>
      <c r="I1903" s="160">
        <v>-0.82921800000000001</v>
      </c>
      <c r="J1903" s="78">
        <v>13.117423419110366</v>
      </c>
      <c r="K1903" s="79">
        <v>1.7578693060508499</v>
      </c>
    </row>
    <row r="1904" spans="2:11" x14ac:dyDescent="0.35">
      <c r="B1904" s="149" t="s">
        <v>848</v>
      </c>
      <c r="C1904" s="6" t="s">
        <v>226</v>
      </c>
      <c r="D1904" s="6">
        <v>258.9325</v>
      </c>
      <c r="E1904" s="6" t="s">
        <v>1074</v>
      </c>
      <c r="F1904" s="114">
        <v>65.382509615384606</v>
      </c>
      <c r="G1904" s="76" t="s">
        <v>40</v>
      </c>
      <c r="H1904" s="160">
        <v>0.63949038461539942</v>
      </c>
      <c r="I1904" s="160">
        <v>-0.83601799999999993</v>
      </c>
      <c r="J1904" s="78">
        <v>13.148359530775963</v>
      </c>
      <c r="K1904" s="79">
        <v>1.7888054177164463</v>
      </c>
    </row>
    <row r="1905" spans="2:11" x14ac:dyDescent="0.35">
      <c r="B1905" s="149" t="s">
        <v>848</v>
      </c>
      <c r="C1905" s="6" t="s">
        <v>226</v>
      </c>
      <c r="D1905" s="6">
        <v>258.9425</v>
      </c>
      <c r="E1905" s="6" t="s">
        <v>1074</v>
      </c>
      <c r="F1905" s="114">
        <v>65.386548076923063</v>
      </c>
      <c r="G1905" s="76" t="s">
        <v>40</v>
      </c>
      <c r="H1905" s="160">
        <v>0.63545192307694265</v>
      </c>
      <c r="I1905" s="160">
        <v>-0.833588</v>
      </c>
      <c r="J1905" s="78">
        <v>13.137303628369978</v>
      </c>
      <c r="K1905" s="79">
        <v>1.777749515310461</v>
      </c>
    </row>
    <row r="1906" spans="2:11" x14ac:dyDescent="0.35">
      <c r="B1906" s="149" t="s">
        <v>848</v>
      </c>
      <c r="C1906" s="6" t="s">
        <v>226</v>
      </c>
      <c r="D1906" s="6">
        <v>258.95249999999999</v>
      </c>
      <c r="E1906" s="6" t="s">
        <v>1074</v>
      </c>
      <c r="F1906" s="114">
        <v>65.39058653846152</v>
      </c>
      <c r="G1906" s="76" t="s">
        <v>40</v>
      </c>
      <c r="H1906" s="160">
        <v>0.63141346153848588</v>
      </c>
      <c r="I1906" s="160">
        <v>-0.80310799999999993</v>
      </c>
      <c r="J1906" s="78">
        <v>12.998701897507772</v>
      </c>
      <c r="K1906" s="79">
        <v>1.6391477844482552</v>
      </c>
    </row>
    <row r="1907" spans="2:11" x14ac:dyDescent="0.35">
      <c r="B1907" s="149" t="s">
        <v>848</v>
      </c>
      <c r="C1907" s="6" t="s">
        <v>226</v>
      </c>
      <c r="D1907" s="6">
        <v>258.96249999999998</v>
      </c>
      <c r="E1907" s="6" t="s">
        <v>1074</v>
      </c>
      <c r="F1907" s="114">
        <v>65.394624999999991</v>
      </c>
      <c r="G1907" s="76" t="s">
        <v>40</v>
      </c>
      <c r="H1907" s="160">
        <v>0.62737500000001489</v>
      </c>
      <c r="I1907" s="160">
        <v>-0.83079799999999993</v>
      </c>
      <c r="J1907" s="78">
        <v>13.124610900613106</v>
      </c>
      <c r="K1907" s="79">
        <v>1.7650567875535899</v>
      </c>
    </row>
    <row r="1908" spans="2:11" x14ac:dyDescent="0.35">
      <c r="B1908" s="149" t="s">
        <v>848</v>
      </c>
      <c r="C1908" s="6" t="s">
        <v>226</v>
      </c>
      <c r="D1908" s="6">
        <v>258.97249999999997</v>
      </c>
      <c r="E1908" s="6" t="s">
        <v>1074</v>
      </c>
      <c r="F1908" s="114">
        <v>65.398663461538447</v>
      </c>
      <c r="G1908" s="76" t="s">
        <v>40</v>
      </c>
      <c r="H1908" s="160">
        <v>0.62333653846155812</v>
      </c>
      <c r="I1908" s="160">
        <v>-0.81347203632552878</v>
      </c>
      <c r="J1908" s="78">
        <v>13.045814753945706</v>
      </c>
      <c r="K1908" s="79">
        <v>1.6862606408861893</v>
      </c>
    </row>
    <row r="1909" spans="2:11" x14ac:dyDescent="0.35">
      <c r="B1909" s="149" t="s">
        <v>848</v>
      </c>
      <c r="C1909" s="6" t="s">
        <v>226</v>
      </c>
      <c r="D1909" s="6">
        <v>258.98249999999996</v>
      </c>
      <c r="E1909" s="6" t="s">
        <v>1074</v>
      </c>
      <c r="F1909" s="114">
        <v>65.402701923076904</v>
      </c>
      <c r="G1909" s="76" t="s">
        <v>40</v>
      </c>
      <c r="H1909" s="160">
        <v>0.61929807692310135</v>
      </c>
      <c r="I1909" s="160">
        <v>-0.80303305710792516</v>
      </c>
      <c r="J1909" s="78">
        <v>12.998361280229346</v>
      </c>
      <c r="K1909" s="79">
        <v>1.6388071671698299</v>
      </c>
    </row>
    <row r="1910" spans="2:11" x14ac:dyDescent="0.35">
      <c r="B1910" s="149" t="s">
        <v>848</v>
      </c>
      <c r="C1910" s="6" t="s">
        <v>226</v>
      </c>
      <c r="D1910" s="6">
        <v>258.99250000000001</v>
      </c>
      <c r="E1910" s="6" t="s">
        <v>1074</v>
      </c>
      <c r="F1910" s="114">
        <v>65.406740384615375</v>
      </c>
      <c r="G1910" s="76" t="s">
        <v>40</v>
      </c>
      <c r="H1910" s="160">
        <v>0.61525961538463037</v>
      </c>
      <c r="I1910" s="160">
        <v>-0.85628407789032113</v>
      </c>
      <c r="J1910" s="78">
        <v>13.240599517801741</v>
      </c>
      <c r="K1910" s="79">
        <v>1.881045404742224</v>
      </c>
    </row>
    <row r="1911" spans="2:11" x14ac:dyDescent="0.35">
      <c r="B1911" s="149" t="s">
        <v>848</v>
      </c>
      <c r="C1911" s="6" t="s">
        <v>226</v>
      </c>
      <c r="D1911" s="6">
        <v>259.0025</v>
      </c>
      <c r="E1911" s="6" t="s">
        <v>1074</v>
      </c>
      <c r="F1911" s="114">
        <v>65.410778846153846</v>
      </c>
      <c r="G1911" s="76" t="s">
        <v>40</v>
      </c>
      <c r="H1911" s="160">
        <v>0.61122115384615938</v>
      </c>
      <c r="I1911" s="160">
        <v>-0.80831509867271722</v>
      </c>
      <c r="J1911" s="78">
        <v>13.022370336659321</v>
      </c>
      <c r="K1911" s="79">
        <v>1.6628162235998047</v>
      </c>
    </row>
    <row r="1912" spans="2:11" x14ac:dyDescent="0.35">
      <c r="B1912" s="149" t="s">
        <v>848</v>
      </c>
      <c r="C1912" s="6" t="s">
        <v>226</v>
      </c>
      <c r="D1912" s="6">
        <v>259.01249999999999</v>
      </c>
      <c r="E1912" s="6" t="s">
        <v>1074</v>
      </c>
      <c r="F1912" s="114">
        <v>65.414817307692303</v>
      </c>
      <c r="G1912" s="76" t="s">
        <v>40</v>
      </c>
      <c r="H1912" s="160">
        <v>0.60718269230770261</v>
      </c>
      <c r="I1912" s="160">
        <v>-0.81086905994718605</v>
      </c>
      <c r="J1912" s="78">
        <v>13.033980634094746</v>
      </c>
      <c r="K1912" s="79">
        <v>1.6744265210352296</v>
      </c>
    </row>
    <row r="1913" spans="2:11" x14ac:dyDescent="0.35">
      <c r="B1913" s="149" t="s">
        <v>848</v>
      </c>
      <c r="C1913" s="6" t="s">
        <v>226</v>
      </c>
      <c r="D1913" s="6">
        <v>259.02250000000004</v>
      </c>
      <c r="E1913" s="6" t="s">
        <v>1074</v>
      </c>
      <c r="F1913" s="114">
        <v>65.418855769230774</v>
      </c>
      <c r="G1913" s="76" t="s">
        <v>40</v>
      </c>
      <c r="H1913" s="160">
        <v>0.60314423076923163</v>
      </c>
      <c r="I1913" s="160">
        <v>-0.82779973279865304</v>
      </c>
      <c r="J1913" s="78">
        <v>13.11097198346431</v>
      </c>
      <c r="K1913" s="79">
        <v>1.7514178704047936</v>
      </c>
    </row>
    <row r="1914" spans="2:11" x14ac:dyDescent="0.35">
      <c r="B1914" s="149" t="s">
        <v>848</v>
      </c>
      <c r="C1914" s="6" t="s">
        <v>226</v>
      </c>
      <c r="D1914" s="6">
        <v>259.03250000000003</v>
      </c>
      <c r="E1914" s="6" t="s">
        <v>1074</v>
      </c>
      <c r="F1914" s="114">
        <v>65.422894230769231</v>
      </c>
      <c r="G1914" s="76" t="s">
        <v>40</v>
      </c>
      <c r="H1914" s="160">
        <v>0.59910576923077485</v>
      </c>
      <c r="I1914" s="160">
        <v>-0.83029892051787102</v>
      </c>
      <c r="J1914" s="78">
        <v>13.122340528396194</v>
      </c>
      <c r="K1914" s="79">
        <v>1.7627864153366772</v>
      </c>
    </row>
    <row r="1915" spans="2:11" x14ac:dyDescent="0.35">
      <c r="B1915" s="149" t="s">
        <v>848</v>
      </c>
      <c r="C1915" s="6" t="s">
        <v>226</v>
      </c>
      <c r="D1915" s="6">
        <v>259.04250000000002</v>
      </c>
      <c r="E1915" s="6" t="s">
        <v>1074</v>
      </c>
      <c r="F1915" s="114">
        <v>65.426932692307702</v>
      </c>
      <c r="G1915" s="76" t="s">
        <v>40</v>
      </c>
      <c r="H1915" s="160">
        <v>0.59506730769230387</v>
      </c>
      <c r="I1915" s="160">
        <v>-0.76278537026695203</v>
      </c>
      <c r="J1915" s="78">
        <v>12.815555327636616</v>
      </c>
      <c r="K1915" s="79">
        <v>1.4560012145770997</v>
      </c>
    </row>
    <row r="1916" spans="2:11" x14ac:dyDescent="0.35">
      <c r="B1916" s="149" t="s">
        <v>848</v>
      </c>
      <c r="C1916" s="6" t="s">
        <v>226</v>
      </c>
      <c r="D1916" s="6">
        <v>259.05250000000001</v>
      </c>
      <c r="E1916" s="6" t="s">
        <v>1074</v>
      </c>
      <c r="F1916" s="114">
        <v>65.430971153846158</v>
      </c>
      <c r="G1916" s="76" t="s">
        <v>40</v>
      </c>
      <c r="H1916" s="160">
        <v>0.5910288461538471</v>
      </c>
      <c r="I1916" s="160">
        <v>-0.76013149424023696</v>
      </c>
      <c r="J1916" s="78">
        <v>12.803509826175969</v>
      </c>
      <c r="K1916" s="79">
        <v>1.443955713116452</v>
      </c>
    </row>
    <row r="1917" spans="2:11" x14ac:dyDescent="0.35">
      <c r="B1917" s="149" t="s">
        <v>848</v>
      </c>
      <c r="C1917" s="6" t="s">
        <v>226</v>
      </c>
      <c r="D1917" s="6">
        <v>259.0625</v>
      </c>
      <c r="E1917" s="6" t="s">
        <v>1074</v>
      </c>
      <c r="F1917" s="114">
        <v>65.434400862068969</v>
      </c>
      <c r="G1917" s="76" t="s">
        <v>40</v>
      </c>
      <c r="H1917" s="160">
        <v>0.58759913793103635</v>
      </c>
      <c r="I1917" s="160">
        <v>-0.846454129050358</v>
      </c>
      <c r="J1917" s="78">
        <v>13.195851367600483</v>
      </c>
      <c r="K1917" s="79">
        <v>1.8362972545409662</v>
      </c>
    </row>
    <row r="1918" spans="2:11" x14ac:dyDescent="0.35">
      <c r="B1918" s="149" t="s">
        <v>848</v>
      </c>
      <c r="C1918" s="6" t="s">
        <v>226</v>
      </c>
      <c r="D1918" s="6">
        <v>259.07249999999999</v>
      </c>
      <c r="E1918" s="6" t="s">
        <v>1074</v>
      </c>
      <c r="F1918" s="114">
        <v>65.436004310344828</v>
      </c>
      <c r="G1918" s="76" t="s">
        <v>40</v>
      </c>
      <c r="H1918" s="160">
        <v>0.5859956896551779</v>
      </c>
      <c r="I1918" s="160">
        <v>-0.84919311486073801</v>
      </c>
      <c r="J1918" s="78">
        <v>13.208318400791995</v>
      </c>
      <c r="K1918" s="79">
        <v>1.8487642877324788</v>
      </c>
    </row>
    <row r="1919" spans="2:11" x14ac:dyDescent="0.35">
      <c r="B1919" s="149" t="s">
        <v>848</v>
      </c>
      <c r="C1919" s="6" t="s">
        <v>226</v>
      </c>
      <c r="D1919" s="6">
        <v>259.08249999999998</v>
      </c>
      <c r="E1919" s="6" t="s">
        <v>1074</v>
      </c>
      <c r="F1919" s="114">
        <v>65.437607758620686</v>
      </c>
      <c r="G1919" s="76" t="s">
        <v>40</v>
      </c>
      <c r="H1919" s="160">
        <v>0.58439224137931944</v>
      </c>
      <c r="I1919" s="160">
        <v>-0.76339262445099998</v>
      </c>
      <c r="J1919" s="78">
        <v>12.818311700449328</v>
      </c>
      <c r="K1919" s="79">
        <v>1.4587575873898118</v>
      </c>
    </row>
    <row r="1920" spans="2:11" x14ac:dyDescent="0.35">
      <c r="B1920" s="149" t="s">
        <v>848</v>
      </c>
      <c r="C1920" s="6" t="s">
        <v>226</v>
      </c>
      <c r="D1920" s="6">
        <v>259.09249999999997</v>
      </c>
      <c r="E1920" s="6" t="s">
        <v>1074</v>
      </c>
      <c r="F1920" s="114">
        <v>65.439211206896545</v>
      </c>
      <c r="G1920" s="76" t="s">
        <v>40</v>
      </c>
      <c r="H1920" s="160">
        <v>0.58278879310346099</v>
      </c>
      <c r="I1920" s="160">
        <v>-0.76319174794712497</v>
      </c>
      <c r="J1920" s="78">
        <v>12.817399900690305</v>
      </c>
      <c r="K1920" s="79">
        <v>1.457845787630788</v>
      </c>
    </row>
    <row r="1921" spans="2:11" x14ac:dyDescent="0.35">
      <c r="B1921" s="149" t="s">
        <v>848</v>
      </c>
      <c r="C1921" s="6" t="s">
        <v>226</v>
      </c>
      <c r="D1921" s="6">
        <v>259.10249999999996</v>
      </c>
      <c r="E1921" s="6" t="s">
        <v>1074</v>
      </c>
      <c r="F1921" s="114">
        <v>65.440814655172403</v>
      </c>
      <c r="G1921" s="76" t="s">
        <v>40</v>
      </c>
      <c r="H1921" s="160">
        <v>0.58118534482760253</v>
      </c>
      <c r="I1921" s="160">
        <v>-0.76590270540919603</v>
      </c>
      <c r="J1921" s="78">
        <v>12.829705729909165</v>
      </c>
      <c r="K1921" s="79">
        <v>1.4701516168496482</v>
      </c>
    </row>
    <row r="1922" spans="2:11" x14ac:dyDescent="0.35">
      <c r="B1922" s="149" t="s">
        <v>848</v>
      </c>
      <c r="C1922" s="6" t="s">
        <v>226</v>
      </c>
      <c r="D1922" s="6">
        <v>259.11250000000001</v>
      </c>
      <c r="E1922" s="6" t="s">
        <v>1074</v>
      </c>
      <c r="F1922" s="114">
        <v>65.442418103448276</v>
      </c>
      <c r="G1922" s="76" t="s">
        <v>40</v>
      </c>
      <c r="H1922" s="160">
        <v>0.57958189655172987</v>
      </c>
      <c r="I1922" s="160">
        <v>-0.73399138606731396</v>
      </c>
      <c r="J1922" s="78">
        <v>12.684920135539357</v>
      </c>
      <c r="K1922" s="79">
        <v>1.3253660224798409</v>
      </c>
    </row>
    <row r="1923" spans="2:11" x14ac:dyDescent="0.35">
      <c r="B1923" s="149" t="s">
        <v>848</v>
      </c>
      <c r="C1923" s="6" t="s">
        <v>226</v>
      </c>
      <c r="D1923" s="6">
        <v>259.1225</v>
      </c>
      <c r="E1923" s="6" t="s">
        <v>1074</v>
      </c>
      <c r="F1923" s="114">
        <v>65.444021551724134</v>
      </c>
      <c r="G1923" s="76" t="s">
        <v>40</v>
      </c>
      <c r="H1923" s="160">
        <v>0.57797844827587141</v>
      </c>
      <c r="I1923" s="160">
        <v>-0.80620641888160804</v>
      </c>
      <c r="J1923" s="78">
        <v>13.012785019348883</v>
      </c>
      <c r="K1923" s="79">
        <v>1.653230906289366</v>
      </c>
    </row>
    <row r="1924" spans="2:11" x14ac:dyDescent="0.35">
      <c r="B1924" s="149" t="s">
        <v>848</v>
      </c>
      <c r="C1924" s="6" t="s">
        <v>226</v>
      </c>
      <c r="D1924" s="6">
        <v>259.13249999999999</v>
      </c>
      <c r="E1924" s="6" t="s">
        <v>1074</v>
      </c>
      <c r="F1924" s="114">
        <v>65.445624999999993</v>
      </c>
      <c r="G1924" s="76" t="s">
        <v>40</v>
      </c>
      <c r="H1924" s="160">
        <v>0.57637500000001296</v>
      </c>
      <c r="I1924" s="160">
        <v>-0.71290367390040199</v>
      </c>
      <c r="J1924" s="78">
        <v>12.58932553964479</v>
      </c>
      <c r="K1924" s="79">
        <v>1.2297714265852733</v>
      </c>
    </row>
    <row r="1925" spans="2:11" x14ac:dyDescent="0.35">
      <c r="B1925" s="149" t="s">
        <v>848</v>
      </c>
      <c r="C1925" s="6" t="s">
        <v>226</v>
      </c>
      <c r="D1925" s="6">
        <v>259.14250000000004</v>
      </c>
      <c r="E1925" s="6" t="s">
        <v>1074</v>
      </c>
      <c r="F1925" s="114">
        <v>65.447228448275865</v>
      </c>
      <c r="G1925" s="76" t="s">
        <v>40</v>
      </c>
      <c r="H1925" s="160">
        <v>0.57477155172414029</v>
      </c>
      <c r="I1925" s="160">
        <v>-0.52829451493081203</v>
      </c>
      <c r="J1925" s="78">
        <v>11.755264922858487</v>
      </c>
      <c r="K1925" s="79">
        <v>0.39571080979897033</v>
      </c>
    </row>
    <row r="1926" spans="2:11" x14ac:dyDescent="0.35">
      <c r="B1926" s="149" t="s">
        <v>848</v>
      </c>
      <c r="C1926" s="6" t="s">
        <v>226</v>
      </c>
      <c r="D1926" s="6">
        <v>259.15250000000003</v>
      </c>
      <c r="E1926" s="6" t="s">
        <v>1074</v>
      </c>
      <c r="F1926" s="114">
        <v>65.448831896551724</v>
      </c>
      <c r="G1926" s="76" t="s">
        <v>40</v>
      </c>
      <c r="H1926" s="160">
        <v>0.57316810344828184</v>
      </c>
      <c r="I1926" s="160">
        <v>-0.43378694513231703</v>
      </c>
      <c r="J1926" s="78">
        <v>11.330222394217174</v>
      </c>
      <c r="K1926" s="79">
        <v>-2.933171884234298E-2</v>
      </c>
    </row>
    <row r="1927" spans="2:11" x14ac:dyDescent="0.35">
      <c r="B1927" s="149" t="s">
        <v>848</v>
      </c>
      <c r="C1927" s="6" t="s">
        <v>226</v>
      </c>
      <c r="D1927" s="6">
        <v>259.16250000000002</v>
      </c>
      <c r="E1927" s="6" t="s">
        <v>1074</v>
      </c>
      <c r="F1927" s="114">
        <v>65.450435344827582</v>
      </c>
      <c r="G1927" s="76" t="s">
        <v>40</v>
      </c>
      <c r="H1927" s="160">
        <v>0.57156465517242339</v>
      </c>
      <c r="I1927" s="160">
        <v>-0.61917237533382197</v>
      </c>
      <c r="J1927" s="78">
        <v>12.165220711808217</v>
      </c>
      <c r="K1927" s="79">
        <v>0.80566659874870084</v>
      </c>
    </row>
    <row r="1928" spans="2:11" x14ac:dyDescent="0.35">
      <c r="B1928" s="149" t="s">
        <v>848</v>
      </c>
      <c r="C1928" s="6" t="s">
        <v>226</v>
      </c>
      <c r="D1928" s="6">
        <v>259.17250000000001</v>
      </c>
      <c r="E1928" s="6" t="s">
        <v>1074</v>
      </c>
      <c r="F1928" s="114">
        <v>65.452038793103455</v>
      </c>
      <c r="G1928" s="76" t="s">
        <v>40</v>
      </c>
      <c r="H1928" s="160">
        <v>0.56996120689655072</v>
      </c>
      <c r="I1928" s="160">
        <v>-0.54478680553532799</v>
      </c>
      <c r="J1928" s="78">
        <v>11.829572403426539</v>
      </c>
      <c r="K1928" s="79">
        <v>0.47001829036702247</v>
      </c>
    </row>
    <row r="1929" spans="2:11" x14ac:dyDescent="0.35">
      <c r="B1929" s="149" t="s">
        <v>848</v>
      </c>
      <c r="C1929" s="6" t="s">
        <v>226</v>
      </c>
      <c r="D1929" s="6">
        <v>259.1825</v>
      </c>
      <c r="E1929" s="6" t="s">
        <v>1074</v>
      </c>
      <c r="F1929" s="114">
        <v>65.453642241379313</v>
      </c>
      <c r="G1929" s="76" t="s">
        <v>40</v>
      </c>
      <c r="H1929" s="160">
        <v>0.56835775862069227</v>
      </c>
      <c r="I1929" s="160">
        <v>-0.405972235736833</v>
      </c>
      <c r="J1929" s="78">
        <v>11.205376371144894</v>
      </c>
      <c r="K1929" s="79">
        <v>-0.15417774191462286</v>
      </c>
    </row>
    <row r="1930" spans="2:11" x14ac:dyDescent="0.35">
      <c r="B1930" s="149" t="s">
        <v>848</v>
      </c>
      <c r="C1930" s="6" t="s">
        <v>226</v>
      </c>
      <c r="D1930" s="6">
        <v>259.1925</v>
      </c>
      <c r="E1930" s="6" t="s">
        <v>1074</v>
      </c>
      <c r="F1930" s="114">
        <v>65.455245689655172</v>
      </c>
      <c r="G1930" s="76" t="s">
        <v>40</v>
      </c>
      <c r="H1930" s="160">
        <v>0.56675431034483381</v>
      </c>
      <c r="I1930" s="160">
        <v>-0.39388866593833799</v>
      </c>
      <c r="J1930" s="78">
        <v>11.15117461616336</v>
      </c>
      <c r="K1930" s="79">
        <v>-0.20837949689615698</v>
      </c>
    </row>
    <row r="1931" spans="2:11" x14ac:dyDescent="0.35">
      <c r="B1931" s="149" t="s">
        <v>848</v>
      </c>
      <c r="C1931" s="6" t="s">
        <v>226</v>
      </c>
      <c r="D1931" s="6">
        <v>259.20249999999999</v>
      </c>
      <c r="E1931" s="6" t="s">
        <v>1074</v>
      </c>
      <c r="F1931" s="114">
        <v>65.45684913793103</v>
      </c>
      <c r="G1931" s="76" t="s">
        <v>40</v>
      </c>
      <c r="H1931" s="160">
        <v>0.56515086206897536</v>
      </c>
      <c r="I1931" s="160">
        <v>-0.41683909613984299</v>
      </c>
      <c r="J1931" s="78">
        <v>11.254138698462384</v>
      </c>
      <c r="K1931" s="79">
        <v>-0.10541541459713244</v>
      </c>
    </row>
    <row r="1932" spans="2:11" x14ac:dyDescent="0.35">
      <c r="B1932" s="149" t="s">
        <v>848</v>
      </c>
      <c r="C1932" s="6" t="s">
        <v>226</v>
      </c>
      <c r="D1932" s="6">
        <v>259.21249999999998</v>
      </c>
      <c r="E1932" s="6" t="s">
        <v>1074</v>
      </c>
      <c r="F1932" s="114">
        <v>65.458452586206889</v>
      </c>
      <c r="G1932" s="76" t="s">
        <v>40</v>
      </c>
      <c r="H1932" s="160">
        <v>0.5635474137931169</v>
      </c>
      <c r="I1932" s="160">
        <v>-0.429390526341348</v>
      </c>
      <c r="J1932" s="78">
        <v>11.310481590718609</v>
      </c>
      <c r="K1932" s="79">
        <v>-4.9072522340907199E-2</v>
      </c>
    </row>
    <row r="1933" spans="2:11" x14ac:dyDescent="0.35">
      <c r="B1933" s="149" t="s">
        <v>848</v>
      </c>
      <c r="C1933" s="6" t="s">
        <v>226</v>
      </c>
      <c r="D1933" s="6">
        <v>259.22249999999997</v>
      </c>
      <c r="E1933" s="6" t="s">
        <v>1074</v>
      </c>
      <c r="F1933" s="114">
        <v>65.460056034482747</v>
      </c>
      <c r="G1933" s="76" t="s">
        <v>40</v>
      </c>
      <c r="H1933" s="160">
        <v>0.56194396551725845</v>
      </c>
      <c r="I1933" s="160">
        <v>-0.34783495654285401</v>
      </c>
      <c r="J1933" s="78">
        <v>10.944792571915173</v>
      </c>
      <c r="K1933" s="79">
        <v>-0.41476154114434394</v>
      </c>
    </row>
    <row r="1934" spans="2:11" x14ac:dyDescent="0.35">
      <c r="B1934" s="149" t="s">
        <v>848</v>
      </c>
      <c r="C1934" s="6" t="s">
        <v>226</v>
      </c>
      <c r="D1934" s="6">
        <v>259.23249999999996</v>
      </c>
      <c r="E1934" s="6" t="s">
        <v>1074</v>
      </c>
      <c r="F1934" s="114">
        <v>65.46165948275862</v>
      </c>
      <c r="G1934" s="76" t="s">
        <v>40</v>
      </c>
      <c r="H1934" s="160">
        <v>0.56034051724138578</v>
      </c>
      <c r="I1934" s="160">
        <v>-0.42921438674435902</v>
      </c>
      <c r="J1934" s="78">
        <v>11.309690747436548</v>
      </c>
      <c r="K1934" s="79">
        <v>-4.9863365622968558E-2</v>
      </c>
    </row>
    <row r="1935" spans="2:11" x14ac:dyDescent="0.35">
      <c r="B1935" s="149" t="s">
        <v>848</v>
      </c>
      <c r="C1935" s="6" t="s">
        <v>226</v>
      </c>
      <c r="D1935" s="6">
        <v>259.24250000000001</v>
      </c>
      <c r="E1935" s="6" t="s">
        <v>1074</v>
      </c>
      <c r="F1935" s="114">
        <v>65.463262931034478</v>
      </c>
      <c r="G1935" s="76" t="s">
        <v>40</v>
      </c>
      <c r="H1935" s="160">
        <v>0.55873706896552733</v>
      </c>
      <c r="I1935" s="160">
        <v>-0.50555981694586405</v>
      </c>
      <c r="J1935" s="78">
        <v>11.652897234309819</v>
      </c>
      <c r="K1935" s="79">
        <v>0.29334312125030237</v>
      </c>
    </row>
    <row r="1936" spans="2:11" x14ac:dyDescent="0.35">
      <c r="B1936" s="149" t="s">
        <v>848</v>
      </c>
      <c r="C1936" s="6" t="s">
        <v>226</v>
      </c>
      <c r="D1936" s="6">
        <v>259.2525</v>
      </c>
      <c r="E1936" s="6" t="s">
        <v>1074</v>
      </c>
      <c r="F1936" s="114">
        <v>65.464866379310337</v>
      </c>
      <c r="G1936" s="76" t="s">
        <v>40</v>
      </c>
      <c r="H1936" s="160">
        <v>0.55713362068966887</v>
      </c>
      <c r="I1936" s="160">
        <v>-0.380957247147369</v>
      </c>
      <c r="J1936" s="78">
        <v>11.093193380571449</v>
      </c>
      <c r="K1936" s="79">
        <v>-0.26636073248806724</v>
      </c>
    </row>
    <row r="1937" spans="2:11" x14ac:dyDescent="0.35">
      <c r="B1937" s="149" t="s">
        <v>848</v>
      </c>
      <c r="C1937" s="6" t="s">
        <v>226</v>
      </c>
      <c r="D1937" s="6">
        <v>259.26249999999999</v>
      </c>
      <c r="E1937" s="6" t="s">
        <v>1074</v>
      </c>
      <c r="F1937" s="114">
        <v>65.466469827586209</v>
      </c>
      <c r="G1937" s="76" t="s">
        <v>40</v>
      </c>
      <c r="H1937" s="160">
        <v>0.55553017241379621</v>
      </c>
      <c r="I1937" s="160">
        <v>-0.33853667734887399</v>
      </c>
      <c r="J1937" s="78">
        <v>10.903161381896609</v>
      </c>
      <c r="K1937" s="79">
        <v>-0.45639273116290724</v>
      </c>
    </row>
    <row r="1938" spans="2:11" x14ac:dyDescent="0.35">
      <c r="B1938" s="149" t="s">
        <v>848</v>
      </c>
      <c r="C1938" s="6" t="s">
        <v>226</v>
      </c>
      <c r="D1938" s="6">
        <v>259.27250000000004</v>
      </c>
      <c r="E1938" s="6" t="s">
        <v>1074</v>
      </c>
      <c r="F1938" s="114">
        <v>65.468073275862068</v>
      </c>
      <c r="G1938" s="76" t="s">
        <v>40</v>
      </c>
      <c r="H1938" s="160">
        <v>0.55392672413793775</v>
      </c>
      <c r="I1938" s="160">
        <v>-0.38195499010782702</v>
      </c>
      <c r="J1938" s="78">
        <v>11.097666140852652</v>
      </c>
      <c r="K1938" s="79">
        <v>-0.26188797220686411</v>
      </c>
    </row>
    <row r="1939" spans="2:11" x14ac:dyDescent="0.35">
      <c r="B1939" s="149" t="s">
        <v>848</v>
      </c>
      <c r="C1939" s="6" t="s">
        <v>226</v>
      </c>
      <c r="D1939" s="6">
        <v>259.28250000000003</v>
      </c>
      <c r="E1939" s="6" t="s">
        <v>1074</v>
      </c>
      <c r="F1939" s="114">
        <v>65.46967672413794</v>
      </c>
      <c r="G1939" s="76" t="s">
        <v>40</v>
      </c>
      <c r="H1939" s="160">
        <v>0.55232327586206509</v>
      </c>
      <c r="I1939" s="160">
        <v>-0.42531451289449501</v>
      </c>
      <c r="J1939" s="78">
        <v>11.292181996469253</v>
      </c>
      <c r="K1939" s="79">
        <v>-6.7372116590263431E-2</v>
      </c>
    </row>
    <row r="1940" spans="2:11" x14ac:dyDescent="0.35">
      <c r="B1940" s="149" t="s">
        <v>848</v>
      </c>
      <c r="C1940" s="6" t="s">
        <v>226</v>
      </c>
      <c r="D1940" s="6">
        <v>259.29250000000002</v>
      </c>
      <c r="E1940" s="6" t="s">
        <v>1074</v>
      </c>
      <c r="F1940" s="114">
        <v>65.471280172413799</v>
      </c>
      <c r="G1940" s="76" t="s">
        <v>40</v>
      </c>
      <c r="H1940" s="160">
        <v>0.55071982758620663</v>
      </c>
      <c r="I1940" s="160">
        <v>-0.45709106120948201</v>
      </c>
      <c r="J1940" s="78">
        <v>11.434909778693054</v>
      </c>
      <c r="K1940" s="79">
        <v>7.5355665633537683E-2</v>
      </c>
    </row>
    <row r="1941" spans="2:11" x14ac:dyDescent="0.35">
      <c r="B1941" s="149" t="s">
        <v>848</v>
      </c>
      <c r="C1941" s="6" t="s">
        <v>226</v>
      </c>
      <c r="D1941" s="6">
        <v>259.30250000000001</v>
      </c>
      <c r="E1941" s="6" t="s">
        <v>1074</v>
      </c>
      <c r="F1941" s="114">
        <v>65.472883620689657</v>
      </c>
      <c r="G1941" s="76" t="s">
        <v>40</v>
      </c>
      <c r="H1941" s="160">
        <v>0.54911637931034818</v>
      </c>
      <c r="I1941" s="160">
        <v>-0.43192853892302302</v>
      </c>
      <c r="J1941" s="78">
        <v>11.321877432141775</v>
      </c>
      <c r="K1941" s="79">
        <v>-3.7676680917741123E-2</v>
      </c>
    </row>
    <row r="1942" spans="2:11" x14ac:dyDescent="0.35">
      <c r="B1942" s="149" t="s">
        <v>848</v>
      </c>
      <c r="C1942" s="6" t="s">
        <v>226</v>
      </c>
      <c r="D1942" s="6">
        <v>259.3125</v>
      </c>
      <c r="E1942" s="6" t="s">
        <v>1074</v>
      </c>
      <c r="F1942" s="114">
        <v>65.474487068965516</v>
      </c>
      <c r="G1942" s="76" t="s">
        <v>40</v>
      </c>
      <c r="H1942" s="160">
        <v>0.54751293103448972</v>
      </c>
      <c r="I1942" s="160">
        <v>-0.50569051495883599</v>
      </c>
      <c r="J1942" s="78">
        <v>11.65348551230835</v>
      </c>
      <c r="K1942" s="79">
        <v>0.29393139924883371</v>
      </c>
    </row>
    <row r="1943" spans="2:11" x14ac:dyDescent="0.35">
      <c r="B1943" s="149" t="s">
        <v>848</v>
      </c>
      <c r="C1943" s="6" t="s">
        <v>226</v>
      </c>
      <c r="D1943" s="6">
        <v>259.32249999999999</v>
      </c>
      <c r="E1943" s="6" t="s">
        <v>1074</v>
      </c>
      <c r="F1943" s="114">
        <v>65.476090517241374</v>
      </c>
      <c r="G1943" s="76" t="s">
        <v>40</v>
      </c>
      <c r="H1943" s="160">
        <v>0.54590948275863127</v>
      </c>
      <c r="I1943" s="160">
        <v>-0.52219784195237895</v>
      </c>
      <c r="J1943" s="78">
        <v>11.72780594064028</v>
      </c>
      <c r="K1943" s="79">
        <v>0.3682518275807638</v>
      </c>
    </row>
    <row r="1944" spans="2:11" x14ac:dyDescent="0.35">
      <c r="B1944" s="149" t="s">
        <v>848</v>
      </c>
      <c r="C1944" s="6" t="s">
        <v>226</v>
      </c>
      <c r="D1944" s="6">
        <v>259.33249999999998</v>
      </c>
      <c r="E1944" s="6" t="s">
        <v>1074</v>
      </c>
      <c r="F1944" s="114">
        <v>65.477693965517233</v>
      </c>
      <c r="G1944" s="76" t="s">
        <v>40</v>
      </c>
      <c r="H1944" s="160">
        <v>0.54430603448277282</v>
      </c>
      <c r="I1944" s="160">
        <v>-0.46559477944139399</v>
      </c>
      <c r="J1944" s="78">
        <v>11.473130211270131</v>
      </c>
      <c r="K1944" s="79">
        <v>0.11357609821061487</v>
      </c>
    </row>
    <row r="1945" spans="2:11" x14ac:dyDescent="0.35">
      <c r="B1945" s="149" t="s">
        <v>848</v>
      </c>
      <c r="C1945" s="6" t="s">
        <v>226</v>
      </c>
      <c r="D1945" s="6">
        <v>259.34249999999997</v>
      </c>
      <c r="E1945" s="6" t="s">
        <v>1074</v>
      </c>
      <c r="F1945" s="114">
        <v>65.479297413793105</v>
      </c>
      <c r="G1945" s="76" t="s">
        <v>40</v>
      </c>
      <c r="H1945" s="160">
        <v>0.54270258620690015</v>
      </c>
      <c r="I1945" s="160">
        <v>-0.57510224238874996</v>
      </c>
      <c r="J1945" s="78">
        <v>11.9662656560904</v>
      </c>
      <c r="K1945" s="79">
        <v>0.60671154303088315</v>
      </c>
    </row>
    <row r="1946" spans="2:11" x14ac:dyDescent="0.35">
      <c r="B1946" s="149" t="s">
        <v>848</v>
      </c>
      <c r="C1946" s="6" t="s">
        <v>226</v>
      </c>
      <c r="D1946" s="6">
        <v>259.35249999999996</v>
      </c>
      <c r="E1946" s="6" t="s">
        <v>1074</v>
      </c>
      <c r="F1946" s="114">
        <v>65.480900862068964</v>
      </c>
      <c r="G1946" s="76" t="s">
        <v>40</v>
      </c>
      <c r="H1946" s="160">
        <v>0.5410991379310417</v>
      </c>
      <c r="I1946" s="160">
        <v>-0.50311057855410202</v>
      </c>
      <c r="J1946" s="78">
        <v>11.641873559012879</v>
      </c>
      <c r="K1946" s="79">
        <v>0.28231944595336245</v>
      </c>
    </row>
    <row r="1947" spans="2:11" x14ac:dyDescent="0.35">
      <c r="B1947" s="149" t="s">
        <v>848</v>
      </c>
      <c r="C1947" s="6" t="s">
        <v>226</v>
      </c>
      <c r="D1947" s="6">
        <v>259.36250000000001</v>
      </c>
      <c r="E1947" s="6" t="s">
        <v>1074</v>
      </c>
      <c r="F1947" s="114">
        <v>65.482504310344837</v>
      </c>
      <c r="G1947" s="76" t="s">
        <v>40</v>
      </c>
      <c r="H1947" s="160">
        <v>0.53949568965516903</v>
      </c>
      <c r="I1947" s="160">
        <v>-0.59630035233480205</v>
      </c>
      <c r="J1947" s="78">
        <v>12.061928995053051</v>
      </c>
      <c r="K1947" s="79">
        <v>0.70237488199353493</v>
      </c>
    </row>
    <row r="1948" spans="2:11" x14ac:dyDescent="0.35">
      <c r="B1948" s="149" t="s">
        <v>848</v>
      </c>
      <c r="C1948" s="6" t="s">
        <v>226</v>
      </c>
      <c r="D1948" s="6">
        <v>259.3725</v>
      </c>
      <c r="E1948" s="6" t="s">
        <v>1074</v>
      </c>
      <c r="F1948" s="114">
        <v>65.484107758620695</v>
      </c>
      <c r="G1948" s="76" t="s">
        <v>40</v>
      </c>
      <c r="H1948" s="160">
        <v>0.53789224137931058</v>
      </c>
      <c r="I1948" s="160">
        <v>-0.58722402581932398</v>
      </c>
      <c r="J1948" s="78">
        <v>12.020961025079487</v>
      </c>
      <c r="K1948" s="79">
        <v>0.66140691201997015</v>
      </c>
    </row>
    <row r="1949" spans="2:11" x14ac:dyDescent="0.35">
      <c r="B1949" s="149" t="s">
        <v>848</v>
      </c>
      <c r="C1949" s="6" t="s">
        <v>226</v>
      </c>
      <c r="D1949" s="6">
        <v>259.38249999999999</v>
      </c>
      <c r="E1949" s="6" t="s">
        <v>1074</v>
      </c>
      <c r="F1949" s="114">
        <v>65.485711206896553</v>
      </c>
      <c r="G1949" s="76" t="s">
        <v>40</v>
      </c>
      <c r="H1949" s="160">
        <v>0.53628879310345212</v>
      </c>
      <c r="I1949" s="160">
        <v>-0.57563345264941801</v>
      </c>
      <c r="J1949" s="78">
        <v>11.968662105791282</v>
      </c>
      <c r="K1949" s="79">
        <v>0.60910799273176508</v>
      </c>
    </row>
    <row r="1950" spans="2:11" x14ac:dyDescent="0.35">
      <c r="B1950" s="149" t="s">
        <v>848</v>
      </c>
      <c r="C1950" s="6" t="s">
        <v>226</v>
      </c>
      <c r="D1950" s="6">
        <v>259.39250000000004</v>
      </c>
      <c r="E1950" s="6" t="s">
        <v>1074</v>
      </c>
      <c r="F1950" s="114">
        <v>65.487314655172426</v>
      </c>
      <c r="G1950" s="76" t="s">
        <v>40</v>
      </c>
      <c r="H1950" s="160">
        <v>0.53468534482757946</v>
      </c>
      <c r="I1950" s="160">
        <v>-0.57360299634410505</v>
      </c>
      <c r="J1950" s="78">
        <v>11.959502329161694</v>
      </c>
      <c r="K1950" s="79">
        <v>0.59994821610217741</v>
      </c>
    </row>
    <row r="1951" spans="2:11" x14ac:dyDescent="0.35">
      <c r="B1951" s="149" t="s">
        <v>848</v>
      </c>
      <c r="C1951" s="6" t="s">
        <v>226</v>
      </c>
      <c r="D1951" s="6">
        <v>259.40250000000003</v>
      </c>
      <c r="E1951" s="6" t="s">
        <v>1074</v>
      </c>
      <c r="F1951" s="114">
        <v>65.488918103448285</v>
      </c>
      <c r="G1951" s="76" t="s">
        <v>40</v>
      </c>
      <c r="H1951" s="160">
        <v>0.533081896551721</v>
      </c>
      <c r="I1951" s="160">
        <v>-0.60137564319504799</v>
      </c>
      <c r="J1951" s="78">
        <v>12.084842716060791</v>
      </c>
      <c r="K1951" s="79">
        <v>0.72528860300127462</v>
      </c>
    </row>
    <row r="1952" spans="2:11" x14ac:dyDescent="0.35">
      <c r="B1952" s="149" t="s">
        <v>848</v>
      </c>
      <c r="C1952" s="6" t="s">
        <v>226</v>
      </c>
      <c r="D1952" s="6">
        <v>259.41250000000002</v>
      </c>
      <c r="E1952" s="6" t="s">
        <v>1074</v>
      </c>
      <c r="F1952" s="114">
        <v>65.490521551724143</v>
      </c>
      <c r="G1952" s="76" t="s">
        <v>40</v>
      </c>
      <c r="H1952" s="160">
        <v>0.53147844827586255</v>
      </c>
      <c r="I1952" s="160">
        <v>-0.62319174698098001</v>
      </c>
      <c r="J1952" s="78">
        <v>12.183380459907482</v>
      </c>
      <c r="K1952" s="79">
        <v>0.82382634684796585</v>
      </c>
    </row>
    <row r="1953" spans="2:11" x14ac:dyDescent="0.35">
      <c r="B1953" s="149" t="s">
        <v>848</v>
      </c>
      <c r="C1953" s="6" t="s">
        <v>226</v>
      </c>
      <c r="D1953" s="6">
        <v>259.42250000000001</v>
      </c>
      <c r="E1953" s="6" t="s">
        <v>1074</v>
      </c>
      <c r="F1953" s="114">
        <v>65.492125000000001</v>
      </c>
      <c r="G1953" s="76" t="s">
        <v>40</v>
      </c>
      <c r="H1953" s="160">
        <v>0.52987500000000409</v>
      </c>
      <c r="I1953" s="160">
        <v>-0.61793765670890199</v>
      </c>
      <c r="J1953" s="78">
        <v>12.159642662087606</v>
      </c>
      <c r="K1953" s="79">
        <v>0.80008854902808935</v>
      </c>
    </row>
    <row r="1954" spans="2:11" x14ac:dyDescent="0.35">
      <c r="B1954" s="149" t="s">
        <v>848</v>
      </c>
      <c r="C1954" s="6" t="s">
        <v>226</v>
      </c>
      <c r="D1954" s="6">
        <v>259.4325</v>
      </c>
      <c r="E1954" s="6" t="s">
        <v>1074</v>
      </c>
      <c r="F1954" s="114">
        <v>65.49372844827586</v>
      </c>
      <c r="G1954" s="76" t="s">
        <v>40</v>
      </c>
      <c r="H1954" s="160">
        <v>0.52827155172414564</v>
      </c>
      <c r="I1954" s="160">
        <v>-0.68627666638519003</v>
      </c>
      <c r="J1954" s="78">
        <v>12.468714449178606</v>
      </c>
      <c r="K1954" s="79">
        <v>1.1091603361190892</v>
      </c>
    </row>
    <row r="1955" spans="2:11" x14ac:dyDescent="0.35">
      <c r="B1955" s="149" t="s">
        <v>848</v>
      </c>
      <c r="C1955" s="6" t="s">
        <v>226</v>
      </c>
      <c r="D1955" s="6">
        <v>259.4425</v>
      </c>
      <c r="E1955" s="6" t="s">
        <v>1074</v>
      </c>
      <c r="F1955" s="114">
        <v>65.495331896551718</v>
      </c>
      <c r="G1955" s="76" t="s">
        <v>40</v>
      </c>
      <c r="H1955" s="160">
        <v>0.52666810344828718</v>
      </c>
      <c r="I1955" s="160">
        <v>-0.65994629625119305</v>
      </c>
      <c r="J1955" s="78">
        <v>12.349550262538571</v>
      </c>
      <c r="K1955" s="79">
        <v>0.98999614947905457</v>
      </c>
    </row>
    <row r="1956" spans="2:11" x14ac:dyDescent="0.35">
      <c r="B1956" s="149" t="s">
        <v>848</v>
      </c>
      <c r="C1956" s="6" t="s">
        <v>226</v>
      </c>
      <c r="D1956" s="6">
        <v>259.45249999999999</v>
      </c>
      <c r="E1956" s="6" t="s">
        <v>1074</v>
      </c>
      <c r="F1956" s="114">
        <v>65.496935344827591</v>
      </c>
      <c r="G1956" s="76" t="s">
        <v>40</v>
      </c>
      <c r="H1956" s="160">
        <v>0.52506465517241452</v>
      </c>
      <c r="I1956" s="160">
        <v>-0.58391128364741096</v>
      </c>
      <c r="J1956" s="78">
        <v>12.006011268428608</v>
      </c>
      <c r="K1956" s="79">
        <v>0.64645715536909165</v>
      </c>
    </row>
    <row r="1957" spans="2:11" x14ac:dyDescent="0.35">
      <c r="B1957" s="149" t="s">
        <v>848</v>
      </c>
      <c r="C1957" s="6" t="s">
        <v>226</v>
      </c>
      <c r="D1957" s="6">
        <v>259.46249999999998</v>
      </c>
      <c r="E1957" s="6" t="s">
        <v>1074</v>
      </c>
      <c r="F1957" s="114">
        <v>65.49853879310345</v>
      </c>
      <c r="G1957" s="76" t="s">
        <v>40</v>
      </c>
      <c r="H1957" s="160">
        <v>0.52346120689655606</v>
      </c>
      <c r="I1957" s="160">
        <v>-0.63964687935500697</v>
      </c>
      <c r="J1957" s="78">
        <v>12.257750549816421</v>
      </c>
      <c r="K1957" s="79">
        <v>0.89819643675690486</v>
      </c>
    </row>
    <row r="1958" spans="2:11" x14ac:dyDescent="0.35">
      <c r="B1958" s="149" t="s">
        <v>848</v>
      </c>
      <c r="C1958" s="6" t="s">
        <v>226</v>
      </c>
      <c r="D1958" s="6">
        <v>259.47249999999997</v>
      </c>
      <c r="E1958" s="6" t="s">
        <v>1074</v>
      </c>
      <c r="F1958" s="114">
        <v>65.500142241379308</v>
      </c>
      <c r="G1958" s="76" t="s">
        <v>40</v>
      </c>
      <c r="H1958" s="160">
        <v>0.52185775862069761</v>
      </c>
      <c r="I1958" s="160">
        <v>-0.55855845935491</v>
      </c>
      <c r="J1958" s="78">
        <v>11.891652456934139</v>
      </c>
      <c r="K1958" s="79">
        <v>0.53209834387462251</v>
      </c>
    </row>
    <row r="1959" spans="2:11" x14ac:dyDescent="0.35">
      <c r="B1959" s="149" t="s">
        <v>848</v>
      </c>
      <c r="C1959" s="6" t="s">
        <v>226</v>
      </c>
      <c r="D1959" s="6">
        <v>259.48249999999996</v>
      </c>
      <c r="E1959" s="6" t="s">
        <v>1074</v>
      </c>
      <c r="F1959" s="114">
        <v>65.501745689655166</v>
      </c>
      <c r="G1959" s="76" t="s">
        <v>40</v>
      </c>
      <c r="H1959" s="160">
        <v>0.52025431034483915</v>
      </c>
      <c r="I1959" s="160">
        <v>-0.60487756810865501</v>
      </c>
      <c r="J1959" s="78">
        <v>12.100655281761476</v>
      </c>
      <c r="K1959" s="79">
        <v>0.74110116870195952</v>
      </c>
    </row>
    <row r="1960" spans="2:11" x14ac:dyDescent="0.35">
      <c r="B1960" s="149" t="s">
        <v>848</v>
      </c>
      <c r="C1960" s="6" t="s">
        <v>226</v>
      </c>
      <c r="D1960" s="6">
        <v>259.49250000000001</v>
      </c>
      <c r="E1960" s="6" t="s">
        <v>1074</v>
      </c>
      <c r="F1960" s="114">
        <v>65.503349137931039</v>
      </c>
      <c r="G1960" s="76" t="s">
        <v>40</v>
      </c>
      <c r="H1960" s="160">
        <v>0.51865086206896649</v>
      </c>
      <c r="I1960" s="160">
        <v>-0.51850632349046599</v>
      </c>
      <c r="J1960" s="78">
        <v>11.711182257546398</v>
      </c>
      <c r="K1960" s="79">
        <v>0.35162814448688096</v>
      </c>
    </row>
    <row r="1961" spans="2:11" x14ac:dyDescent="0.35">
      <c r="B1961" s="149" t="s">
        <v>848</v>
      </c>
      <c r="C1961" s="6" t="s">
        <v>226</v>
      </c>
      <c r="D1961" s="6">
        <v>259.5025</v>
      </c>
      <c r="E1961" s="6" t="s">
        <v>1074</v>
      </c>
      <c r="F1961" s="114">
        <v>65.504952586206898</v>
      </c>
      <c r="G1961" s="76" t="s">
        <v>40</v>
      </c>
      <c r="H1961" s="160">
        <v>0.51704741379310803</v>
      </c>
      <c r="I1961" s="160">
        <v>-0.53282328696600201</v>
      </c>
      <c r="J1961" s="78">
        <v>11.7756657257558</v>
      </c>
      <c r="K1961" s="79">
        <v>0.41611161269628383</v>
      </c>
    </row>
    <row r="1962" spans="2:11" x14ac:dyDescent="0.35">
      <c r="B1962" s="149" t="s">
        <v>848</v>
      </c>
      <c r="C1962" s="6" t="s">
        <v>226</v>
      </c>
      <c r="D1962" s="6">
        <v>259.51249999999999</v>
      </c>
      <c r="E1962" s="6" t="s">
        <v>1074</v>
      </c>
      <c r="F1962" s="114">
        <v>65.506556034482756</v>
      </c>
      <c r="G1962" s="76" t="s">
        <v>40</v>
      </c>
      <c r="H1962" s="160">
        <v>0.51544396551724958</v>
      </c>
      <c r="I1962" s="160">
        <v>-0.56886222040206902</v>
      </c>
      <c r="J1962" s="78">
        <v>11.938118145940848</v>
      </c>
      <c r="K1962" s="79">
        <v>0.57856403288133151</v>
      </c>
    </row>
    <row r="1963" spans="2:11" x14ac:dyDescent="0.35">
      <c r="B1963" s="149" t="s">
        <v>848</v>
      </c>
      <c r="C1963" s="6" t="s">
        <v>226</v>
      </c>
      <c r="D1963" s="6">
        <v>259.52250000000004</v>
      </c>
      <c r="E1963" s="6" t="s">
        <v>1074</v>
      </c>
      <c r="F1963" s="114">
        <v>65.508159482758629</v>
      </c>
      <c r="G1963" s="76" t="s">
        <v>40</v>
      </c>
      <c r="H1963" s="160">
        <v>0.51384051724137692</v>
      </c>
      <c r="I1963" s="160">
        <v>-0.51559568121149102</v>
      </c>
      <c r="J1963" s="78">
        <v>11.69807643507886</v>
      </c>
      <c r="K1963" s="79">
        <v>0.33852232201934385</v>
      </c>
    </row>
    <row r="1964" spans="2:11" x14ac:dyDescent="0.35">
      <c r="B1964" s="149" t="s">
        <v>848</v>
      </c>
      <c r="C1964" s="6" t="s">
        <v>226</v>
      </c>
      <c r="D1964" s="6">
        <v>259.53250000000003</v>
      </c>
      <c r="E1964" s="6" t="s">
        <v>1074</v>
      </c>
      <c r="F1964" s="114">
        <v>65.509762931034487</v>
      </c>
      <c r="G1964" s="76" t="s">
        <v>40</v>
      </c>
      <c r="H1964" s="160">
        <v>0.51223706896551846</v>
      </c>
      <c r="I1964" s="160">
        <v>-0.52784175735274497</v>
      </c>
      <c r="J1964" s="78">
        <v>11.753225547158422</v>
      </c>
      <c r="K1964" s="79">
        <v>0.39367143409890559</v>
      </c>
    </row>
    <row r="1965" spans="2:11" x14ac:dyDescent="0.35">
      <c r="B1965" s="149" t="s">
        <v>848</v>
      </c>
      <c r="C1965" s="6" t="s">
        <v>226</v>
      </c>
      <c r="D1965" s="6">
        <v>259.54250000000002</v>
      </c>
      <c r="E1965" s="6" t="s">
        <v>1074</v>
      </c>
      <c r="F1965" s="114">
        <v>65.511366379310346</v>
      </c>
      <c r="G1965" s="76" t="s">
        <v>40</v>
      </c>
      <c r="H1965" s="160">
        <v>0.51063362068966001</v>
      </c>
      <c r="I1965" s="160">
        <v>-0.49657434174563903</v>
      </c>
      <c r="J1965" s="78">
        <v>11.612459191642756</v>
      </c>
      <c r="K1965" s="79">
        <v>0.25290507858323963</v>
      </c>
    </row>
    <row r="1966" spans="2:11" x14ac:dyDescent="0.35">
      <c r="B1966" s="149" t="s">
        <v>848</v>
      </c>
      <c r="C1966" s="6" t="s">
        <v>226</v>
      </c>
      <c r="D1966" s="6">
        <v>259.55250000000001</v>
      </c>
      <c r="E1966" s="6" t="s">
        <v>1074</v>
      </c>
      <c r="F1966" s="114">
        <v>65.512969827586204</v>
      </c>
      <c r="G1966" s="76" t="s">
        <v>40</v>
      </c>
      <c r="H1966" s="160">
        <v>0.50903017241380155</v>
      </c>
      <c r="I1966" s="160">
        <v>-0.52724853787453796</v>
      </c>
      <c r="J1966" s="78">
        <v>11.750553528384273</v>
      </c>
      <c r="K1966" s="79">
        <v>0.39099941532475668</v>
      </c>
    </row>
    <row r="1967" spans="2:11" x14ac:dyDescent="0.35">
      <c r="B1967" s="149" t="s">
        <v>848</v>
      </c>
      <c r="C1967" s="6" t="s">
        <v>226</v>
      </c>
      <c r="D1967" s="6">
        <v>259.5625</v>
      </c>
      <c r="E1967" s="6" t="s">
        <v>1074</v>
      </c>
      <c r="F1967" s="114">
        <v>65.514573275862077</v>
      </c>
      <c r="G1967" s="76" t="s">
        <v>40</v>
      </c>
      <c r="H1967" s="160">
        <v>0.50742672413792889</v>
      </c>
      <c r="I1967" s="160">
        <v>-0.43996906333452401</v>
      </c>
      <c r="J1967" s="78">
        <v>11.357986129398171</v>
      </c>
      <c r="K1967" s="79">
        <v>-1.5679836613458065E-3</v>
      </c>
    </row>
    <row r="1968" spans="2:11" x14ac:dyDescent="0.35">
      <c r="B1968" s="149" t="s">
        <v>848</v>
      </c>
      <c r="C1968" s="6" t="s">
        <v>226</v>
      </c>
      <c r="D1968" s="6">
        <v>259.57249999999999</v>
      </c>
      <c r="E1968" s="6" t="s">
        <v>1074</v>
      </c>
      <c r="F1968" s="114">
        <v>65.516176724137935</v>
      </c>
      <c r="G1968" s="76" t="s">
        <v>40</v>
      </c>
      <c r="H1968" s="160">
        <v>0.50582327586207043</v>
      </c>
      <c r="I1968" s="160">
        <v>-0.45951496708705097</v>
      </c>
      <c r="J1968" s="78">
        <v>11.44580307879221</v>
      </c>
      <c r="K1968" s="79">
        <v>8.624896573269325E-2</v>
      </c>
    </row>
    <row r="1969" spans="2:11" x14ac:dyDescent="0.35">
      <c r="B1969" s="149" t="s">
        <v>848</v>
      </c>
      <c r="C1969" s="6" t="s">
        <v>226</v>
      </c>
      <c r="D1969" s="6">
        <v>259.58249999999998</v>
      </c>
      <c r="E1969" s="6" t="s">
        <v>1074</v>
      </c>
      <c r="F1969" s="114">
        <v>65.517780172413794</v>
      </c>
      <c r="G1969" s="76" t="s">
        <v>40</v>
      </c>
      <c r="H1969" s="160">
        <v>0.50421982758621198</v>
      </c>
      <c r="I1969" s="160">
        <v>-0.21391373366528499</v>
      </c>
      <c r="J1969" s="78">
        <v>10.346399577430248</v>
      </c>
      <c r="K1969" s="79">
        <v>-1.013154535629269</v>
      </c>
    </row>
    <row r="1970" spans="2:11" x14ac:dyDescent="0.35">
      <c r="B1970" s="149" t="s">
        <v>848</v>
      </c>
      <c r="C1970" s="6" t="s">
        <v>226</v>
      </c>
      <c r="D1970" s="6">
        <v>259.59249999999997</v>
      </c>
      <c r="E1970" s="6" t="s">
        <v>1074</v>
      </c>
      <c r="F1970" s="114">
        <v>65.519383620689652</v>
      </c>
      <c r="G1970" s="76" t="s">
        <v>40</v>
      </c>
      <c r="H1970" s="160">
        <v>0.50261637931035352</v>
      </c>
      <c r="I1970" s="160">
        <v>-0.243504166991906</v>
      </c>
      <c r="J1970" s="78">
        <v>10.478392969167089</v>
      </c>
      <c r="K1970" s="79">
        <v>-0.88116114389242739</v>
      </c>
    </row>
    <row r="1971" spans="2:11" x14ac:dyDescent="0.35">
      <c r="B1971" s="149" t="s">
        <v>848</v>
      </c>
      <c r="C1971" s="6" t="s">
        <v>226</v>
      </c>
      <c r="D1971" s="6">
        <v>259.60249999999996</v>
      </c>
      <c r="E1971" s="6" t="s">
        <v>1074</v>
      </c>
      <c r="F1971" s="114">
        <v>65.520987068965511</v>
      </c>
      <c r="G1971" s="76" t="s">
        <v>40</v>
      </c>
      <c r="H1971" s="160">
        <v>0.50101293103449507</v>
      </c>
      <c r="I1971" s="160">
        <v>-0.221840093994154</v>
      </c>
      <c r="J1971" s="78">
        <v>10.381744086576191</v>
      </c>
      <c r="K1971" s="79">
        <v>-0.9778100264833256</v>
      </c>
    </row>
    <row r="1972" spans="2:11" x14ac:dyDescent="0.35">
      <c r="B1972" s="149" t="s">
        <v>848</v>
      </c>
      <c r="C1972" s="6" t="s">
        <v>226</v>
      </c>
      <c r="D1972" s="6">
        <v>259.61250000000001</v>
      </c>
      <c r="E1972" s="6" t="s">
        <v>1074</v>
      </c>
      <c r="F1972" s="114">
        <v>65.522590517241383</v>
      </c>
      <c r="G1972" s="76" t="s">
        <v>40</v>
      </c>
      <c r="H1972" s="160">
        <v>0.4994094827586224</v>
      </c>
      <c r="I1972" s="160">
        <v>-0.27750519596923201</v>
      </c>
      <c r="J1972" s="78">
        <v>10.630217275412974</v>
      </c>
      <c r="K1972" s="79">
        <v>-0.72933683764654234</v>
      </c>
    </row>
    <row r="1973" spans="2:11" x14ac:dyDescent="0.35">
      <c r="B1973" s="149" t="s">
        <v>848</v>
      </c>
      <c r="C1973" s="6" t="s">
        <v>226</v>
      </c>
      <c r="D1973" s="6">
        <v>259.6225</v>
      </c>
      <c r="E1973" s="6" t="s">
        <v>1074</v>
      </c>
      <c r="F1973" s="114">
        <v>65.524193965517242</v>
      </c>
      <c r="G1973" s="76" t="s">
        <v>40</v>
      </c>
      <c r="H1973" s="160">
        <v>0.49780603448276395</v>
      </c>
      <c r="I1973" s="160">
        <v>-0.22442134448672699</v>
      </c>
      <c r="J1973" s="78">
        <v>10.393256128224493</v>
      </c>
      <c r="K1973" s="79">
        <v>-0.96629798483502327</v>
      </c>
    </row>
    <row r="1974" spans="2:11" x14ac:dyDescent="0.35">
      <c r="B1974" s="149" t="s">
        <v>848</v>
      </c>
      <c r="C1974" s="6" t="s">
        <v>226</v>
      </c>
      <c r="D1974" s="6">
        <v>259.63249999999999</v>
      </c>
      <c r="E1974" s="6" t="s">
        <v>1074</v>
      </c>
      <c r="F1974" s="114">
        <v>65.5257974137931</v>
      </c>
      <c r="G1974" s="76" t="s">
        <v>40</v>
      </c>
      <c r="H1974" s="160">
        <v>0.49620258620690549</v>
      </c>
      <c r="I1974" s="160">
        <v>-0.14178627107484201</v>
      </c>
      <c r="J1974" s="78">
        <v>10.025192632970686</v>
      </c>
      <c r="K1974" s="79">
        <v>-1.3343614800888304</v>
      </c>
    </row>
    <row r="1975" spans="2:11" x14ac:dyDescent="0.35">
      <c r="B1975" s="149" t="s">
        <v>848</v>
      </c>
      <c r="C1975" s="6" t="s">
        <v>226</v>
      </c>
      <c r="D1975" s="6">
        <v>259.64250000000004</v>
      </c>
      <c r="E1975" s="6" t="s">
        <v>1074</v>
      </c>
      <c r="F1975" s="114">
        <v>65.527616666666688</v>
      </c>
      <c r="G1975" s="76" t="s">
        <v>40</v>
      </c>
      <c r="H1975" s="160">
        <v>0.49438333333331741</v>
      </c>
      <c r="I1975" s="160">
        <v>-0.20551938502287001</v>
      </c>
      <c r="J1975" s="78">
        <v>10.308978168976694</v>
      </c>
      <c r="K1975" s="79">
        <v>-1.0505759440828228</v>
      </c>
    </row>
    <row r="1976" spans="2:11" x14ac:dyDescent="0.35">
      <c r="B1976" s="149" t="s">
        <v>848</v>
      </c>
      <c r="C1976" s="6" t="s">
        <v>226</v>
      </c>
      <c r="D1976" s="6">
        <v>259.65250000000003</v>
      </c>
      <c r="E1976" s="6" t="s">
        <v>1074</v>
      </c>
      <c r="F1976" s="114">
        <v>65.530083333333351</v>
      </c>
      <c r="G1976" s="76" t="s">
        <v>40</v>
      </c>
      <c r="H1976" s="160">
        <v>0.49191666666665412</v>
      </c>
      <c r="I1976" s="160">
        <v>-0.13706769395625201</v>
      </c>
      <c r="J1976" s="78">
        <v>10.004205451966754</v>
      </c>
      <c r="K1976" s="79">
        <v>-1.3553486610927621</v>
      </c>
    </row>
    <row r="1977" spans="2:11" x14ac:dyDescent="0.35">
      <c r="B1977" s="149" t="s">
        <v>848</v>
      </c>
      <c r="C1977" s="6" t="s">
        <v>226</v>
      </c>
      <c r="D1977" s="6">
        <v>259.66250000000002</v>
      </c>
      <c r="E1977" s="6" t="s">
        <v>1074</v>
      </c>
      <c r="F1977" s="114">
        <v>65.532550000000015</v>
      </c>
      <c r="G1977" s="76" t="s">
        <v>40</v>
      </c>
      <c r="H1977" s="160">
        <v>0.48944999999999084</v>
      </c>
      <c r="I1977" s="160">
        <v>-0.275098768908835</v>
      </c>
      <c r="J1977" s="78">
        <v>10.619466376725256</v>
      </c>
      <c r="K1977" s="79">
        <v>-0.74008773633426017</v>
      </c>
    </row>
    <row r="1978" spans="2:11" x14ac:dyDescent="0.35">
      <c r="B1978" s="149" t="s">
        <v>848</v>
      </c>
      <c r="C1978" s="6" t="s">
        <v>226</v>
      </c>
      <c r="D1978" s="6">
        <v>259.67250000000001</v>
      </c>
      <c r="E1978" s="6" t="s">
        <v>1074</v>
      </c>
      <c r="F1978" s="114">
        <v>65.535016666666678</v>
      </c>
      <c r="G1978" s="76" t="s">
        <v>40</v>
      </c>
      <c r="H1978" s="160">
        <v>0.48698333333332755</v>
      </c>
      <c r="I1978" s="160">
        <v>-0.30078391903374502</v>
      </c>
      <c r="J1978" s="78">
        <v>10.734260175677889</v>
      </c>
      <c r="K1978" s="79">
        <v>-0.62529393738162753</v>
      </c>
    </row>
    <row r="1979" spans="2:11" x14ac:dyDescent="0.35">
      <c r="B1979" s="149" t="s">
        <v>848</v>
      </c>
      <c r="C1979" s="6" t="s">
        <v>226</v>
      </c>
      <c r="D1979" s="6">
        <v>259.6825</v>
      </c>
      <c r="E1979" s="6" t="s">
        <v>1074</v>
      </c>
      <c r="F1979" s="114">
        <v>65.537483333333341</v>
      </c>
      <c r="G1979" s="76" t="s">
        <v>40</v>
      </c>
      <c r="H1979" s="160">
        <v>0.48451666666666426</v>
      </c>
      <c r="I1979" s="160">
        <v>-0.24192990832625699</v>
      </c>
      <c r="J1979" s="78">
        <v>10.471367514427243</v>
      </c>
      <c r="K1979" s="79">
        <v>-0.88818659863227367</v>
      </c>
    </row>
    <row r="1980" spans="2:11" x14ac:dyDescent="0.35">
      <c r="B1980" s="149" t="s">
        <v>848</v>
      </c>
      <c r="C1980" s="6" t="s">
        <v>226</v>
      </c>
      <c r="D1980" s="6">
        <v>259.6925</v>
      </c>
      <c r="E1980" s="6" t="s">
        <v>1074</v>
      </c>
      <c r="F1980" s="114">
        <v>65.539950000000005</v>
      </c>
      <c r="G1980" s="76" t="s">
        <v>40</v>
      </c>
      <c r="H1980" s="160">
        <v>0.48205000000000098</v>
      </c>
      <c r="I1980" s="160">
        <v>-0.232350205809564</v>
      </c>
      <c r="J1980" s="78">
        <v>10.428623851698092</v>
      </c>
      <c r="K1980" s="79">
        <v>-0.93093026136142498</v>
      </c>
    </row>
    <row r="1981" spans="2:11" x14ac:dyDescent="0.35">
      <c r="B1981" s="149" t="s">
        <v>848</v>
      </c>
      <c r="C1981" s="6" t="s">
        <v>226</v>
      </c>
      <c r="D1981" s="6">
        <v>259.70249999999999</v>
      </c>
      <c r="E1981" s="6" t="s">
        <v>1074</v>
      </c>
      <c r="F1981" s="114">
        <v>65.542416666666668</v>
      </c>
      <c r="G1981" s="76" t="s">
        <v>40</v>
      </c>
      <c r="H1981" s="160">
        <v>0.47958333333333769</v>
      </c>
      <c r="I1981" s="160">
        <v>-0.19520396795339001</v>
      </c>
      <c r="J1981" s="78">
        <v>10.263006731419694</v>
      </c>
      <c r="K1981" s="79">
        <v>-1.096547381639823</v>
      </c>
    </row>
    <row r="1982" spans="2:11" x14ac:dyDescent="0.35">
      <c r="B1982" s="149" t="s">
        <v>848</v>
      </c>
      <c r="C1982" s="6" t="s">
        <v>226</v>
      </c>
      <c r="D1982" s="6">
        <v>259.70249999999999</v>
      </c>
      <c r="E1982" s="6" t="s">
        <v>1074</v>
      </c>
      <c r="F1982" s="114">
        <v>65.542416666666668</v>
      </c>
      <c r="G1982" s="76" t="s">
        <v>40</v>
      </c>
      <c r="H1982" s="160">
        <v>0.47958333333333769</v>
      </c>
      <c r="I1982" s="160">
        <v>-0.467980142016857</v>
      </c>
      <c r="J1982" s="78">
        <v>11.483853257733017</v>
      </c>
      <c r="K1982" s="79">
        <v>0.12429914467350045</v>
      </c>
    </row>
    <row r="1983" spans="2:11" x14ac:dyDescent="0.35">
      <c r="B1983" s="149" t="s">
        <v>848</v>
      </c>
      <c r="C1983" s="6" t="s">
        <v>226</v>
      </c>
      <c r="D1983" s="6">
        <v>259.71249999999998</v>
      </c>
      <c r="E1983" s="6" t="s">
        <v>1074</v>
      </c>
      <c r="F1983" s="114">
        <v>65.544883333333331</v>
      </c>
      <c r="G1983" s="76" t="s">
        <v>40</v>
      </c>
      <c r="H1983" s="160">
        <v>0.4771166666666744</v>
      </c>
      <c r="I1983" s="160">
        <v>-0.28935939451000497</v>
      </c>
      <c r="J1983" s="78">
        <v>10.683189092938733</v>
      </c>
      <c r="K1983" s="79">
        <v>-0.67636502012078381</v>
      </c>
    </row>
    <row r="1984" spans="2:11" x14ac:dyDescent="0.35">
      <c r="B1984" s="149" t="s">
        <v>848</v>
      </c>
      <c r="C1984" s="6" t="s">
        <v>226</v>
      </c>
      <c r="D1984" s="6">
        <v>259.72249999999997</v>
      </c>
      <c r="E1984" s="6" t="s">
        <v>1074</v>
      </c>
      <c r="F1984" s="114">
        <v>65.547349999999994</v>
      </c>
      <c r="G1984" s="76" t="s">
        <v>40</v>
      </c>
      <c r="H1984" s="160">
        <v>0.47465000000001112</v>
      </c>
      <c r="I1984" s="160">
        <v>-0.19135232916620801</v>
      </c>
      <c r="J1984" s="78">
        <v>10.245845556045481</v>
      </c>
      <c r="K1984" s="79">
        <v>-1.1137085570140357</v>
      </c>
    </row>
    <row r="1985" spans="2:11" x14ac:dyDescent="0.35">
      <c r="B1985" s="149" t="s">
        <v>848</v>
      </c>
      <c r="C1985" s="6" t="s">
        <v>226</v>
      </c>
      <c r="D1985" s="6">
        <v>259.73249999999996</v>
      </c>
      <c r="E1985" s="6" t="s">
        <v>1074</v>
      </c>
      <c r="F1985" s="114">
        <v>65.549816666666658</v>
      </c>
      <c r="G1985" s="76" t="s">
        <v>40</v>
      </c>
      <c r="H1985" s="160">
        <v>0.47218333333334783</v>
      </c>
      <c r="I1985" s="160">
        <v>-0.18442909121949799</v>
      </c>
      <c r="J1985" s="78">
        <v>10.215004102933221</v>
      </c>
      <c r="K1985" s="79">
        <v>-1.1445500101262951</v>
      </c>
    </row>
    <row r="1986" spans="2:11" x14ac:dyDescent="0.35">
      <c r="B1986" s="149" t="s">
        <v>848</v>
      </c>
      <c r="C1986" s="6" t="s">
        <v>226</v>
      </c>
      <c r="D1986" s="6">
        <v>259.74250000000001</v>
      </c>
      <c r="E1986" s="6" t="s">
        <v>1074</v>
      </c>
      <c r="F1986" s="114">
        <v>65.552283333333335</v>
      </c>
      <c r="G1986" s="76" t="s">
        <v>40</v>
      </c>
      <c r="H1986" s="160">
        <v>0.46971666666667033</v>
      </c>
      <c r="I1986" s="160">
        <v>-0.32158090650389498</v>
      </c>
      <c r="J1986" s="78">
        <v>10.827277699637818</v>
      </c>
      <c r="K1986" s="79">
        <v>-0.53227641342169818</v>
      </c>
    </row>
    <row r="1987" spans="2:11" x14ac:dyDescent="0.35">
      <c r="B1987" s="149" t="s">
        <v>848</v>
      </c>
      <c r="C1987" s="6" t="s">
        <v>226</v>
      </c>
      <c r="D1987" s="6">
        <v>259.7525</v>
      </c>
      <c r="E1987" s="6" t="s">
        <v>1074</v>
      </c>
      <c r="F1987" s="114">
        <v>65.554749999999999</v>
      </c>
      <c r="G1987" s="76" t="s">
        <v>40</v>
      </c>
      <c r="H1987" s="160">
        <v>0.46725000000000705</v>
      </c>
      <c r="I1987" s="160">
        <v>-0.31065791944082899</v>
      </c>
      <c r="J1987" s="78">
        <v>10.778415225548315</v>
      </c>
      <c r="K1987" s="79">
        <v>-0.58113888751120157</v>
      </c>
    </row>
    <row r="1988" spans="2:11" x14ac:dyDescent="0.35">
      <c r="B1988" s="149" t="s">
        <v>848</v>
      </c>
      <c r="C1988" s="6" t="s">
        <v>226</v>
      </c>
      <c r="D1988" s="6">
        <v>259.76249999999999</v>
      </c>
      <c r="E1988" s="6" t="s">
        <v>1074</v>
      </c>
      <c r="F1988" s="114">
        <v>65.557216666666662</v>
      </c>
      <c r="G1988" s="76" t="s">
        <v>40</v>
      </c>
      <c r="H1988" s="160">
        <v>0.46478333333334376</v>
      </c>
      <c r="I1988" s="160">
        <v>-0.26894527268692903</v>
      </c>
      <c r="J1988" s="78">
        <v>10.591978979266514</v>
      </c>
      <c r="K1988" s="79">
        <v>-0.76757513379300235</v>
      </c>
    </row>
    <row r="1989" spans="2:11" x14ac:dyDescent="0.35">
      <c r="B1989" s="149" t="s">
        <v>848</v>
      </c>
      <c r="C1989" s="6" t="s">
        <v>226</v>
      </c>
      <c r="D1989" s="6">
        <v>259.77250000000004</v>
      </c>
      <c r="E1989" s="6" t="s">
        <v>1074</v>
      </c>
      <c r="F1989" s="114">
        <v>65.559683333333339</v>
      </c>
      <c r="G1989" s="76" t="s">
        <v>40</v>
      </c>
      <c r="H1989" s="160">
        <v>0.46231666666666626</v>
      </c>
      <c r="I1989" s="160">
        <v>-0.28070137177580701</v>
      </c>
      <c r="J1989" s="78">
        <v>10.644497737182633</v>
      </c>
      <c r="K1989" s="79">
        <v>-0.71505637587688398</v>
      </c>
    </row>
    <row r="1990" spans="2:11" x14ac:dyDescent="0.35">
      <c r="B1990" s="149" t="s">
        <v>848</v>
      </c>
      <c r="C1990" s="6" t="s">
        <v>226</v>
      </c>
      <c r="D1990" s="6">
        <v>259.78250000000003</v>
      </c>
      <c r="E1990" s="6" t="s">
        <v>1074</v>
      </c>
      <c r="F1990" s="114">
        <v>65.562150000000003</v>
      </c>
      <c r="G1990" s="76" t="s">
        <v>40</v>
      </c>
      <c r="H1990" s="160">
        <v>0.45985000000000298</v>
      </c>
      <c r="I1990" s="160">
        <v>-0.35483819339141798</v>
      </c>
      <c r="J1990" s="78">
        <v>10.97615648110127</v>
      </c>
      <c r="K1990" s="79">
        <v>-0.38339763195824617</v>
      </c>
    </row>
    <row r="1991" spans="2:11" x14ac:dyDescent="0.35">
      <c r="B1991" s="149" t="s">
        <v>848</v>
      </c>
      <c r="C1991" s="6" t="s">
        <v>226</v>
      </c>
      <c r="D1991" s="6">
        <v>259.79250000000002</v>
      </c>
      <c r="E1991" s="6" t="s">
        <v>1074</v>
      </c>
      <c r="F1991" s="114">
        <v>65.56461666666668</v>
      </c>
      <c r="G1991" s="76" t="s">
        <v>40</v>
      </c>
      <c r="H1991" s="160">
        <v>0.45738333333332548</v>
      </c>
      <c r="I1991" s="160">
        <v>-0.34098883914477601</v>
      </c>
      <c r="J1991" s="78">
        <v>10.914139224901533</v>
      </c>
      <c r="K1991" s="79">
        <v>-0.44541488815798402</v>
      </c>
    </row>
    <row r="1992" spans="2:11" x14ac:dyDescent="0.35">
      <c r="B1992" s="149" t="s">
        <v>848</v>
      </c>
      <c r="C1992" s="6" t="s">
        <v>226</v>
      </c>
      <c r="D1992" s="6">
        <v>259.80250000000001</v>
      </c>
      <c r="E1992" s="6" t="s">
        <v>1074</v>
      </c>
      <c r="F1992" s="114">
        <v>65.567083333333343</v>
      </c>
      <c r="G1992" s="76" t="s">
        <v>40</v>
      </c>
      <c r="H1992" s="160">
        <v>0.45491666666666219</v>
      </c>
      <c r="I1992" s="160">
        <v>-0.38483013046983999</v>
      </c>
      <c r="J1992" s="78">
        <v>11.110555857498866</v>
      </c>
      <c r="K1992" s="79">
        <v>-0.24899825556065025</v>
      </c>
    </row>
    <row r="1993" spans="2:11" x14ac:dyDescent="0.35">
      <c r="B1993" s="149" t="s">
        <v>848</v>
      </c>
      <c r="C1993" s="6" t="s">
        <v>226</v>
      </c>
      <c r="D1993" s="6">
        <v>259.8125</v>
      </c>
      <c r="E1993" s="6" t="s">
        <v>1074</v>
      </c>
      <c r="F1993" s="114">
        <v>65.569550000000007</v>
      </c>
      <c r="G1993" s="76" t="s">
        <v>40</v>
      </c>
      <c r="H1993" s="160">
        <v>0.45244999999999891</v>
      </c>
      <c r="I1993" s="160">
        <v>-0.25616109013302502</v>
      </c>
      <c r="J1993" s="78">
        <v>10.534890158091684</v>
      </c>
      <c r="K1993" s="79">
        <v>-0.82466395496783207</v>
      </c>
    </row>
    <row r="1994" spans="2:11" x14ac:dyDescent="0.35">
      <c r="B1994" s="149" t="s">
        <v>848</v>
      </c>
      <c r="C1994" s="6" t="s">
        <v>226</v>
      </c>
      <c r="D1994" s="6">
        <v>259.82249999999999</v>
      </c>
      <c r="E1994" s="6" t="s">
        <v>1074</v>
      </c>
      <c r="F1994" s="114">
        <v>65.57201666666667</v>
      </c>
      <c r="G1994" s="76" t="s">
        <v>40</v>
      </c>
      <c r="H1994" s="160">
        <v>0.44998333333333562</v>
      </c>
      <c r="I1994" s="160">
        <v>-0.220826449756164</v>
      </c>
      <c r="J1994" s="78">
        <v>10.377223628786453</v>
      </c>
      <c r="K1994" s="79">
        <v>-0.98233048427306358</v>
      </c>
    </row>
    <row r="1995" spans="2:11" x14ac:dyDescent="0.35">
      <c r="B1995" s="149" t="s">
        <v>848</v>
      </c>
      <c r="C1995" s="6" t="s">
        <v>226</v>
      </c>
      <c r="D1995" s="6">
        <v>259.83249999999998</v>
      </c>
      <c r="E1995" s="6" t="s">
        <v>1074</v>
      </c>
      <c r="F1995" s="114">
        <v>65.574483333333333</v>
      </c>
      <c r="G1995" s="76" t="s">
        <v>40</v>
      </c>
      <c r="H1995" s="160">
        <v>0.44751666666667234</v>
      </c>
      <c r="I1995" s="160">
        <v>-0.227781396583839</v>
      </c>
      <c r="J1995" s="78">
        <v>10.408242968855404</v>
      </c>
      <c r="K1995" s="79">
        <v>-0.95131114420411222</v>
      </c>
    </row>
    <row r="1996" spans="2:11" x14ac:dyDescent="0.35">
      <c r="B1996" s="149" t="s">
        <v>848</v>
      </c>
      <c r="C1996" s="6" t="s">
        <v>226</v>
      </c>
      <c r="D1996" s="6">
        <v>259.84249999999997</v>
      </c>
      <c r="E1996" s="6" t="s">
        <v>1074</v>
      </c>
      <c r="F1996" s="114">
        <v>65.576949999999997</v>
      </c>
      <c r="G1996" s="76" t="s">
        <v>40</v>
      </c>
      <c r="H1996" s="160">
        <v>0.44505000000000905</v>
      </c>
      <c r="I1996" s="160">
        <v>1.49954081402259E-2</v>
      </c>
      <c r="J1996" s="78">
        <v>9.3295769293268336</v>
      </c>
      <c r="K1996" s="79">
        <v>-2.029977183732683</v>
      </c>
    </row>
    <row r="1997" spans="2:11" x14ac:dyDescent="0.35">
      <c r="B1997" s="149" t="s">
        <v>848</v>
      </c>
      <c r="C1997" s="6" t="s">
        <v>226</v>
      </c>
      <c r="D1997" s="6">
        <v>259.85249999999996</v>
      </c>
      <c r="E1997" s="6" t="s">
        <v>1074</v>
      </c>
      <c r="F1997" s="114">
        <v>65.57941666666666</v>
      </c>
      <c r="G1997" s="76" t="s">
        <v>40</v>
      </c>
      <c r="H1997" s="160">
        <v>0.44258333333334576</v>
      </c>
      <c r="I1997" s="160">
        <v>-5.2875345146621303E-2</v>
      </c>
      <c r="J1997" s="78">
        <v>9.6302754806253006</v>
      </c>
      <c r="K1997" s="79">
        <v>-1.729278632434216</v>
      </c>
    </row>
    <row r="1998" spans="2:11" x14ac:dyDescent="0.35">
      <c r="B1998" s="149" t="s">
        <v>848</v>
      </c>
      <c r="C1998" s="6" t="s">
        <v>226</v>
      </c>
      <c r="D1998" s="6">
        <v>259.86250000000001</v>
      </c>
      <c r="E1998" s="6" t="s">
        <v>1074</v>
      </c>
      <c r="F1998" s="114">
        <v>65.581883333333337</v>
      </c>
      <c r="G1998" s="76" t="s">
        <v>40</v>
      </c>
      <c r="H1998" s="160">
        <v>0.44011666666666827</v>
      </c>
      <c r="I1998" s="160">
        <v>-3.90164727719155E-2</v>
      </c>
      <c r="J1998" s="78">
        <v>9.5688206597776002</v>
      </c>
      <c r="K1998" s="79">
        <v>-1.7907334532819164</v>
      </c>
    </row>
    <row r="1999" spans="2:11" x14ac:dyDescent="0.35">
      <c r="B1999" s="149" t="s">
        <v>848</v>
      </c>
      <c r="C1999" s="6" t="s">
        <v>226</v>
      </c>
      <c r="D1999" s="6">
        <v>259.8725</v>
      </c>
      <c r="E1999" s="6" t="s">
        <v>1074</v>
      </c>
      <c r="F1999" s="114">
        <v>65.584350000000001</v>
      </c>
      <c r="G1999" s="76" t="s">
        <v>40</v>
      </c>
      <c r="H1999" s="160">
        <v>0.43765000000000498</v>
      </c>
      <c r="I1999" s="160">
        <v>-7.4441817642025801E-2</v>
      </c>
      <c r="J1999" s="78">
        <v>9.7259631982052497</v>
      </c>
      <c r="K1999" s="79">
        <v>-1.6335909148542669</v>
      </c>
    </row>
    <row r="2000" spans="2:11" x14ac:dyDescent="0.35">
      <c r="B2000" s="149" t="s">
        <v>848</v>
      </c>
      <c r="C2000" s="6" t="s">
        <v>226</v>
      </c>
      <c r="D2000" s="6">
        <v>259.88249999999999</v>
      </c>
      <c r="E2000" s="6" t="s">
        <v>1074</v>
      </c>
      <c r="F2000" s="114">
        <v>65.586816666666664</v>
      </c>
      <c r="G2000" s="76" t="s">
        <v>40</v>
      </c>
      <c r="H2000" s="160">
        <v>0.43518333333334169</v>
      </c>
      <c r="I2000" s="160">
        <v>-7.8393403504552997E-2</v>
      </c>
      <c r="J2000" s="78">
        <v>9.743503130180045</v>
      </c>
      <c r="K2000" s="79">
        <v>-1.6160509828794716</v>
      </c>
    </row>
    <row r="2001" spans="2:11" x14ac:dyDescent="0.35">
      <c r="B2001" s="149" t="s">
        <v>848</v>
      </c>
      <c r="C2001" s="6" t="s">
        <v>226</v>
      </c>
      <c r="D2001" s="6">
        <v>259.89250000000004</v>
      </c>
      <c r="E2001" s="6" t="s">
        <v>1074</v>
      </c>
      <c r="F2001" s="114">
        <v>65.589283333333341</v>
      </c>
      <c r="G2001" s="76" t="s">
        <v>40</v>
      </c>
      <c r="H2001" s="160">
        <v>0.4327166666666642</v>
      </c>
      <c r="I2001" s="160">
        <v>-9.1335860661103593E-2</v>
      </c>
      <c r="J2001" s="78">
        <v>9.8009666233145936</v>
      </c>
      <c r="K2001" s="79">
        <v>-1.558587489744923</v>
      </c>
    </row>
    <row r="2002" spans="2:11" x14ac:dyDescent="0.35">
      <c r="B2002" s="149" t="s">
        <v>848</v>
      </c>
      <c r="C2002" s="6" t="s">
        <v>226</v>
      </c>
      <c r="D2002" s="6">
        <v>259.90250000000003</v>
      </c>
      <c r="E2002" s="6" t="s">
        <v>1074</v>
      </c>
      <c r="F2002" s="114">
        <v>65.591750000000005</v>
      </c>
      <c r="G2002" s="76" t="s">
        <v>40</v>
      </c>
      <c r="H2002" s="160">
        <v>0.43025000000000091</v>
      </c>
      <c r="I2002" s="160">
        <v>-0.119963812016268</v>
      </c>
      <c r="J2002" s="78">
        <v>9.9281580891647536</v>
      </c>
      <c r="K2002" s="79">
        <v>-1.4313960238947629</v>
      </c>
    </row>
    <row r="2003" spans="2:11" x14ac:dyDescent="0.35">
      <c r="B2003" s="149" t="s">
        <v>848</v>
      </c>
      <c r="C2003" s="6" t="s">
        <v>226</v>
      </c>
      <c r="D2003" s="6">
        <v>259.91250000000002</v>
      </c>
      <c r="E2003" s="6" t="s">
        <v>1074</v>
      </c>
      <c r="F2003" s="114">
        <v>65.594216666666668</v>
      </c>
      <c r="G2003" s="76" t="s">
        <v>40</v>
      </c>
      <c r="H2003" s="160">
        <v>0.42778333333333762</v>
      </c>
      <c r="I2003" s="160">
        <v>-0.184784665769302</v>
      </c>
      <c r="J2003" s="78">
        <v>10.216587938085411</v>
      </c>
      <c r="K2003" s="79">
        <v>-1.1429661749741058</v>
      </c>
    </row>
    <row r="2004" spans="2:11" x14ac:dyDescent="0.35">
      <c r="B2004" s="149" t="s">
        <v>848</v>
      </c>
      <c r="C2004" s="6" t="s">
        <v>226</v>
      </c>
      <c r="D2004" s="6">
        <v>259.92250000000001</v>
      </c>
      <c r="E2004" s="6" t="s">
        <v>1074</v>
      </c>
      <c r="F2004" s="114">
        <v>65.596683333333331</v>
      </c>
      <c r="G2004" s="76" t="s">
        <v>40</v>
      </c>
      <c r="H2004" s="160">
        <v>0.42531666666667434</v>
      </c>
      <c r="I2004" s="160">
        <v>-0.26203038253112199</v>
      </c>
      <c r="J2004" s="78">
        <v>10.561097023923992</v>
      </c>
      <c r="K2004" s="79">
        <v>-0.79845708913552471</v>
      </c>
    </row>
    <row r="2005" spans="2:11" x14ac:dyDescent="0.35">
      <c r="B2005" s="149" t="s">
        <v>848</v>
      </c>
      <c r="C2005" s="6" t="s">
        <v>226</v>
      </c>
      <c r="D2005" s="6">
        <v>259.9325</v>
      </c>
      <c r="E2005" s="6" t="s">
        <v>1074</v>
      </c>
      <c r="F2005" s="114">
        <v>65.599149999999995</v>
      </c>
      <c r="G2005" s="76" t="s">
        <v>40</v>
      </c>
      <c r="H2005" s="160">
        <v>0.42285000000001105</v>
      </c>
      <c r="I2005" s="160">
        <v>-0.35522734375723802</v>
      </c>
      <c r="J2005" s="78">
        <v>10.977899495719498</v>
      </c>
      <c r="K2005" s="79">
        <v>-0.38165461734001838</v>
      </c>
    </row>
    <row r="2006" spans="2:11" x14ac:dyDescent="0.35">
      <c r="B2006" s="149" t="s">
        <v>848</v>
      </c>
      <c r="C2006" s="6" t="s">
        <v>226</v>
      </c>
      <c r="D2006" s="6">
        <v>259.9425</v>
      </c>
      <c r="E2006" s="6" t="s">
        <v>1074</v>
      </c>
      <c r="F2006" s="114">
        <v>65.602656249999995</v>
      </c>
      <c r="G2006" s="76" t="s">
        <v>40</v>
      </c>
      <c r="H2006" s="160">
        <v>0.41934375000001012</v>
      </c>
      <c r="I2006" s="160">
        <v>-0.39226587578720301</v>
      </c>
      <c r="J2006" s="78">
        <v>11.143897093404803</v>
      </c>
      <c r="K2006" s="79">
        <v>-0.21565701965471362</v>
      </c>
    </row>
    <row r="2007" spans="2:11" x14ac:dyDescent="0.35">
      <c r="B2007" s="149" t="s">
        <v>848</v>
      </c>
      <c r="C2007" s="6" t="s">
        <v>226</v>
      </c>
      <c r="D2007" s="6">
        <v>259.95249999999999</v>
      </c>
      <c r="E2007" s="6" t="s">
        <v>1074</v>
      </c>
      <c r="F2007" s="114">
        <v>65.609281249999995</v>
      </c>
      <c r="G2007" s="76" t="s">
        <v>40</v>
      </c>
      <c r="H2007" s="160">
        <v>0.41271875000001046</v>
      </c>
      <c r="I2007" s="160">
        <v>-0.27218060130505201</v>
      </c>
      <c r="J2007" s="78">
        <v>10.606430365157337</v>
      </c>
      <c r="K2007" s="79">
        <v>-0.75312374790217973</v>
      </c>
    </row>
    <row r="2008" spans="2:11" x14ac:dyDescent="0.35">
      <c r="B2008" s="149" t="s">
        <v>848</v>
      </c>
      <c r="C2008" s="6" t="s">
        <v>226</v>
      </c>
      <c r="D2008" s="6">
        <v>259.96249999999998</v>
      </c>
      <c r="E2008" s="6" t="s">
        <v>1074</v>
      </c>
      <c r="F2008" s="114">
        <v>65.615906249999981</v>
      </c>
      <c r="G2008" s="76" t="s">
        <v>40</v>
      </c>
      <c r="H2008" s="160">
        <v>0.40609375000002501</v>
      </c>
      <c r="I2008" s="160">
        <v>-0.35605554149185298</v>
      </c>
      <c r="J2008" s="78">
        <v>10.981609088380651</v>
      </c>
      <c r="K2008" s="79">
        <v>-0.37794502467886559</v>
      </c>
    </row>
    <row r="2009" spans="2:11" x14ac:dyDescent="0.35">
      <c r="B2009" s="149" t="s">
        <v>848</v>
      </c>
      <c r="C2009" s="6" t="s">
        <v>226</v>
      </c>
      <c r="D2009" s="6">
        <v>259.97249999999997</v>
      </c>
      <c r="E2009" s="6" t="s">
        <v>1074</v>
      </c>
      <c r="F2009" s="114">
        <v>65.62253124999998</v>
      </c>
      <c r="G2009" s="76" t="s">
        <v>40</v>
      </c>
      <c r="H2009" s="160">
        <v>0.39946875000002535</v>
      </c>
      <c r="I2009" s="160">
        <v>-0.360813720934197</v>
      </c>
      <c r="J2009" s="78">
        <v>11.002923456542305</v>
      </c>
      <c r="K2009" s="79">
        <v>-0.35663065651721126</v>
      </c>
    </row>
    <row r="2010" spans="2:11" x14ac:dyDescent="0.35">
      <c r="B2010" s="149" t="s">
        <v>848</v>
      </c>
      <c r="C2010" s="6" t="s">
        <v>226</v>
      </c>
      <c r="D2010" s="6">
        <v>259.98249999999996</v>
      </c>
      <c r="E2010" s="6" t="s">
        <v>1074</v>
      </c>
      <c r="F2010" s="114">
        <v>65.629156249999966</v>
      </c>
      <c r="G2010" s="76" t="s">
        <v>40</v>
      </c>
      <c r="H2010" s="160">
        <v>0.3928437500000399</v>
      </c>
      <c r="I2010" s="160">
        <v>-0.45786094675213301</v>
      </c>
      <c r="J2010" s="78">
        <v>11.438369635919912</v>
      </c>
      <c r="K2010" s="79">
        <v>7.8815522860395504E-2</v>
      </c>
    </row>
    <row r="2011" spans="2:11" x14ac:dyDescent="0.35">
      <c r="B2011" s="149" t="s">
        <v>848</v>
      </c>
      <c r="C2011" s="6" t="s">
        <v>226</v>
      </c>
      <c r="D2011" s="6">
        <v>259.99250000000001</v>
      </c>
      <c r="E2011" s="6" t="s">
        <v>1074</v>
      </c>
      <c r="F2011" s="114">
        <v>65.635781249999994</v>
      </c>
      <c r="G2011" s="76" t="s">
        <v>40</v>
      </c>
      <c r="H2011" s="160">
        <v>0.38621875000001182</v>
      </c>
      <c r="I2011" s="160">
        <v>-0.513416874249641</v>
      </c>
      <c r="J2011" s="78">
        <v>11.688266680153902</v>
      </c>
      <c r="K2011" s="79">
        <v>0.32871256709438512</v>
      </c>
    </row>
    <row r="2012" spans="2:11" x14ac:dyDescent="0.35">
      <c r="B2012" s="149" t="s">
        <v>848</v>
      </c>
      <c r="C2012" s="6" t="s">
        <v>226</v>
      </c>
      <c r="D2012" s="6">
        <v>260.0025</v>
      </c>
      <c r="E2012" s="6" t="s">
        <v>1074</v>
      </c>
      <c r="F2012" s="114">
        <v>65.642406249999993</v>
      </c>
      <c r="G2012" s="76" t="s">
        <v>40</v>
      </c>
      <c r="H2012" s="160">
        <v>0.37959375000001216</v>
      </c>
      <c r="I2012" s="160">
        <v>-0.65134002839260197</v>
      </c>
      <c r="J2012" s="78">
        <v>12.310622843945907</v>
      </c>
      <c r="K2012" s="79">
        <v>0.95106873088639077</v>
      </c>
    </row>
    <row r="2013" spans="2:11" x14ac:dyDescent="0.35">
      <c r="B2013" s="149" t="s">
        <v>848</v>
      </c>
      <c r="C2013" s="6" t="s">
        <v>226</v>
      </c>
      <c r="D2013" s="6">
        <v>260.01249999999999</v>
      </c>
      <c r="E2013" s="6" t="s">
        <v>1074</v>
      </c>
      <c r="F2013" s="114">
        <v>65.649031249999979</v>
      </c>
      <c r="G2013" s="76" t="s">
        <v>40</v>
      </c>
      <c r="H2013" s="160">
        <v>0.37296875000002672</v>
      </c>
      <c r="I2013" s="160">
        <v>-0.66514928817371899</v>
      </c>
      <c r="J2013" s="78">
        <v>12.373089474731501</v>
      </c>
      <c r="K2013" s="79">
        <v>1.013535361671984</v>
      </c>
    </row>
    <row r="2014" spans="2:11" x14ac:dyDescent="0.35">
      <c r="B2014" s="149" t="s">
        <v>848</v>
      </c>
      <c r="C2014" s="6" t="s">
        <v>226</v>
      </c>
      <c r="D2014" s="6">
        <v>260.02250000000004</v>
      </c>
      <c r="E2014" s="6" t="s">
        <v>1074</v>
      </c>
      <c r="F2014" s="114">
        <v>65.655656250000007</v>
      </c>
      <c r="G2014" s="76" t="s">
        <v>40</v>
      </c>
      <c r="H2014" s="160">
        <v>0.36634374999999864</v>
      </c>
      <c r="I2014" s="160">
        <v>-0.58443969075614699</v>
      </c>
      <c r="J2014" s="78">
        <v>12.008395757833739</v>
      </c>
      <c r="K2014" s="79">
        <v>0.64884164477422246</v>
      </c>
    </row>
    <row r="2015" spans="2:11" x14ac:dyDescent="0.35">
      <c r="B2015" s="149" t="s">
        <v>848</v>
      </c>
      <c r="C2015" s="6" t="s">
        <v>226</v>
      </c>
      <c r="D2015" s="6">
        <v>260.03250000000003</v>
      </c>
      <c r="E2015" s="6" t="s">
        <v>1074</v>
      </c>
      <c r="F2015" s="114">
        <v>65.662281250000007</v>
      </c>
      <c r="G2015" s="76" t="s">
        <v>40</v>
      </c>
      <c r="H2015" s="160">
        <v>0.35971874999999898</v>
      </c>
      <c r="I2015" s="160">
        <v>-0.71774625653829005</v>
      </c>
      <c r="J2015" s="78">
        <v>12.611272049908905</v>
      </c>
      <c r="K2015" s="79">
        <v>1.2517179368493885</v>
      </c>
    </row>
    <row r="2016" spans="2:11" x14ac:dyDescent="0.35">
      <c r="B2016" s="149" t="s">
        <v>848</v>
      </c>
      <c r="C2016" s="6" t="s">
        <v>226</v>
      </c>
      <c r="D2016" s="6">
        <v>260.04250000000002</v>
      </c>
      <c r="E2016" s="6" t="s">
        <v>1074</v>
      </c>
      <c r="F2016" s="114">
        <v>65.668906249999992</v>
      </c>
      <c r="G2016" s="76" t="s">
        <v>40</v>
      </c>
      <c r="H2016" s="160">
        <v>0.35309375000001353</v>
      </c>
      <c r="I2016" s="160">
        <v>-0.64527284118363304</v>
      </c>
      <c r="J2016" s="78">
        <v>12.283186641966722</v>
      </c>
      <c r="K2016" s="79">
        <v>0.9236325289072056</v>
      </c>
    </row>
    <row r="2017" spans="2:11" x14ac:dyDescent="0.35">
      <c r="B2017" s="149" t="s">
        <v>848</v>
      </c>
      <c r="C2017" s="6" t="s">
        <v>226</v>
      </c>
      <c r="D2017" s="6">
        <v>260.05250000000001</v>
      </c>
      <c r="E2017" s="6" t="s">
        <v>1074</v>
      </c>
      <c r="F2017" s="114">
        <v>65.675531249999992</v>
      </c>
      <c r="G2017" s="76" t="s">
        <v>40</v>
      </c>
      <c r="H2017" s="160">
        <v>0.34646875000001387</v>
      </c>
      <c r="I2017" s="160">
        <v>-0.54915076644199901</v>
      </c>
      <c r="J2017" s="78">
        <v>11.849241307833324</v>
      </c>
      <c r="K2017" s="79">
        <v>0.48968719477380773</v>
      </c>
    </row>
    <row r="2018" spans="2:11" x14ac:dyDescent="0.35">
      <c r="B2018" s="149" t="s">
        <v>848</v>
      </c>
      <c r="C2018" s="6" t="s">
        <v>226</v>
      </c>
      <c r="D2018" s="6">
        <v>260.0625</v>
      </c>
      <c r="E2018" s="6" t="s">
        <v>1074</v>
      </c>
      <c r="F2018" s="114">
        <v>65.682156249999977</v>
      </c>
      <c r="G2018" s="76" t="s">
        <v>40</v>
      </c>
      <c r="H2018" s="160">
        <v>0.33984375000002842</v>
      </c>
      <c r="I2018" s="160">
        <v>-0.60266477685875397</v>
      </c>
      <c r="J2018" s="78">
        <v>12.090663450273041</v>
      </c>
      <c r="K2018" s="79">
        <v>0.73110933721352467</v>
      </c>
    </row>
    <row r="2019" spans="2:11" x14ac:dyDescent="0.35">
      <c r="B2019" s="149" t="s">
        <v>848</v>
      </c>
      <c r="C2019" s="6" t="s">
        <v>226</v>
      </c>
      <c r="D2019" s="6">
        <v>260.07249999999999</v>
      </c>
      <c r="E2019" s="6" t="s">
        <v>1074</v>
      </c>
      <c r="F2019" s="114">
        <v>65.688781249999977</v>
      </c>
      <c r="G2019" s="76" t="s">
        <v>40</v>
      </c>
      <c r="H2019" s="160">
        <v>0.33321875000002876</v>
      </c>
      <c r="I2019" s="160">
        <v>-0.67159541694748104</v>
      </c>
      <c r="J2019" s="78">
        <v>12.402258401584334</v>
      </c>
      <c r="K2019" s="79">
        <v>1.042704288524817</v>
      </c>
    </row>
    <row r="2020" spans="2:11" x14ac:dyDescent="0.35">
      <c r="B2020" s="149" t="s">
        <v>848</v>
      </c>
      <c r="C2020" s="6" t="s">
        <v>226</v>
      </c>
      <c r="D2020" s="6">
        <v>260.08249999999998</v>
      </c>
      <c r="E2020" s="6" t="s">
        <v>1074</v>
      </c>
      <c r="F2020" s="114">
        <v>65.695406249999962</v>
      </c>
      <c r="G2020" s="76" t="s">
        <v>40</v>
      </c>
      <c r="H2020" s="160">
        <v>0.32659375000004331</v>
      </c>
      <c r="I2020" s="160">
        <v>-0.67383415930064805</v>
      </c>
      <c r="J2020" s="78">
        <v>12.412390216580832</v>
      </c>
      <c r="K2020" s="79">
        <v>1.0528361035213152</v>
      </c>
    </row>
    <row r="2021" spans="2:11" x14ac:dyDescent="0.35">
      <c r="B2021" s="149" t="s">
        <v>848</v>
      </c>
      <c r="C2021" s="6" t="s">
        <v>226</v>
      </c>
      <c r="D2021" s="6">
        <v>260.09249999999997</v>
      </c>
      <c r="E2021" s="6" t="s">
        <v>1074</v>
      </c>
      <c r="F2021" s="114">
        <v>65.702031249999962</v>
      </c>
      <c r="G2021" s="76" t="s">
        <v>40</v>
      </c>
      <c r="H2021" s="160">
        <v>0.31996875000004366</v>
      </c>
      <c r="I2021" s="160">
        <v>-0.670098711110103</v>
      </c>
      <c r="J2021" s="78">
        <v>12.395485214588632</v>
      </c>
      <c r="K2021" s="79">
        <v>1.0359311015291155</v>
      </c>
    </row>
    <row r="2022" spans="2:11" x14ac:dyDescent="0.35">
      <c r="B2022" s="149" t="s">
        <v>848</v>
      </c>
      <c r="C2022" s="6" t="s">
        <v>226</v>
      </c>
      <c r="D2022" s="6">
        <v>260.10249999999996</v>
      </c>
      <c r="E2022" s="6" t="s">
        <v>1074</v>
      </c>
      <c r="F2022" s="114">
        <v>65.70746874999999</v>
      </c>
      <c r="G2022" s="76" t="s">
        <v>40</v>
      </c>
      <c r="H2022" s="160">
        <v>0.31453125000001592</v>
      </c>
      <c r="I2022" s="160">
        <v>-0.71951643032184498</v>
      </c>
      <c r="J2022" s="78">
        <v>12.619295318331012</v>
      </c>
      <c r="K2022" s="79">
        <v>1.2597412052714958</v>
      </c>
    </row>
    <row r="2023" spans="2:11" x14ac:dyDescent="0.35">
      <c r="B2023" s="149" t="s">
        <v>848</v>
      </c>
      <c r="C2023" s="6" t="s">
        <v>226</v>
      </c>
      <c r="D2023" s="6">
        <v>260.11250000000001</v>
      </c>
      <c r="E2023" s="6" t="s">
        <v>1074</v>
      </c>
      <c r="F2023" s="114">
        <v>65.709343749999988</v>
      </c>
      <c r="G2023" s="76" t="s">
        <v>40</v>
      </c>
      <c r="H2023" s="160">
        <v>0.31265625000001762</v>
      </c>
      <c r="I2023" s="160">
        <v>-0.68576262106332597</v>
      </c>
      <c r="J2023" s="78">
        <v>12.466387035928506</v>
      </c>
      <c r="K2023" s="79">
        <v>1.106832922868989</v>
      </c>
    </row>
    <row r="2024" spans="2:11" x14ac:dyDescent="0.35">
      <c r="B2024" s="149" t="s">
        <v>848</v>
      </c>
      <c r="C2024" s="6" t="s">
        <v>226</v>
      </c>
      <c r="D2024" s="6">
        <v>260.1225</v>
      </c>
      <c r="E2024" s="6" t="s">
        <v>1074</v>
      </c>
      <c r="F2024" s="114">
        <v>65.711218749999986</v>
      </c>
      <c r="G2024" s="76" t="s">
        <v>40</v>
      </c>
      <c r="H2024" s="160">
        <v>0.31078125000001933</v>
      </c>
      <c r="I2024" s="160">
        <v>-0.75965946924237104</v>
      </c>
      <c r="J2024" s="78">
        <v>12.801367492940642</v>
      </c>
      <c r="K2024" s="79">
        <v>1.4418133798811255</v>
      </c>
    </row>
    <row r="2025" spans="2:11" x14ac:dyDescent="0.35">
      <c r="B2025" s="149" t="s">
        <v>848</v>
      </c>
      <c r="C2025" s="6" t="s">
        <v>226</v>
      </c>
      <c r="D2025" s="6">
        <v>260.13249999999999</v>
      </c>
      <c r="E2025" s="6" t="s">
        <v>1074</v>
      </c>
      <c r="F2025" s="114">
        <v>65.713093749999985</v>
      </c>
      <c r="G2025" s="76" t="s">
        <v>40</v>
      </c>
      <c r="H2025" s="160">
        <v>0.30890625000002103</v>
      </c>
      <c r="I2025" s="160">
        <v>-0.76302349787680501</v>
      </c>
      <c r="J2025" s="78">
        <v>12.816636200390349</v>
      </c>
      <c r="K2025" s="79">
        <v>1.4570820873308321</v>
      </c>
    </row>
    <row r="2026" spans="2:11" x14ac:dyDescent="0.35">
      <c r="B2026" s="149" t="s">
        <v>848</v>
      </c>
      <c r="C2026" s="6" t="s">
        <v>226</v>
      </c>
      <c r="D2026" s="6">
        <v>260.15250000000003</v>
      </c>
      <c r="E2026" s="6" t="s">
        <v>1074</v>
      </c>
      <c r="F2026" s="114">
        <v>65.716843749999995</v>
      </c>
      <c r="G2026" s="76" t="s">
        <v>40</v>
      </c>
      <c r="H2026" s="160">
        <v>0.30515625000001023</v>
      </c>
      <c r="I2026" s="160">
        <v>-0.80310009923088199</v>
      </c>
      <c r="J2026" s="78">
        <v>12.998665988279697</v>
      </c>
      <c r="K2026" s="79">
        <v>1.6391118752201805</v>
      </c>
    </row>
    <row r="2027" spans="2:11" x14ac:dyDescent="0.35">
      <c r="B2027" s="149" t="s">
        <v>848</v>
      </c>
      <c r="C2027" s="6" t="s">
        <v>226</v>
      </c>
      <c r="D2027" s="6">
        <v>260.16250000000002</v>
      </c>
      <c r="E2027" s="6" t="s">
        <v>1074</v>
      </c>
      <c r="F2027" s="114">
        <v>65.718718749999994</v>
      </c>
      <c r="G2027" s="76" t="s">
        <v>40</v>
      </c>
      <c r="H2027" s="160">
        <v>0.30328125000001194</v>
      </c>
      <c r="I2027" s="160">
        <v>-0.764483890579572</v>
      </c>
      <c r="J2027" s="78">
        <v>12.823265177955591</v>
      </c>
      <c r="K2027" s="79">
        <v>1.4637110648960743</v>
      </c>
    </row>
    <row r="2028" spans="2:11" x14ac:dyDescent="0.35">
      <c r="B2028" s="149" t="s">
        <v>848</v>
      </c>
      <c r="C2028" s="6" t="s">
        <v>226</v>
      </c>
      <c r="D2028" s="6">
        <v>260.17250000000001</v>
      </c>
      <c r="E2028" s="6" t="s">
        <v>1074</v>
      </c>
      <c r="F2028" s="114">
        <v>65.720593749999992</v>
      </c>
      <c r="G2028" s="76" t="s">
        <v>40</v>
      </c>
      <c r="H2028" s="160">
        <v>0.30140625000001364</v>
      </c>
      <c r="I2028" s="160">
        <v>-0.51688047564178097</v>
      </c>
      <c r="J2028" s="78">
        <v>11.703861358012887</v>
      </c>
      <c r="K2028" s="79">
        <v>0.34430724495337017</v>
      </c>
    </row>
    <row r="2029" spans="2:11" x14ac:dyDescent="0.35">
      <c r="B2029" s="149" t="s">
        <v>848</v>
      </c>
      <c r="C2029" s="6" t="s">
        <v>226</v>
      </c>
      <c r="D2029" s="6">
        <v>260.1825</v>
      </c>
      <c r="E2029" s="6" t="s">
        <v>1074</v>
      </c>
      <c r="F2029" s="114">
        <v>65.72246874999999</v>
      </c>
      <c r="G2029" s="76" t="s">
        <v>40</v>
      </c>
      <c r="H2029" s="160">
        <v>0.29953125000001535</v>
      </c>
      <c r="I2029" s="160">
        <v>-0.57655287447153902</v>
      </c>
      <c r="J2029" s="78">
        <v>11.972809993147962</v>
      </c>
      <c r="K2029" s="79">
        <v>0.61325588008844534</v>
      </c>
    </row>
    <row r="2030" spans="2:11" x14ac:dyDescent="0.35">
      <c r="B2030" s="149" t="s">
        <v>848</v>
      </c>
      <c r="C2030" s="6" t="s">
        <v>226</v>
      </c>
      <c r="D2030" s="6">
        <v>260.1925</v>
      </c>
      <c r="E2030" s="6" t="s">
        <v>1074</v>
      </c>
      <c r="F2030" s="114">
        <v>65.724343749999989</v>
      </c>
      <c r="G2030" s="76" t="s">
        <v>40</v>
      </c>
      <c r="H2030" s="160">
        <v>0.29765625000001705</v>
      </c>
      <c r="I2030" s="160">
        <v>-0.61692100790642601</v>
      </c>
      <c r="J2030" s="78">
        <v>12.155049948482144</v>
      </c>
      <c r="K2030" s="79">
        <v>0.79549583542262781</v>
      </c>
    </row>
    <row r="2031" spans="2:11" x14ac:dyDescent="0.35">
      <c r="B2031" s="149" t="s">
        <v>848</v>
      </c>
      <c r="C2031" s="6" t="s">
        <v>226</v>
      </c>
      <c r="D2031" s="6">
        <v>260.20249999999999</v>
      </c>
      <c r="E2031" s="6" t="s">
        <v>1074</v>
      </c>
      <c r="F2031" s="114">
        <v>65.726218749999987</v>
      </c>
      <c r="G2031" s="76" t="s">
        <v>40</v>
      </c>
      <c r="H2031" s="160">
        <v>0.29578125000001876</v>
      </c>
      <c r="I2031" s="160">
        <v>-0.58154927752805097</v>
      </c>
      <c r="J2031" s="78">
        <v>11.995352984838348</v>
      </c>
      <c r="K2031" s="79">
        <v>0.63579887177883165</v>
      </c>
    </row>
    <row r="2032" spans="2:11" x14ac:dyDescent="0.35">
      <c r="B2032" s="149" t="s">
        <v>848</v>
      </c>
      <c r="C2032" s="6" t="s">
        <v>226</v>
      </c>
      <c r="D2032" s="6">
        <v>260.21249999999998</v>
      </c>
      <c r="E2032" s="6" t="s">
        <v>1074</v>
      </c>
      <c r="F2032" s="114">
        <v>65.728093749999985</v>
      </c>
      <c r="G2032" s="76" t="s">
        <v>40</v>
      </c>
      <c r="H2032" s="160">
        <v>0.29390625000002046</v>
      </c>
      <c r="I2032" s="160">
        <v>-0.59730229260177803</v>
      </c>
      <c r="J2032" s="78">
        <v>12.066452214188075</v>
      </c>
      <c r="K2032" s="79">
        <v>0.70689810112855866</v>
      </c>
    </row>
    <row r="2033" spans="2:11" x14ac:dyDescent="0.35">
      <c r="B2033" s="149" t="s">
        <v>848</v>
      </c>
      <c r="C2033" s="6" t="s">
        <v>226</v>
      </c>
      <c r="D2033" s="6">
        <v>260.22249999999997</v>
      </c>
      <c r="E2033" s="6" t="s">
        <v>1074</v>
      </c>
      <c r="F2033" s="114">
        <v>65.729968749999983</v>
      </c>
      <c r="G2033" s="76" t="s">
        <v>40</v>
      </c>
      <c r="H2033" s="160">
        <v>0.29203125000002217</v>
      </c>
      <c r="I2033" s="160">
        <v>-0.62409951500706196</v>
      </c>
      <c r="J2033" s="78">
        <v>12.187482137231541</v>
      </c>
      <c r="K2033" s="79">
        <v>0.82792802417202438</v>
      </c>
    </row>
    <row r="2034" spans="2:11" x14ac:dyDescent="0.35">
      <c r="B2034" s="149" t="s">
        <v>848</v>
      </c>
      <c r="C2034" s="6" t="s">
        <v>226</v>
      </c>
      <c r="D2034" s="6">
        <v>260.23249999999996</v>
      </c>
      <c r="E2034" s="6" t="s">
        <v>1074</v>
      </c>
      <c r="F2034" s="114">
        <v>65.731843749999982</v>
      </c>
      <c r="G2034" s="76" t="s">
        <v>40</v>
      </c>
      <c r="H2034" s="160">
        <v>0.29015625000002387</v>
      </c>
      <c r="I2034" s="160">
        <v>-0.53957021399484695</v>
      </c>
      <c r="J2034" s="78">
        <v>11.806064263378289</v>
      </c>
      <c r="K2034" s="79">
        <v>0.4465101503187725</v>
      </c>
    </row>
    <row r="2035" spans="2:11" x14ac:dyDescent="0.35">
      <c r="B2035" s="149" t="s">
        <v>848</v>
      </c>
      <c r="C2035" s="6" t="s">
        <v>226</v>
      </c>
      <c r="D2035" s="6">
        <v>260.24250000000001</v>
      </c>
      <c r="E2035" s="6" t="s">
        <v>1074</v>
      </c>
      <c r="F2035" s="114">
        <v>65.733718749999994</v>
      </c>
      <c r="G2035" s="76" t="s">
        <v>40</v>
      </c>
      <c r="H2035" s="160">
        <v>0.28828125000001137</v>
      </c>
      <c r="I2035" s="160">
        <v>-0.58781223713819897</v>
      </c>
      <c r="J2035" s="78">
        <v>12.023615676624559</v>
      </c>
      <c r="K2035" s="79">
        <v>0.66406156356504198</v>
      </c>
    </row>
    <row r="2036" spans="2:11" x14ac:dyDescent="0.35">
      <c r="B2036" s="149" t="s">
        <v>848</v>
      </c>
      <c r="C2036" s="6" t="s">
        <v>226</v>
      </c>
      <c r="D2036" s="6">
        <v>260.2525</v>
      </c>
      <c r="E2036" s="6" t="s">
        <v>1074</v>
      </c>
      <c r="F2036" s="114">
        <v>65.735593749999992</v>
      </c>
      <c r="G2036" s="76" t="s">
        <v>40</v>
      </c>
      <c r="H2036" s="160">
        <v>0.28640625000001307</v>
      </c>
      <c r="I2036" s="160">
        <v>-0.52039683800262604</v>
      </c>
      <c r="J2036" s="78">
        <v>11.719695391477728</v>
      </c>
      <c r="K2036" s="79">
        <v>0.36014127841821164</v>
      </c>
    </row>
    <row r="2037" spans="2:11" x14ac:dyDescent="0.35">
      <c r="B2037" s="149" t="s">
        <v>848</v>
      </c>
      <c r="C2037" s="6" t="s">
        <v>226</v>
      </c>
      <c r="D2037" s="6">
        <v>260.26249999999999</v>
      </c>
      <c r="E2037" s="6" t="s">
        <v>1074</v>
      </c>
      <c r="F2037" s="114">
        <v>65.737468749999991</v>
      </c>
      <c r="G2037" s="76" t="s">
        <v>40</v>
      </c>
      <c r="H2037" s="160">
        <v>0.28453125000001478</v>
      </c>
      <c r="I2037" s="160">
        <v>-0.48432647508953802</v>
      </c>
      <c r="J2037" s="78">
        <v>11.55735822708823</v>
      </c>
      <c r="K2037" s="79">
        <v>0.19780411402871323</v>
      </c>
    </row>
    <row r="2038" spans="2:11" x14ac:dyDescent="0.35">
      <c r="B2038" s="149" t="s">
        <v>848</v>
      </c>
      <c r="C2038" s="6" t="s">
        <v>226</v>
      </c>
      <c r="D2038" s="6">
        <v>260.27250000000004</v>
      </c>
      <c r="E2038" s="6" t="s">
        <v>1074</v>
      </c>
      <c r="F2038" s="114">
        <v>65.739343750000003</v>
      </c>
      <c r="G2038" s="76" t="s">
        <v>40</v>
      </c>
      <c r="H2038" s="160">
        <v>0.28265625000000227</v>
      </c>
      <c r="I2038" s="160">
        <v>-0.62700742273467303</v>
      </c>
      <c r="J2038" s="78">
        <v>12.200622105081152</v>
      </c>
      <c r="K2038" s="79">
        <v>0.84106799202163529</v>
      </c>
    </row>
    <row r="2039" spans="2:11" x14ac:dyDescent="0.35">
      <c r="B2039" s="149" t="s">
        <v>848</v>
      </c>
      <c r="C2039" s="6" t="s">
        <v>226</v>
      </c>
      <c r="D2039" s="6">
        <v>260.28250000000003</v>
      </c>
      <c r="E2039" s="6" t="s">
        <v>1074</v>
      </c>
      <c r="F2039" s="114">
        <v>65.741218750000002</v>
      </c>
      <c r="G2039" s="76" t="s">
        <v>40</v>
      </c>
      <c r="H2039" s="160">
        <v>0.28078125000000398</v>
      </c>
      <c r="I2039" s="160">
        <v>-0.56080243301235499</v>
      </c>
      <c r="J2039" s="78">
        <v>11.901770516496754</v>
      </c>
      <c r="K2039" s="79">
        <v>0.5422164034372372</v>
      </c>
    </row>
    <row r="2040" spans="2:11" x14ac:dyDescent="0.35">
      <c r="B2040" s="149" t="s">
        <v>848</v>
      </c>
      <c r="C2040" s="6" t="s">
        <v>226</v>
      </c>
      <c r="D2040" s="6">
        <v>260.29250000000002</v>
      </c>
      <c r="E2040" s="6" t="s">
        <v>1074</v>
      </c>
      <c r="F2040" s="114">
        <v>65.74309375</v>
      </c>
      <c r="G2040" s="76" t="s">
        <v>40</v>
      </c>
      <c r="H2040" s="160">
        <v>0.27890625000000568</v>
      </c>
      <c r="I2040" s="160">
        <v>-0.51520866018693001</v>
      </c>
      <c r="J2040" s="78">
        <v>11.696333879452538</v>
      </c>
      <c r="K2040" s="79">
        <v>0.33677976639302187</v>
      </c>
    </row>
    <row r="2041" spans="2:11" x14ac:dyDescent="0.35">
      <c r="B2041" s="149" t="s">
        <v>848</v>
      </c>
      <c r="C2041" s="6" t="s">
        <v>226</v>
      </c>
      <c r="D2041" s="6">
        <v>260.30250000000001</v>
      </c>
      <c r="E2041" s="6" t="s">
        <v>1074</v>
      </c>
      <c r="F2041" s="114">
        <v>65.744968749999998</v>
      </c>
      <c r="G2041" s="76" t="s">
        <v>40</v>
      </c>
      <c r="H2041" s="160">
        <v>0.27703125000000739</v>
      </c>
      <c r="I2041" s="160">
        <v>-0.63431569070724503</v>
      </c>
      <c r="J2041" s="78">
        <v>12.233651500932183</v>
      </c>
      <c r="K2041" s="79">
        <v>0.87409738787266633</v>
      </c>
    </row>
    <row r="2042" spans="2:11" x14ac:dyDescent="0.35">
      <c r="B2042" s="149" t="s">
        <v>848</v>
      </c>
      <c r="C2042" s="6" t="s">
        <v>226</v>
      </c>
      <c r="D2042" s="6">
        <v>260.3125</v>
      </c>
      <c r="E2042" s="6" t="s">
        <v>1074</v>
      </c>
      <c r="F2042" s="114">
        <v>65.746843749999996</v>
      </c>
      <c r="G2042" s="76" t="s">
        <v>40</v>
      </c>
      <c r="H2042" s="160">
        <v>0.27515625000000909</v>
      </c>
      <c r="I2042" s="160">
        <v>-0.50478635739757105</v>
      </c>
      <c r="J2042" s="78">
        <v>11.649415907255843</v>
      </c>
      <c r="K2042" s="79">
        <v>0.28986179419632663</v>
      </c>
    </row>
    <row r="2043" spans="2:11" x14ac:dyDescent="0.35">
      <c r="B2043" s="149" t="s">
        <v>848</v>
      </c>
      <c r="C2043" s="6" t="s">
        <v>226</v>
      </c>
      <c r="D2043" s="6">
        <v>260.32249999999999</v>
      </c>
      <c r="E2043" s="6" t="s">
        <v>1074</v>
      </c>
      <c r="F2043" s="114">
        <v>65.748718749999995</v>
      </c>
      <c r="G2043" s="76" t="s">
        <v>40</v>
      </c>
      <c r="H2043" s="160">
        <v>0.2732812500000108</v>
      </c>
      <c r="I2043" s="160">
        <v>-0.49384817060314201</v>
      </c>
      <c r="J2043" s="78">
        <v>11.600192730938375</v>
      </c>
      <c r="K2043" s="79">
        <v>0.24063861787885799</v>
      </c>
    </row>
    <row r="2044" spans="2:11" x14ac:dyDescent="0.35">
      <c r="B2044" s="149" t="s">
        <v>848</v>
      </c>
      <c r="C2044" s="6" t="s">
        <v>226</v>
      </c>
      <c r="D2044" s="6">
        <v>260.33249999999998</v>
      </c>
      <c r="E2044" s="6" t="s">
        <v>1074</v>
      </c>
      <c r="F2044" s="114">
        <v>65.750593749999993</v>
      </c>
      <c r="G2044" s="76" t="s">
        <v>40</v>
      </c>
      <c r="H2044" s="160">
        <v>0.27140625000001251</v>
      </c>
      <c r="I2044" s="160">
        <v>-0.530132469876745</v>
      </c>
      <c r="J2044" s="78">
        <v>11.763544012780528</v>
      </c>
      <c r="K2044" s="79">
        <v>0.40398989972101162</v>
      </c>
    </row>
    <row r="2045" spans="2:11" x14ac:dyDescent="0.35">
      <c r="B2045" s="149" t="s">
        <v>848</v>
      </c>
      <c r="C2045" s="6" t="s">
        <v>226</v>
      </c>
      <c r="D2045" s="6">
        <v>260.34249999999997</v>
      </c>
      <c r="E2045" s="6" t="s">
        <v>1074</v>
      </c>
      <c r="F2045" s="114">
        <v>65.752468749999991</v>
      </c>
      <c r="G2045" s="76" t="s">
        <v>40</v>
      </c>
      <c r="H2045" s="160">
        <v>0.26953125000001421</v>
      </c>
      <c r="I2045" s="160">
        <v>-0.541077066080622</v>
      </c>
      <c r="J2045" s="78">
        <v>11.812854357213041</v>
      </c>
      <c r="K2045" s="79">
        <v>0.45330024415352455</v>
      </c>
    </row>
    <row r="2046" spans="2:11" x14ac:dyDescent="0.35">
      <c r="B2046" s="149" t="s">
        <v>848</v>
      </c>
      <c r="C2046" s="6" t="s">
        <v>226</v>
      </c>
      <c r="D2046" s="6">
        <v>260.35249999999996</v>
      </c>
      <c r="E2046" s="6" t="s">
        <v>1074</v>
      </c>
      <c r="F2046" s="114">
        <v>65.75434374999999</v>
      </c>
      <c r="G2046" s="76" t="s">
        <v>40</v>
      </c>
      <c r="H2046" s="160">
        <v>0.26765625000001592</v>
      </c>
      <c r="I2046" s="160">
        <v>-0.58611243855686501</v>
      </c>
      <c r="J2046" s="78">
        <v>12.015944469191709</v>
      </c>
      <c r="K2046" s="79">
        <v>0.65639035613219221</v>
      </c>
    </row>
    <row r="2047" spans="2:11" x14ac:dyDescent="0.35">
      <c r="B2047" s="149" t="s">
        <v>848</v>
      </c>
      <c r="C2047" s="6" t="s">
        <v>226</v>
      </c>
      <c r="D2047" s="6">
        <v>260.36250000000001</v>
      </c>
      <c r="E2047" s="6" t="s">
        <v>1074</v>
      </c>
      <c r="F2047" s="114">
        <v>65.756218749999988</v>
      </c>
      <c r="G2047" s="76" t="s">
        <v>40</v>
      </c>
      <c r="H2047" s="160">
        <v>0.26578125000001762</v>
      </c>
      <c r="I2047" s="160">
        <v>-0.52322206054720399</v>
      </c>
      <c r="J2047" s="78">
        <v>11.732418566851663</v>
      </c>
      <c r="K2047" s="79">
        <v>0.37286445379214683</v>
      </c>
    </row>
    <row r="2048" spans="2:11" x14ac:dyDescent="0.35">
      <c r="B2048" s="149" t="s">
        <v>848</v>
      </c>
      <c r="C2048" s="6" t="s">
        <v>226</v>
      </c>
      <c r="D2048" s="6">
        <v>260.3725</v>
      </c>
      <c r="E2048" s="6" t="s">
        <v>1074</v>
      </c>
      <c r="F2048" s="114">
        <v>65.758093749999986</v>
      </c>
      <c r="G2048" s="76" t="s">
        <v>40</v>
      </c>
      <c r="H2048" s="160">
        <v>0.26390625000001933</v>
      </c>
      <c r="I2048" s="160">
        <v>-0.500098718391497</v>
      </c>
      <c r="J2048" s="78">
        <v>11.62831880967542</v>
      </c>
      <c r="K2048" s="79">
        <v>0.26876469661590363</v>
      </c>
    </row>
    <row r="2049" spans="2:11" x14ac:dyDescent="0.35">
      <c r="B2049" s="149" t="s">
        <v>848</v>
      </c>
      <c r="C2049" s="6" t="s">
        <v>226</v>
      </c>
      <c r="D2049" s="6">
        <v>260.38249999999999</v>
      </c>
      <c r="E2049" s="6" t="s">
        <v>1074</v>
      </c>
      <c r="F2049" s="114">
        <v>65.759968749999985</v>
      </c>
      <c r="G2049" s="76" t="s">
        <v>40</v>
      </c>
      <c r="H2049" s="160">
        <v>0.26203125000002103</v>
      </c>
      <c r="I2049" s="160">
        <v>-0.46755577502109102</v>
      </c>
      <c r="J2049" s="78">
        <v>11.48194551739158</v>
      </c>
      <c r="K2049" s="79">
        <v>0.1223914043320633</v>
      </c>
    </row>
    <row r="2050" spans="2:11" x14ac:dyDescent="0.35">
      <c r="B2050" s="149" t="s">
        <v>848</v>
      </c>
      <c r="C2050" s="6" t="s">
        <v>226</v>
      </c>
      <c r="D2050" s="6">
        <v>260.39250000000004</v>
      </c>
      <c r="E2050" s="6" t="s">
        <v>1074</v>
      </c>
      <c r="F2050" s="114">
        <v>65.761843749999997</v>
      </c>
      <c r="G2050" s="76" t="s">
        <v>40</v>
      </c>
      <c r="H2050" s="160">
        <v>0.26015625000000853</v>
      </c>
      <c r="I2050" s="160">
        <v>-0.48777464026315198</v>
      </c>
      <c r="J2050" s="78">
        <v>11.572868681339457</v>
      </c>
      <c r="K2050" s="79">
        <v>0.21331456827994089</v>
      </c>
    </row>
    <row r="2051" spans="2:11" x14ac:dyDescent="0.35">
      <c r="B2051" s="149" t="s">
        <v>848</v>
      </c>
      <c r="C2051" s="6" t="s">
        <v>226</v>
      </c>
      <c r="D2051" s="6">
        <v>260.40250000000003</v>
      </c>
      <c r="E2051" s="6" t="s">
        <v>1074</v>
      </c>
      <c r="F2051" s="114">
        <v>65.763718749999995</v>
      </c>
      <c r="G2051" s="76" t="s">
        <v>40</v>
      </c>
      <c r="H2051" s="160">
        <v>0.25828125000001023</v>
      </c>
      <c r="I2051" s="160">
        <v>-0.52060314799560403</v>
      </c>
      <c r="J2051" s="78">
        <v>11.720624453196365</v>
      </c>
      <c r="K2051" s="79">
        <v>0.36107034013684824</v>
      </c>
    </row>
    <row r="2052" spans="2:11" x14ac:dyDescent="0.35">
      <c r="B2052" s="149" t="s">
        <v>848</v>
      </c>
      <c r="C2052" s="6" t="s">
        <v>226</v>
      </c>
      <c r="D2052" s="6">
        <v>260.41250000000002</v>
      </c>
      <c r="E2052" s="6" t="s">
        <v>1074</v>
      </c>
      <c r="F2052" s="114">
        <v>65.765593749999994</v>
      </c>
      <c r="G2052" s="76" t="s">
        <v>40</v>
      </c>
      <c r="H2052" s="160">
        <v>0.25640625000001194</v>
      </c>
      <c r="I2052" s="160">
        <v>-0.49263713009981802</v>
      </c>
      <c r="J2052" s="78">
        <v>11.594743980085013</v>
      </c>
      <c r="K2052" s="79">
        <v>0.23518986702549682</v>
      </c>
    </row>
    <row r="2053" spans="2:11" x14ac:dyDescent="0.35">
      <c r="B2053" s="149" t="s">
        <v>848</v>
      </c>
      <c r="C2053" s="6" t="s">
        <v>226</v>
      </c>
      <c r="D2053" s="6">
        <v>260.4325</v>
      </c>
      <c r="E2053" s="6" t="s">
        <v>1074</v>
      </c>
      <c r="F2053" s="114">
        <v>65.76934374999999</v>
      </c>
      <c r="G2053" s="76" t="s">
        <v>40</v>
      </c>
      <c r="H2053" s="160">
        <v>0.25265625000001535</v>
      </c>
      <c r="I2053" s="160">
        <v>-0.578334414625161</v>
      </c>
      <c r="J2053" s="78">
        <v>11.980847602768847</v>
      </c>
      <c r="K2053" s="79">
        <v>0.62129348970933052</v>
      </c>
    </row>
    <row r="2054" spans="2:11" x14ac:dyDescent="0.35">
      <c r="B2054" s="149" t="s">
        <v>848</v>
      </c>
      <c r="C2054" s="6" t="s">
        <v>226</v>
      </c>
      <c r="D2054" s="6">
        <v>260.4425</v>
      </c>
      <c r="E2054" s="6" t="s">
        <v>1074</v>
      </c>
      <c r="F2054" s="114">
        <v>65.771218749999989</v>
      </c>
      <c r="G2054" s="76" t="s">
        <v>40</v>
      </c>
      <c r="H2054" s="160">
        <v>0.25078125000001705</v>
      </c>
      <c r="I2054" s="160">
        <v>-0.626109298629698</v>
      </c>
      <c r="J2054" s="78">
        <v>12.196563616835704</v>
      </c>
      <c r="K2054" s="79">
        <v>0.8370095037761871</v>
      </c>
    </row>
    <row r="2055" spans="2:11" x14ac:dyDescent="0.35">
      <c r="B2055" s="149" t="s">
        <v>848</v>
      </c>
      <c r="C2055" s="6" t="s">
        <v>226</v>
      </c>
      <c r="D2055" s="6">
        <v>260.45249999999999</v>
      </c>
      <c r="E2055" s="6" t="s">
        <v>1074</v>
      </c>
      <c r="F2055" s="114">
        <v>65.773093749999987</v>
      </c>
      <c r="G2055" s="76" t="s">
        <v>40</v>
      </c>
      <c r="H2055" s="160">
        <v>0.24890625000001876</v>
      </c>
      <c r="I2055" s="160">
        <v>-0.68662877643142195</v>
      </c>
      <c r="J2055" s="78">
        <v>12.470308700035332</v>
      </c>
      <c r="K2055" s="79">
        <v>1.1107545869758155</v>
      </c>
    </row>
    <row r="2056" spans="2:11" x14ac:dyDescent="0.35">
      <c r="B2056" s="149" t="s">
        <v>848</v>
      </c>
      <c r="C2056" s="6" t="s">
        <v>226</v>
      </c>
      <c r="D2056" s="6">
        <v>260.46249999999998</v>
      </c>
      <c r="E2056" s="6" t="s">
        <v>1074</v>
      </c>
      <c r="F2056" s="114">
        <v>65.774968749999985</v>
      </c>
      <c r="G2056" s="76" t="s">
        <v>40</v>
      </c>
      <c r="H2056" s="160">
        <v>0.24703125000002046</v>
      </c>
      <c r="I2056" s="160">
        <v>-0.71083908609401902</v>
      </c>
      <c r="J2056" s="78">
        <v>12.579969916621451</v>
      </c>
      <c r="K2056" s="79">
        <v>1.2204158035619344</v>
      </c>
    </row>
    <row r="2057" spans="2:11" x14ac:dyDescent="0.35">
      <c r="B2057" s="149" t="s">
        <v>848</v>
      </c>
      <c r="C2057" s="6" t="s">
        <v>226</v>
      </c>
      <c r="D2057" s="6">
        <v>260.47249999999997</v>
      </c>
      <c r="E2057" s="6" t="s">
        <v>1074</v>
      </c>
      <c r="F2057" s="114">
        <v>65.776843749999983</v>
      </c>
      <c r="G2057" s="76" t="s">
        <v>40</v>
      </c>
      <c r="H2057" s="160">
        <v>0.24515625000002217</v>
      </c>
      <c r="I2057" s="160">
        <v>-0.7105272496617786</v>
      </c>
      <c r="J2057" s="78">
        <v>12.578556893315181</v>
      </c>
      <c r="K2057" s="79">
        <v>1.2190027802556642</v>
      </c>
    </row>
    <row r="2058" spans="2:11" x14ac:dyDescent="0.35">
      <c r="B2058" s="149" t="s">
        <v>848</v>
      </c>
      <c r="C2058" s="6" t="s">
        <v>226</v>
      </c>
      <c r="D2058" s="6">
        <v>260.54250000000002</v>
      </c>
      <c r="E2058" s="6" t="s">
        <v>1074</v>
      </c>
      <c r="F2058" s="114">
        <v>65.78996875</v>
      </c>
      <c r="G2058" s="76" t="s">
        <v>40</v>
      </c>
      <c r="H2058" s="160">
        <v>0.23203125000000568</v>
      </c>
      <c r="I2058" s="160">
        <v>-0.73404356114501801</v>
      </c>
      <c r="J2058" s="78">
        <v>12.685156736880742</v>
      </c>
      <c r="K2058" s="79">
        <v>1.3256026238212257</v>
      </c>
    </row>
    <row r="2059" spans="2:11" x14ac:dyDescent="0.35">
      <c r="B2059" s="149" t="s">
        <v>848</v>
      </c>
      <c r="C2059" s="6" t="s">
        <v>226</v>
      </c>
      <c r="D2059" s="6">
        <v>260.55250000000001</v>
      </c>
      <c r="E2059" s="6" t="s">
        <v>1074</v>
      </c>
      <c r="F2059" s="114">
        <v>65.791843749999998</v>
      </c>
      <c r="G2059" s="76" t="s">
        <v>40</v>
      </c>
      <c r="H2059" s="160">
        <v>0.23015625000000739</v>
      </c>
      <c r="I2059" s="160">
        <v>-0.78048100210481597</v>
      </c>
      <c r="J2059" s="78">
        <v>12.895899622730155</v>
      </c>
      <c r="K2059" s="79">
        <v>1.5363455096706389</v>
      </c>
    </row>
    <row r="2060" spans="2:11" x14ac:dyDescent="0.35">
      <c r="B2060" s="149" t="s">
        <v>848</v>
      </c>
      <c r="C2060" s="6" t="s">
        <v>226</v>
      </c>
      <c r="D2060" s="6">
        <v>260.5625</v>
      </c>
      <c r="E2060" s="6" t="s">
        <v>1074</v>
      </c>
      <c r="F2060" s="114">
        <v>65.793718749999996</v>
      </c>
      <c r="G2060" s="76" t="s">
        <v>40</v>
      </c>
      <c r="H2060" s="160">
        <v>0.22828125000000909</v>
      </c>
      <c r="I2060" s="160">
        <v>-0.91446044306461405</v>
      </c>
      <c r="J2060" s="78">
        <v>13.505727105821393</v>
      </c>
      <c r="K2060" s="79">
        <v>2.1461729927618762</v>
      </c>
    </row>
    <row r="2061" spans="2:11" x14ac:dyDescent="0.35">
      <c r="B2061" s="149" t="s">
        <v>848</v>
      </c>
      <c r="C2061" s="6" t="s">
        <v>226</v>
      </c>
      <c r="D2061" s="6">
        <v>260.57249999999999</v>
      </c>
      <c r="E2061" s="6" t="s">
        <v>1074</v>
      </c>
      <c r="F2061" s="114">
        <v>65.795593749999995</v>
      </c>
      <c r="G2061" s="76" t="s">
        <v>40</v>
      </c>
      <c r="H2061" s="160">
        <v>0.2264062500000108</v>
      </c>
      <c r="I2061" s="160">
        <v>-0.82496188402441195</v>
      </c>
      <c r="J2061" s="78">
        <v>13.098064033815774</v>
      </c>
      <c r="K2061" s="79">
        <v>1.7385099207562575</v>
      </c>
    </row>
    <row r="2062" spans="2:11" x14ac:dyDescent="0.35">
      <c r="B2062" s="149" t="s">
        <v>848</v>
      </c>
      <c r="C2062" s="6" t="s">
        <v>226</v>
      </c>
      <c r="D2062" s="6">
        <v>260.58249999999998</v>
      </c>
      <c r="E2062" s="6" t="s">
        <v>1074</v>
      </c>
      <c r="F2062" s="114">
        <v>65.797468749999993</v>
      </c>
      <c r="G2062" s="76" t="s">
        <v>40</v>
      </c>
      <c r="H2062" s="160">
        <v>0.22453125000001251</v>
      </c>
      <c r="I2062" s="160">
        <v>-0.79799232498420902</v>
      </c>
      <c r="J2062" s="78">
        <v>12.975452949433532</v>
      </c>
      <c r="K2062" s="79">
        <v>1.615898836374015</v>
      </c>
    </row>
    <row r="2063" spans="2:11" x14ac:dyDescent="0.35">
      <c r="B2063" s="149" t="s">
        <v>848</v>
      </c>
      <c r="C2063" s="6" t="s">
        <v>226</v>
      </c>
      <c r="D2063" s="6">
        <v>260.59249999999997</v>
      </c>
      <c r="E2063" s="6" t="s">
        <v>1074</v>
      </c>
      <c r="F2063" s="114">
        <v>65.799343749999991</v>
      </c>
      <c r="G2063" s="76" t="s">
        <v>40</v>
      </c>
      <c r="H2063" s="160">
        <v>0.22265625000001421</v>
      </c>
      <c r="I2063" s="160">
        <v>-0.79569276594400695</v>
      </c>
      <c r="J2063" s="78">
        <v>12.965003529914895</v>
      </c>
      <c r="K2063" s="79">
        <v>1.6054494168553788</v>
      </c>
    </row>
    <row r="2064" spans="2:11" x14ac:dyDescent="0.35">
      <c r="B2064" s="149" t="s">
        <v>848</v>
      </c>
      <c r="C2064" s="6" t="s">
        <v>226</v>
      </c>
      <c r="D2064" s="6">
        <v>260.60249999999996</v>
      </c>
      <c r="E2064" s="6" t="s">
        <v>1074</v>
      </c>
      <c r="F2064" s="114">
        <v>65.80121874999999</v>
      </c>
      <c r="G2064" s="76" t="s">
        <v>40</v>
      </c>
      <c r="H2064" s="160">
        <v>0.22078125000001592</v>
      </c>
      <c r="I2064" s="160">
        <v>-0.82790320690380503</v>
      </c>
      <c r="J2064" s="78">
        <v>13.111442657921145</v>
      </c>
      <c r="K2064" s="79">
        <v>1.7518885448616288</v>
      </c>
    </row>
    <row r="2065" spans="2:11" x14ac:dyDescent="0.35">
      <c r="B2065" s="149" t="s">
        <v>848</v>
      </c>
      <c r="C2065" s="6" t="s">
        <v>226</v>
      </c>
      <c r="D2065" s="6">
        <v>260.61250000000001</v>
      </c>
      <c r="E2065" s="6" t="s">
        <v>1074</v>
      </c>
      <c r="F2065" s="114">
        <v>65.803093749999988</v>
      </c>
      <c r="G2065" s="76" t="s">
        <v>40</v>
      </c>
      <c r="H2065" s="160">
        <v>0.21890625000001762</v>
      </c>
      <c r="I2065" s="160">
        <v>-0.81976164786360295</v>
      </c>
      <c r="J2065" s="78">
        <v>13.074413885583226</v>
      </c>
      <c r="K2065" s="79">
        <v>1.7148597725237096</v>
      </c>
    </row>
    <row r="2066" spans="2:11" x14ac:dyDescent="0.35">
      <c r="B2066" s="149" t="s">
        <v>848</v>
      </c>
      <c r="C2066" s="6" t="s">
        <v>226</v>
      </c>
      <c r="D2066" s="6">
        <v>260.6225</v>
      </c>
      <c r="E2066" s="6" t="s">
        <v>1074</v>
      </c>
      <c r="F2066" s="114">
        <v>65.804968749999986</v>
      </c>
      <c r="G2066" s="76" t="s">
        <v>40</v>
      </c>
      <c r="H2066" s="160">
        <v>0.21703125000001933</v>
      </c>
      <c r="I2066" s="160">
        <v>-0.81270797074299705</v>
      </c>
      <c r="J2066" s="78">
        <v>13.04234091675761</v>
      </c>
      <c r="K2066" s="79">
        <v>1.6827868036980931</v>
      </c>
    </row>
    <row r="2067" spans="2:11" x14ac:dyDescent="0.35">
      <c r="B2067" s="149" t="s">
        <v>848</v>
      </c>
      <c r="C2067" s="6" t="s">
        <v>226</v>
      </c>
      <c r="D2067" s="6">
        <v>260.63249999999999</v>
      </c>
      <c r="E2067" s="6" t="s">
        <v>1074</v>
      </c>
      <c r="F2067" s="114">
        <v>65.806843749999985</v>
      </c>
      <c r="G2067" s="76" t="s">
        <v>40</v>
      </c>
      <c r="H2067" s="160">
        <v>0.21515625000002103</v>
      </c>
      <c r="I2067" s="160">
        <v>-0.85365341170279496</v>
      </c>
      <c r="J2067" s="78">
        <v>13.228622716688221</v>
      </c>
      <c r="K2067" s="79">
        <v>1.8690686036287048</v>
      </c>
    </row>
    <row r="2068" spans="2:11" x14ac:dyDescent="0.35">
      <c r="B2068" s="149" t="s">
        <v>848</v>
      </c>
      <c r="C2068" s="6" t="s">
        <v>226</v>
      </c>
      <c r="D2068" s="6">
        <v>260.64250000000004</v>
      </c>
      <c r="E2068" s="6" t="s">
        <v>1074</v>
      </c>
      <c r="F2068" s="114">
        <v>65.808718749999997</v>
      </c>
      <c r="G2068" s="76" t="s">
        <v>40</v>
      </c>
      <c r="H2068" s="160">
        <v>0.21328125000000853</v>
      </c>
      <c r="I2068" s="160">
        <v>-0.75469185266259298</v>
      </c>
      <c r="J2068" s="78">
        <v>12.778823469984786</v>
      </c>
      <c r="K2068" s="79">
        <v>1.4192693569252697</v>
      </c>
    </row>
    <row r="2069" spans="2:11" x14ac:dyDescent="0.35">
      <c r="B2069" s="149" t="s">
        <v>848</v>
      </c>
      <c r="C2069" s="6" t="s">
        <v>226</v>
      </c>
      <c r="D2069" s="6">
        <v>260.65250000000003</v>
      </c>
      <c r="E2069" s="6" t="s">
        <v>1074</v>
      </c>
      <c r="F2069" s="114">
        <v>65.810593749999995</v>
      </c>
      <c r="G2069" s="76" t="s">
        <v>40</v>
      </c>
      <c r="H2069" s="160">
        <v>0.21140625000001023</v>
      </c>
      <c r="I2069" s="160">
        <v>-0.79734029362239101</v>
      </c>
      <c r="J2069" s="78">
        <v>12.972489975657879</v>
      </c>
      <c r="K2069" s="79">
        <v>1.6129358625983627</v>
      </c>
    </row>
    <row r="2070" spans="2:11" x14ac:dyDescent="0.35">
      <c r="B2070" s="149" t="s">
        <v>848</v>
      </c>
      <c r="C2070" s="6" t="s">
        <v>226</v>
      </c>
      <c r="D2070" s="6">
        <v>260.66250000000002</v>
      </c>
      <c r="E2070" s="6" t="s">
        <v>1074</v>
      </c>
      <c r="F2070" s="114">
        <v>65.812538043478256</v>
      </c>
      <c r="G2070" s="76" t="s">
        <v>40</v>
      </c>
      <c r="H2070" s="160">
        <v>0.20946195652174993</v>
      </c>
      <c r="I2070" s="160">
        <v>-0.79785173458218905</v>
      </c>
      <c r="J2070" s="78">
        <v>12.974814070403056</v>
      </c>
      <c r="K2070" s="79">
        <v>1.6152599573435396</v>
      </c>
    </row>
    <row r="2071" spans="2:11" x14ac:dyDescent="0.35">
      <c r="B2071" s="149" t="s">
        <v>848</v>
      </c>
      <c r="C2071" s="6" t="s">
        <v>226</v>
      </c>
      <c r="D2071" s="6">
        <v>260.67250000000001</v>
      </c>
      <c r="E2071" s="6" t="s">
        <v>1074</v>
      </c>
      <c r="F2071" s="114">
        <v>65.814690217391302</v>
      </c>
      <c r="G2071" s="76" t="s">
        <v>40</v>
      </c>
      <c r="H2071" s="160">
        <v>0.20730978260870359</v>
      </c>
      <c r="I2071" s="160">
        <v>-0.81812417554198702</v>
      </c>
      <c r="J2071" s="78">
        <v>13.066967661522483</v>
      </c>
      <c r="K2071" s="79">
        <v>1.7074135484629664</v>
      </c>
    </row>
    <row r="2072" spans="2:11" x14ac:dyDescent="0.35">
      <c r="B2072" s="149" t="s">
        <v>848</v>
      </c>
      <c r="C2072" s="6" t="s">
        <v>226</v>
      </c>
      <c r="D2072" s="6">
        <v>260.6825</v>
      </c>
      <c r="E2072" s="6" t="s">
        <v>1074</v>
      </c>
      <c r="F2072" s="114">
        <v>65.816842391304348</v>
      </c>
      <c r="G2072" s="76" t="s">
        <v>40</v>
      </c>
      <c r="H2072" s="160">
        <v>0.20515760869565725</v>
      </c>
      <c r="I2072" s="160">
        <v>-0.78710261650178504</v>
      </c>
      <c r="J2072" s="78">
        <v>12.9259760194455</v>
      </c>
      <c r="K2072" s="79">
        <v>1.5664219063859832</v>
      </c>
    </row>
    <row r="2073" spans="2:11" x14ac:dyDescent="0.35">
      <c r="B2073" s="149" t="s">
        <v>848</v>
      </c>
      <c r="C2073" s="6" t="s">
        <v>226</v>
      </c>
      <c r="D2073" s="6">
        <v>260.6925</v>
      </c>
      <c r="E2073" s="6" t="s">
        <v>1074</v>
      </c>
      <c r="F2073" s="114">
        <v>65.81899456521738</v>
      </c>
      <c r="G2073" s="76" t="s">
        <v>40</v>
      </c>
      <c r="H2073" s="160">
        <v>0.20300543478262512</v>
      </c>
      <c r="I2073" s="160">
        <v>-0.74944005746158304</v>
      </c>
      <c r="J2073" s="78">
        <v>12.754993775490391</v>
      </c>
      <c r="K2073" s="79">
        <v>1.3954396624308743</v>
      </c>
    </row>
    <row r="2074" spans="2:11" x14ac:dyDescent="0.35">
      <c r="B2074" s="149" t="s">
        <v>848</v>
      </c>
      <c r="C2074" s="6" t="s">
        <v>226</v>
      </c>
      <c r="D2074" s="6">
        <v>260.70249999999999</v>
      </c>
      <c r="E2074" s="6" t="s">
        <v>1074</v>
      </c>
      <c r="F2074" s="114">
        <v>65.821146739130427</v>
      </c>
      <c r="G2074" s="76" t="s">
        <v>40</v>
      </c>
      <c r="H2074" s="160">
        <v>0.20085326086957878</v>
      </c>
      <c r="I2074" s="160">
        <v>-0.77061849842137997</v>
      </c>
      <c r="J2074" s="78">
        <v>12.851114697669686</v>
      </c>
      <c r="K2074" s="79">
        <v>1.4915605846101698</v>
      </c>
    </row>
    <row r="2075" spans="2:11" x14ac:dyDescent="0.35">
      <c r="B2075" s="149" t="s">
        <v>848</v>
      </c>
      <c r="C2075" s="6" t="s">
        <v>226</v>
      </c>
      <c r="D2075" s="6">
        <v>260.71249999999998</v>
      </c>
      <c r="E2075" s="6" t="s">
        <v>1074</v>
      </c>
      <c r="F2075" s="114">
        <v>65.823298913043473</v>
      </c>
      <c r="G2075" s="76" t="s">
        <v>40</v>
      </c>
      <c r="H2075" s="160">
        <v>0.19870108695653244</v>
      </c>
      <c r="I2075" s="160">
        <v>-0.80751593938117805</v>
      </c>
      <c r="J2075" s="78">
        <v>13.018737561411001</v>
      </c>
      <c r="K2075" s="79">
        <v>1.6591834483514845</v>
      </c>
    </row>
    <row r="2076" spans="2:11" x14ac:dyDescent="0.35">
      <c r="B2076" s="149" t="s">
        <v>848</v>
      </c>
      <c r="C2076" s="6" t="s">
        <v>226</v>
      </c>
      <c r="D2076" s="6">
        <v>260.72249999999997</v>
      </c>
      <c r="E2076" s="6" t="s">
        <v>1074</v>
      </c>
      <c r="F2076" s="114">
        <v>65.825451086956505</v>
      </c>
      <c r="G2076" s="76" t="s">
        <v>40</v>
      </c>
      <c r="H2076" s="160">
        <v>0.19654891304350031</v>
      </c>
      <c r="I2076" s="160">
        <v>-0.82363638034097597</v>
      </c>
      <c r="J2076" s="78">
        <v>13.092035394272045</v>
      </c>
      <c r="K2076" s="79">
        <v>1.7324812812125288</v>
      </c>
    </row>
    <row r="2077" spans="2:11" x14ac:dyDescent="0.35">
      <c r="B2077" s="149" t="s">
        <v>848</v>
      </c>
      <c r="C2077" s="6" t="s">
        <v>226</v>
      </c>
      <c r="D2077" s="6">
        <v>260.73249999999996</v>
      </c>
      <c r="E2077" s="6" t="s">
        <v>1074</v>
      </c>
      <c r="F2077" s="114">
        <v>65.827603260869552</v>
      </c>
      <c r="G2077" s="76" t="s">
        <v>40</v>
      </c>
      <c r="H2077" s="160">
        <v>0.19439673913045397</v>
      </c>
      <c r="I2077" s="160">
        <v>-0.82101482130077397</v>
      </c>
      <c r="J2077" s="78">
        <v>13.080112822988042</v>
      </c>
      <c r="K2077" s="79">
        <v>1.7205587099285253</v>
      </c>
    </row>
    <row r="2078" spans="2:11" x14ac:dyDescent="0.35">
      <c r="B2078" s="149" t="s">
        <v>848</v>
      </c>
      <c r="C2078" s="6" t="s">
        <v>226</v>
      </c>
      <c r="D2078" s="6">
        <v>260.74250000000001</v>
      </c>
      <c r="E2078" s="6" t="s">
        <v>1074</v>
      </c>
      <c r="F2078" s="114">
        <v>65.829755434782598</v>
      </c>
      <c r="G2078" s="76" t="s">
        <v>40</v>
      </c>
      <c r="H2078" s="160">
        <v>0.19224456521740763</v>
      </c>
      <c r="I2078" s="160">
        <v>-0.77965126226057202</v>
      </c>
      <c r="J2078" s="78">
        <v>12.892131275952863</v>
      </c>
      <c r="K2078" s="79">
        <v>1.5325771628933467</v>
      </c>
    </row>
    <row r="2079" spans="2:11" x14ac:dyDescent="0.35">
      <c r="B2079" s="149" t="s">
        <v>848</v>
      </c>
      <c r="C2079" s="6" t="s">
        <v>226</v>
      </c>
      <c r="D2079" s="6">
        <v>260.7525</v>
      </c>
      <c r="E2079" s="6" t="s">
        <v>1074</v>
      </c>
      <c r="F2079" s="114">
        <v>65.831907608695644</v>
      </c>
      <c r="G2079" s="76" t="s">
        <v>40</v>
      </c>
      <c r="H2079" s="160">
        <v>0.19009239130436129</v>
      </c>
      <c r="I2079" s="160">
        <v>-0.75214170322036999</v>
      </c>
      <c r="J2079" s="78">
        <v>12.767251813550331</v>
      </c>
      <c r="K2079" s="79">
        <v>1.4076977004908144</v>
      </c>
    </row>
    <row r="2080" spans="2:11" x14ac:dyDescent="0.35">
      <c r="B2080" s="149" t="s">
        <v>848</v>
      </c>
      <c r="C2080" s="6" t="s">
        <v>226</v>
      </c>
      <c r="D2080" s="6">
        <v>260.76249999999999</v>
      </c>
      <c r="E2080" s="6" t="s">
        <v>1074</v>
      </c>
      <c r="F2080" s="114">
        <v>65.834059782608691</v>
      </c>
      <c r="G2080" s="76" t="s">
        <v>40</v>
      </c>
      <c r="H2080" s="160">
        <v>0.18794021739131495</v>
      </c>
      <c r="I2080" s="160">
        <v>-0.82616714418016801</v>
      </c>
      <c r="J2080" s="78">
        <v>13.103546010606351</v>
      </c>
      <c r="K2080" s="79">
        <v>1.7439918975468345</v>
      </c>
    </row>
    <row r="2081" spans="2:11" x14ac:dyDescent="0.35">
      <c r="B2081" s="149" t="s">
        <v>848</v>
      </c>
      <c r="C2081" s="6" t="s">
        <v>226</v>
      </c>
      <c r="D2081" s="6">
        <v>260.77250000000004</v>
      </c>
      <c r="E2081" s="6" t="s">
        <v>1074</v>
      </c>
      <c r="F2081" s="114">
        <v>65.836211956521737</v>
      </c>
      <c r="G2081" s="76" t="s">
        <v>40</v>
      </c>
      <c r="H2081" s="160">
        <v>0.18578804347826861</v>
      </c>
      <c r="I2081" s="160">
        <v>-0.61002856209619705</v>
      </c>
      <c r="J2081" s="78">
        <v>12.123917328632842</v>
      </c>
      <c r="K2081" s="79">
        <v>0.76436321557332576</v>
      </c>
    </row>
    <row r="2082" spans="2:11" x14ac:dyDescent="0.35">
      <c r="B2082" s="149" t="s">
        <v>848</v>
      </c>
      <c r="C2082" s="6" t="s">
        <v>226</v>
      </c>
      <c r="D2082" s="6">
        <v>260.78250000000003</v>
      </c>
      <c r="E2082" s="6" t="s">
        <v>1074</v>
      </c>
      <c r="F2082" s="114">
        <v>65.838364130434783</v>
      </c>
      <c r="G2082" s="76" t="s">
        <v>40</v>
      </c>
      <c r="H2082" s="160">
        <v>0.18363586956522227</v>
      </c>
      <c r="I2082" s="160">
        <v>-0.64057891816224199</v>
      </c>
      <c r="J2082" s="78">
        <v>12.261964159390175</v>
      </c>
      <c r="K2082" s="79">
        <v>0.90241004633065813</v>
      </c>
    </row>
    <row r="2083" spans="2:11" x14ac:dyDescent="0.35">
      <c r="B2083" s="149" t="s">
        <v>848</v>
      </c>
      <c r="C2083" s="6" t="s">
        <v>226</v>
      </c>
      <c r="D2083" s="6">
        <v>260.79250000000002</v>
      </c>
      <c r="E2083" s="6" t="s">
        <v>1074</v>
      </c>
      <c r="F2083" s="114">
        <v>65.84051630434783</v>
      </c>
      <c r="G2083" s="76" t="s">
        <v>40</v>
      </c>
      <c r="H2083" s="160">
        <v>0.18148369565217592</v>
      </c>
      <c r="I2083" s="160">
        <v>-0.64583127422828601</v>
      </c>
      <c r="J2083" s="78">
        <v>12.28571168397076</v>
      </c>
      <c r="K2083" s="79">
        <v>0.92615757091124351</v>
      </c>
    </row>
    <row r="2084" spans="2:11" x14ac:dyDescent="0.35">
      <c r="B2084" s="149" t="s">
        <v>848</v>
      </c>
      <c r="C2084" s="6" t="s">
        <v>226</v>
      </c>
      <c r="D2084" s="6">
        <v>260.80250000000001</v>
      </c>
      <c r="E2084" s="6" t="s">
        <v>1074</v>
      </c>
      <c r="F2084" s="114">
        <v>65.842668478260862</v>
      </c>
      <c r="G2084" s="76" t="s">
        <v>40</v>
      </c>
      <c r="H2084" s="160">
        <v>0.1793315217391438</v>
      </c>
      <c r="I2084" s="160">
        <v>-0.58684963029433102</v>
      </c>
      <c r="J2084" s="78">
        <v>12.019271370346303</v>
      </c>
      <c r="K2084" s="79">
        <v>0.65971725728678621</v>
      </c>
    </row>
    <row r="2085" spans="2:11" x14ac:dyDescent="0.35">
      <c r="B2085" s="149" t="s">
        <v>848</v>
      </c>
      <c r="C2085" s="6" t="s">
        <v>226</v>
      </c>
      <c r="D2085" s="6">
        <v>260.8125</v>
      </c>
      <c r="E2085" s="6" t="s">
        <v>1074</v>
      </c>
      <c r="F2085" s="114">
        <v>65.844820652173908</v>
      </c>
      <c r="G2085" s="76" t="s">
        <v>40</v>
      </c>
      <c r="H2085" s="160">
        <v>0.17717934782609746</v>
      </c>
      <c r="I2085" s="160">
        <v>-0.50940198636037504</v>
      </c>
      <c r="J2085" s="78">
        <v>11.670192068942185</v>
      </c>
      <c r="K2085" s="79">
        <v>0.31063795588266885</v>
      </c>
    </row>
    <row r="2086" spans="2:11" x14ac:dyDescent="0.35">
      <c r="B2086" s="149" t="s">
        <v>848</v>
      </c>
      <c r="C2086" s="6" t="s">
        <v>226</v>
      </c>
      <c r="D2086" s="6">
        <v>260.82249999999999</v>
      </c>
      <c r="E2086" s="6" t="s">
        <v>1074</v>
      </c>
      <c r="F2086" s="114">
        <v>65.846972826086954</v>
      </c>
      <c r="G2086" s="76" t="s">
        <v>40</v>
      </c>
      <c r="H2086" s="160">
        <v>0.17502717391305112</v>
      </c>
      <c r="I2086" s="160">
        <v>-0.49672134242642002</v>
      </c>
      <c r="J2086" s="78">
        <v>11.61312065507866</v>
      </c>
      <c r="K2086" s="79">
        <v>0.25356654201914353</v>
      </c>
    </row>
    <row r="2087" spans="2:11" x14ac:dyDescent="0.35">
      <c r="B2087" s="149" t="s">
        <v>848</v>
      </c>
      <c r="C2087" s="6" t="s">
        <v>226</v>
      </c>
      <c r="D2087" s="6">
        <v>260.83249999999998</v>
      </c>
      <c r="E2087" s="6" t="s">
        <v>1074</v>
      </c>
      <c r="F2087" s="114">
        <v>65.849124999999987</v>
      </c>
      <c r="G2087" s="76" t="s">
        <v>40</v>
      </c>
      <c r="H2087" s="160">
        <v>0.17287500000001899</v>
      </c>
      <c r="I2087" s="160">
        <v>-0.51929269849246396</v>
      </c>
      <c r="J2087" s="78">
        <v>11.714723301597928</v>
      </c>
      <c r="K2087" s="79">
        <v>0.35516918853841162</v>
      </c>
    </row>
    <row r="2088" spans="2:11" x14ac:dyDescent="0.35">
      <c r="B2088" s="149" t="s">
        <v>848</v>
      </c>
      <c r="C2088" s="6" t="s">
        <v>226</v>
      </c>
      <c r="D2088" s="6">
        <v>260.84249999999997</v>
      </c>
      <c r="E2088" s="6" t="s">
        <v>1074</v>
      </c>
      <c r="F2088" s="114">
        <v>65.851277173913033</v>
      </c>
      <c r="G2088" s="76" t="s">
        <v>40</v>
      </c>
      <c r="H2088" s="160">
        <v>0.17072282608697265</v>
      </c>
      <c r="I2088" s="160">
        <v>-0.49076805455850903</v>
      </c>
      <c r="J2088" s="78">
        <v>11.586334999865187</v>
      </c>
      <c r="K2088" s="79">
        <v>0.22678088680567043</v>
      </c>
    </row>
    <row r="2089" spans="2:11" x14ac:dyDescent="0.35">
      <c r="B2089" s="149" t="s">
        <v>848</v>
      </c>
      <c r="C2089" s="6" t="s">
        <v>226</v>
      </c>
      <c r="D2089" s="6">
        <v>260.85249999999996</v>
      </c>
      <c r="E2089" s="6" t="s">
        <v>1074</v>
      </c>
      <c r="F2089" s="114">
        <v>65.853429347826079</v>
      </c>
      <c r="G2089" s="76" t="s">
        <v>40</v>
      </c>
      <c r="H2089" s="160">
        <v>0.16857065217392631</v>
      </c>
      <c r="I2089" s="160">
        <v>-0.51892241062455302</v>
      </c>
      <c r="J2089" s="78">
        <v>11.713055885231142</v>
      </c>
      <c r="K2089" s="79">
        <v>0.35350177217162582</v>
      </c>
    </row>
    <row r="2090" spans="2:11" x14ac:dyDescent="0.35">
      <c r="B2090" s="149" t="s">
        <v>848</v>
      </c>
      <c r="C2090" s="6" t="s">
        <v>226</v>
      </c>
      <c r="D2090" s="6">
        <v>260.86250000000001</v>
      </c>
      <c r="E2090" s="6" t="s">
        <v>1074</v>
      </c>
      <c r="F2090" s="114">
        <v>65.855581521739126</v>
      </c>
      <c r="G2090" s="76" t="s">
        <v>40</v>
      </c>
      <c r="H2090" s="160">
        <v>0.16641847826087997</v>
      </c>
      <c r="I2090" s="160">
        <v>-0.39515076669059801</v>
      </c>
      <c r="J2090" s="78">
        <v>11.15683486631292</v>
      </c>
      <c r="K2090" s="79">
        <v>-0.20271924674659658</v>
      </c>
    </row>
    <row r="2091" spans="2:11" x14ac:dyDescent="0.35">
      <c r="B2091" s="149" t="s">
        <v>848</v>
      </c>
      <c r="C2091" s="6" t="s">
        <v>226</v>
      </c>
      <c r="D2091" s="6">
        <v>260.8725</v>
      </c>
      <c r="E2091" s="6" t="s">
        <v>1074</v>
      </c>
      <c r="F2091" s="114">
        <v>65.857733695652172</v>
      </c>
      <c r="G2091" s="76" t="s">
        <v>40</v>
      </c>
      <c r="H2091" s="160">
        <v>0.16426630434783362</v>
      </c>
      <c r="I2091" s="160">
        <v>-0.42117112275664198</v>
      </c>
      <c r="J2091" s="78">
        <v>11.273582398549252</v>
      </c>
      <c r="K2091" s="79">
        <v>-8.5971714510264974E-2</v>
      </c>
    </row>
    <row r="2092" spans="2:11" x14ac:dyDescent="0.35">
      <c r="B2092" s="149" t="s">
        <v>848</v>
      </c>
      <c r="C2092" s="6" t="s">
        <v>226</v>
      </c>
      <c r="D2092" s="6">
        <v>260.88249999999999</v>
      </c>
      <c r="E2092" s="6" t="s">
        <v>1074</v>
      </c>
      <c r="F2092" s="114">
        <v>65.859885869565218</v>
      </c>
      <c r="G2092" s="76" t="s">
        <v>40</v>
      </c>
      <c r="H2092" s="160">
        <v>0.16211413043478728</v>
      </c>
      <c r="I2092" s="160">
        <v>-0.38594447882268701</v>
      </c>
      <c r="J2092" s="78">
        <v>11.115551984707281</v>
      </c>
      <c r="K2092" s="79">
        <v>-0.24400212835223556</v>
      </c>
    </row>
    <row r="2093" spans="2:11" x14ac:dyDescent="0.35">
      <c r="B2093" s="149" t="s">
        <v>848</v>
      </c>
      <c r="C2093" s="6" t="s">
        <v>226</v>
      </c>
      <c r="D2093" s="6">
        <v>260.90250000000003</v>
      </c>
      <c r="E2093" s="6" t="s">
        <v>1074</v>
      </c>
      <c r="F2093" s="114">
        <v>65.864190217391311</v>
      </c>
      <c r="G2093" s="76" t="s">
        <v>40</v>
      </c>
      <c r="H2093" s="160">
        <v>0.1578097826086946</v>
      </c>
      <c r="I2093" s="160">
        <v>-0.43322783488873101</v>
      </c>
      <c r="J2093" s="78">
        <v>11.327711720029129</v>
      </c>
      <c r="K2093" s="79">
        <v>-3.1842393030387939E-2</v>
      </c>
    </row>
    <row r="2094" spans="2:11" x14ac:dyDescent="0.35">
      <c r="B2094" s="149" t="s">
        <v>848</v>
      </c>
      <c r="C2094" s="6" t="s">
        <v>226</v>
      </c>
      <c r="D2094" s="6">
        <v>260.91250000000002</v>
      </c>
      <c r="E2094" s="6" t="s">
        <v>1074</v>
      </c>
      <c r="F2094" s="114">
        <v>65.866342391304343</v>
      </c>
      <c r="G2094" s="76" t="s">
        <v>40</v>
      </c>
      <c r="H2094" s="160">
        <v>0.15565760869566247</v>
      </c>
      <c r="I2094" s="160">
        <v>-0.50610919095477602</v>
      </c>
      <c r="J2094" s="78">
        <v>11.655370009845456</v>
      </c>
      <c r="K2094" s="79">
        <v>0.295815896785939</v>
      </c>
    </row>
    <row r="2095" spans="2:11" x14ac:dyDescent="0.35">
      <c r="B2095" s="149" t="s">
        <v>848</v>
      </c>
      <c r="C2095" s="6" t="s">
        <v>226</v>
      </c>
      <c r="D2095" s="6">
        <v>260.92250000000001</v>
      </c>
      <c r="E2095" s="6" t="s">
        <v>1074</v>
      </c>
      <c r="F2095" s="114">
        <v>65.868494565217389</v>
      </c>
      <c r="G2095" s="76" t="s">
        <v>40</v>
      </c>
      <c r="H2095" s="160">
        <v>0.15350543478261613</v>
      </c>
      <c r="I2095" s="160">
        <v>-0.40758354702082</v>
      </c>
      <c r="J2095" s="78">
        <v>11.212605639529215</v>
      </c>
      <c r="K2095" s="79">
        <v>-0.14694847353030127</v>
      </c>
    </row>
    <row r="2096" spans="2:11" x14ac:dyDescent="0.35">
      <c r="B2096" s="149" t="s">
        <v>848</v>
      </c>
      <c r="C2096" s="6" t="s">
        <v>226</v>
      </c>
      <c r="D2096" s="6">
        <v>260.9325</v>
      </c>
      <c r="E2096" s="6" t="s">
        <v>1074</v>
      </c>
      <c r="F2096" s="114">
        <v>65.870646739130436</v>
      </c>
      <c r="G2096" s="76" t="s">
        <v>40</v>
      </c>
      <c r="H2096" s="160">
        <v>0.15135326086956979</v>
      </c>
      <c r="I2096" s="160">
        <v>-0.40260490308686497</v>
      </c>
      <c r="J2096" s="78">
        <v>11.190269806079755</v>
      </c>
      <c r="K2096" s="79">
        <v>-0.16928430697976182</v>
      </c>
    </row>
    <row r="2097" spans="2:11" x14ac:dyDescent="0.35">
      <c r="B2097" s="149" t="s">
        <v>848</v>
      </c>
      <c r="C2097" s="6" t="s">
        <v>226</v>
      </c>
      <c r="D2097" s="6">
        <v>260.9425</v>
      </c>
      <c r="E2097" s="6" t="s">
        <v>1074</v>
      </c>
      <c r="F2097" s="114">
        <v>65.872798913043468</v>
      </c>
      <c r="G2097" s="76" t="s">
        <v>40</v>
      </c>
      <c r="H2097" s="160">
        <v>0.14920108695653767</v>
      </c>
      <c r="I2097" s="160">
        <v>-0.46188725915290901</v>
      </c>
      <c r="J2097" s="78">
        <v>11.456465253843135</v>
      </c>
      <c r="K2097" s="79">
        <v>9.6911140783618066E-2</v>
      </c>
    </row>
    <row r="2098" spans="2:11" x14ac:dyDescent="0.35">
      <c r="B2098" s="149" t="s">
        <v>848</v>
      </c>
      <c r="C2098" s="6" t="s">
        <v>226</v>
      </c>
      <c r="D2098" s="6">
        <v>260.95249999999999</v>
      </c>
      <c r="E2098" s="6" t="s">
        <v>1074</v>
      </c>
      <c r="F2098" s="114">
        <v>65.874951086956514</v>
      </c>
      <c r="G2098" s="76" t="s">
        <v>40</v>
      </c>
      <c r="H2098" s="160">
        <v>0.14704891304349132</v>
      </c>
      <c r="I2098" s="160">
        <v>-0.49401832735104301</v>
      </c>
      <c r="J2098" s="78">
        <v>11.600958322674046</v>
      </c>
      <c r="K2098" s="79">
        <v>0.24140420961452946</v>
      </c>
    </row>
    <row r="2099" spans="2:11" x14ac:dyDescent="0.35">
      <c r="B2099" s="149" t="s">
        <v>848</v>
      </c>
      <c r="C2099" s="6" t="s">
        <v>226</v>
      </c>
      <c r="D2099" s="6">
        <v>260.96249999999998</v>
      </c>
      <c r="E2099" s="6" t="s">
        <v>1074</v>
      </c>
      <c r="F2099" s="114">
        <v>65.877103260869561</v>
      </c>
      <c r="G2099" s="76" t="s">
        <v>40</v>
      </c>
      <c r="H2099" s="160">
        <v>0.14489673913044498</v>
      </c>
      <c r="I2099" s="160">
        <v>-0.43109868341708701</v>
      </c>
      <c r="J2099" s="78">
        <v>11.318151223344898</v>
      </c>
      <c r="K2099" s="79">
        <v>-4.1402889714618141E-2</v>
      </c>
    </row>
    <row r="2100" spans="2:11" x14ac:dyDescent="0.35">
      <c r="B2100" s="149" t="s">
        <v>848</v>
      </c>
      <c r="C2100" s="6" t="s">
        <v>226</v>
      </c>
      <c r="D2100" s="6">
        <v>260.97249999999997</v>
      </c>
      <c r="E2100" s="6" t="s">
        <v>1074</v>
      </c>
      <c r="F2100" s="114">
        <v>65.879255434782593</v>
      </c>
      <c r="G2100" s="76" t="s">
        <v>40</v>
      </c>
      <c r="H2100" s="160">
        <v>0.14274456521741286</v>
      </c>
      <c r="I2100" s="160">
        <v>-0.49464203948313201</v>
      </c>
      <c r="J2100" s="78">
        <v>11.603764647071102</v>
      </c>
      <c r="K2100" s="79">
        <v>0.24421053401158588</v>
      </c>
    </row>
    <row r="2101" spans="2:11" x14ac:dyDescent="0.35">
      <c r="B2101" s="149" t="s">
        <v>848</v>
      </c>
      <c r="C2101" s="6" t="s">
        <v>226</v>
      </c>
      <c r="D2101" s="6">
        <v>260.98249999999996</v>
      </c>
      <c r="E2101" s="6" t="s">
        <v>1074</v>
      </c>
      <c r="F2101" s="114">
        <v>65.881407608695639</v>
      </c>
      <c r="G2101" s="76" t="s">
        <v>40</v>
      </c>
      <c r="H2101" s="160">
        <v>0.14059239130436652</v>
      </c>
      <c r="I2101" s="160">
        <v>-0.44553639554917601</v>
      </c>
      <c r="J2101" s="78">
        <v>11.382993661389548</v>
      </c>
      <c r="K2101" s="79">
        <v>2.3439548330031812E-2</v>
      </c>
    </row>
    <row r="2102" spans="2:11" x14ac:dyDescent="0.35">
      <c r="B2102" s="149" t="s">
        <v>848</v>
      </c>
      <c r="C2102" s="6" t="s">
        <v>226</v>
      </c>
      <c r="D2102" s="6">
        <v>260.99250000000001</v>
      </c>
      <c r="E2102" s="6" t="s">
        <v>1074</v>
      </c>
      <c r="F2102" s="114">
        <v>65.8835597826087</v>
      </c>
      <c r="G2102" s="76" t="s">
        <v>40</v>
      </c>
      <c r="H2102" s="160">
        <v>0.13844021739130596</v>
      </c>
      <c r="I2102" s="160">
        <v>-0.50554382835640099</v>
      </c>
      <c r="J2102" s="78">
        <v>11.652825269076686</v>
      </c>
      <c r="K2102" s="79">
        <v>0.29327115601716969</v>
      </c>
    </row>
    <row r="2103" spans="2:11" x14ac:dyDescent="0.35">
      <c r="B2103" s="149" t="s">
        <v>848</v>
      </c>
      <c r="C2103" s="6" t="s">
        <v>226</v>
      </c>
      <c r="D2103" s="6">
        <v>261.0025</v>
      </c>
      <c r="E2103" s="6" t="s">
        <v>1074</v>
      </c>
      <c r="F2103" s="114">
        <v>65.885711956521732</v>
      </c>
      <c r="G2103" s="76" t="s">
        <v>40</v>
      </c>
      <c r="H2103" s="160">
        <v>0.13628804347827383</v>
      </c>
      <c r="I2103" s="160">
        <v>-0.54662510768126504</v>
      </c>
      <c r="J2103" s="78">
        <v>11.83785751413842</v>
      </c>
      <c r="K2103" s="79">
        <v>0.47830340107890379</v>
      </c>
    </row>
    <row r="2104" spans="2:11" x14ac:dyDescent="0.35">
      <c r="B2104" s="149" t="s">
        <v>848</v>
      </c>
      <c r="C2104" s="6" t="s">
        <v>226</v>
      </c>
      <c r="D2104" s="6">
        <v>261.01249999999999</v>
      </c>
      <c r="E2104" s="6" t="s">
        <v>1074</v>
      </c>
      <c r="F2104" s="114">
        <v>65.887864130434778</v>
      </c>
      <c r="G2104" s="76" t="s">
        <v>40</v>
      </c>
      <c r="H2104" s="160">
        <v>0.13413586956522749</v>
      </c>
      <c r="I2104" s="160">
        <v>-0.50387646374730999</v>
      </c>
      <c r="J2104" s="78">
        <v>11.645320605243739</v>
      </c>
      <c r="K2104" s="79">
        <v>0.2857664921842229</v>
      </c>
    </row>
    <row r="2105" spans="2:11" x14ac:dyDescent="0.35">
      <c r="B2105" s="149" t="s">
        <v>848</v>
      </c>
      <c r="C2105" s="6" t="s">
        <v>226</v>
      </c>
      <c r="D2105" s="6">
        <v>261.02250000000004</v>
      </c>
      <c r="E2105" s="6" t="s">
        <v>1074</v>
      </c>
      <c r="F2105" s="114">
        <v>65.890016304347839</v>
      </c>
      <c r="G2105" s="76" t="s">
        <v>40</v>
      </c>
      <c r="H2105" s="160">
        <v>0.13198369565216694</v>
      </c>
      <c r="I2105" s="160">
        <v>-0.48477281981335402</v>
      </c>
      <c r="J2105" s="78">
        <v>11.559365866036558</v>
      </c>
      <c r="K2105" s="79">
        <v>0.19981175297704112</v>
      </c>
    </row>
    <row r="2106" spans="2:11" x14ac:dyDescent="0.35">
      <c r="B2106" s="149" t="s">
        <v>848</v>
      </c>
      <c r="C2106" s="6" t="s">
        <v>226</v>
      </c>
      <c r="D2106" s="6">
        <v>261.03250000000003</v>
      </c>
      <c r="E2106" s="6" t="s">
        <v>1074</v>
      </c>
      <c r="F2106" s="114">
        <v>65.892168478260871</v>
      </c>
      <c r="G2106" s="76" t="s">
        <v>40</v>
      </c>
      <c r="H2106" s="160">
        <v>0.12983152173913481</v>
      </c>
      <c r="I2106" s="160">
        <v>-0.86794717587939896</v>
      </c>
      <c r="J2106" s="78">
        <v>13.293711293540127</v>
      </c>
      <c r="K2106" s="79">
        <v>1.9341571804806108</v>
      </c>
    </row>
    <row r="2107" spans="2:11" x14ac:dyDescent="0.35">
      <c r="B2107" s="149" t="s">
        <v>848</v>
      </c>
      <c r="C2107" s="6" t="s">
        <v>226</v>
      </c>
      <c r="D2107" s="6">
        <v>261.04250000000002</v>
      </c>
      <c r="E2107" s="6" t="s">
        <v>1074</v>
      </c>
      <c r="F2107" s="114">
        <v>65.894320652173917</v>
      </c>
      <c r="G2107" s="76" t="s">
        <v>40</v>
      </c>
      <c r="H2107" s="160">
        <v>0.12767934782608847</v>
      </c>
      <c r="I2107" s="160">
        <v>-0.56747853194544295</v>
      </c>
      <c r="J2107" s="78">
        <v>11.931877376447346</v>
      </c>
      <c r="K2107" s="79">
        <v>0.57232326338782968</v>
      </c>
    </row>
    <row r="2108" spans="2:11" x14ac:dyDescent="0.35">
      <c r="B2108" s="149" t="s">
        <v>848</v>
      </c>
      <c r="C2108" s="6" t="s">
        <v>226</v>
      </c>
      <c r="D2108" s="6">
        <v>261.05250000000001</v>
      </c>
      <c r="E2108" s="6" t="s">
        <v>1074</v>
      </c>
      <c r="F2108" s="114">
        <v>65.896472826086963</v>
      </c>
      <c r="G2108" s="76" t="s">
        <v>40</v>
      </c>
      <c r="H2108" s="160">
        <v>0.12552717391304213</v>
      </c>
      <c r="I2108" s="160">
        <v>-0.45818288801148799</v>
      </c>
      <c r="J2108" s="78">
        <v>11.43981646216065</v>
      </c>
      <c r="K2108" s="79">
        <v>8.0262349101133168E-2</v>
      </c>
    </row>
    <row r="2109" spans="2:11" x14ac:dyDescent="0.35">
      <c r="B2109" s="149" t="s">
        <v>848</v>
      </c>
      <c r="C2109" s="6" t="s">
        <v>226</v>
      </c>
      <c r="D2109" s="6">
        <v>261.0625</v>
      </c>
      <c r="E2109" s="6" t="s">
        <v>1074</v>
      </c>
      <c r="F2109" s="114">
        <v>65.898624999999996</v>
      </c>
      <c r="G2109" s="76" t="s">
        <v>40</v>
      </c>
      <c r="H2109" s="160">
        <v>0.12337500000001</v>
      </c>
      <c r="I2109" s="160">
        <v>-0.57408824407753201</v>
      </c>
      <c r="J2109" s="78">
        <v>11.961691319257056</v>
      </c>
      <c r="K2109" s="79">
        <v>0.60213720619753985</v>
      </c>
    </row>
    <row r="2110" spans="2:11" x14ac:dyDescent="0.35">
      <c r="B2110" s="149" t="s">
        <v>848</v>
      </c>
      <c r="C2110" s="6" t="s">
        <v>226</v>
      </c>
      <c r="D2110" s="6">
        <v>261.07249999999999</v>
      </c>
      <c r="E2110" s="6" t="s">
        <v>1074</v>
      </c>
      <c r="F2110" s="114">
        <v>65.900777173913042</v>
      </c>
      <c r="G2110" s="76" t="s">
        <v>40</v>
      </c>
      <c r="H2110" s="160">
        <v>0.12122282608696366</v>
      </c>
      <c r="I2110" s="160">
        <v>-0.57810760014357698</v>
      </c>
      <c r="J2110" s="78">
        <v>11.979824278920773</v>
      </c>
      <c r="K2110" s="79">
        <v>0.62027016586125683</v>
      </c>
    </row>
    <row r="2111" spans="2:11" x14ac:dyDescent="0.35">
      <c r="B2111" s="149" t="s">
        <v>848</v>
      </c>
      <c r="C2111" s="6" t="s">
        <v>226</v>
      </c>
      <c r="D2111" s="6">
        <v>261.08249999999998</v>
      </c>
      <c r="E2111" s="6" t="s">
        <v>1074</v>
      </c>
      <c r="F2111" s="114">
        <v>65.902929347826088</v>
      </c>
      <c r="G2111" s="76" t="s">
        <v>40</v>
      </c>
      <c r="H2111" s="160">
        <v>0.11907065217391732</v>
      </c>
      <c r="I2111" s="160">
        <v>-0.59870973047524301</v>
      </c>
      <c r="J2111" s="78">
        <v>12.072806285975787</v>
      </c>
      <c r="K2111" s="79">
        <v>0.71325217291627041</v>
      </c>
    </row>
    <row r="2112" spans="2:11" x14ac:dyDescent="0.35">
      <c r="B2112" s="149" t="s">
        <v>848</v>
      </c>
      <c r="C2112" s="6" t="s">
        <v>226</v>
      </c>
      <c r="D2112" s="6">
        <v>261.09249999999997</v>
      </c>
      <c r="E2112" s="6" t="s">
        <v>1074</v>
      </c>
      <c r="F2112" s="114">
        <v>65.90508152173912</v>
      </c>
      <c r="G2112" s="76" t="s">
        <v>40</v>
      </c>
      <c r="H2112" s="160">
        <v>0.11691847826088519</v>
      </c>
      <c r="I2112" s="160">
        <v>-0.56476676404121096</v>
      </c>
      <c r="J2112" s="78">
        <v>11.919647465017192</v>
      </c>
      <c r="K2112" s="79">
        <v>0.56009335195767562</v>
      </c>
    </row>
    <row r="2113" spans="2:11" x14ac:dyDescent="0.35">
      <c r="B2113" s="149" t="s">
        <v>848</v>
      </c>
      <c r="C2113" s="6" t="s">
        <v>226</v>
      </c>
      <c r="D2113" s="6">
        <v>261.10249999999996</v>
      </c>
      <c r="E2113" s="6" t="s">
        <v>1074</v>
      </c>
      <c r="F2113" s="114">
        <v>65.907233695652167</v>
      </c>
      <c r="G2113" s="76" t="s">
        <v>40</v>
      </c>
      <c r="H2113" s="160">
        <v>0.11476630434783885</v>
      </c>
      <c r="I2113" s="160">
        <v>-0.51385579760718003</v>
      </c>
      <c r="J2113" s="78">
        <v>11.690242811350856</v>
      </c>
      <c r="K2113" s="79">
        <v>0.33068869829133973</v>
      </c>
    </row>
    <row r="2114" spans="2:11" x14ac:dyDescent="0.35">
      <c r="B2114" s="149" t="s">
        <v>848</v>
      </c>
      <c r="C2114" s="6" t="s">
        <v>226</v>
      </c>
      <c r="D2114" s="6">
        <v>261.11250000000001</v>
      </c>
      <c r="E2114" s="6" t="s">
        <v>1074</v>
      </c>
      <c r="F2114" s="114">
        <v>65.909385869565213</v>
      </c>
      <c r="G2114" s="76" t="s">
        <v>40</v>
      </c>
      <c r="H2114" s="160">
        <v>0.11261413043479251</v>
      </c>
      <c r="I2114" s="160">
        <v>-0.52698783117314896</v>
      </c>
      <c r="J2114" s="78">
        <v>11.749379252210133</v>
      </c>
      <c r="K2114" s="79">
        <v>0.38982513915061645</v>
      </c>
    </row>
    <row r="2115" spans="2:11" x14ac:dyDescent="0.35">
      <c r="B2115" s="149" t="s">
        <v>848</v>
      </c>
      <c r="C2115" s="6" t="s">
        <v>226</v>
      </c>
      <c r="D2115" s="6">
        <v>261.1225</v>
      </c>
      <c r="E2115" s="6" t="s">
        <v>1074</v>
      </c>
      <c r="F2115" s="114">
        <v>65.911603260869569</v>
      </c>
      <c r="G2115" s="76" t="s">
        <v>40</v>
      </c>
      <c r="H2115" s="160">
        <v>0.10996250000000884</v>
      </c>
      <c r="I2115" s="160">
        <v>-0.53967086473911796</v>
      </c>
      <c r="J2115" s="78">
        <v>11.806517799811957</v>
      </c>
      <c r="K2115" s="79">
        <v>0.44696368675244003</v>
      </c>
    </row>
    <row r="2116" spans="2:11" x14ac:dyDescent="0.35">
      <c r="B2116" s="149" t="s">
        <v>848</v>
      </c>
      <c r="C2116" s="6" t="s">
        <v>226</v>
      </c>
      <c r="D2116" s="6">
        <v>261.13249999999999</v>
      </c>
      <c r="E2116" s="6" t="s">
        <v>1074</v>
      </c>
      <c r="F2116" s="114">
        <v>65.914016304347825</v>
      </c>
      <c r="G2116" s="76" t="s">
        <v>40</v>
      </c>
      <c r="H2116" s="160">
        <v>0.10581250000001319</v>
      </c>
      <c r="I2116" s="160">
        <v>-0.46826289830508599</v>
      </c>
      <c r="J2116" s="78">
        <v>11.48512440228086</v>
      </c>
      <c r="K2116" s="79">
        <v>0.1255702892213435</v>
      </c>
    </row>
    <row r="2117" spans="2:11" x14ac:dyDescent="0.35">
      <c r="B2117" s="149" t="s">
        <v>848</v>
      </c>
      <c r="C2117" s="6" t="s">
        <v>226</v>
      </c>
      <c r="D2117" s="6">
        <v>261.14250000000004</v>
      </c>
      <c r="E2117" s="6" t="s">
        <v>1074</v>
      </c>
      <c r="F2117" s="114">
        <v>65.916429347826096</v>
      </c>
      <c r="G2117" s="76" t="s">
        <v>40</v>
      </c>
      <c r="H2117" s="160">
        <v>0.10166249999998911</v>
      </c>
      <c r="I2117" s="160">
        <v>-0.61744993187105501</v>
      </c>
      <c r="J2117" s="78">
        <v>12.157439344831175</v>
      </c>
      <c r="K2117" s="79">
        <v>0.79788523177165871</v>
      </c>
    </row>
    <row r="2118" spans="2:11" x14ac:dyDescent="0.35">
      <c r="B2118" s="149" t="s">
        <v>848</v>
      </c>
      <c r="C2118" s="6" t="s">
        <v>226</v>
      </c>
      <c r="D2118" s="6">
        <v>261.15250000000003</v>
      </c>
      <c r="E2118" s="6" t="s">
        <v>1074</v>
      </c>
      <c r="F2118" s="114">
        <v>65.918842391304352</v>
      </c>
      <c r="G2118" s="76" t="s">
        <v>40</v>
      </c>
      <c r="H2118" s="160">
        <v>9.7512499999993452E-2</v>
      </c>
      <c r="I2118" s="160">
        <v>-0.50542396543702395</v>
      </c>
      <c r="J2118" s="78">
        <v>11.652285762836129</v>
      </c>
      <c r="K2118" s="79">
        <v>0.29273164977661281</v>
      </c>
    </row>
    <row r="2119" spans="2:11" x14ac:dyDescent="0.35">
      <c r="B2119" s="149" t="s">
        <v>848</v>
      </c>
      <c r="C2119" s="6" t="s">
        <v>226</v>
      </c>
      <c r="D2119" s="6">
        <v>261.16250000000002</v>
      </c>
      <c r="E2119" s="6" t="s">
        <v>1074</v>
      </c>
      <c r="F2119" s="114">
        <v>65.921255434782609</v>
      </c>
      <c r="G2119" s="76" t="s">
        <v>40</v>
      </c>
      <c r="H2119" s="160">
        <v>9.3362499999997794E-2</v>
      </c>
      <c r="I2119" s="160">
        <v>-0.49741799900299299</v>
      </c>
      <c r="J2119" s="78">
        <v>11.616255464989422</v>
      </c>
      <c r="K2119" s="79">
        <v>0.25670135192990529</v>
      </c>
    </row>
    <row r="2120" spans="2:11" x14ac:dyDescent="0.35">
      <c r="B2120" s="149" t="s">
        <v>848</v>
      </c>
      <c r="C2120" s="6" t="s">
        <v>226</v>
      </c>
      <c r="D2120" s="6">
        <v>261.17250000000001</v>
      </c>
      <c r="E2120" s="6" t="s">
        <v>1074</v>
      </c>
      <c r="F2120" s="114">
        <v>65.923668478260879</v>
      </c>
      <c r="G2120" s="76" t="s">
        <v>40</v>
      </c>
      <c r="H2120" s="160">
        <v>8.9212500000002137E-2</v>
      </c>
      <c r="I2120" s="160">
        <v>-0.41474203256896103</v>
      </c>
      <c r="J2120" s="78">
        <v>11.24472730490703</v>
      </c>
      <c r="K2120" s="79">
        <v>-0.11482680815248614</v>
      </c>
    </row>
    <row r="2121" spans="2:11" x14ac:dyDescent="0.35">
      <c r="B2121" s="149" t="s">
        <v>848</v>
      </c>
      <c r="C2121" s="6" t="s">
        <v>226</v>
      </c>
      <c r="D2121" s="6">
        <v>261.1825</v>
      </c>
      <c r="E2121" s="6" t="s">
        <v>1074</v>
      </c>
      <c r="F2121" s="114">
        <v>65.926081521739135</v>
      </c>
      <c r="G2121" s="76" t="s">
        <v>40</v>
      </c>
      <c r="H2121" s="160">
        <v>8.506250000000648E-2</v>
      </c>
      <c r="I2121" s="160">
        <v>-0.41729006613493003</v>
      </c>
      <c r="J2121" s="78">
        <v>11.256162686783625</v>
      </c>
      <c r="K2121" s="79">
        <v>-0.10339142627589126</v>
      </c>
    </row>
    <row r="2122" spans="2:11" x14ac:dyDescent="0.35">
      <c r="B2122" s="149" t="s">
        <v>848</v>
      </c>
      <c r="C2122" s="6" t="s">
        <v>226</v>
      </c>
      <c r="D2122" s="6">
        <v>261.1925</v>
      </c>
      <c r="E2122" s="6" t="s">
        <v>1074</v>
      </c>
      <c r="F2122" s="114">
        <v>65.928494565217392</v>
      </c>
      <c r="G2122" s="76" t="s">
        <v>40</v>
      </c>
      <c r="H2122" s="160">
        <v>8.0912500000010823E-2</v>
      </c>
      <c r="I2122" s="160">
        <v>-0.36599609970089902</v>
      </c>
      <c r="J2122" s="78">
        <v>11.026141788717439</v>
      </c>
      <c r="K2122" s="79">
        <v>-0.33341232434207768</v>
      </c>
    </row>
    <row r="2123" spans="2:11" x14ac:dyDescent="0.35">
      <c r="B2123" s="149" t="s">
        <v>848</v>
      </c>
      <c r="C2123" s="6" t="s">
        <v>226</v>
      </c>
      <c r="D2123" s="6">
        <v>261.20249999999999</v>
      </c>
      <c r="E2123" s="6" t="s">
        <v>1074</v>
      </c>
      <c r="F2123" s="114">
        <v>65.930907608695648</v>
      </c>
      <c r="G2123" s="76" t="s">
        <v>40</v>
      </c>
      <c r="H2123" s="160">
        <v>7.6762500000015166E-2</v>
      </c>
      <c r="I2123" s="160">
        <v>-0.422497133266868</v>
      </c>
      <c r="J2123" s="78">
        <v>11.27953456093968</v>
      </c>
      <c r="K2123" s="79">
        <v>-8.0019552119836135E-2</v>
      </c>
    </row>
    <row r="2124" spans="2:11" x14ac:dyDescent="0.35">
      <c r="B2124" s="149" t="s">
        <v>848</v>
      </c>
      <c r="C2124" s="6" t="s">
        <v>226</v>
      </c>
      <c r="D2124" s="6">
        <v>261.21249999999998</v>
      </c>
      <c r="E2124" s="6" t="s">
        <v>1074</v>
      </c>
      <c r="F2124" s="114">
        <v>65.933320652173904</v>
      </c>
      <c r="G2124" s="76" t="s">
        <v>40</v>
      </c>
      <c r="H2124" s="160">
        <v>7.2612500000019509E-2</v>
      </c>
      <c r="I2124" s="160">
        <v>-0.52085916683283695</v>
      </c>
      <c r="J2124" s="78">
        <v>11.721777374054341</v>
      </c>
      <c r="K2124" s="79">
        <v>0.36222326099482416</v>
      </c>
    </row>
    <row r="2125" spans="2:11" x14ac:dyDescent="0.35">
      <c r="B2125" s="149" t="s">
        <v>848</v>
      </c>
      <c r="C2125" s="6" t="s">
        <v>226</v>
      </c>
      <c r="D2125" s="6">
        <v>261.22249999999997</v>
      </c>
      <c r="E2125" s="6" t="s">
        <v>1074</v>
      </c>
      <c r="F2125" s="114">
        <v>65.935733695652175</v>
      </c>
      <c r="G2125" s="76" t="s">
        <v>40</v>
      </c>
      <c r="H2125" s="160">
        <v>6.8462500000023851E-2</v>
      </c>
      <c r="I2125" s="160">
        <v>-0.47319020039880499</v>
      </c>
      <c r="J2125" s="78">
        <v>11.507277207437937</v>
      </c>
      <c r="K2125" s="79">
        <v>0.14772309437842068</v>
      </c>
    </row>
    <row r="2126" spans="2:11" x14ac:dyDescent="0.35">
      <c r="B2126" s="149" t="s">
        <v>848</v>
      </c>
      <c r="C2126" s="6" t="s">
        <v>226</v>
      </c>
      <c r="D2126" s="6">
        <v>261.23249999999996</v>
      </c>
      <c r="E2126" s="6" t="s">
        <v>1074</v>
      </c>
      <c r="F2126" s="114">
        <v>65.938146739130431</v>
      </c>
      <c r="G2126" s="76" t="s">
        <v>40</v>
      </c>
      <c r="H2126" s="160">
        <v>6.4312500000028194E-2</v>
      </c>
      <c r="I2126" s="160">
        <v>-0.36176930109671201</v>
      </c>
      <c r="J2126" s="78">
        <v>11.007204396472844</v>
      </c>
      <c r="K2126" s="79">
        <v>-0.35234971658667291</v>
      </c>
    </row>
    <row r="2127" spans="2:11" x14ac:dyDescent="0.35">
      <c r="B2127" s="149" t="s">
        <v>848</v>
      </c>
      <c r="C2127" s="6" t="s">
        <v>226</v>
      </c>
      <c r="D2127" s="6">
        <v>261.24250000000001</v>
      </c>
      <c r="E2127" s="6" t="s">
        <v>1074</v>
      </c>
      <c r="F2127" s="114">
        <v>65.940559782608702</v>
      </c>
      <c r="G2127" s="76" t="s">
        <v>40</v>
      </c>
      <c r="H2127" s="160">
        <v>6.0162500000004115E-2</v>
      </c>
      <c r="I2127" s="160">
        <v>-0.39915933466268</v>
      </c>
      <c r="J2127" s="78">
        <v>11.174813972858999</v>
      </c>
      <c r="K2127" s="79">
        <v>-0.18474014020051754</v>
      </c>
    </row>
    <row r="2128" spans="2:11" x14ac:dyDescent="0.35">
      <c r="B2128" s="149" t="s">
        <v>848</v>
      </c>
      <c r="C2128" s="6" t="s">
        <v>226</v>
      </c>
      <c r="D2128" s="6">
        <v>261.2525</v>
      </c>
      <c r="E2128" s="6" t="s">
        <v>1074</v>
      </c>
      <c r="F2128" s="114">
        <v>65.942972826086958</v>
      </c>
      <c r="G2128" s="76" t="s">
        <v>40</v>
      </c>
      <c r="H2128" s="160">
        <v>5.6012500000008458E-2</v>
      </c>
      <c r="I2128" s="160">
        <v>-0.357583368228649</v>
      </c>
      <c r="J2128" s="78">
        <v>10.988452661841336</v>
      </c>
      <c r="K2128" s="79">
        <v>-0.3711014512181805</v>
      </c>
    </row>
    <row r="2129" spans="2:11" x14ac:dyDescent="0.35">
      <c r="B2129" s="149" t="s">
        <v>848</v>
      </c>
      <c r="C2129" s="6" t="s">
        <v>226</v>
      </c>
      <c r="D2129" s="6">
        <v>261.26249999999999</v>
      </c>
      <c r="E2129" s="6" t="s">
        <v>1074</v>
      </c>
      <c r="F2129" s="114">
        <v>65.945385869565214</v>
      </c>
      <c r="G2129" s="76" t="s">
        <v>40</v>
      </c>
      <c r="H2129" s="160">
        <v>5.1862500000012801E-2</v>
      </c>
      <c r="I2129" s="160">
        <v>-0.33208540179461798</v>
      </c>
      <c r="J2129" s="78">
        <v>10.87428447880751</v>
      </c>
      <c r="K2129" s="79">
        <v>-0.4852696342520062</v>
      </c>
    </row>
    <row r="2130" spans="2:11" x14ac:dyDescent="0.35">
      <c r="B2130" s="149" t="s">
        <v>848</v>
      </c>
      <c r="C2130" s="6" t="s">
        <v>226</v>
      </c>
      <c r="D2130" s="6">
        <v>261.27250000000004</v>
      </c>
      <c r="E2130" s="6" t="s">
        <v>1074</v>
      </c>
      <c r="F2130" s="114">
        <v>65.947798913043485</v>
      </c>
      <c r="G2130" s="76" t="s">
        <v>40</v>
      </c>
      <c r="H2130" s="160">
        <v>4.7712499999988722E-2</v>
      </c>
      <c r="I2130" s="160">
        <v>-0.34112443536058701</v>
      </c>
      <c r="J2130" s="78">
        <v>10.914746287864887</v>
      </c>
      <c r="K2130" s="79">
        <v>-0.44480782519462991</v>
      </c>
    </row>
    <row r="2131" spans="2:11" x14ac:dyDescent="0.35">
      <c r="B2131" s="149" t="s">
        <v>848</v>
      </c>
      <c r="C2131" s="6" t="s">
        <v>226</v>
      </c>
      <c r="D2131" s="6">
        <v>261.28250000000003</v>
      </c>
      <c r="E2131" s="6" t="s">
        <v>1074</v>
      </c>
      <c r="F2131" s="114">
        <v>65.950211956521755</v>
      </c>
      <c r="G2131" s="76" t="s">
        <v>40</v>
      </c>
      <c r="H2131" s="160">
        <v>4.3562499999993065E-2</v>
      </c>
      <c r="I2131" s="160">
        <v>-0.29953946892655497</v>
      </c>
      <c r="J2131" s="78">
        <v>10.728696186753893</v>
      </c>
      <c r="K2131" s="79">
        <v>-0.6308579263056231</v>
      </c>
    </row>
    <row r="2132" spans="2:11" x14ac:dyDescent="0.35">
      <c r="B2132" s="149" t="s">
        <v>848</v>
      </c>
      <c r="C2132" s="6" t="s">
        <v>226</v>
      </c>
      <c r="D2132" s="6">
        <v>261.29250000000002</v>
      </c>
      <c r="E2132" s="6" t="s">
        <v>1074</v>
      </c>
      <c r="F2132" s="114">
        <v>65.952625000000012</v>
      </c>
      <c r="G2132" s="76" t="s">
        <v>40</v>
      </c>
      <c r="H2132" s="160">
        <v>3.9412499999997408E-2</v>
      </c>
      <c r="I2132" s="160">
        <v>-0.34450150249252398</v>
      </c>
      <c r="J2132" s="78">
        <v>10.92986624877949</v>
      </c>
      <c r="K2132" s="79">
        <v>-0.42968786428002659</v>
      </c>
    </row>
    <row r="2133" spans="2:11" x14ac:dyDescent="0.35">
      <c r="B2133" s="149" t="s">
        <v>848</v>
      </c>
      <c r="C2133" s="6" t="s">
        <v>226</v>
      </c>
      <c r="D2133" s="6">
        <v>261.30250000000001</v>
      </c>
      <c r="E2133" s="6" t="s">
        <v>1074</v>
      </c>
      <c r="F2133" s="114">
        <v>65.955038043478268</v>
      </c>
      <c r="G2133" s="76" t="s">
        <v>40</v>
      </c>
      <c r="H2133" s="160">
        <v>3.5262500000001751E-2</v>
      </c>
      <c r="I2133" s="160">
        <v>-0.27198053605849298</v>
      </c>
      <c r="J2133" s="78">
        <v>10.605536680787793</v>
      </c>
      <c r="K2133" s="79">
        <v>-0.75401743227172346</v>
      </c>
    </row>
    <row r="2134" spans="2:11" x14ac:dyDescent="0.35">
      <c r="B2134" s="149" t="s">
        <v>848</v>
      </c>
      <c r="C2134" s="6" t="s">
        <v>226</v>
      </c>
      <c r="D2134" s="6">
        <v>261.3125</v>
      </c>
      <c r="E2134" s="6" t="s">
        <v>1074</v>
      </c>
      <c r="F2134" s="114">
        <v>65.957451086956524</v>
      </c>
      <c r="G2134" s="76" t="s">
        <v>40</v>
      </c>
      <c r="H2134" s="160">
        <v>3.1112500000006094E-2</v>
      </c>
      <c r="I2134" s="160">
        <v>-0.19807856962446199</v>
      </c>
      <c r="J2134" s="78">
        <v>10.275816065095171</v>
      </c>
      <c r="K2134" s="79">
        <v>-1.0837380479643457</v>
      </c>
    </row>
    <row r="2135" spans="2:11" x14ac:dyDescent="0.35">
      <c r="B2135" s="149" t="s">
        <v>848</v>
      </c>
      <c r="C2135" s="6" t="s">
        <v>226</v>
      </c>
      <c r="D2135" s="6">
        <v>261.32249999999999</v>
      </c>
      <c r="E2135" s="6" t="s">
        <v>1074</v>
      </c>
      <c r="F2135" s="114">
        <v>65.959864130434781</v>
      </c>
      <c r="G2135" s="76" t="s">
        <v>40</v>
      </c>
      <c r="H2135" s="160">
        <v>2.7730769230771557E-2</v>
      </c>
      <c r="I2135" s="160">
        <v>-0.58376160319043002</v>
      </c>
      <c r="J2135" s="78">
        <v>12.005335828020179</v>
      </c>
      <c r="K2135" s="79">
        <v>0.64578171496066261</v>
      </c>
    </row>
    <row r="2136" spans="2:11" x14ac:dyDescent="0.35">
      <c r="B2136" s="149" t="s">
        <v>848</v>
      </c>
      <c r="C2136" s="6" t="s">
        <v>226</v>
      </c>
      <c r="D2136" s="6">
        <v>261.33249999999998</v>
      </c>
      <c r="E2136" s="6" t="s">
        <v>1074</v>
      </c>
      <c r="F2136" s="114">
        <v>65.962277173913037</v>
      </c>
      <c r="G2136" s="76" t="s">
        <v>40</v>
      </c>
      <c r="H2136" s="160">
        <v>2.6653846153848804E-2</v>
      </c>
      <c r="I2136" s="160">
        <v>-0.34595263675639898</v>
      </c>
      <c r="J2136" s="78">
        <v>10.936363844243203</v>
      </c>
      <c r="K2136" s="79">
        <v>-0.42319026881631316</v>
      </c>
    </row>
    <row r="2137" spans="2:11" x14ac:dyDescent="0.35">
      <c r="B2137" s="149" t="s">
        <v>848</v>
      </c>
      <c r="C2137" s="6" t="s">
        <v>226</v>
      </c>
      <c r="D2137" s="6">
        <v>261.34249999999997</v>
      </c>
      <c r="E2137" s="6" t="s">
        <v>1074</v>
      </c>
      <c r="F2137" s="114">
        <v>65.964690217391308</v>
      </c>
      <c r="G2137" s="76" t="s">
        <v>40</v>
      </c>
      <c r="H2137" s="160">
        <v>2.557692307692605E-2</v>
      </c>
      <c r="I2137" s="160">
        <v>-0.327295670322368</v>
      </c>
      <c r="J2137" s="78">
        <v>10.852848820940267</v>
      </c>
      <c r="K2137" s="79">
        <v>-0.50670529211924986</v>
      </c>
    </row>
    <row r="2138" spans="2:11" x14ac:dyDescent="0.35">
      <c r="B2138" s="149" t="s">
        <v>848</v>
      </c>
      <c r="C2138" s="6" t="s">
        <v>226</v>
      </c>
      <c r="D2138" s="6">
        <v>261.35249999999996</v>
      </c>
      <c r="E2138" s="6" t="s">
        <v>1074</v>
      </c>
      <c r="F2138" s="114">
        <v>65.967103260869564</v>
      </c>
      <c r="G2138" s="76" t="s">
        <v>40</v>
      </c>
      <c r="H2138" s="160">
        <v>2.4500000000003297E-2</v>
      </c>
      <c r="I2138" s="160">
        <v>-0.460142703888337</v>
      </c>
      <c r="J2138" s="78">
        <v>11.448624337406216</v>
      </c>
      <c r="K2138" s="79">
        <v>8.9070224346698978E-2</v>
      </c>
    </row>
    <row r="2139" spans="2:11" x14ac:dyDescent="0.35">
      <c r="B2139" s="149" t="s">
        <v>848</v>
      </c>
      <c r="C2139" s="6" t="s">
        <v>226</v>
      </c>
      <c r="D2139" s="6">
        <v>261.36250000000001</v>
      </c>
      <c r="E2139" s="6" t="s">
        <v>1074</v>
      </c>
      <c r="F2139" s="114">
        <v>65.969516304347835</v>
      </c>
      <c r="G2139" s="76" t="s">
        <v>40</v>
      </c>
      <c r="H2139" s="160">
        <v>2.3423076923080544E-2</v>
      </c>
      <c r="I2139" s="160">
        <v>-0.41852173745430599</v>
      </c>
      <c r="J2139" s="78">
        <v>11.261690674644399</v>
      </c>
      <c r="K2139" s="79">
        <v>-9.7863438415117798E-2</v>
      </c>
    </row>
    <row r="2140" spans="2:11" x14ac:dyDescent="0.35">
      <c r="B2140" s="149" t="s">
        <v>848</v>
      </c>
      <c r="C2140" s="6" t="s">
        <v>226</v>
      </c>
      <c r="D2140" s="6">
        <v>261.3725</v>
      </c>
      <c r="E2140" s="6" t="s">
        <v>1074</v>
      </c>
      <c r="F2140" s="114">
        <v>65.971929347826091</v>
      </c>
      <c r="G2140" s="76" t="s">
        <v>40</v>
      </c>
      <c r="H2140" s="160">
        <v>2.234615384615779E-2</v>
      </c>
      <c r="I2140" s="160">
        <v>-0.243465771020274</v>
      </c>
      <c r="J2140" s="78">
        <v>10.478221614933943</v>
      </c>
      <c r="K2140" s="79">
        <v>-0.88133249812557324</v>
      </c>
    </row>
    <row r="2141" spans="2:11" x14ac:dyDescent="0.35">
      <c r="B2141" s="149" t="s">
        <v>848</v>
      </c>
      <c r="C2141" s="6" t="s">
        <v>226</v>
      </c>
      <c r="D2141" s="6">
        <v>261.38249999999999</v>
      </c>
      <c r="E2141" s="6" t="s">
        <v>1074</v>
      </c>
      <c r="F2141" s="114">
        <v>65.974342391304347</v>
      </c>
      <c r="G2141" s="76" t="s">
        <v>40</v>
      </c>
      <c r="H2141" s="160">
        <v>2.1269230769235037E-2</v>
      </c>
      <c r="I2141" s="160">
        <v>-0.220357002670553</v>
      </c>
      <c r="J2141" s="78">
        <v>10.375130128346882</v>
      </c>
      <c r="K2141" s="79">
        <v>-0.98442398471263459</v>
      </c>
    </row>
    <row r="2142" spans="2:11" x14ac:dyDescent="0.35">
      <c r="B2142" s="149" t="s">
        <v>848</v>
      </c>
      <c r="C2142" s="6" t="s">
        <v>226</v>
      </c>
      <c r="D2142" s="6">
        <v>261.39250000000004</v>
      </c>
      <c r="E2142" s="6" t="s">
        <v>1074</v>
      </c>
      <c r="F2142" s="114">
        <v>65.976755434782618</v>
      </c>
      <c r="G2142" s="76" t="s">
        <v>40</v>
      </c>
      <c r="H2142" s="160">
        <v>2.0192307692312284E-2</v>
      </c>
      <c r="I2142" s="160">
        <v>-0.26130093469288801</v>
      </c>
      <c r="J2142" s="78">
        <v>10.557839708396102</v>
      </c>
      <c r="K2142" s="79">
        <v>-0.80171440466341437</v>
      </c>
    </row>
    <row r="2143" spans="2:11" x14ac:dyDescent="0.35">
      <c r="B2143" s="149" t="s">
        <v>848</v>
      </c>
      <c r="C2143" s="6" t="s">
        <v>226</v>
      </c>
      <c r="D2143" s="6">
        <v>261.40250000000003</v>
      </c>
      <c r="E2143" s="6" t="s">
        <v>1074</v>
      </c>
      <c r="F2143" s="114">
        <v>65.979168478260888</v>
      </c>
      <c r="G2143" s="76" t="s">
        <v>40</v>
      </c>
      <c r="H2143" s="160">
        <v>1.911538461538953E-2</v>
      </c>
      <c r="I2143" s="160">
        <v>-0.19249686671522401</v>
      </c>
      <c r="J2143" s="78">
        <v>10.250944878220878</v>
      </c>
      <c r="K2143" s="79">
        <v>-1.1086092348386387</v>
      </c>
    </row>
    <row r="2144" spans="2:11" x14ac:dyDescent="0.35">
      <c r="B2144" s="149" t="s">
        <v>848</v>
      </c>
      <c r="C2144" s="6" t="s">
        <v>226</v>
      </c>
      <c r="D2144" s="6">
        <v>261.41250000000002</v>
      </c>
      <c r="E2144" s="6" t="s">
        <v>1074</v>
      </c>
      <c r="F2144" s="114">
        <v>65.981581521739145</v>
      </c>
      <c r="G2144" s="76" t="s">
        <v>40</v>
      </c>
      <c r="H2144" s="160">
        <v>1.8038461538466777E-2</v>
      </c>
      <c r="I2144" s="160">
        <v>-0.24252179873756</v>
      </c>
      <c r="J2144" s="78">
        <v>10.474008905621531</v>
      </c>
      <c r="K2144" s="79">
        <v>-0.88554520743798548</v>
      </c>
    </row>
    <row r="2145" spans="2:11" x14ac:dyDescent="0.35">
      <c r="B2145" s="149" t="s">
        <v>848</v>
      </c>
      <c r="C2145" s="6" t="s">
        <v>226</v>
      </c>
      <c r="D2145" s="6">
        <v>261.42250000000001</v>
      </c>
      <c r="E2145" s="6" t="s">
        <v>1074</v>
      </c>
      <c r="F2145" s="114">
        <v>65.983994565217401</v>
      </c>
      <c r="G2145" s="76" t="s">
        <v>40</v>
      </c>
      <c r="H2145" s="160">
        <v>1.6961538461544023E-2</v>
      </c>
      <c r="I2145" s="160">
        <v>-0.18325473075989501</v>
      </c>
      <c r="J2145" s="78">
        <v>10.209773280807951</v>
      </c>
      <c r="K2145" s="79">
        <v>-1.1497808322515652</v>
      </c>
    </row>
    <row r="2146" spans="2:11" x14ac:dyDescent="0.35">
      <c r="B2146" s="149" t="s">
        <v>848</v>
      </c>
      <c r="C2146" s="6" t="s">
        <v>226</v>
      </c>
      <c r="D2146" s="6">
        <v>261.4325</v>
      </c>
      <c r="E2146" s="6" t="s">
        <v>1074</v>
      </c>
      <c r="F2146" s="114">
        <v>65.986407608695657</v>
      </c>
      <c r="G2146" s="76" t="s">
        <v>40</v>
      </c>
      <c r="H2146" s="160">
        <v>1.588461538462127E-2</v>
      </c>
      <c r="I2146" s="160">
        <v>-0.10045166278223</v>
      </c>
      <c r="J2146" s="78">
        <v>9.8414545291249738</v>
      </c>
      <c r="K2146" s="79">
        <v>-1.5180995839345428</v>
      </c>
    </row>
    <row r="2147" spans="2:11" x14ac:dyDescent="0.35">
      <c r="B2147" s="149" t="s">
        <v>848</v>
      </c>
      <c r="C2147" s="6" t="s">
        <v>226</v>
      </c>
      <c r="D2147" s="6">
        <v>261.4425</v>
      </c>
      <c r="E2147" s="6" t="s">
        <v>1074</v>
      </c>
      <c r="F2147" s="114">
        <v>65.988820652173914</v>
      </c>
      <c r="G2147" s="76" t="s">
        <v>40</v>
      </c>
      <c r="H2147" s="160">
        <v>1.4807692307698517E-2</v>
      </c>
      <c r="I2147" s="160">
        <v>-0.29642459480456601</v>
      </c>
      <c r="J2147" s="78">
        <v>10.714770439648476</v>
      </c>
      <c r="K2147" s="79">
        <v>-0.64478367341104104</v>
      </c>
    </row>
    <row r="2148" spans="2:11" x14ac:dyDescent="0.35">
      <c r="B2148" s="149" t="s">
        <v>848</v>
      </c>
      <c r="C2148" s="6" t="s">
        <v>226</v>
      </c>
      <c r="D2148" s="6">
        <v>261.45249999999999</v>
      </c>
      <c r="E2148" s="6" t="s">
        <v>1074</v>
      </c>
      <c r="F2148" s="114">
        <v>65.991233695652184</v>
      </c>
      <c r="G2148" s="76" t="s">
        <v>40</v>
      </c>
      <c r="H2148" s="160">
        <v>1.3730769230775763E-2</v>
      </c>
      <c r="I2148" s="160">
        <v>-6.5421526826901499E-2</v>
      </c>
      <c r="J2148" s="78">
        <v>9.6859331775212354</v>
      </c>
      <c r="K2148" s="79">
        <v>-1.6736209355382812</v>
      </c>
    </row>
    <row r="2149" spans="2:11" x14ac:dyDescent="0.35">
      <c r="B2149" s="149" t="s">
        <v>848</v>
      </c>
      <c r="C2149" s="6" t="s">
        <v>226</v>
      </c>
      <c r="D2149" s="6">
        <v>261.47249999999997</v>
      </c>
      <c r="E2149" s="6" t="s">
        <v>1074</v>
      </c>
      <c r="F2149" s="114">
        <v>65.996059782608697</v>
      </c>
      <c r="G2149" s="76" t="s">
        <v>40</v>
      </c>
      <c r="H2149" s="160">
        <v>1.1576923076930257E-2</v>
      </c>
      <c r="I2149" s="160">
        <v>-0.22376539087157299</v>
      </c>
      <c r="J2149" s="78">
        <v>10.390330568959769</v>
      </c>
      <c r="K2149" s="79">
        <v>-0.96922354409974787</v>
      </c>
    </row>
    <row r="2150" spans="2:11" x14ac:dyDescent="0.35">
      <c r="B2150" s="149" t="s">
        <v>848</v>
      </c>
      <c r="C2150" s="6" t="s">
        <v>226</v>
      </c>
      <c r="D2150" s="6">
        <v>261.48249999999996</v>
      </c>
      <c r="E2150" s="6" t="s">
        <v>1074</v>
      </c>
      <c r="F2150" s="114">
        <v>65.998472826086953</v>
      </c>
      <c r="G2150" s="76" t="s">
        <v>40</v>
      </c>
      <c r="H2150" s="160">
        <v>1.0500000000007503E-2</v>
      </c>
      <c r="I2150" s="160">
        <v>-0.18229932289390799</v>
      </c>
      <c r="J2150" s="78">
        <v>10.205517861666522</v>
      </c>
      <c r="K2150" s="79">
        <v>-1.1540362513929949</v>
      </c>
    </row>
    <row r="2151" spans="2:11" x14ac:dyDescent="0.35">
      <c r="B2151" s="149" t="s">
        <v>848</v>
      </c>
      <c r="C2151" s="6" t="s">
        <v>226</v>
      </c>
      <c r="D2151" s="6">
        <v>261.5025</v>
      </c>
      <c r="E2151" s="6" t="s">
        <v>1074</v>
      </c>
      <c r="F2151" s="114">
        <v>66.00329891304348</v>
      </c>
      <c r="G2151" s="76" t="s">
        <v>40</v>
      </c>
      <c r="H2151" s="160">
        <v>8.3461538461477858E-3</v>
      </c>
      <c r="I2151" s="160">
        <v>-0.211532254916244</v>
      </c>
      <c r="J2151" s="78">
        <v>10.335782078940724</v>
      </c>
      <c r="K2151" s="79">
        <v>-1.0237720341187924</v>
      </c>
    </row>
    <row r="2152" spans="2:11" x14ac:dyDescent="0.35">
      <c r="B2152" s="149" t="s">
        <v>848</v>
      </c>
      <c r="C2152" s="6" t="s">
        <v>226</v>
      </c>
      <c r="D2152" s="6">
        <v>261.51249999999999</v>
      </c>
      <c r="E2152" s="6" t="s">
        <v>1074</v>
      </c>
      <c r="F2152" s="114">
        <v>66.00571195652175</v>
      </c>
      <c r="G2152" s="76" t="s">
        <v>40</v>
      </c>
      <c r="H2152" s="160">
        <v>7.2692307692250324E-3</v>
      </c>
      <c r="I2152" s="160">
        <v>-0.27326818693857902</v>
      </c>
      <c r="J2152" s="78">
        <v>10.611288673270508</v>
      </c>
      <c r="K2152" s="79">
        <v>-0.74826543978900872</v>
      </c>
    </row>
    <row r="2153" spans="2:11" x14ac:dyDescent="0.35">
      <c r="B2153" s="149" t="s">
        <v>848</v>
      </c>
      <c r="C2153" s="6" t="s">
        <v>226</v>
      </c>
      <c r="D2153" s="6">
        <v>261.52250000000004</v>
      </c>
      <c r="E2153" s="6" t="s">
        <v>1074</v>
      </c>
      <c r="F2153" s="114">
        <v>66.008125000000021</v>
      </c>
      <c r="G2153" s="76" t="s">
        <v>40</v>
      </c>
      <c r="H2153" s="160">
        <v>6.1923076923022791E-3</v>
      </c>
      <c r="I2153" s="160">
        <v>-0.282103118960915</v>
      </c>
      <c r="J2153" s="78">
        <v>10.650761188721049</v>
      </c>
      <c r="K2153" s="79">
        <v>-0.70879292433846786</v>
      </c>
    </row>
    <row r="2154" spans="2:11" x14ac:dyDescent="0.35">
      <c r="B2154" s="149" t="s">
        <v>848</v>
      </c>
      <c r="C2154" s="6" t="s">
        <v>226</v>
      </c>
      <c r="D2154" s="6">
        <v>261.53250000000003</v>
      </c>
      <c r="E2154" s="6" t="s">
        <v>1074</v>
      </c>
      <c r="F2154" s="114">
        <v>66.010538043478277</v>
      </c>
      <c r="G2154" s="76" t="s">
        <v>40</v>
      </c>
      <c r="H2154" s="160">
        <v>5.1153846153795257E-3</v>
      </c>
      <c r="I2154" s="160">
        <v>-0.29773705098324998</v>
      </c>
      <c r="J2154" s="78">
        <v>10.720637899077246</v>
      </c>
      <c r="K2154" s="79">
        <v>-0.63891621398227016</v>
      </c>
    </row>
    <row r="2155" spans="2:11" x14ac:dyDescent="0.35">
      <c r="B2155" s="149" t="s">
        <v>848</v>
      </c>
      <c r="C2155" s="6" t="s">
        <v>226</v>
      </c>
      <c r="D2155" s="6">
        <v>261.54250000000002</v>
      </c>
      <c r="E2155" s="6" t="s">
        <v>1074</v>
      </c>
      <c r="F2155" s="114">
        <v>66.012951086956534</v>
      </c>
      <c r="G2155" s="76" t="s">
        <v>40</v>
      </c>
      <c r="H2155" s="160">
        <v>4.0384615384567724E-3</v>
      </c>
      <c r="I2155" s="160">
        <v>-0.32569784705025701</v>
      </c>
      <c r="J2155" s="78">
        <v>10.845698767405338</v>
      </c>
      <c r="K2155" s="79">
        <v>-0.51385534565417856</v>
      </c>
    </row>
    <row r="2156" spans="2:11" x14ac:dyDescent="0.35">
      <c r="B2156" s="149" t="s">
        <v>848</v>
      </c>
      <c r="C2156" s="6" t="s">
        <v>226</v>
      </c>
      <c r="D2156" s="6">
        <v>261.55250000000001</v>
      </c>
      <c r="E2156" s="6" t="s">
        <v>1074</v>
      </c>
      <c r="F2156" s="114">
        <v>66.01536413043479</v>
      </c>
      <c r="G2156" s="76" t="s">
        <v>40</v>
      </c>
      <c r="H2156" s="160">
        <v>2.961538461534019E-3</v>
      </c>
      <c r="I2156" s="160">
        <v>-0.50103877907259198</v>
      </c>
      <c r="J2156" s="78">
        <v>11.632549370131471</v>
      </c>
      <c r="K2156" s="79">
        <v>0.27299525707195471</v>
      </c>
    </row>
    <row r="2157" spans="2:11" x14ac:dyDescent="0.35">
      <c r="B2157" s="149" t="s">
        <v>848</v>
      </c>
      <c r="C2157" s="6" t="s">
        <v>226</v>
      </c>
      <c r="D2157" s="6">
        <v>261.5625</v>
      </c>
      <c r="E2157" s="6" t="s">
        <v>1074</v>
      </c>
      <c r="F2157" s="114">
        <v>66.017777173913046</v>
      </c>
      <c r="G2157" s="76" t="s">
        <v>40</v>
      </c>
      <c r="H2157" s="160">
        <v>1.8846153846112657E-3</v>
      </c>
      <c r="I2157" s="160">
        <v>-0.439830711094928</v>
      </c>
      <c r="J2157" s="78">
        <v>11.357364731857501</v>
      </c>
      <c r="K2157" s="79">
        <v>-2.1893812020152836E-3</v>
      </c>
    </row>
    <row r="2158" spans="2:11" x14ac:dyDescent="0.35">
      <c r="B2158" s="149" t="s">
        <v>848</v>
      </c>
      <c r="C2158" s="6" t="s">
        <v>226</v>
      </c>
      <c r="D2158" s="6">
        <v>261.57249999999999</v>
      </c>
      <c r="E2158" s="6" t="s">
        <v>1074</v>
      </c>
      <c r="F2158" s="114">
        <v>66.020190217391317</v>
      </c>
      <c r="G2158" s="76" t="s">
        <v>40</v>
      </c>
      <c r="H2158" s="160">
        <v>8.076923076885123E-4</v>
      </c>
      <c r="I2158" s="160">
        <v>-0.439444643117263</v>
      </c>
      <c r="J2158" s="78">
        <v>11.355630754559456</v>
      </c>
      <c r="K2158" s="79">
        <v>-3.9233585000602034E-3</v>
      </c>
    </row>
    <row r="2159" spans="2:11" x14ac:dyDescent="0.35">
      <c r="B2159" s="149" t="s">
        <v>848</v>
      </c>
      <c r="C2159" s="6" t="s">
        <v>226</v>
      </c>
      <c r="D2159" s="6">
        <v>261.60249999999996</v>
      </c>
      <c r="E2159" s="6" t="s">
        <v>1074</v>
      </c>
      <c r="F2159" s="114">
        <v>66.025768749999983</v>
      </c>
      <c r="G2159" s="76" t="s">
        <v>40</v>
      </c>
      <c r="H2159" s="160">
        <v>-5.2499999999895408E-3</v>
      </c>
      <c r="I2159" s="160">
        <v>-0.37469857513959898</v>
      </c>
      <c r="J2159" s="78">
        <v>11.065139827902726</v>
      </c>
      <c r="K2159" s="79">
        <v>-0.29441428515679036</v>
      </c>
    </row>
    <row r="2160" spans="2:11" x14ac:dyDescent="0.35">
      <c r="B2160" s="149" t="s">
        <v>848</v>
      </c>
      <c r="C2160" s="6" t="s">
        <v>226</v>
      </c>
      <c r="D2160" s="6">
        <v>261.61250000000001</v>
      </c>
      <c r="E2160" s="6" t="s">
        <v>1074</v>
      </c>
      <c r="F2160" s="114">
        <v>66.027443749999989</v>
      </c>
      <c r="G2160" s="76" t="s">
        <v>40</v>
      </c>
      <c r="H2160" s="160">
        <v>-7.5833333333434894E-3</v>
      </c>
      <c r="I2160" s="160">
        <v>-0.37961450716193401</v>
      </c>
      <c r="J2160" s="78">
        <v>11.087174269834293</v>
      </c>
      <c r="K2160" s="79">
        <v>-0.27237984322522379</v>
      </c>
    </row>
    <row r="2161" spans="2:11" x14ac:dyDescent="0.35">
      <c r="B2161" s="149" t="s">
        <v>848</v>
      </c>
      <c r="C2161" s="6" t="s">
        <v>226</v>
      </c>
      <c r="D2161" s="6">
        <v>261.6225</v>
      </c>
      <c r="E2161" s="6" t="s">
        <v>1074</v>
      </c>
      <c r="F2161" s="114">
        <v>66.029112499999982</v>
      </c>
      <c r="G2161" s="76" t="s">
        <v>40</v>
      </c>
      <c r="H2161" s="160">
        <v>-9.9166666666690162E-3</v>
      </c>
      <c r="I2161" s="160">
        <v>-0.43803743918427002</v>
      </c>
      <c r="J2161" s="78">
        <v>11.349310654083524</v>
      </c>
      <c r="K2161" s="79">
        <v>-1.0243458975992326E-2</v>
      </c>
    </row>
    <row r="2162" spans="2:11" x14ac:dyDescent="0.35">
      <c r="B2162" s="149" t="s">
        <v>848</v>
      </c>
      <c r="C2162" s="6" t="s">
        <v>226</v>
      </c>
      <c r="D2162" s="6">
        <v>261.63249999999999</v>
      </c>
      <c r="E2162" s="6" t="s">
        <v>1074</v>
      </c>
      <c r="F2162" s="114">
        <v>66.03076249999998</v>
      </c>
      <c r="G2162" s="76" t="s">
        <v>40</v>
      </c>
      <c r="H2162" s="160">
        <v>-1.2249999999994543E-2</v>
      </c>
      <c r="I2162" s="160">
        <v>-0.33866837120660498</v>
      </c>
      <c r="J2162" s="78">
        <v>10.903750926986675</v>
      </c>
      <c r="K2162" s="79">
        <v>-0.45580318607284198</v>
      </c>
    </row>
    <row r="2163" spans="2:11" x14ac:dyDescent="0.35">
      <c r="B2163" s="149" t="s">
        <v>848</v>
      </c>
      <c r="C2163" s="6" t="s">
        <v>226</v>
      </c>
      <c r="D2163" s="6">
        <v>261.64250000000004</v>
      </c>
      <c r="E2163" s="6" t="s">
        <v>1074</v>
      </c>
      <c r="F2163" s="114">
        <v>66.032412499999992</v>
      </c>
      <c r="G2163" s="76" t="s">
        <v>40</v>
      </c>
      <c r="H2163" s="160">
        <v>-1.4583333333348492E-2</v>
      </c>
      <c r="I2163" s="160">
        <v>-0.42272330322894103</v>
      </c>
      <c r="J2163" s="78">
        <v>11.280549812593108</v>
      </c>
      <c r="K2163" s="79">
        <v>-7.9004300466408495E-2</v>
      </c>
    </row>
    <row r="2164" spans="2:11" x14ac:dyDescent="0.35">
      <c r="B2164" s="149" t="s">
        <v>848</v>
      </c>
      <c r="C2164" s="6" t="s">
        <v>226</v>
      </c>
      <c r="D2164" s="6">
        <v>261.65250000000003</v>
      </c>
      <c r="E2164" s="6" t="s">
        <v>1074</v>
      </c>
      <c r="F2164" s="114">
        <v>66.03406249999999</v>
      </c>
      <c r="G2164" s="76" t="s">
        <v>40</v>
      </c>
      <c r="H2164" s="160">
        <v>-1.6916666666674018E-2</v>
      </c>
      <c r="I2164" s="160">
        <v>-0.44258023525127599</v>
      </c>
      <c r="J2164" s="78">
        <v>11.369714515395117</v>
      </c>
      <c r="K2164" s="79">
        <v>1.0160402335600338E-2</v>
      </c>
    </row>
    <row r="2165" spans="2:11" x14ac:dyDescent="0.35">
      <c r="B2165" s="149" t="s">
        <v>848</v>
      </c>
      <c r="C2165" s="6" t="s">
        <v>226</v>
      </c>
      <c r="D2165" s="6">
        <v>261.66250000000002</v>
      </c>
      <c r="E2165" s="6" t="s">
        <v>1074</v>
      </c>
      <c r="F2165" s="114">
        <v>66.035718749999987</v>
      </c>
      <c r="G2165" s="76" t="s">
        <v>40</v>
      </c>
      <c r="H2165" s="160">
        <v>-1.9250000000013756E-2</v>
      </c>
      <c r="I2165" s="160">
        <v>-0.440318167273612</v>
      </c>
      <c r="J2165" s="78">
        <v>11.359554113059517</v>
      </c>
      <c r="K2165" s="79">
        <v>0</v>
      </c>
    </row>
    <row r="2166" spans="2:11" x14ac:dyDescent="0.35">
      <c r="B2166" s="149" t="s">
        <v>848</v>
      </c>
      <c r="C2166" s="6" t="s">
        <v>226</v>
      </c>
      <c r="D2166" s="6">
        <v>261.67250000000001</v>
      </c>
      <c r="E2166" s="6" t="s">
        <v>1074</v>
      </c>
      <c r="F2166" s="114">
        <v>66.037393749999993</v>
      </c>
      <c r="G2166" s="76" t="s">
        <v>40</v>
      </c>
      <c r="H2166" s="160">
        <v>-2.1583333333339283E-2</v>
      </c>
      <c r="I2166" s="160">
        <v>-0.43493509929594698</v>
      </c>
      <c r="J2166" s="78">
        <v>11.335378302563754</v>
      </c>
      <c r="K2166" s="79">
        <v>-2.4175810495762562E-2</v>
      </c>
    </row>
    <row r="2167" spans="2:11" x14ac:dyDescent="0.35">
      <c r="B2167" s="149" t="s">
        <v>848</v>
      </c>
      <c r="C2167" s="6" t="s">
        <v>226</v>
      </c>
      <c r="D2167" s="6">
        <v>261.6825</v>
      </c>
      <c r="E2167" s="6" t="s">
        <v>1074</v>
      </c>
      <c r="F2167" s="114">
        <v>66.039068749999984</v>
      </c>
      <c r="G2167" s="76" t="s">
        <v>40</v>
      </c>
      <c r="H2167" s="160">
        <v>-2.391666666666481E-2</v>
      </c>
      <c r="I2167" s="160">
        <v>-0.44288803131828303</v>
      </c>
      <c r="J2167" s="78">
        <v>11.371097083385337</v>
      </c>
      <c r="K2167" s="79">
        <v>1.1542970325820079E-2</v>
      </c>
    </row>
    <row r="2168" spans="2:11" x14ac:dyDescent="0.35">
      <c r="B2168" s="149" t="s">
        <v>848</v>
      </c>
      <c r="C2168" s="6" t="s">
        <v>226</v>
      </c>
      <c r="D2168" s="6">
        <v>261.70249999999999</v>
      </c>
      <c r="E2168" s="6" t="s">
        <v>1074</v>
      </c>
      <c r="F2168" s="114">
        <v>66.042418749999982</v>
      </c>
      <c r="G2168" s="76" t="s">
        <v>40</v>
      </c>
      <c r="H2168" s="160">
        <v>-2.8583333333330074E-2</v>
      </c>
      <c r="I2168" s="160">
        <v>-0.35640189536295402</v>
      </c>
      <c r="J2168" s="78">
        <v>10.983160476737851</v>
      </c>
      <c r="K2168" s="79">
        <v>-0.37639363632166578</v>
      </c>
    </row>
    <row r="2169" spans="2:11" x14ac:dyDescent="0.35">
      <c r="B2169" s="149" t="s">
        <v>848</v>
      </c>
      <c r="C2169" s="6" t="s">
        <v>226</v>
      </c>
      <c r="D2169" s="6">
        <v>261.71249999999998</v>
      </c>
      <c r="E2169" s="6" t="s">
        <v>1074</v>
      </c>
      <c r="F2169" s="114">
        <v>66.044093749999988</v>
      </c>
      <c r="G2169" s="76" t="s">
        <v>40</v>
      </c>
      <c r="H2169" s="160">
        <v>-3.0916666666669812E-2</v>
      </c>
      <c r="I2169" s="160">
        <v>-0.26176265168539598</v>
      </c>
      <c r="J2169" s="78">
        <v>10.559901475272511</v>
      </c>
      <c r="K2169" s="79">
        <v>-0.79965263778700546</v>
      </c>
    </row>
    <row r="2170" spans="2:11" x14ac:dyDescent="0.35">
      <c r="B2170" s="149" t="s">
        <v>848</v>
      </c>
      <c r="C2170" s="6" t="s">
        <v>226</v>
      </c>
      <c r="D2170" s="6">
        <v>261.72249999999997</v>
      </c>
      <c r="E2170" s="6" t="s">
        <v>1074</v>
      </c>
      <c r="F2170" s="114">
        <v>66.045768749999993</v>
      </c>
      <c r="G2170" s="76" t="s">
        <v>40</v>
      </c>
      <c r="H2170" s="160">
        <v>-3.3249999999995339E-2</v>
      </c>
      <c r="I2170" s="160">
        <v>-0.32301785393258697</v>
      </c>
      <c r="J2170" s="78">
        <v>10.833706977029578</v>
      </c>
      <c r="K2170" s="79">
        <v>-0.52584713602993816</v>
      </c>
    </row>
    <row r="2171" spans="2:11" x14ac:dyDescent="0.35">
      <c r="B2171" s="149" t="s">
        <v>848</v>
      </c>
      <c r="C2171" s="6" t="s">
        <v>226</v>
      </c>
      <c r="D2171" s="6">
        <v>261.73249999999996</v>
      </c>
      <c r="E2171" s="6" t="s">
        <v>1074</v>
      </c>
      <c r="F2171" s="114">
        <v>66.047443749999985</v>
      </c>
      <c r="G2171" s="76" t="s">
        <v>40</v>
      </c>
      <c r="H2171" s="160">
        <v>-3.5583333333320866E-2</v>
      </c>
      <c r="I2171" s="160">
        <v>-0.353466056179778</v>
      </c>
      <c r="J2171" s="78">
        <v>10.970010818860544</v>
      </c>
      <c r="K2171" s="79">
        <v>-0.38954329419897249</v>
      </c>
    </row>
    <row r="2172" spans="2:11" x14ac:dyDescent="0.35">
      <c r="B2172" s="149" t="s">
        <v>848</v>
      </c>
      <c r="C2172" s="6" t="s">
        <v>226</v>
      </c>
      <c r="D2172" s="6">
        <v>261.74250000000001</v>
      </c>
      <c r="E2172" s="6" t="s">
        <v>1074</v>
      </c>
      <c r="F2172" s="114">
        <v>66.049116666666663</v>
      </c>
      <c r="G2172" s="76" t="s">
        <v>40</v>
      </c>
      <c r="H2172" s="160">
        <v>-3.7916666666674814E-2</v>
      </c>
      <c r="I2172" s="160">
        <v>-0.39693125842696902</v>
      </c>
      <c r="J2172" s="78">
        <v>11.164820383839242</v>
      </c>
      <c r="K2172" s="79">
        <v>-0.19473372922027465</v>
      </c>
    </row>
    <row r="2173" spans="2:11" x14ac:dyDescent="0.35">
      <c r="B2173" s="149" t="s">
        <v>848</v>
      </c>
      <c r="C2173" s="6" t="s">
        <v>226</v>
      </c>
      <c r="D2173" s="6">
        <v>261.7525</v>
      </c>
      <c r="E2173" s="6" t="s">
        <v>1074</v>
      </c>
      <c r="F2173" s="114">
        <v>66.050783333333328</v>
      </c>
      <c r="G2173" s="76" t="s">
        <v>40</v>
      </c>
      <c r="H2173" s="160">
        <v>-4.0250000000000341E-2</v>
      </c>
      <c r="I2173" s="160">
        <v>-0.40500146067415999</v>
      </c>
      <c r="J2173" s="78">
        <v>11.201021099402453</v>
      </c>
      <c r="K2173" s="79">
        <v>-0.15853301365706329</v>
      </c>
    </row>
    <row r="2174" spans="2:11" x14ac:dyDescent="0.35">
      <c r="B2174" s="149" t="s">
        <v>848</v>
      </c>
      <c r="C2174" s="6" t="s">
        <v>226</v>
      </c>
      <c r="D2174" s="6">
        <v>261.76249999999999</v>
      </c>
      <c r="E2174" s="6" t="s">
        <v>1074</v>
      </c>
      <c r="F2174" s="114">
        <v>66.052449999999993</v>
      </c>
      <c r="G2174" s="76" t="s">
        <v>40</v>
      </c>
      <c r="H2174" s="160">
        <v>-4.2583333333325868E-2</v>
      </c>
      <c r="I2174" s="160">
        <v>-0.32196666292135101</v>
      </c>
      <c r="J2174" s="78">
        <v>10.829003644918998</v>
      </c>
      <c r="K2174" s="79">
        <v>-0.53055046814051821</v>
      </c>
    </row>
    <row r="2175" spans="2:11" x14ac:dyDescent="0.35">
      <c r="B2175" s="149" t="s">
        <v>848</v>
      </c>
      <c r="C2175" s="6" t="s">
        <v>226</v>
      </c>
      <c r="D2175" s="6">
        <v>261.77250000000004</v>
      </c>
      <c r="E2175" s="6" t="s">
        <v>1074</v>
      </c>
      <c r="F2175" s="114">
        <v>66.054116666666673</v>
      </c>
      <c r="G2175" s="76" t="s">
        <v>40</v>
      </c>
      <c r="H2175" s="160">
        <v>-4.4916666666679816E-2</v>
      </c>
      <c r="I2175" s="160">
        <v>-0.35098986516854203</v>
      </c>
      <c r="J2175" s="78">
        <v>10.958920906687126</v>
      </c>
      <c r="K2175" s="79">
        <v>-0.4006332063723903</v>
      </c>
    </row>
    <row r="2176" spans="2:11" x14ac:dyDescent="0.35">
      <c r="B2176" s="149" t="s">
        <v>848</v>
      </c>
      <c r="C2176" s="6" t="s">
        <v>226</v>
      </c>
      <c r="D2176" s="6">
        <v>261.78250000000003</v>
      </c>
      <c r="E2176" s="6" t="s">
        <v>1074</v>
      </c>
      <c r="F2176" s="114">
        <v>66.055783333333338</v>
      </c>
      <c r="G2176" s="76" t="s">
        <v>40</v>
      </c>
      <c r="H2176" s="160">
        <v>-4.7250000000005343E-2</v>
      </c>
      <c r="I2176" s="160">
        <v>-0.47574206741573299</v>
      </c>
      <c r="J2176" s="78">
        <v>11.518751621207969</v>
      </c>
      <c r="K2176" s="79">
        <v>0.15919750814845202</v>
      </c>
    </row>
    <row r="2177" spans="2:11" x14ac:dyDescent="0.35">
      <c r="B2177" s="149" t="s">
        <v>848</v>
      </c>
      <c r="C2177" s="6" t="s">
        <v>226</v>
      </c>
      <c r="D2177" s="6">
        <v>261.79250000000002</v>
      </c>
      <c r="E2177" s="6" t="s">
        <v>1074</v>
      </c>
      <c r="F2177" s="114">
        <v>66.057450000000003</v>
      </c>
      <c r="G2177" s="76" t="s">
        <v>40</v>
      </c>
      <c r="H2177" s="160">
        <v>-4.9583333333345081E-2</v>
      </c>
      <c r="I2177" s="160">
        <v>-0.43655626966292399</v>
      </c>
      <c r="J2177" s="78">
        <v>11.342658668802642</v>
      </c>
      <c r="K2177" s="79">
        <v>-1.6895444256874725E-2</v>
      </c>
    </row>
    <row r="2178" spans="2:11" x14ac:dyDescent="0.35">
      <c r="B2178" s="149" t="s">
        <v>848</v>
      </c>
      <c r="C2178" s="6" t="s">
        <v>226</v>
      </c>
      <c r="D2178" s="6">
        <v>261.80250000000001</v>
      </c>
      <c r="E2178" s="6" t="s">
        <v>1074</v>
      </c>
      <c r="F2178" s="114">
        <v>66.059116666666654</v>
      </c>
      <c r="G2178" s="76" t="s">
        <v>40</v>
      </c>
      <c r="H2178" s="160">
        <v>-5.1916666666670608E-2</v>
      </c>
      <c r="I2178" s="160">
        <v>-0.40596547191011501</v>
      </c>
      <c r="J2178" s="78">
        <v>11.205346025530162</v>
      </c>
      <c r="K2178" s="79">
        <v>-0.154208087529355</v>
      </c>
    </row>
    <row r="2179" spans="2:11" x14ac:dyDescent="0.35">
      <c r="B2179" s="149" t="s">
        <v>848</v>
      </c>
      <c r="C2179" s="6" t="s">
        <v>226</v>
      </c>
      <c r="D2179" s="6">
        <v>261.8125</v>
      </c>
      <c r="E2179" s="6" t="s">
        <v>1074</v>
      </c>
      <c r="F2179" s="114">
        <v>66.060783333333319</v>
      </c>
      <c r="G2179" s="76" t="s">
        <v>40</v>
      </c>
      <c r="H2179" s="160">
        <v>-5.4249999999996135E-2</v>
      </c>
      <c r="I2179" s="160">
        <v>-0.36262467415730598</v>
      </c>
      <c r="J2179" s="78">
        <v>11.011036527676197</v>
      </c>
      <c r="K2179" s="79">
        <v>-0.34851758538331978</v>
      </c>
    </row>
    <row r="2180" spans="2:11" x14ac:dyDescent="0.35">
      <c r="B2180" s="149" t="s">
        <v>848</v>
      </c>
      <c r="C2180" s="6" t="s">
        <v>226</v>
      </c>
      <c r="D2180" s="6">
        <v>261.82249999999999</v>
      </c>
      <c r="E2180" s="6" t="s">
        <v>1074</v>
      </c>
      <c r="F2180" s="114">
        <v>66.062449999999984</v>
      </c>
      <c r="G2180" s="76" t="s">
        <v>40</v>
      </c>
      <c r="H2180" s="160">
        <v>-5.6583333333335872E-2</v>
      </c>
      <c r="I2180" s="160">
        <v>-0.43678087640449698</v>
      </c>
      <c r="J2180" s="78">
        <v>11.343667365067176</v>
      </c>
      <c r="K2180" s="79">
        <v>-1.5886747992340133E-2</v>
      </c>
    </row>
    <row r="2181" spans="2:11" x14ac:dyDescent="0.35">
      <c r="B2181" s="149" t="s">
        <v>848</v>
      </c>
      <c r="C2181" s="6" t="s">
        <v>226</v>
      </c>
      <c r="D2181" s="6">
        <v>261.83249999999998</v>
      </c>
      <c r="E2181" s="6" t="s">
        <v>1074</v>
      </c>
      <c r="F2181" s="114">
        <v>66.064116666666649</v>
      </c>
      <c r="G2181" s="76" t="s">
        <v>40</v>
      </c>
      <c r="H2181" s="160">
        <v>-5.8916666666661399E-2</v>
      </c>
      <c r="I2181" s="160">
        <v>-0.50061107865168797</v>
      </c>
      <c r="J2181" s="78">
        <v>11.630624571404383</v>
      </c>
      <c r="K2181" s="79">
        <v>0.27107045834486598</v>
      </c>
    </row>
    <row r="2182" spans="2:11" x14ac:dyDescent="0.35">
      <c r="B2182" s="149" t="s">
        <v>848</v>
      </c>
      <c r="C2182" s="6" t="s">
        <v>226</v>
      </c>
      <c r="D2182" s="6">
        <v>261.84249999999997</v>
      </c>
      <c r="E2182" s="6" t="s">
        <v>1074</v>
      </c>
      <c r="F2182" s="114">
        <v>66.065783333333314</v>
      </c>
      <c r="G2182" s="76" t="s">
        <v>40</v>
      </c>
      <c r="H2182" s="160">
        <v>-6.1250000000001137E-2</v>
      </c>
      <c r="I2182" s="160">
        <v>-0.52403428089887905</v>
      </c>
      <c r="J2182" s="78">
        <v>11.736076556572925</v>
      </c>
      <c r="K2182" s="79">
        <v>0.37652244351340869</v>
      </c>
    </row>
    <row r="2183" spans="2:11" x14ac:dyDescent="0.35">
      <c r="B2183" s="149" t="s">
        <v>848</v>
      </c>
      <c r="C2183" s="6" t="s">
        <v>226</v>
      </c>
      <c r="D2183" s="6">
        <v>261.85249999999996</v>
      </c>
      <c r="E2183" s="6" t="s">
        <v>1074</v>
      </c>
      <c r="F2183" s="114">
        <v>66.06744999999998</v>
      </c>
      <c r="G2183" s="76" t="s">
        <v>40</v>
      </c>
      <c r="H2183" s="160">
        <v>-6.3583333333326664E-2</v>
      </c>
      <c r="I2183" s="160">
        <v>-0.52041048314606997</v>
      </c>
      <c r="J2183" s="78">
        <v>11.719756838528554</v>
      </c>
      <c r="K2183" s="79">
        <v>0.36020272546903698</v>
      </c>
    </row>
    <row r="2184" spans="2:11" x14ac:dyDescent="0.35">
      <c r="B2184" s="149" t="s">
        <v>848</v>
      </c>
      <c r="C2184" s="6" t="s">
        <v>226</v>
      </c>
      <c r="D2184" s="6">
        <v>261.86250000000001</v>
      </c>
      <c r="E2184" s="6" t="s">
        <v>1074</v>
      </c>
      <c r="F2184" s="114">
        <v>66.069112499999989</v>
      </c>
      <c r="G2184" s="76" t="s">
        <v>40</v>
      </c>
      <c r="H2184" s="160">
        <v>-6.5916666666666401E-2</v>
      </c>
      <c r="I2184" s="160">
        <v>-0.50784508988764299</v>
      </c>
      <c r="J2184" s="78">
        <v>11.663183718336938</v>
      </c>
      <c r="K2184" s="79">
        <v>0.30362960527742189</v>
      </c>
    </row>
    <row r="2185" spans="2:11" x14ac:dyDescent="0.35">
      <c r="B2185" s="149" t="s">
        <v>848</v>
      </c>
      <c r="C2185" s="6" t="s">
        <v>226</v>
      </c>
      <c r="D2185" s="6">
        <v>261.8725</v>
      </c>
      <c r="E2185" s="6" t="s">
        <v>1074</v>
      </c>
      <c r="F2185" s="114">
        <v>66.070762500000001</v>
      </c>
      <c r="G2185" s="76" t="s">
        <v>40</v>
      </c>
      <c r="H2185" s="160">
        <v>-6.8250000000006139E-2</v>
      </c>
      <c r="I2185" s="160">
        <v>-0.54589929213483401</v>
      </c>
      <c r="J2185" s="78">
        <v>11.834586250315965</v>
      </c>
      <c r="K2185" s="79">
        <v>0.47503213725644855</v>
      </c>
    </row>
    <row r="2186" spans="2:11" x14ac:dyDescent="0.35">
      <c r="B2186" s="149" t="s">
        <v>848</v>
      </c>
      <c r="C2186" s="6" t="s">
        <v>226</v>
      </c>
      <c r="D2186" s="6">
        <v>261.88249999999999</v>
      </c>
      <c r="E2186" s="6" t="s">
        <v>1074</v>
      </c>
      <c r="F2186" s="114">
        <v>66.072412499999999</v>
      </c>
      <c r="G2186" s="76" t="s">
        <v>40</v>
      </c>
      <c r="H2186" s="160">
        <v>-7.0583333333331666E-2</v>
      </c>
      <c r="I2186" s="160">
        <v>-0.52024449438202502</v>
      </c>
      <c r="J2186" s="78">
        <v>11.719009356854883</v>
      </c>
      <c r="K2186" s="79">
        <v>0.35945524379536664</v>
      </c>
    </row>
    <row r="2187" spans="2:11" x14ac:dyDescent="0.35">
      <c r="B2187" s="149" t="s">
        <v>848</v>
      </c>
      <c r="C2187" s="6" t="s">
        <v>226</v>
      </c>
      <c r="D2187" s="6">
        <v>261.89250000000004</v>
      </c>
      <c r="E2187" s="6" t="s">
        <v>1074</v>
      </c>
      <c r="F2187" s="114">
        <v>66.074062500000011</v>
      </c>
      <c r="G2187" s="76" t="s">
        <v>40</v>
      </c>
      <c r="H2187" s="160">
        <v>-7.2916666666671404E-2</v>
      </c>
      <c r="I2187" s="160">
        <v>-0.44955269662921599</v>
      </c>
      <c r="J2187" s="78">
        <v>11.401037035377954</v>
      </c>
      <c r="K2187" s="79">
        <v>4.1482922318436977E-2</v>
      </c>
    </row>
    <row r="2188" spans="2:11" x14ac:dyDescent="0.35">
      <c r="B2188" s="149" t="s">
        <v>848</v>
      </c>
      <c r="C2188" s="6" t="s">
        <v>226</v>
      </c>
      <c r="D2188" s="6">
        <v>261.90250000000003</v>
      </c>
      <c r="E2188" s="6" t="s">
        <v>1074</v>
      </c>
      <c r="F2188" s="114">
        <v>66.075718750000007</v>
      </c>
      <c r="G2188" s="76" t="s">
        <v>40</v>
      </c>
      <c r="H2188" s="160">
        <v>-7.5250000000011141E-2</v>
      </c>
      <c r="I2188" s="160">
        <v>-0.45397389887640699</v>
      </c>
      <c r="J2188" s="78">
        <v>11.420902172237334</v>
      </c>
      <c r="K2188" s="79">
        <v>6.1348059177817049E-2</v>
      </c>
    </row>
    <row r="2189" spans="2:11" x14ac:dyDescent="0.35">
      <c r="B2189" s="149" t="s">
        <v>848</v>
      </c>
      <c r="C2189" s="6" t="s">
        <v>226</v>
      </c>
      <c r="D2189" s="6">
        <v>261.91250000000002</v>
      </c>
      <c r="E2189" s="6" t="s">
        <v>1074</v>
      </c>
      <c r="F2189" s="114">
        <v>66.077393749999999</v>
      </c>
      <c r="G2189" s="76" t="s">
        <v>40</v>
      </c>
      <c r="H2189" s="160">
        <v>-7.7583333333336668E-2</v>
      </c>
      <c r="I2189" s="160">
        <v>-0.41521410112359802</v>
      </c>
      <c r="J2189" s="78">
        <v>11.24684584126345</v>
      </c>
      <c r="K2189" s="79">
        <v>-0.11270827179606613</v>
      </c>
    </row>
    <row r="2190" spans="2:11" x14ac:dyDescent="0.35">
      <c r="B2190" s="149" t="s">
        <v>848</v>
      </c>
      <c r="C2190" s="6" t="s">
        <v>226</v>
      </c>
      <c r="D2190" s="6">
        <v>261.92250000000001</v>
      </c>
      <c r="E2190" s="6" t="s">
        <v>1074</v>
      </c>
      <c r="F2190" s="114">
        <v>66.079068750000005</v>
      </c>
      <c r="G2190" s="76" t="s">
        <v>40</v>
      </c>
      <c r="H2190" s="160">
        <v>-7.9916666666676406E-2</v>
      </c>
      <c r="I2190" s="160">
        <v>-0.52135430337078903</v>
      </c>
      <c r="J2190" s="78">
        <v>11.724007132776705</v>
      </c>
      <c r="K2190" s="79">
        <v>0.36445301971718891</v>
      </c>
    </row>
    <row r="2191" spans="2:11" x14ac:dyDescent="0.35">
      <c r="B2191" s="149" t="s">
        <v>848</v>
      </c>
      <c r="C2191" s="6" t="s">
        <v>226</v>
      </c>
      <c r="D2191" s="6">
        <v>261.9325</v>
      </c>
      <c r="E2191" s="6" t="s">
        <v>1074</v>
      </c>
      <c r="F2191" s="114">
        <v>66.080743749999996</v>
      </c>
      <c r="G2191" s="76" t="s">
        <v>40</v>
      </c>
      <c r="H2191" s="160">
        <v>-8.2250000000001933E-2</v>
      </c>
      <c r="I2191" s="160">
        <v>-0.44300950561798003</v>
      </c>
      <c r="J2191" s="78">
        <v>11.371642729255768</v>
      </c>
      <c r="K2191" s="79">
        <v>1.2088616196251678E-2</v>
      </c>
    </row>
    <row r="2192" spans="2:11" x14ac:dyDescent="0.35">
      <c r="B2192" s="149" t="s">
        <v>848</v>
      </c>
      <c r="C2192" s="6" t="s">
        <v>226</v>
      </c>
      <c r="D2192" s="6">
        <v>261.9425</v>
      </c>
      <c r="E2192" s="6" t="s">
        <v>1074</v>
      </c>
      <c r="F2192" s="114">
        <v>66.08241249999999</v>
      </c>
      <c r="G2192" s="76" t="s">
        <v>40</v>
      </c>
      <c r="H2192" s="160">
        <v>-8.458333333332746E-2</v>
      </c>
      <c r="I2192" s="160">
        <v>-0.60174470786517098</v>
      </c>
      <c r="J2192" s="78">
        <v>12.086509102670618</v>
      </c>
      <c r="K2192" s="79">
        <v>0.72695498961110161</v>
      </c>
    </row>
    <row r="2193" spans="2:11" x14ac:dyDescent="0.35">
      <c r="B2193" s="149" t="s">
        <v>848</v>
      </c>
      <c r="C2193" s="6" t="s">
        <v>226</v>
      </c>
      <c r="D2193" s="6">
        <v>261.95249999999999</v>
      </c>
      <c r="E2193" s="6" t="s">
        <v>1074</v>
      </c>
      <c r="F2193" s="114">
        <v>66.084062500000002</v>
      </c>
      <c r="G2193" s="76" t="s">
        <v>40</v>
      </c>
      <c r="H2193" s="160">
        <v>-8.6916666666667197E-2</v>
      </c>
      <c r="I2193" s="160">
        <v>-0.52927391011236202</v>
      </c>
      <c r="J2193" s="78">
        <v>11.759676558326873</v>
      </c>
      <c r="K2193" s="79">
        <v>0.40012244526735685</v>
      </c>
    </row>
    <row r="2194" spans="2:11" x14ac:dyDescent="0.35">
      <c r="B2194" s="183" t="s">
        <v>848</v>
      </c>
      <c r="C2194" s="10" t="s">
        <v>226</v>
      </c>
      <c r="D2194" s="10">
        <v>261.96249999999998</v>
      </c>
      <c r="E2194" s="10" t="s">
        <v>1074</v>
      </c>
      <c r="F2194" s="136">
        <v>66.085724999999996</v>
      </c>
      <c r="G2194" s="184" t="s">
        <v>40</v>
      </c>
      <c r="H2194" s="185">
        <v>-8.9249999999992724E-2</v>
      </c>
      <c r="I2194" s="185">
        <v>-0.58601011235955303</v>
      </c>
      <c r="J2194" s="186">
        <v>12.015482683660025</v>
      </c>
      <c r="K2194" s="187">
        <v>0.65592857060050846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ABC4-948E-46CF-B885-A9DE9A64FD95}">
  <dimension ref="A1:I688"/>
  <sheetViews>
    <sheetView workbookViewId="0">
      <selection activeCell="H1" sqref="H1"/>
    </sheetView>
  </sheetViews>
  <sheetFormatPr defaultRowHeight="15.5" x14ac:dyDescent="0.35"/>
  <cols>
    <col min="1" max="1" width="10" bestFit="1" customWidth="1"/>
    <col min="2" max="2" width="18.83203125" style="4" customWidth="1"/>
    <col min="3" max="3" width="17.1640625" style="4" bestFit="1" customWidth="1"/>
    <col min="4" max="4" width="17.1640625" style="4" customWidth="1"/>
    <col min="5" max="5" width="23" style="4" bestFit="1" customWidth="1"/>
    <col min="6" max="6" width="11.83203125" style="4" bestFit="1" customWidth="1"/>
    <col min="7" max="7" width="32.5" style="4" bestFit="1" customWidth="1"/>
    <col min="8" max="8" width="24.1640625" style="4" bestFit="1" customWidth="1"/>
    <col min="9" max="9" width="13.33203125" style="4" bestFit="1" customWidth="1"/>
  </cols>
  <sheetData>
    <row r="1" spans="1:9" x14ac:dyDescent="0.35">
      <c r="A1" t="s">
        <v>1378</v>
      </c>
      <c r="B1" s="11" t="s">
        <v>0</v>
      </c>
      <c r="C1" s="12" t="s">
        <v>5</v>
      </c>
      <c r="D1" s="12" t="s">
        <v>6</v>
      </c>
      <c r="E1" s="12" t="s">
        <v>16</v>
      </c>
      <c r="F1" s="12" t="s">
        <v>8</v>
      </c>
      <c r="G1" s="12" t="s">
        <v>20</v>
      </c>
      <c r="H1" s="12" t="s">
        <v>21</v>
      </c>
      <c r="I1" s="12" t="s">
        <v>12</v>
      </c>
    </row>
    <row r="2" spans="1:9" x14ac:dyDescent="0.35">
      <c r="A2" t="s">
        <v>1386</v>
      </c>
      <c r="B2" s="20" t="s">
        <v>35</v>
      </c>
      <c r="C2" s="33">
        <v>68.549637169999997</v>
      </c>
      <c r="D2" s="27" t="s">
        <v>27</v>
      </c>
      <c r="E2" s="33">
        <v>-2.5096371699999906</v>
      </c>
      <c r="F2" s="34" t="s">
        <v>36</v>
      </c>
      <c r="G2" s="35">
        <v>7.5910603910000001</v>
      </c>
      <c r="H2" s="35">
        <v>1.7271125899999999</v>
      </c>
      <c r="I2" s="36">
        <v>-1.1131181630000002</v>
      </c>
    </row>
    <row r="3" spans="1:9" x14ac:dyDescent="0.35">
      <c r="A3" t="s">
        <v>1386</v>
      </c>
      <c r="B3" s="17" t="s">
        <v>35</v>
      </c>
      <c r="C3" s="69">
        <v>68.067548290000005</v>
      </c>
      <c r="D3" s="61" t="s">
        <v>27</v>
      </c>
      <c r="E3" s="69">
        <v>-2.0275482899999986</v>
      </c>
      <c r="F3" s="70" t="s">
        <v>36</v>
      </c>
      <c r="G3" s="71">
        <v>7.3671479370000004</v>
      </c>
      <c r="H3" s="71">
        <v>1.960557651</v>
      </c>
      <c r="I3" s="72">
        <v>-1.3370306169999999</v>
      </c>
    </row>
    <row r="4" spans="1:9" x14ac:dyDescent="0.35">
      <c r="A4" t="s">
        <v>1386</v>
      </c>
      <c r="B4" s="17" t="s">
        <v>35</v>
      </c>
      <c r="C4" s="69">
        <v>67.865394769999995</v>
      </c>
      <c r="D4" s="61" t="s">
        <v>27</v>
      </c>
      <c r="E4" s="69">
        <v>-1.8253947699999884</v>
      </c>
      <c r="F4" s="70" t="s">
        <v>36</v>
      </c>
      <c r="G4" s="71">
        <v>6.303850722</v>
      </c>
      <c r="H4" s="71">
        <v>0.60350800900000001</v>
      </c>
      <c r="I4" s="72">
        <v>-2.4003278320000003</v>
      </c>
    </row>
    <row r="5" spans="1:9" x14ac:dyDescent="0.35">
      <c r="A5" t="s">
        <v>1386</v>
      </c>
      <c r="B5" s="17" t="s">
        <v>35</v>
      </c>
      <c r="C5" s="69">
        <v>67.826519099999999</v>
      </c>
      <c r="D5" s="61" t="s">
        <v>27</v>
      </c>
      <c r="E5" s="69">
        <v>-1.7865190999999925</v>
      </c>
      <c r="F5" s="70" t="s">
        <v>36</v>
      </c>
      <c r="G5" s="71">
        <v>9.2822237639999994</v>
      </c>
      <c r="H5" s="71">
        <v>8.2093223000000007E-2</v>
      </c>
      <c r="I5" s="72">
        <v>0.57804520999999909</v>
      </c>
    </row>
    <row r="6" spans="1:9" x14ac:dyDescent="0.35">
      <c r="A6" t="s">
        <v>1386</v>
      </c>
      <c r="B6" s="17" t="s">
        <v>35</v>
      </c>
      <c r="C6" s="69">
        <v>67.372159640000007</v>
      </c>
      <c r="D6" s="61" t="s">
        <v>27</v>
      </c>
      <c r="E6" s="69">
        <v>-1.3321596400000004</v>
      </c>
      <c r="F6" s="70" t="s">
        <v>36</v>
      </c>
      <c r="G6" s="71">
        <v>10.420969830000001</v>
      </c>
      <c r="H6" s="71">
        <v>2.1716272010000002</v>
      </c>
      <c r="I6" s="72">
        <v>1.7167912760000004</v>
      </c>
    </row>
    <row r="7" spans="1:9" x14ac:dyDescent="0.35">
      <c r="A7" t="s">
        <v>1386</v>
      </c>
      <c r="B7" s="17" t="s">
        <v>35</v>
      </c>
      <c r="C7" s="69">
        <v>67.236094769999994</v>
      </c>
      <c r="D7" s="61" t="s">
        <v>27</v>
      </c>
      <c r="E7" s="69">
        <v>-1.1960947699999878</v>
      </c>
      <c r="F7" s="70" t="s">
        <v>36</v>
      </c>
      <c r="G7" s="71">
        <v>6.6765772429999997</v>
      </c>
      <c r="H7" s="71" t="s">
        <v>61</v>
      </c>
      <c r="I7" s="72">
        <v>-2.0276013110000006</v>
      </c>
    </row>
    <row r="8" spans="1:9" x14ac:dyDescent="0.35">
      <c r="A8" t="s">
        <v>1386</v>
      </c>
      <c r="B8" s="17" t="s">
        <v>35</v>
      </c>
      <c r="C8" s="69">
        <v>67.112664499999994</v>
      </c>
      <c r="D8" s="61" t="s">
        <v>27</v>
      </c>
      <c r="E8" s="69">
        <v>-1.0726644999999877</v>
      </c>
      <c r="F8" s="70" t="s">
        <v>36</v>
      </c>
      <c r="G8" s="71">
        <v>7.4273690940000003</v>
      </c>
      <c r="H8" s="71">
        <v>4.0794073839999996</v>
      </c>
      <c r="I8" s="72">
        <v>-1.27680946</v>
      </c>
    </row>
    <row r="9" spans="1:9" x14ac:dyDescent="0.35">
      <c r="A9" t="s">
        <v>1386</v>
      </c>
      <c r="B9" s="17" t="s">
        <v>35</v>
      </c>
      <c r="C9" s="69">
        <v>66.452749909999994</v>
      </c>
      <c r="D9" s="61" t="s">
        <v>27</v>
      </c>
      <c r="E9" s="69">
        <v>-0.41274990999998806</v>
      </c>
      <c r="F9" s="70" t="s">
        <v>36</v>
      </c>
      <c r="G9" s="71">
        <v>7.942800912</v>
      </c>
      <c r="H9" s="71">
        <v>5.1054315670000001</v>
      </c>
      <c r="I9" s="72">
        <v>-0.76137764200000024</v>
      </c>
    </row>
    <row r="10" spans="1:9" x14ac:dyDescent="0.35">
      <c r="A10" t="s">
        <v>1386</v>
      </c>
      <c r="B10" s="17" t="s">
        <v>35</v>
      </c>
      <c r="C10" s="69">
        <v>66.266463349999995</v>
      </c>
      <c r="D10" s="61" t="s">
        <v>27</v>
      </c>
      <c r="E10" s="69">
        <v>-0.22646334999998885</v>
      </c>
      <c r="F10" s="70" t="s">
        <v>36</v>
      </c>
      <c r="G10" s="71">
        <v>9.6815659539999999</v>
      </c>
      <c r="H10" s="71">
        <v>4.2252740629999996</v>
      </c>
      <c r="I10" s="72">
        <v>0.97738739999999957</v>
      </c>
    </row>
    <row r="11" spans="1:9" x14ac:dyDescent="0.35">
      <c r="A11" t="s">
        <v>1386</v>
      </c>
      <c r="B11" s="17" t="s">
        <v>35</v>
      </c>
      <c r="C11" s="69">
        <v>66.200371039999993</v>
      </c>
      <c r="D11" s="61" t="s">
        <v>27</v>
      </c>
      <c r="E11" s="69">
        <v>-0.16037103999998692</v>
      </c>
      <c r="F11" s="70" t="s">
        <v>36</v>
      </c>
      <c r="G11" s="71">
        <v>8.8828656610000003</v>
      </c>
      <c r="H11" s="71">
        <v>7.9322363149999999</v>
      </c>
      <c r="I11" s="72">
        <v>0.17868710700000001</v>
      </c>
    </row>
    <row r="12" spans="1:9" x14ac:dyDescent="0.35">
      <c r="A12" t="s">
        <v>1386</v>
      </c>
      <c r="B12" s="17" t="s">
        <v>35</v>
      </c>
      <c r="C12" s="69">
        <v>66.053364250000001</v>
      </c>
      <c r="D12" s="61" t="s">
        <v>27</v>
      </c>
      <c r="E12" s="69">
        <v>-1.3364249999995081E-2</v>
      </c>
      <c r="F12" s="70" t="s">
        <v>36</v>
      </c>
      <c r="G12" s="71">
        <v>8.7041785540000003</v>
      </c>
      <c r="H12" s="71">
        <v>2.123015901</v>
      </c>
      <c r="I12" s="72">
        <v>0</v>
      </c>
    </row>
    <row r="13" spans="1:9" x14ac:dyDescent="0.35">
      <c r="A13" t="s">
        <v>1386</v>
      </c>
      <c r="B13" s="17" t="s">
        <v>35</v>
      </c>
      <c r="C13" s="69">
        <v>65.962127370000005</v>
      </c>
      <c r="D13" s="61" t="s">
        <v>27</v>
      </c>
      <c r="E13" s="69">
        <v>7.7872630000001664E-2</v>
      </c>
      <c r="F13" s="70" t="s">
        <v>36</v>
      </c>
      <c r="G13" s="71">
        <v>8.5772123709999999</v>
      </c>
      <c r="H13" s="71">
        <v>0.78188429100000001</v>
      </c>
      <c r="I13" s="72">
        <v>-0.1269661830000004</v>
      </c>
    </row>
    <row r="14" spans="1:9" x14ac:dyDescent="0.35">
      <c r="A14" t="s">
        <v>1386</v>
      </c>
      <c r="B14" s="17" t="s">
        <v>35</v>
      </c>
      <c r="C14" s="69">
        <v>65.899003350000001</v>
      </c>
      <c r="D14" s="61" t="s">
        <v>27</v>
      </c>
      <c r="E14" s="69">
        <v>0.14099665000000527</v>
      </c>
      <c r="F14" s="70" t="s">
        <v>36</v>
      </c>
      <c r="G14" s="71">
        <v>14.42645128</v>
      </c>
      <c r="H14" s="71">
        <v>7.2960387459999998</v>
      </c>
      <c r="I14" s="72">
        <v>5.7222727259999999</v>
      </c>
    </row>
    <row r="15" spans="1:9" x14ac:dyDescent="0.35">
      <c r="A15" t="s">
        <v>1386</v>
      </c>
      <c r="B15" s="17" t="s">
        <v>35</v>
      </c>
      <c r="C15" s="69">
        <v>65.845908379999997</v>
      </c>
      <c r="D15" s="61" t="s">
        <v>27</v>
      </c>
      <c r="E15" s="69">
        <v>0.1940916200000089</v>
      </c>
      <c r="F15" s="70" t="s">
        <v>36</v>
      </c>
      <c r="G15" s="71">
        <v>10.787884180000001</v>
      </c>
      <c r="H15" s="71" t="s">
        <v>61</v>
      </c>
      <c r="I15" s="72">
        <v>2.0837056260000004</v>
      </c>
    </row>
    <row r="16" spans="1:9" x14ac:dyDescent="0.35">
      <c r="A16" t="s">
        <v>1386</v>
      </c>
      <c r="B16" s="17" t="s">
        <v>35</v>
      </c>
      <c r="C16" s="69">
        <v>65.783374300000006</v>
      </c>
      <c r="D16" s="61" t="s">
        <v>27</v>
      </c>
      <c r="E16" s="69">
        <v>0.25662570000000073</v>
      </c>
      <c r="F16" s="70" t="s">
        <v>36</v>
      </c>
      <c r="G16" s="71">
        <v>10.452654020000001</v>
      </c>
      <c r="H16" s="71">
        <v>1.9440716840000001</v>
      </c>
      <c r="I16" s="72">
        <v>1.7484754660000004</v>
      </c>
    </row>
    <row r="17" spans="1:9" x14ac:dyDescent="0.35">
      <c r="A17" t="s">
        <v>1386</v>
      </c>
      <c r="B17" s="17" t="s">
        <v>35</v>
      </c>
      <c r="C17" s="69">
        <v>65.720840219999999</v>
      </c>
      <c r="D17" s="61" t="s">
        <v>27</v>
      </c>
      <c r="E17" s="69">
        <v>0.31915978000000678</v>
      </c>
      <c r="F17" s="70" t="s">
        <v>36</v>
      </c>
      <c r="G17" s="71">
        <v>7.1628207120000003</v>
      </c>
      <c r="H17" s="71">
        <v>2.0214682860000002</v>
      </c>
      <c r="I17" s="72">
        <v>-1.541357842</v>
      </c>
    </row>
    <row r="18" spans="1:9" x14ac:dyDescent="0.35">
      <c r="A18" t="s">
        <v>1386</v>
      </c>
      <c r="B18" s="17" t="s">
        <v>35</v>
      </c>
      <c r="C18" s="69">
        <v>65.668335200000001</v>
      </c>
      <c r="D18" s="61" t="s">
        <v>27</v>
      </c>
      <c r="E18" s="69">
        <v>0.3716648000000049</v>
      </c>
      <c r="F18" s="70" t="s">
        <v>36</v>
      </c>
      <c r="G18" s="71">
        <v>5.9446014720000004</v>
      </c>
      <c r="H18" s="71" t="s">
        <v>61</v>
      </c>
      <c r="I18" s="99">
        <v>-2.7595770819999998</v>
      </c>
    </row>
    <row r="19" spans="1:9" x14ac:dyDescent="0.35">
      <c r="A19" t="s">
        <v>1386</v>
      </c>
      <c r="B19" s="17" t="s">
        <v>35</v>
      </c>
      <c r="C19" s="69">
        <v>68.549637168141601</v>
      </c>
      <c r="D19" s="61" t="s">
        <v>27</v>
      </c>
      <c r="E19" s="69">
        <v>-2.5096371681415945</v>
      </c>
      <c r="F19" s="5" t="s">
        <v>93</v>
      </c>
      <c r="G19" s="71">
        <v>5.4751440420000002</v>
      </c>
      <c r="H19" s="71">
        <v>0.20406150787844418</v>
      </c>
      <c r="I19" s="100">
        <v>-4.5007360592499985</v>
      </c>
    </row>
    <row r="20" spans="1:9" x14ac:dyDescent="0.35">
      <c r="A20" t="s">
        <v>1386</v>
      </c>
      <c r="B20" s="17" t="s">
        <v>35</v>
      </c>
      <c r="C20" s="69">
        <v>68.427778761061944</v>
      </c>
      <c r="D20" s="61" t="s">
        <v>27</v>
      </c>
      <c r="E20" s="69">
        <v>-2.3877787610619379</v>
      </c>
      <c r="F20" s="5" t="s">
        <v>93</v>
      </c>
      <c r="G20" s="71">
        <v>4.5904763155000001</v>
      </c>
      <c r="H20" s="71">
        <v>0.94527517056075483</v>
      </c>
      <c r="I20" s="100">
        <v>-5.3854037857499986</v>
      </c>
    </row>
    <row r="21" spans="1:9" x14ac:dyDescent="0.35">
      <c r="A21" t="s">
        <v>1386</v>
      </c>
      <c r="B21" s="17" t="s">
        <v>35</v>
      </c>
      <c r="C21" s="69">
        <v>68.379035398230087</v>
      </c>
      <c r="D21" s="61" t="s">
        <v>27</v>
      </c>
      <c r="E21" s="69">
        <v>-2.3390353982300809</v>
      </c>
      <c r="F21" s="5" t="s">
        <v>93</v>
      </c>
      <c r="G21" s="71">
        <v>5.592385191</v>
      </c>
      <c r="H21" s="71">
        <v>0.55670905726837083</v>
      </c>
      <c r="I21" s="100">
        <v>-4.3834949102499987</v>
      </c>
    </row>
    <row r="22" spans="1:9" x14ac:dyDescent="0.35">
      <c r="A22" t="s">
        <v>1386</v>
      </c>
      <c r="B22" s="17" t="s">
        <v>35</v>
      </c>
      <c r="C22" s="69">
        <v>67.818258018018014</v>
      </c>
      <c r="D22" s="61" t="s">
        <v>27</v>
      </c>
      <c r="E22" s="69">
        <v>-1.7782580180180076</v>
      </c>
      <c r="F22" s="5" t="s">
        <v>93</v>
      </c>
      <c r="G22" s="71">
        <v>4.081213942333334</v>
      </c>
      <c r="H22" s="71">
        <v>1.1561479034189164</v>
      </c>
      <c r="I22" s="100">
        <v>-5.8946661589166647</v>
      </c>
    </row>
    <row r="23" spans="1:9" x14ac:dyDescent="0.35">
      <c r="A23" t="s">
        <v>1386</v>
      </c>
      <c r="B23" s="17" t="s">
        <v>35</v>
      </c>
      <c r="C23" s="69">
        <v>67.646233153153148</v>
      </c>
      <c r="D23" s="61" t="s">
        <v>27</v>
      </c>
      <c r="E23" s="69">
        <v>-1.6062331531531413</v>
      </c>
      <c r="F23" s="5" t="s">
        <v>93</v>
      </c>
      <c r="G23" s="71">
        <v>9.2324945446666664</v>
      </c>
      <c r="H23" s="71">
        <v>7.7733512298051135</v>
      </c>
      <c r="I23" s="100">
        <v>-0.74338555658333227</v>
      </c>
    </row>
    <row r="24" spans="1:9" x14ac:dyDescent="0.35">
      <c r="A24" t="s">
        <v>1386</v>
      </c>
      <c r="B24" s="17" t="s">
        <v>35</v>
      </c>
      <c r="C24" s="69">
        <v>67.318705585585576</v>
      </c>
      <c r="D24" s="61" t="s">
        <v>27</v>
      </c>
      <c r="E24" s="69">
        <v>-1.2787055855855698</v>
      </c>
      <c r="F24" s="5" t="s">
        <v>93</v>
      </c>
      <c r="G24" s="71">
        <v>9.2937295973333338</v>
      </c>
      <c r="H24" s="71">
        <v>2.5702483021791069</v>
      </c>
      <c r="I24" s="100">
        <v>-0.68215050391666487</v>
      </c>
    </row>
    <row r="25" spans="1:9" x14ac:dyDescent="0.35">
      <c r="A25" t="s">
        <v>1386</v>
      </c>
      <c r="B25" s="17" t="s">
        <v>35</v>
      </c>
      <c r="C25" s="69">
        <v>66.993121801801806</v>
      </c>
      <c r="D25" s="61" t="s">
        <v>27</v>
      </c>
      <c r="E25" s="69">
        <v>-0.95312180180179951</v>
      </c>
      <c r="F25" s="5" t="s">
        <v>93</v>
      </c>
      <c r="G25" s="71">
        <v>7.2233556672000008</v>
      </c>
      <c r="H25" s="71">
        <v>2.8206354960696638</v>
      </c>
      <c r="I25" s="100">
        <v>-2.7525244340499979</v>
      </c>
    </row>
    <row r="26" spans="1:9" x14ac:dyDescent="0.35">
      <c r="A26" t="s">
        <v>1386</v>
      </c>
      <c r="B26" s="17" t="s">
        <v>35</v>
      </c>
      <c r="C26" s="69">
        <v>66.856085045045035</v>
      </c>
      <c r="D26" s="61" t="s">
        <v>27</v>
      </c>
      <c r="E26" s="69">
        <v>-0.81608504504502832</v>
      </c>
      <c r="F26" s="5" t="s">
        <v>93</v>
      </c>
      <c r="G26" s="71">
        <v>7.2344588685999982</v>
      </c>
      <c r="H26" s="71">
        <v>1.2937021481586792</v>
      </c>
      <c r="I26" s="100">
        <v>-2.7414212326500005</v>
      </c>
    </row>
    <row r="27" spans="1:9" x14ac:dyDescent="0.35">
      <c r="A27" t="s">
        <v>1386</v>
      </c>
      <c r="B27" s="17" t="s">
        <v>35</v>
      </c>
      <c r="C27" s="69">
        <v>66.840534774774767</v>
      </c>
      <c r="D27" s="61" t="s">
        <v>27</v>
      </c>
      <c r="E27" s="69">
        <v>-0.80053477477476065</v>
      </c>
      <c r="F27" s="5" t="s">
        <v>93</v>
      </c>
      <c r="G27" s="71">
        <v>9.3759125794999996</v>
      </c>
      <c r="H27" s="71">
        <v>5.3382230203412098</v>
      </c>
      <c r="I27" s="100">
        <v>-0.59996752174999912</v>
      </c>
    </row>
    <row r="28" spans="1:9" x14ac:dyDescent="0.35">
      <c r="A28" t="s">
        <v>1386</v>
      </c>
      <c r="B28" s="17" t="s">
        <v>35</v>
      </c>
      <c r="C28" s="69">
        <v>66.733626666666666</v>
      </c>
      <c r="D28" s="61" t="s">
        <v>27</v>
      </c>
      <c r="E28" s="69">
        <v>-0.69362666666665973</v>
      </c>
      <c r="F28" s="5" t="s">
        <v>93</v>
      </c>
      <c r="G28" s="71">
        <v>7.6491260529999998</v>
      </c>
      <c r="H28" s="71">
        <v>5.2796818915177308</v>
      </c>
      <c r="I28" s="100">
        <v>-2.3267540482499989</v>
      </c>
    </row>
    <row r="29" spans="1:9" x14ac:dyDescent="0.35">
      <c r="A29" t="s">
        <v>1386</v>
      </c>
      <c r="B29" s="17" t="s">
        <v>35</v>
      </c>
      <c r="C29" s="69">
        <v>66.630606126126125</v>
      </c>
      <c r="D29" s="61" t="s">
        <v>27</v>
      </c>
      <c r="E29" s="69">
        <v>-0.59060612612611862</v>
      </c>
      <c r="F29" s="5" t="s">
        <v>93</v>
      </c>
      <c r="G29" s="71">
        <v>7.1656337029999992</v>
      </c>
      <c r="H29" s="71">
        <v>0.22299787719003819</v>
      </c>
      <c r="I29" s="100">
        <v>-2.8102463982499994</v>
      </c>
    </row>
    <row r="30" spans="1:9" x14ac:dyDescent="0.35">
      <c r="A30" t="s">
        <v>1386</v>
      </c>
      <c r="B30" s="17" t="s">
        <v>35</v>
      </c>
      <c r="C30" s="69">
        <v>66.533416936936931</v>
      </c>
      <c r="D30" s="61" t="s">
        <v>27</v>
      </c>
      <c r="E30" s="69">
        <v>-0.49341693693692434</v>
      </c>
      <c r="F30" s="5" t="s">
        <v>93</v>
      </c>
      <c r="G30" s="71">
        <v>7.7852807347142852</v>
      </c>
      <c r="H30" s="71">
        <v>3.9817630000321413</v>
      </c>
      <c r="I30" s="100">
        <v>-2.1905993665357135</v>
      </c>
    </row>
    <row r="31" spans="1:9" x14ac:dyDescent="0.35">
      <c r="A31" t="s">
        <v>1386</v>
      </c>
      <c r="B31" s="17" t="s">
        <v>35</v>
      </c>
      <c r="C31" s="69">
        <v>66.452749909909912</v>
      </c>
      <c r="D31" s="61" t="s">
        <v>27</v>
      </c>
      <c r="E31" s="69">
        <v>-0.41274990990990545</v>
      </c>
      <c r="F31" s="5" t="s">
        <v>93</v>
      </c>
      <c r="G31" s="71">
        <v>7.6151981202499996</v>
      </c>
      <c r="H31" s="71">
        <v>1.5935208851430849</v>
      </c>
      <c r="I31" s="100">
        <v>-2.360681980999999</v>
      </c>
    </row>
    <row r="32" spans="1:9" x14ac:dyDescent="0.35">
      <c r="A32" t="s">
        <v>1386</v>
      </c>
      <c r="B32" s="17" t="s">
        <v>35</v>
      </c>
      <c r="C32" s="69">
        <v>66.418733693693696</v>
      </c>
      <c r="D32" s="61" t="s">
        <v>27</v>
      </c>
      <c r="E32" s="69">
        <v>-0.37873369369368959</v>
      </c>
      <c r="F32" s="5" t="s">
        <v>93</v>
      </c>
      <c r="G32" s="71">
        <v>7.868877216833333</v>
      </c>
      <c r="H32" s="71">
        <v>0.56766661241082328</v>
      </c>
      <c r="I32" s="100">
        <v>-2.1070028844166657</v>
      </c>
    </row>
    <row r="33" spans="1:9" x14ac:dyDescent="0.35">
      <c r="A33" t="s">
        <v>1386</v>
      </c>
      <c r="B33" s="17" t="s">
        <v>35</v>
      </c>
      <c r="C33" s="69">
        <v>66.368517647058823</v>
      </c>
      <c r="D33" s="61" t="s">
        <v>27</v>
      </c>
      <c r="E33" s="69">
        <v>-0.32851764705881692</v>
      </c>
      <c r="F33" s="5" t="s">
        <v>93</v>
      </c>
      <c r="G33" s="71">
        <v>7.4028716708125009</v>
      </c>
      <c r="H33" s="71">
        <v>5.0092083263418736</v>
      </c>
      <c r="I33" s="100">
        <v>-2.5730084304374978</v>
      </c>
    </row>
    <row r="34" spans="1:9" x14ac:dyDescent="0.35">
      <c r="A34" t="s">
        <v>1386</v>
      </c>
      <c r="B34" s="17" t="s">
        <v>35</v>
      </c>
      <c r="C34" s="69">
        <v>66.334499547511314</v>
      </c>
      <c r="D34" s="61" t="s">
        <v>27</v>
      </c>
      <c r="E34" s="69">
        <v>-0.29449954751130747</v>
      </c>
      <c r="F34" s="5" t="s">
        <v>93</v>
      </c>
      <c r="G34" s="71">
        <v>8.2191918705999996</v>
      </c>
      <c r="H34" s="71">
        <v>3.4618535720519565</v>
      </c>
      <c r="I34" s="100">
        <v>-1.7566882306499991</v>
      </c>
    </row>
    <row r="35" spans="1:9" x14ac:dyDescent="0.35">
      <c r="A35" t="s">
        <v>1386</v>
      </c>
      <c r="B35" s="17" t="s">
        <v>35</v>
      </c>
      <c r="C35" s="69">
        <v>66.266463348416295</v>
      </c>
      <c r="D35" s="61" t="s">
        <v>27</v>
      </c>
      <c r="E35" s="69">
        <v>-0.22646334841628857</v>
      </c>
      <c r="F35" s="5" t="s">
        <v>93</v>
      </c>
      <c r="G35" s="71">
        <v>6.498413584833334</v>
      </c>
      <c r="H35" s="71">
        <v>1.1413555500352937</v>
      </c>
      <c r="I35" s="100">
        <v>-3.4774665164166647</v>
      </c>
    </row>
    <row r="36" spans="1:9" x14ac:dyDescent="0.35">
      <c r="A36" t="s">
        <v>1386</v>
      </c>
      <c r="B36" s="17" t="s">
        <v>35</v>
      </c>
      <c r="C36" s="69">
        <v>66.237304977375572</v>
      </c>
      <c r="D36" s="61" t="s">
        <v>27</v>
      </c>
      <c r="E36" s="69">
        <v>-0.19730497737556618</v>
      </c>
      <c r="F36" s="5" t="s">
        <v>93</v>
      </c>
      <c r="G36" s="71">
        <v>7.6120656482857143</v>
      </c>
      <c r="H36" s="71">
        <v>1.8845014527718147</v>
      </c>
      <c r="I36" s="100">
        <v>-2.3638144529642844</v>
      </c>
    </row>
    <row r="37" spans="1:9" x14ac:dyDescent="0.35">
      <c r="A37" t="s">
        <v>1386</v>
      </c>
      <c r="B37" s="17" t="s">
        <v>35</v>
      </c>
      <c r="C37" s="69">
        <v>66.157119457013579</v>
      </c>
      <c r="D37" s="61" t="s">
        <v>27</v>
      </c>
      <c r="E37" s="69">
        <v>-0.11711945701357251</v>
      </c>
      <c r="F37" s="5" t="s">
        <v>93</v>
      </c>
      <c r="G37" s="71">
        <v>12.421270012499999</v>
      </c>
      <c r="H37" s="71">
        <v>3.6176962979946055</v>
      </c>
      <c r="I37" s="100">
        <v>2.4453899112500004</v>
      </c>
    </row>
    <row r="38" spans="1:9" x14ac:dyDescent="0.35">
      <c r="A38" t="s">
        <v>1386</v>
      </c>
      <c r="B38" s="17" t="s">
        <v>35</v>
      </c>
      <c r="C38" s="69">
        <v>66.035870391061465</v>
      </c>
      <c r="D38" s="61" t="s">
        <v>27</v>
      </c>
      <c r="E38" s="69">
        <v>4.129608938541196E-3</v>
      </c>
      <c r="F38" s="5" t="s">
        <v>93</v>
      </c>
      <c r="G38" s="71">
        <v>9.9758801012499987</v>
      </c>
      <c r="H38" s="71">
        <v>1.31047020219869</v>
      </c>
      <c r="I38" s="100">
        <v>0</v>
      </c>
    </row>
    <row r="39" spans="1:9" x14ac:dyDescent="0.35">
      <c r="A39" t="s">
        <v>1386</v>
      </c>
      <c r="B39" s="102" t="s">
        <v>35</v>
      </c>
      <c r="C39" s="125">
        <v>65.720840223463696</v>
      </c>
      <c r="D39" s="104" t="s">
        <v>27</v>
      </c>
      <c r="E39" s="125">
        <v>0.31915977653630989</v>
      </c>
      <c r="F39" s="9" t="s">
        <v>93</v>
      </c>
      <c r="G39" s="126">
        <v>8.6810137335000004</v>
      </c>
      <c r="H39" s="126">
        <v>0.9822586283708159</v>
      </c>
      <c r="I39" s="127">
        <v>-1.2948663677499983</v>
      </c>
    </row>
    <row r="40" spans="1:9" x14ac:dyDescent="0.35">
      <c r="B40" s="107"/>
      <c r="D40" s="7"/>
      <c r="I40" s="7"/>
    </row>
    <row r="41" spans="1:9" x14ac:dyDescent="0.35">
      <c r="B41" s="107"/>
      <c r="I41" s="7"/>
    </row>
    <row r="42" spans="1:9" x14ac:dyDescent="0.35">
      <c r="B42" s="107"/>
    </row>
    <row r="43" spans="1:9" x14ac:dyDescent="0.35">
      <c r="B43" s="107"/>
    </row>
    <row r="44" spans="1:9" x14ac:dyDescent="0.35">
      <c r="B44" s="107"/>
    </row>
    <row r="45" spans="1:9" x14ac:dyDescent="0.35">
      <c r="B45" s="107"/>
    </row>
    <row r="46" spans="1:9" x14ac:dyDescent="0.35">
      <c r="B46" s="107"/>
    </row>
    <row r="47" spans="1:9" x14ac:dyDescent="0.35">
      <c r="B47" s="107"/>
    </row>
    <row r="48" spans="1:9" x14ac:dyDescent="0.35">
      <c r="B48" s="107"/>
    </row>
    <row r="49" spans="2:2" x14ac:dyDescent="0.35">
      <c r="B49" s="107"/>
    </row>
    <row r="50" spans="2:2" x14ac:dyDescent="0.35">
      <c r="B50" s="107"/>
    </row>
    <row r="51" spans="2:2" x14ac:dyDescent="0.35">
      <c r="B51" s="107"/>
    </row>
    <row r="52" spans="2:2" x14ac:dyDescent="0.35">
      <c r="B52" s="107"/>
    </row>
    <row r="53" spans="2:2" x14ac:dyDescent="0.35">
      <c r="B53" s="107"/>
    </row>
    <row r="54" spans="2:2" x14ac:dyDescent="0.35">
      <c r="B54" s="107"/>
    </row>
    <row r="55" spans="2:2" x14ac:dyDescent="0.35">
      <c r="B55" s="107"/>
    </row>
    <row r="56" spans="2:2" x14ac:dyDescent="0.35">
      <c r="B56" s="107"/>
    </row>
    <row r="57" spans="2:2" x14ac:dyDescent="0.35">
      <c r="B57" s="107"/>
    </row>
    <row r="58" spans="2:2" x14ac:dyDescent="0.35">
      <c r="B58" s="107"/>
    </row>
    <row r="59" spans="2:2" x14ac:dyDescent="0.35">
      <c r="B59" s="107"/>
    </row>
    <row r="60" spans="2:2" x14ac:dyDescent="0.35">
      <c r="B60" s="107"/>
    </row>
    <row r="61" spans="2:2" x14ac:dyDescent="0.35">
      <c r="B61" s="107"/>
    </row>
    <row r="62" spans="2:2" x14ac:dyDescent="0.35">
      <c r="B62" s="107"/>
    </row>
    <row r="63" spans="2:2" x14ac:dyDescent="0.35">
      <c r="B63" s="107"/>
    </row>
    <row r="64" spans="2:2" x14ac:dyDescent="0.35">
      <c r="B64" s="107"/>
    </row>
    <row r="65" spans="2:2" x14ac:dyDescent="0.35">
      <c r="B65" s="107"/>
    </row>
    <row r="66" spans="2:2" x14ac:dyDescent="0.35">
      <c r="B66" s="107"/>
    </row>
    <row r="67" spans="2:2" x14ac:dyDescent="0.35">
      <c r="B67" s="107"/>
    </row>
    <row r="68" spans="2:2" x14ac:dyDescent="0.35">
      <c r="B68" s="107"/>
    </row>
    <row r="69" spans="2:2" x14ac:dyDescent="0.35">
      <c r="B69" s="107"/>
    </row>
    <row r="70" spans="2:2" x14ac:dyDescent="0.35">
      <c r="B70" s="107"/>
    </row>
    <row r="71" spans="2:2" x14ac:dyDescent="0.35">
      <c r="B71" s="107"/>
    </row>
    <row r="72" spans="2:2" x14ac:dyDescent="0.35">
      <c r="B72" s="107"/>
    </row>
    <row r="73" spans="2:2" x14ac:dyDescent="0.35">
      <c r="B73" s="107"/>
    </row>
    <row r="74" spans="2:2" x14ac:dyDescent="0.35">
      <c r="B74" s="107"/>
    </row>
    <row r="75" spans="2:2" x14ac:dyDescent="0.35">
      <c r="B75" s="107"/>
    </row>
    <row r="76" spans="2:2" x14ac:dyDescent="0.35">
      <c r="B76" s="107"/>
    </row>
    <row r="77" spans="2:2" x14ac:dyDescent="0.35">
      <c r="B77" s="107"/>
    </row>
    <row r="78" spans="2:2" x14ac:dyDescent="0.35">
      <c r="B78" s="107"/>
    </row>
    <row r="79" spans="2:2" x14ac:dyDescent="0.35">
      <c r="B79" s="107"/>
    </row>
    <row r="80" spans="2:2" x14ac:dyDescent="0.35">
      <c r="B80" s="107"/>
    </row>
    <row r="81" spans="2:2" x14ac:dyDescent="0.35">
      <c r="B81" s="107"/>
    </row>
    <row r="82" spans="2:2" x14ac:dyDescent="0.35">
      <c r="B82" s="107"/>
    </row>
    <row r="83" spans="2:2" x14ac:dyDescent="0.35">
      <c r="B83" s="107"/>
    </row>
    <row r="84" spans="2:2" x14ac:dyDescent="0.35">
      <c r="B84" s="107"/>
    </row>
    <row r="85" spans="2:2" x14ac:dyDescent="0.35">
      <c r="B85" s="107"/>
    </row>
    <row r="86" spans="2:2" x14ac:dyDescent="0.35">
      <c r="B86" s="107"/>
    </row>
    <row r="87" spans="2:2" x14ac:dyDescent="0.35">
      <c r="B87" s="107"/>
    </row>
    <row r="88" spans="2:2" x14ac:dyDescent="0.35">
      <c r="B88" s="107"/>
    </row>
    <row r="89" spans="2:2" x14ac:dyDescent="0.35">
      <c r="B89" s="107"/>
    </row>
    <row r="90" spans="2:2" x14ac:dyDescent="0.35">
      <c r="B90" s="107"/>
    </row>
    <row r="91" spans="2:2" x14ac:dyDescent="0.35">
      <c r="B91" s="107"/>
    </row>
    <row r="92" spans="2:2" x14ac:dyDescent="0.35">
      <c r="B92" s="107"/>
    </row>
    <row r="93" spans="2:2" x14ac:dyDescent="0.35">
      <c r="B93" s="107"/>
    </row>
    <row r="94" spans="2:2" x14ac:dyDescent="0.35">
      <c r="B94" s="107"/>
    </row>
    <row r="95" spans="2:2" x14ac:dyDescent="0.35">
      <c r="B95" s="107"/>
    </row>
    <row r="96" spans="2:2" x14ac:dyDescent="0.35">
      <c r="B96" s="107"/>
    </row>
    <row r="97" spans="2:2" x14ac:dyDescent="0.35">
      <c r="B97" s="107"/>
    </row>
    <row r="98" spans="2:2" x14ac:dyDescent="0.35">
      <c r="B98" s="107"/>
    </row>
    <row r="99" spans="2:2" x14ac:dyDescent="0.35">
      <c r="B99" s="107"/>
    </row>
    <row r="100" spans="2:2" x14ac:dyDescent="0.35">
      <c r="B100" s="107"/>
    </row>
    <row r="101" spans="2:2" x14ac:dyDescent="0.35">
      <c r="B101" s="107"/>
    </row>
    <row r="102" spans="2:2" x14ac:dyDescent="0.35">
      <c r="B102" s="107"/>
    </row>
    <row r="103" spans="2:2" x14ac:dyDescent="0.35">
      <c r="B103" s="107"/>
    </row>
    <row r="104" spans="2:2" x14ac:dyDescent="0.35">
      <c r="B104" s="107"/>
    </row>
    <row r="105" spans="2:2" x14ac:dyDescent="0.35">
      <c r="B105" s="107"/>
    </row>
    <row r="106" spans="2:2" x14ac:dyDescent="0.35">
      <c r="B106" s="107"/>
    </row>
    <row r="107" spans="2:2" x14ac:dyDescent="0.35">
      <c r="B107" s="107"/>
    </row>
    <row r="108" spans="2:2" x14ac:dyDescent="0.35">
      <c r="B108" s="107"/>
    </row>
    <row r="109" spans="2:2" x14ac:dyDescent="0.35">
      <c r="B109" s="107"/>
    </row>
    <row r="110" spans="2:2" x14ac:dyDescent="0.35">
      <c r="B110" s="107"/>
    </row>
    <row r="111" spans="2:2" x14ac:dyDescent="0.35">
      <c r="B111" s="107"/>
    </row>
    <row r="112" spans="2:2" x14ac:dyDescent="0.35">
      <c r="B112" s="107"/>
    </row>
    <row r="113" spans="2:2" x14ac:dyDescent="0.35">
      <c r="B113" s="107"/>
    </row>
    <row r="114" spans="2:2" x14ac:dyDescent="0.35">
      <c r="B114" s="107"/>
    </row>
    <row r="115" spans="2:2" x14ac:dyDescent="0.35">
      <c r="B115" s="107"/>
    </row>
    <row r="116" spans="2:2" x14ac:dyDescent="0.35">
      <c r="B116" s="107"/>
    </row>
    <row r="117" spans="2:2" x14ac:dyDescent="0.35">
      <c r="B117" s="107"/>
    </row>
    <row r="118" spans="2:2" x14ac:dyDescent="0.35">
      <c r="B118" s="107"/>
    </row>
    <row r="119" spans="2:2" x14ac:dyDescent="0.35">
      <c r="B119" s="107"/>
    </row>
    <row r="120" spans="2:2" x14ac:dyDescent="0.35">
      <c r="B120" s="107"/>
    </row>
    <row r="121" spans="2:2" x14ac:dyDescent="0.35">
      <c r="B121" s="107"/>
    </row>
    <row r="122" spans="2:2" x14ac:dyDescent="0.35">
      <c r="B122" s="107"/>
    </row>
    <row r="123" spans="2:2" x14ac:dyDescent="0.35">
      <c r="B123" s="107"/>
    </row>
    <row r="124" spans="2:2" x14ac:dyDescent="0.35">
      <c r="B124" s="107"/>
    </row>
    <row r="125" spans="2:2" x14ac:dyDescent="0.35">
      <c r="B125" s="107"/>
    </row>
    <row r="126" spans="2:2" x14ac:dyDescent="0.35">
      <c r="B126" s="107"/>
    </row>
    <row r="127" spans="2:2" x14ac:dyDescent="0.35">
      <c r="B127" s="107"/>
    </row>
    <row r="128" spans="2:2" x14ac:dyDescent="0.35">
      <c r="B128" s="107"/>
    </row>
    <row r="129" spans="2:2" x14ac:dyDescent="0.35">
      <c r="B129" s="107"/>
    </row>
    <row r="130" spans="2:2" x14ac:dyDescent="0.35">
      <c r="B130" s="107"/>
    </row>
    <row r="131" spans="2:2" x14ac:dyDescent="0.35">
      <c r="B131" s="107"/>
    </row>
    <row r="132" spans="2:2" x14ac:dyDescent="0.35">
      <c r="B132" s="107"/>
    </row>
    <row r="133" spans="2:2" x14ac:dyDescent="0.35">
      <c r="B133" s="107"/>
    </row>
    <row r="134" spans="2:2" x14ac:dyDescent="0.35">
      <c r="B134" s="107"/>
    </row>
    <row r="135" spans="2:2" x14ac:dyDescent="0.35">
      <c r="B135" s="107"/>
    </row>
    <row r="136" spans="2:2" x14ac:dyDescent="0.35">
      <c r="B136" s="107"/>
    </row>
    <row r="137" spans="2:2" x14ac:dyDescent="0.35">
      <c r="B137" s="107"/>
    </row>
    <row r="138" spans="2:2" x14ac:dyDescent="0.35">
      <c r="B138" s="107"/>
    </row>
    <row r="139" spans="2:2" x14ac:dyDescent="0.35">
      <c r="B139" s="107"/>
    </row>
    <row r="140" spans="2:2" x14ac:dyDescent="0.35">
      <c r="B140" s="107"/>
    </row>
    <row r="141" spans="2:2" x14ac:dyDescent="0.35">
      <c r="B141" s="107"/>
    </row>
    <row r="142" spans="2:2" x14ac:dyDescent="0.35">
      <c r="B142" s="107"/>
    </row>
    <row r="143" spans="2:2" x14ac:dyDescent="0.35">
      <c r="B143" s="107"/>
    </row>
    <row r="144" spans="2:2" x14ac:dyDescent="0.35">
      <c r="B144" s="107"/>
    </row>
    <row r="145" spans="2:2" x14ac:dyDescent="0.35">
      <c r="B145" s="107"/>
    </row>
    <row r="146" spans="2:2" x14ac:dyDescent="0.35">
      <c r="B146" s="107"/>
    </row>
    <row r="147" spans="2:2" x14ac:dyDescent="0.35">
      <c r="B147" s="107"/>
    </row>
    <row r="148" spans="2:2" x14ac:dyDescent="0.35">
      <c r="B148" s="107"/>
    </row>
    <row r="149" spans="2:2" x14ac:dyDescent="0.35">
      <c r="B149" s="107"/>
    </row>
    <row r="150" spans="2:2" x14ac:dyDescent="0.35">
      <c r="B150" s="107"/>
    </row>
    <row r="151" spans="2:2" x14ac:dyDescent="0.35">
      <c r="B151" s="107"/>
    </row>
    <row r="152" spans="2:2" x14ac:dyDescent="0.35">
      <c r="B152" s="107"/>
    </row>
    <row r="153" spans="2:2" x14ac:dyDescent="0.35">
      <c r="B153" s="107"/>
    </row>
    <row r="154" spans="2:2" x14ac:dyDescent="0.35">
      <c r="B154" s="107"/>
    </row>
    <row r="155" spans="2:2" x14ac:dyDescent="0.35">
      <c r="B155" s="107"/>
    </row>
    <row r="156" spans="2:2" x14ac:dyDescent="0.35">
      <c r="B156" s="107"/>
    </row>
    <row r="157" spans="2:2" x14ac:dyDescent="0.35">
      <c r="B157" s="107"/>
    </row>
    <row r="158" spans="2:2" x14ac:dyDescent="0.35">
      <c r="B158" s="107"/>
    </row>
    <row r="159" spans="2:2" x14ac:dyDescent="0.35">
      <c r="B159" s="107"/>
    </row>
    <row r="160" spans="2:2" x14ac:dyDescent="0.35">
      <c r="B160" s="107"/>
    </row>
    <row r="161" spans="2:2" x14ac:dyDescent="0.35">
      <c r="B161" s="107"/>
    </row>
    <row r="162" spans="2:2" x14ac:dyDescent="0.35">
      <c r="B162" s="107"/>
    </row>
    <row r="163" spans="2:2" x14ac:dyDescent="0.35">
      <c r="B163" s="107"/>
    </row>
    <row r="164" spans="2:2" x14ac:dyDescent="0.35">
      <c r="B164" s="107"/>
    </row>
    <row r="165" spans="2:2" x14ac:dyDescent="0.35">
      <c r="B165" s="107"/>
    </row>
    <row r="166" spans="2:2" x14ac:dyDescent="0.35">
      <c r="B166" s="107"/>
    </row>
    <row r="167" spans="2:2" x14ac:dyDescent="0.35">
      <c r="B167" s="107"/>
    </row>
    <row r="168" spans="2:2" x14ac:dyDescent="0.35">
      <c r="B168" s="107"/>
    </row>
    <row r="169" spans="2:2" x14ac:dyDescent="0.35">
      <c r="B169" s="107"/>
    </row>
    <row r="170" spans="2:2" x14ac:dyDescent="0.35">
      <c r="B170" s="107"/>
    </row>
    <row r="171" spans="2:2" x14ac:dyDescent="0.35">
      <c r="B171" s="107"/>
    </row>
    <row r="172" spans="2:2" x14ac:dyDescent="0.35">
      <c r="B172" s="107"/>
    </row>
    <row r="173" spans="2:2" x14ac:dyDescent="0.35">
      <c r="B173" s="107"/>
    </row>
    <row r="174" spans="2:2" x14ac:dyDescent="0.35">
      <c r="B174" s="107"/>
    </row>
    <row r="175" spans="2:2" x14ac:dyDescent="0.35">
      <c r="B175" s="107"/>
    </row>
    <row r="176" spans="2:2" x14ac:dyDescent="0.35">
      <c r="B176" s="107"/>
    </row>
    <row r="177" spans="2:2" x14ac:dyDescent="0.35">
      <c r="B177" s="107"/>
    </row>
    <row r="178" spans="2:2" x14ac:dyDescent="0.35">
      <c r="B178" s="107"/>
    </row>
    <row r="179" spans="2:2" x14ac:dyDescent="0.35">
      <c r="B179" s="107"/>
    </row>
    <row r="180" spans="2:2" x14ac:dyDescent="0.35">
      <c r="B180" s="107"/>
    </row>
    <row r="181" spans="2:2" x14ac:dyDescent="0.35">
      <c r="B181" s="107"/>
    </row>
    <row r="182" spans="2:2" x14ac:dyDescent="0.35">
      <c r="B182" s="107"/>
    </row>
    <row r="183" spans="2:2" x14ac:dyDescent="0.35">
      <c r="B183" s="107"/>
    </row>
    <row r="184" spans="2:2" x14ac:dyDescent="0.35">
      <c r="B184" s="107"/>
    </row>
    <row r="185" spans="2:2" x14ac:dyDescent="0.35">
      <c r="B185" s="107"/>
    </row>
    <row r="186" spans="2:2" x14ac:dyDescent="0.35">
      <c r="B186" s="107"/>
    </row>
    <row r="187" spans="2:2" x14ac:dyDescent="0.35">
      <c r="B187" s="107"/>
    </row>
    <row r="188" spans="2:2" x14ac:dyDescent="0.35">
      <c r="B188" s="107"/>
    </row>
    <row r="189" spans="2:2" x14ac:dyDescent="0.35">
      <c r="B189" s="107"/>
    </row>
    <row r="190" spans="2:2" x14ac:dyDescent="0.35">
      <c r="B190" s="107"/>
    </row>
    <row r="191" spans="2:2" x14ac:dyDescent="0.35">
      <c r="B191" s="107"/>
    </row>
    <row r="192" spans="2:2" x14ac:dyDescent="0.35">
      <c r="B192" s="107"/>
    </row>
    <row r="193" spans="2:2" x14ac:dyDescent="0.35">
      <c r="B193" s="107"/>
    </row>
    <row r="194" spans="2:2" x14ac:dyDescent="0.35">
      <c r="B194" s="107"/>
    </row>
    <row r="195" spans="2:2" x14ac:dyDescent="0.35">
      <c r="B195" s="107"/>
    </row>
    <row r="196" spans="2:2" x14ac:dyDescent="0.35">
      <c r="B196" s="107"/>
    </row>
    <row r="197" spans="2:2" x14ac:dyDescent="0.35">
      <c r="B197" s="107"/>
    </row>
    <row r="198" spans="2:2" x14ac:dyDescent="0.35">
      <c r="B198" s="107"/>
    </row>
    <row r="199" spans="2:2" x14ac:dyDescent="0.35">
      <c r="B199" s="107"/>
    </row>
    <row r="200" spans="2:2" x14ac:dyDescent="0.35">
      <c r="B200" s="107"/>
    </row>
    <row r="201" spans="2:2" x14ac:dyDescent="0.35">
      <c r="B201" s="107"/>
    </row>
    <row r="202" spans="2:2" x14ac:dyDescent="0.35">
      <c r="B202" s="107"/>
    </row>
    <row r="203" spans="2:2" x14ac:dyDescent="0.35">
      <c r="B203" s="107"/>
    </row>
    <row r="204" spans="2:2" x14ac:dyDescent="0.35">
      <c r="B204" s="107"/>
    </row>
    <row r="205" spans="2:2" x14ac:dyDescent="0.35">
      <c r="B205" s="107"/>
    </row>
    <row r="206" spans="2:2" x14ac:dyDescent="0.35">
      <c r="B206" s="107"/>
    </row>
    <row r="207" spans="2:2" x14ac:dyDescent="0.35">
      <c r="B207" s="107"/>
    </row>
    <row r="208" spans="2:2" x14ac:dyDescent="0.35">
      <c r="B208" s="107"/>
    </row>
    <row r="209" spans="2:2" x14ac:dyDescent="0.35">
      <c r="B209" s="107"/>
    </row>
    <row r="210" spans="2:2" x14ac:dyDescent="0.35">
      <c r="B210" s="107"/>
    </row>
    <row r="211" spans="2:2" x14ac:dyDescent="0.35">
      <c r="B211" s="107"/>
    </row>
    <row r="212" spans="2:2" x14ac:dyDescent="0.35">
      <c r="B212" s="107"/>
    </row>
    <row r="213" spans="2:2" x14ac:dyDescent="0.35">
      <c r="B213" s="107"/>
    </row>
    <row r="214" spans="2:2" x14ac:dyDescent="0.35">
      <c r="B214" s="107"/>
    </row>
    <row r="215" spans="2:2" x14ac:dyDescent="0.35">
      <c r="B215" s="107"/>
    </row>
    <row r="216" spans="2:2" x14ac:dyDescent="0.35">
      <c r="B216" s="107"/>
    </row>
    <row r="217" spans="2:2" x14ac:dyDescent="0.35">
      <c r="B217" s="107"/>
    </row>
    <row r="218" spans="2:2" x14ac:dyDescent="0.35">
      <c r="B218" s="107"/>
    </row>
    <row r="219" spans="2:2" x14ac:dyDescent="0.35">
      <c r="B219" s="107"/>
    </row>
    <row r="220" spans="2:2" x14ac:dyDescent="0.35">
      <c r="B220" s="107"/>
    </row>
    <row r="221" spans="2:2" x14ac:dyDescent="0.35">
      <c r="B221" s="107"/>
    </row>
    <row r="222" spans="2:2" x14ac:dyDescent="0.35">
      <c r="B222" s="107"/>
    </row>
    <row r="223" spans="2:2" x14ac:dyDescent="0.35">
      <c r="B223" s="107"/>
    </row>
    <row r="224" spans="2:2" x14ac:dyDescent="0.35">
      <c r="B224" s="107"/>
    </row>
    <row r="225" spans="2:2" x14ac:dyDescent="0.35">
      <c r="B225" s="107"/>
    </row>
    <row r="226" spans="2:2" x14ac:dyDescent="0.35">
      <c r="B226" s="107"/>
    </row>
    <row r="227" spans="2:2" x14ac:dyDescent="0.35">
      <c r="B227" s="107"/>
    </row>
    <row r="228" spans="2:2" x14ac:dyDescent="0.35">
      <c r="B228" s="107"/>
    </row>
    <row r="229" spans="2:2" x14ac:dyDescent="0.35">
      <c r="B229" s="107"/>
    </row>
    <row r="230" spans="2:2" x14ac:dyDescent="0.35">
      <c r="B230" s="107"/>
    </row>
    <row r="231" spans="2:2" x14ac:dyDescent="0.35">
      <c r="B231" s="107"/>
    </row>
    <row r="232" spans="2:2" x14ac:dyDescent="0.35">
      <c r="B232" s="107"/>
    </row>
    <row r="233" spans="2:2" x14ac:dyDescent="0.35">
      <c r="B233" s="107"/>
    </row>
    <row r="234" spans="2:2" x14ac:dyDescent="0.35">
      <c r="B234" s="107"/>
    </row>
    <row r="235" spans="2:2" x14ac:dyDescent="0.35">
      <c r="B235" s="107"/>
    </row>
    <row r="236" spans="2:2" x14ac:dyDescent="0.35">
      <c r="B236" s="107"/>
    </row>
    <row r="237" spans="2:2" x14ac:dyDescent="0.35">
      <c r="B237" s="107"/>
    </row>
    <row r="238" spans="2:2" x14ac:dyDescent="0.35">
      <c r="B238" s="107"/>
    </row>
    <row r="239" spans="2:2" x14ac:dyDescent="0.35">
      <c r="B239" s="107"/>
    </row>
    <row r="240" spans="2:2" x14ac:dyDescent="0.35">
      <c r="B240" s="107"/>
    </row>
    <row r="241" spans="2:2" x14ac:dyDescent="0.35">
      <c r="B241" s="107"/>
    </row>
    <row r="242" spans="2:2" x14ac:dyDescent="0.35">
      <c r="B242" s="107"/>
    </row>
    <row r="243" spans="2:2" x14ac:dyDescent="0.35">
      <c r="B243" s="107"/>
    </row>
    <row r="244" spans="2:2" x14ac:dyDescent="0.35">
      <c r="B244" s="107"/>
    </row>
    <row r="245" spans="2:2" x14ac:dyDescent="0.35">
      <c r="B245" s="107"/>
    </row>
    <row r="246" spans="2:2" x14ac:dyDescent="0.35">
      <c r="B246" s="107"/>
    </row>
    <row r="247" spans="2:2" x14ac:dyDescent="0.35">
      <c r="B247" s="107"/>
    </row>
    <row r="248" spans="2:2" x14ac:dyDescent="0.35">
      <c r="B248" s="107"/>
    </row>
    <row r="249" spans="2:2" x14ac:dyDescent="0.35">
      <c r="B249" s="107"/>
    </row>
    <row r="250" spans="2:2" x14ac:dyDescent="0.35">
      <c r="B250" s="107"/>
    </row>
    <row r="251" spans="2:2" x14ac:dyDescent="0.35">
      <c r="B251" s="107"/>
    </row>
    <row r="252" spans="2:2" x14ac:dyDescent="0.35">
      <c r="B252" s="107"/>
    </row>
    <row r="253" spans="2:2" x14ac:dyDescent="0.35">
      <c r="B253" s="107"/>
    </row>
    <row r="254" spans="2:2" x14ac:dyDescent="0.35">
      <c r="B254" s="107"/>
    </row>
    <row r="255" spans="2:2" x14ac:dyDescent="0.35">
      <c r="B255" s="107"/>
    </row>
    <row r="256" spans="2:2" x14ac:dyDescent="0.35">
      <c r="B256" s="107"/>
    </row>
    <row r="257" spans="2:2" x14ac:dyDescent="0.35">
      <c r="B257" s="107"/>
    </row>
    <row r="258" spans="2:2" x14ac:dyDescent="0.35">
      <c r="B258" s="107"/>
    </row>
    <row r="259" spans="2:2" x14ac:dyDescent="0.35">
      <c r="B259" s="107"/>
    </row>
    <row r="260" spans="2:2" x14ac:dyDescent="0.35">
      <c r="B260" s="107"/>
    </row>
    <row r="261" spans="2:2" x14ac:dyDescent="0.35">
      <c r="B261" s="107"/>
    </row>
    <row r="262" spans="2:2" x14ac:dyDescent="0.35">
      <c r="B262" s="107"/>
    </row>
    <row r="263" spans="2:2" x14ac:dyDescent="0.35">
      <c r="B263" s="107"/>
    </row>
    <row r="264" spans="2:2" x14ac:dyDescent="0.35">
      <c r="B264" s="107"/>
    </row>
    <row r="265" spans="2:2" x14ac:dyDescent="0.35">
      <c r="B265" s="107"/>
    </row>
    <row r="266" spans="2:2" x14ac:dyDescent="0.35">
      <c r="B266" s="107"/>
    </row>
    <row r="267" spans="2:2" x14ac:dyDescent="0.35">
      <c r="B267" s="107"/>
    </row>
    <row r="268" spans="2:2" x14ac:dyDescent="0.35">
      <c r="B268" s="107"/>
    </row>
    <row r="269" spans="2:2" x14ac:dyDescent="0.35">
      <c r="B269" s="107"/>
    </row>
    <row r="270" spans="2:2" x14ac:dyDescent="0.35">
      <c r="B270" s="107"/>
    </row>
    <row r="271" spans="2:2" x14ac:dyDescent="0.35">
      <c r="B271" s="107"/>
    </row>
    <row r="272" spans="2:2" x14ac:dyDescent="0.35">
      <c r="B272" s="107"/>
    </row>
    <row r="273" spans="2:2" x14ac:dyDescent="0.35">
      <c r="B273" s="107"/>
    </row>
    <row r="274" spans="2:2" x14ac:dyDescent="0.35">
      <c r="B274" s="107"/>
    </row>
    <row r="275" spans="2:2" x14ac:dyDescent="0.35">
      <c r="B275" s="107"/>
    </row>
    <row r="276" spans="2:2" x14ac:dyDescent="0.35">
      <c r="B276" s="107"/>
    </row>
    <row r="277" spans="2:2" x14ac:dyDescent="0.35">
      <c r="B277" s="107"/>
    </row>
    <row r="278" spans="2:2" x14ac:dyDescent="0.35">
      <c r="B278" s="107"/>
    </row>
    <row r="279" spans="2:2" x14ac:dyDescent="0.35">
      <c r="B279" s="107"/>
    </row>
    <row r="280" spans="2:2" x14ac:dyDescent="0.35">
      <c r="B280" s="107"/>
    </row>
    <row r="281" spans="2:2" x14ac:dyDescent="0.35">
      <c r="B281" s="107"/>
    </row>
    <row r="282" spans="2:2" x14ac:dyDescent="0.35">
      <c r="B282" s="107"/>
    </row>
    <row r="283" spans="2:2" x14ac:dyDescent="0.35">
      <c r="B283" s="107"/>
    </row>
    <row r="284" spans="2:2" x14ac:dyDescent="0.35">
      <c r="B284" s="107"/>
    </row>
    <row r="285" spans="2:2" x14ac:dyDescent="0.35">
      <c r="B285" s="107"/>
    </row>
    <row r="286" spans="2:2" x14ac:dyDescent="0.35">
      <c r="B286" s="107"/>
    </row>
    <row r="287" spans="2:2" x14ac:dyDescent="0.35">
      <c r="B287" s="107"/>
    </row>
    <row r="288" spans="2:2" x14ac:dyDescent="0.35">
      <c r="B288" s="107"/>
    </row>
    <row r="289" spans="2:2" x14ac:dyDescent="0.35">
      <c r="B289" s="107"/>
    </row>
    <row r="290" spans="2:2" x14ac:dyDescent="0.35">
      <c r="B290" s="107"/>
    </row>
    <row r="291" spans="2:2" x14ac:dyDescent="0.35">
      <c r="B291" s="107"/>
    </row>
    <row r="292" spans="2:2" x14ac:dyDescent="0.35">
      <c r="B292" s="107"/>
    </row>
    <row r="293" spans="2:2" x14ac:dyDescent="0.35">
      <c r="B293" s="107"/>
    </row>
    <row r="294" spans="2:2" x14ac:dyDescent="0.35">
      <c r="B294" s="107"/>
    </row>
    <row r="295" spans="2:2" x14ac:dyDescent="0.35">
      <c r="B295" s="107"/>
    </row>
    <row r="296" spans="2:2" x14ac:dyDescent="0.35">
      <c r="B296" s="107"/>
    </row>
    <row r="297" spans="2:2" x14ac:dyDescent="0.35">
      <c r="B297" s="107"/>
    </row>
    <row r="298" spans="2:2" x14ac:dyDescent="0.35">
      <c r="B298" s="107"/>
    </row>
    <row r="299" spans="2:2" x14ac:dyDescent="0.35">
      <c r="B299" s="107"/>
    </row>
    <row r="300" spans="2:2" x14ac:dyDescent="0.35">
      <c r="B300" s="107"/>
    </row>
    <row r="301" spans="2:2" x14ac:dyDescent="0.35">
      <c r="B301" s="107"/>
    </row>
    <row r="302" spans="2:2" x14ac:dyDescent="0.35">
      <c r="B302" s="107"/>
    </row>
    <row r="303" spans="2:2" x14ac:dyDescent="0.35">
      <c r="B303" s="107"/>
    </row>
    <row r="304" spans="2:2" x14ac:dyDescent="0.35">
      <c r="B304" s="107"/>
    </row>
    <row r="305" spans="2:2" x14ac:dyDescent="0.35">
      <c r="B305" s="107"/>
    </row>
    <row r="306" spans="2:2" x14ac:dyDescent="0.35">
      <c r="B306" s="107"/>
    </row>
    <row r="307" spans="2:2" x14ac:dyDescent="0.35">
      <c r="B307" s="107"/>
    </row>
    <row r="308" spans="2:2" x14ac:dyDescent="0.35">
      <c r="B308" s="107"/>
    </row>
    <row r="309" spans="2:2" x14ac:dyDescent="0.35">
      <c r="B309" s="107"/>
    </row>
    <row r="310" spans="2:2" x14ac:dyDescent="0.35">
      <c r="B310" s="107"/>
    </row>
    <row r="311" spans="2:2" x14ac:dyDescent="0.35">
      <c r="B311" s="107"/>
    </row>
    <row r="312" spans="2:2" x14ac:dyDescent="0.35">
      <c r="B312" s="107"/>
    </row>
    <row r="313" spans="2:2" x14ac:dyDescent="0.35">
      <c r="B313" s="107"/>
    </row>
    <row r="314" spans="2:2" x14ac:dyDescent="0.35">
      <c r="B314" s="107"/>
    </row>
    <row r="315" spans="2:2" x14ac:dyDescent="0.35">
      <c r="B315" s="107"/>
    </row>
    <row r="316" spans="2:2" x14ac:dyDescent="0.35">
      <c r="B316" s="107"/>
    </row>
    <row r="317" spans="2:2" x14ac:dyDescent="0.35">
      <c r="B317" s="107"/>
    </row>
    <row r="318" spans="2:2" x14ac:dyDescent="0.35">
      <c r="B318" s="107"/>
    </row>
    <row r="319" spans="2:2" x14ac:dyDescent="0.35">
      <c r="B319" s="107"/>
    </row>
    <row r="320" spans="2:2" x14ac:dyDescent="0.35">
      <c r="B320" s="107"/>
    </row>
    <row r="321" spans="2:2" x14ac:dyDescent="0.35">
      <c r="B321" s="107"/>
    </row>
    <row r="322" spans="2:2" x14ac:dyDescent="0.35">
      <c r="B322" s="107"/>
    </row>
    <row r="323" spans="2:2" x14ac:dyDescent="0.35">
      <c r="B323" s="107"/>
    </row>
    <row r="324" spans="2:2" x14ac:dyDescent="0.35">
      <c r="B324" s="107"/>
    </row>
    <row r="325" spans="2:2" x14ac:dyDescent="0.35">
      <c r="B325" s="107"/>
    </row>
    <row r="326" spans="2:2" x14ac:dyDescent="0.35">
      <c r="B326" s="107"/>
    </row>
    <row r="327" spans="2:2" x14ac:dyDescent="0.35">
      <c r="B327" s="107"/>
    </row>
    <row r="328" spans="2:2" x14ac:dyDescent="0.35">
      <c r="B328" s="107"/>
    </row>
    <row r="329" spans="2:2" x14ac:dyDescent="0.35">
      <c r="B329" s="107"/>
    </row>
    <row r="330" spans="2:2" x14ac:dyDescent="0.35">
      <c r="B330" s="107"/>
    </row>
    <row r="331" spans="2:2" x14ac:dyDescent="0.35">
      <c r="B331" s="107"/>
    </row>
    <row r="332" spans="2:2" x14ac:dyDescent="0.35">
      <c r="B332" s="107"/>
    </row>
    <row r="333" spans="2:2" x14ac:dyDescent="0.35">
      <c r="B333" s="107"/>
    </row>
    <row r="334" spans="2:2" x14ac:dyDescent="0.35">
      <c r="B334" s="107"/>
    </row>
    <row r="335" spans="2:2" x14ac:dyDescent="0.35">
      <c r="B335" s="107"/>
    </row>
    <row r="336" spans="2:2" x14ac:dyDescent="0.35">
      <c r="B336" s="107"/>
    </row>
    <row r="337" spans="2:2" x14ac:dyDescent="0.35">
      <c r="B337" s="107"/>
    </row>
    <row r="338" spans="2:2" x14ac:dyDescent="0.35">
      <c r="B338" s="107"/>
    </row>
    <row r="339" spans="2:2" x14ac:dyDescent="0.35">
      <c r="B339" s="107"/>
    </row>
    <row r="340" spans="2:2" x14ac:dyDescent="0.35">
      <c r="B340" s="107"/>
    </row>
    <row r="341" spans="2:2" x14ac:dyDescent="0.35">
      <c r="B341" s="107"/>
    </row>
    <row r="342" spans="2:2" x14ac:dyDescent="0.35">
      <c r="B342" s="107"/>
    </row>
    <row r="343" spans="2:2" x14ac:dyDescent="0.35">
      <c r="B343" s="107"/>
    </row>
    <row r="344" spans="2:2" x14ac:dyDescent="0.35">
      <c r="B344" s="107"/>
    </row>
    <row r="345" spans="2:2" x14ac:dyDescent="0.35">
      <c r="B345" s="107"/>
    </row>
    <row r="346" spans="2:2" x14ac:dyDescent="0.35">
      <c r="B346" s="107"/>
    </row>
    <row r="347" spans="2:2" x14ac:dyDescent="0.35">
      <c r="B347" s="107"/>
    </row>
    <row r="348" spans="2:2" x14ac:dyDescent="0.35">
      <c r="B348" s="107"/>
    </row>
    <row r="349" spans="2:2" x14ac:dyDescent="0.35">
      <c r="B349" s="107"/>
    </row>
    <row r="350" spans="2:2" x14ac:dyDescent="0.35">
      <c r="B350" s="107"/>
    </row>
    <row r="351" spans="2:2" x14ac:dyDescent="0.35">
      <c r="B351" s="107"/>
    </row>
    <row r="352" spans="2:2" x14ac:dyDescent="0.35">
      <c r="B352" s="107"/>
    </row>
    <row r="353" spans="2:2" x14ac:dyDescent="0.35">
      <c r="B353" s="107"/>
    </row>
    <row r="354" spans="2:2" x14ac:dyDescent="0.35">
      <c r="B354" s="107"/>
    </row>
    <row r="355" spans="2:2" x14ac:dyDescent="0.35">
      <c r="B355" s="107"/>
    </row>
    <row r="356" spans="2:2" x14ac:dyDescent="0.35">
      <c r="B356" s="107"/>
    </row>
    <row r="357" spans="2:2" x14ac:dyDescent="0.35">
      <c r="B357" s="107"/>
    </row>
    <row r="358" spans="2:2" x14ac:dyDescent="0.35">
      <c r="B358" s="107"/>
    </row>
    <row r="359" spans="2:2" x14ac:dyDescent="0.35">
      <c r="B359" s="107"/>
    </row>
    <row r="360" spans="2:2" x14ac:dyDescent="0.35">
      <c r="B360" s="107"/>
    </row>
    <row r="361" spans="2:2" x14ac:dyDescent="0.35">
      <c r="B361" s="107"/>
    </row>
    <row r="362" spans="2:2" x14ac:dyDescent="0.35">
      <c r="B362" s="107"/>
    </row>
    <row r="363" spans="2:2" x14ac:dyDescent="0.35">
      <c r="B363" s="107"/>
    </row>
    <row r="364" spans="2:2" x14ac:dyDescent="0.35">
      <c r="B364" s="107"/>
    </row>
    <row r="365" spans="2:2" x14ac:dyDescent="0.35">
      <c r="B365" s="107"/>
    </row>
    <row r="366" spans="2:2" x14ac:dyDescent="0.35">
      <c r="B366" s="107"/>
    </row>
    <row r="367" spans="2:2" x14ac:dyDescent="0.35">
      <c r="B367" s="107"/>
    </row>
    <row r="368" spans="2:2" x14ac:dyDescent="0.35">
      <c r="B368" s="107"/>
    </row>
    <row r="369" spans="2:2" x14ac:dyDescent="0.35">
      <c r="B369" s="107"/>
    </row>
    <row r="370" spans="2:2" x14ac:dyDescent="0.35">
      <c r="B370" s="107"/>
    </row>
    <row r="371" spans="2:2" x14ac:dyDescent="0.35">
      <c r="B371" s="107"/>
    </row>
    <row r="372" spans="2:2" x14ac:dyDescent="0.35">
      <c r="B372" s="107"/>
    </row>
    <row r="373" spans="2:2" x14ac:dyDescent="0.35">
      <c r="B373" s="107"/>
    </row>
    <row r="374" spans="2:2" x14ac:dyDescent="0.35">
      <c r="B374" s="107"/>
    </row>
    <row r="375" spans="2:2" x14ac:dyDescent="0.35">
      <c r="B375" s="107"/>
    </row>
    <row r="376" spans="2:2" x14ac:dyDescent="0.35">
      <c r="B376" s="107"/>
    </row>
    <row r="377" spans="2:2" x14ac:dyDescent="0.35">
      <c r="B377" s="107"/>
    </row>
    <row r="378" spans="2:2" x14ac:dyDescent="0.35">
      <c r="B378" s="107"/>
    </row>
    <row r="379" spans="2:2" x14ac:dyDescent="0.35">
      <c r="B379" s="107"/>
    </row>
    <row r="380" spans="2:2" x14ac:dyDescent="0.35">
      <c r="B380" s="107"/>
    </row>
    <row r="381" spans="2:2" x14ac:dyDescent="0.35">
      <c r="B381" s="107"/>
    </row>
    <row r="382" spans="2:2" x14ac:dyDescent="0.35">
      <c r="B382" s="107"/>
    </row>
    <row r="383" spans="2:2" x14ac:dyDescent="0.35">
      <c r="B383" s="107"/>
    </row>
    <row r="384" spans="2:2" x14ac:dyDescent="0.35">
      <c r="B384" s="107"/>
    </row>
    <row r="385" spans="2:2" x14ac:dyDescent="0.35">
      <c r="B385" s="107"/>
    </row>
    <row r="386" spans="2:2" x14ac:dyDescent="0.35">
      <c r="B386" s="107"/>
    </row>
    <row r="387" spans="2:2" x14ac:dyDescent="0.35">
      <c r="B387" s="107"/>
    </row>
    <row r="388" spans="2:2" x14ac:dyDescent="0.35">
      <c r="B388" s="107"/>
    </row>
    <row r="389" spans="2:2" x14ac:dyDescent="0.35">
      <c r="B389" s="107"/>
    </row>
    <row r="390" spans="2:2" x14ac:dyDescent="0.35">
      <c r="B390" s="107"/>
    </row>
    <row r="391" spans="2:2" x14ac:dyDescent="0.35">
      <c r="B391" s="107"/>
    </row>
    <row r="392" spans="2:2" x14ac:dyDescent="0.35">
      <c r="B392" s="107"/>
    </row>
    <row r="393" spans="2:2" x14ac:dyDescent="0.35">
      <c r="B393" s="107"/>
    </row>
    <row r="394" spans="2:2" x14ac:dyDescent="0.35">
      <c r="B394" s="107"/>
    </row>
    <row r="395" spans="2:2" x14ac:dyDescent="0.35">
      <c r="B395" s="107"/>
    </row>
    <row r="396" spans="2:2" x14ac:dyDescent="0.35">
      <c r="B396" s="107"/>
    </row>
    <row r="397" spans="2:2" x14ac:dyDescent="0.35">
      <c r="B397" s="107"/>
    </row>
    <row r="398" spans="2:2" x14ac:dyDescent="0.35">
      <c r="B398" s="107"/>
    </row>
    <row r="399" spans="2:2" x14ac:dyDescent="0.35">
      <c r="B399" s="107"/>
    </row>
    <row r="400" spans="2:2" x14ac:dyDescent="0.35">
      <c r="B400" s="107"/>
    </row>
    <row r="401" spans="2:2" x14ac:dyDescent="0.35">
      <c r="B401" s="107"/>
    </row>
    <row r="402" spans="2:2" x14ac:dyDescent="0.35">
      <c r="B402" s="107"/>
    </row>
    <row r="403" spans="2:2" x14ac:dyDescent="0.35">
      <c r="B403" s="107"/>
    </row>
    <row r="404" spans="2:2" x14ac:dyDescent="0.35">
      <c r="B404" s="107"/>
    </row>
    <row r="405" spans="2:2" x14ac:dyDescent="0.35">
      <c r="B405" s="107"/>
    </row>
    <row r="406" spans="2:2" x14ac:dyDescent="0.35">
      <c r="B406" s="107"/>
    </row>
    <row r="407" spans="2:2" x14ac:dyDescent="0.35">
      <c r="B407" s="107"/>
    </row>
    <row r="408" spans="2:2" x14ac:dyDescent="0.35">
      <c r="B408" s="107"/>
    </row>
    <row r="409" spans="2:2" x14ac:dyDescent="0.35">
      <c r="B409" s="107"/>
    </row>
    <row r="410" spans="2:2" x14ac:dyDescent="0.35">
      <c r="B410" s="107"/>
    </row>
    <row r="411" spans="2:2" x14ac:dyDescent="0.35">
      <c r="B411" s="107"/>
    </row>
    <row r="412" spans="2:2" x14ac:dyDescent="0.35">
      <c r="B412" s="107"/>
    </row>
    <row r="413" spans="2:2" x14ac:dyDescent="0.35">
      <c r="B413" s="107"/>
    </row>
    <row r="414" spans="2:2" x14ac:dyDescent="0.35">
      <c r="B414" s="107"/>
    </row>
    <row r="415" spans="2:2" x14ac:dyDescent="0.35">
      <c r="B415" s="107"/>
    </row>
    <row r="416" spans="2:2" x14ac:dyDescent="0.35">
      <c r="B416" s="107"/>
    </row>
    <row r="417" spans="2:2" x14ac:dyDescent="0.35">
      <c r="B417" s="107"/>
    </row>
    <row r="418" spans="2:2" x14ac:dyDescent="0.35">
      <c r="B418" s="107"/>
    </row>
    <row r="419" spans="2:2" x14ac:dyDescent="0.35">
      <c r="B419" s="107"/>
    </row>
    <row r="420" spans="2:2" x14ac:dyDescent="0.35">
      <c r="B420" s="107"/>
    </row>
    <row r="421" spans="2:2" x14ac:dyDescent="0.35">
      <c r="B421" s="107"/>
    </row>
    <row r="422" spans="2:2" x14ac:dyDescent="0.35">
      <c r="B422" s="107"/>
    </row>
    <row r="423" spans="2:2" x14ac:dyDescent="0.35">
      <c r="B423" s="107"/>
    </row>
    <row r="424" spans="2:2" x14ac:dyDescent="0.35">
      <c r="B424" s="107"/>
    </row>
    <row r="425" spans="2:2" x14ac:dyDescent="0.35">
      <c r="B425" s="107"/>
    </row>
    <row r="426" spans="2:2" x14ac:dyDescent="0.35">
      <c r="B426" s="107"/>
    </row>
    <row r="427" spans="2:2" x14ac:dyDescent="0.35">
      <c r="B427" s="107"/>
    </row>
    <row r="428" spans="2:2" x14ac:dyDescent="0.35">
      <c r="B428" s="107"/>
    </row>
    <row r="429" spans="2:2" x14ac:dyDescent="0.35">
      <c r="B429" s="107"/>
    </row>
    <row r="430" spans="2:2" x14ac:dyDescent="0.35">
      <c r="B430" s="107"/>
    </row>
    <row r="431" spans="2:2" x14ac:dyDescent="0.35">
      <c r="B431" s="107"/>
    </row>
    <row r="432" spans="2:2" x14ac:dyDescent="0.35">
      <c r="B432" s="107"/>
    </row>
    <row r="433" spans="2:2" x14ac:dyDescent="0.35">
      <c r="B433" s="107"/>
    </row>
    <row r="434" spans="2:2" x14ac:dyDescent="0.35">
      <c r="B434" s="107"/>
    </row>
    <row r="435" spans="2:2" x14ac:dyDescent="0.35">
      <c r="B435" s="107"/>
    </row>
    <row r="436" spans="2:2" x14ac:dyDescent="0.35">
      <c r="B436" s="107"/>
    </row>
    <row r="437" spans="2:2" x14ac:dyDescent="0.35">
      <c r="B437" s="107"/>
    </row>
    <row r="438" spans="2:2" x14ac:dyDescent="0.35">
      <c r="B438" s="107"/>
    </row>
    <row r="439" spans="2:2" x14ac:dyDescent="0.35">
      <c r="B439" s="107"/>
    </row>
    <row r="440" spans="2:2" x14ac:dyDescent="0.35">
      <c r="B440" s="107"/>
    </row>
    <row r="441" spans="2:2" x14ac:dyDescent="0.35">
      <c r="B441" s="107"/>
    </row>
    <row r="442" spans="2:2" x14ac:dyDescent="0.35">
      <c r="B442" s="107"/>
    </row>
    <row r="443" spans="2:2" x14ac:dyDescent="0.35">
      <c r="B443" s="107"/>
    </row>
    <row r="444" spans="2:2" x14ac:dyDescent="0.35">
      <c r="B444" s="107"/>
    </row>
    <row r="445" spans="2:2" x14ac:dyDescent="0.35">
      <c r="B445" s="107"/>
    </row>
    <row r="446" spans="2:2" x14ac:dyDescent="0.35">
      <c r="B446" s="107"/>
    </row>
    <row r="447" spans="2:2" x14ac:dyDescent="0.35">
      <c r="B447" s="107"/>
    </row>
    <row r="448" spans="2:2" x14ac:dyDescent="0.35">
      <c r="B448" s="107"/>
    </row>
    <row r="449" spans="2:2" x14ac:dyDescent="0.35">
      <c r="B449" s="107"/>
    </row>
    <row r="450" spans="2:2" x14ac:dyDescent="0.35">
      <c r="B450" s="107"/>
    </row>
    <row r="451" spans="2:2" x14ac:dyDescent="0.35">
      <c r="B451" s="107"/>
    </row>
    <row r="452" spans="2:2" x14ac:dyDescent="0.35">
      <c r="B452" s="107"/>
    </row>
    <row r="453" spans="2:2" x14ac:dyDescent="0.35">
      <c r="B453" s="107"/>
    </row>
    <row r="454" spans="2:2" x14ac:dyDescent="0.35">
      <c r="B454" s="107"/>
    </row>
    <row r="455" spans="2:2" x14ac:dyDescent="0.35">
      <c r="B455" s="107"/>
    </row>
    <row r="456" spans="2:2" x14ac:dyDescent="0.35">
      <c r="B456" s="107"/>
    </row>
    <row r="457" spans="2:2" x14ac:dyDescent="0.35">
      <c r="B457" s="107"/>
    </row>
    <row r="458" spans="2:2" x14ac:dyDescent="0.35">
      <c r="B458" s="107"/>
    </row>
    <row r="459" spans="2:2" x14ac:dyDescent="0.35">
      <c r="B459" s="107"/>
    </row>
    <row r="460" spans="2:2" x14ac:dyDescent="0.35">
      <c r="B460" s="107"/>
    </row>
    <row r="461" spans="2:2" x14ac:dyDescent="0.35">
      <c r="B461" s="107"/>
    </row>
    <row r="462" spans="2:2" x14ac:dyDescent="0.35">
      <c r="B462" s="107"/>
    </row>
    <row r="463" spans="2:2" x14ac:dyDescent="0.35">
      <c r="B463" s="107"/>
    </row>
    <row r="464" spans="2:2" x14ac:dyDescent="0.35">
      <c r="B464" s="107"/>
    </row>
    <row r="465" spans="2:2" x14ac:dyDescent="0.35">
      <c r="B465" s="107"/>
    </row>
    <row r="466" spans="2:2" x14ac:dyDescent="0.35">
      <c r="B466" s="107"/>
    </row>
    <row r="467" spans="2:2" x14ac:dyDescent="0.35">
      <c r="B467" s="107"/>
    </row>
    <row r="468" spans="2:2" x14ac:dyDescent="0.35">
      <c r="B468" s="107"/>
    </row>
    <row r="469" spans="2:2" x14ac:dyDescent="0.35">
      <c r="B469" s="107"/>
    </row>
    <row r="470" spans="2:2" x14ac:dyDescent="0.35">
      <c r="B470" s="107"/>
    </row>
    <row r="471" spans="2:2" x14ac:dyDescent="0.35">
      <c r="B471" s="107"/>
    </row>
    <row r="472" spans="2:2" x14ac:dyDescent="0.35">
      <c r="B472" s="107"/>
    </row>
    <row r="473" spans="2:2" x14ac:dyDescent="0.35">
      <c r="B473" s="107"/>
    </row>
    <row r="474" spans="2:2" x14ac:dyDescent="0.35">
      <c r="B474" s="107"/>
    </row>
    <row r="475" spans="2:2" x14ac:dyDescent="0.35">
      <c r="B475" s="107"/>
    </row>
    <row r="476" spans="2:2" x14ac:dyDescent="0.35">
      <c r="B476" s="107"/>
    </row>
    <row r="477" spans="2:2" x14ac:dyDescent="0.35">
      <c r="B477" s="107"/>
    </row>
    <row r="478" spans="2:2" x14ac:dyDescent="0.35">
      <c r="B478" s="107"/>
    </row>
    <row r="479" spans="2:2" x14ac:dyDescent="0.35">
      <c r="B479" s="107"/>
    </row>
    <row r="480" spans="2:2" x14ac:dyDescent="0.35">
      <c r="B480" s="107"/>
    </row>
    <row r="481" spans="2:2" x14ac:dyDescent="0.35">
      <c r="B481" s="107"/>
    </row>
    <row r="482" spans="2:2" x14ac:dyDescent="0.35">
      <c r="B482" s="107"/>
    </row>
    <row r="483" spans="2:2" x14ac:dyDescent="0.35">
      <c r="B483" s="107"/>
    </row>
    <row r="484" spans="2:2" x14ac:dyDescent="0.35">
      <c r="B484" s="107"/>
    </row>
    <row r="485" spans="2:2" x14ac:dyDescent="0.35">
      <c r="B485" s="107"/>
    </row>
    <row r="486" spans="2:2" x14ac:dyDescent="0.35">
      <c r="B486" s="107"/>
    </row>
    <row r="487" spans="2:2" x14ac:dyDescent="0.35">
      <c r="B487" s="107"/>
    </row>
    <row r="488" spans="2:2" x14ac:dyDescent="0.35">
      <c r="B488" s="107"/>
    </row>
    <row r="489" spans="2:2" x14ac:dyDescent="0.35">
      <c r="B489" s="107"/>
    </row>
    <row r="490" spans="2:2" x14ac:dyDescent="0.35">
      <c r="B490" s="107"/>
    </row>
    <row r="491" spans="2:2" x14ac:dyDescent="0.35">
      <c r="B491" s="107"/>
    </row>
    <row r="492" spans="2:2" x14ac:dyDescent="0.35">
      <c r="B492" s="107"/>
    </row>
    <row r="493" spans="2:2" x14ac:dyDescent="0.35">
      <c r="B493" s="107"/>
    </row>
    <row r="494" spans="2:2" x14ac:dyDescent="0.35">
      <c r="B494" s="107"/>
    </row>
    <row r="495" spans="2:2" x14ac:dyDescent="0.35">
      <c r="B495" s="107"/>
    </row>
    <row r="496" spans="2:2" x14ac:dyDescent="0.35">
      <c r="B496" s="107"/>
    </row>
    <row r="497" spans="2:2" x14ac:dyDescent="0.35">
      <c r="B497" s="107"/>
    </row>
    <row r="498" spans="2:2" x14ac:dyDescent="0.35">
      <c r="B498" s="107"/>
    </row>
    <row r="499" spans="2:2" x14ac:dyDescent="0.35">
      <c r="B499" s="107"/>
    </row>
    <row r="500" spans="2:2" x14ac:dyDescent="0.35">
      <c r="B500" s="107"/>
    </row>
    <row r="501" spans="2:2" x14ac:dyDescent="0.35">
      <c r="B501" s="107"/>
    </row>
    <row r="502" spans="2:2" x14ac:dyDescent="0.35">
      <c r="B502" s="107"/>
    </row>
    <row r="503" spans="2:2" x14ac:dyDescent="0.35">
      <c r="B503" s="107"/>
    </row>
    <row r="504" spans="2:2" x14ac:dyDescent="0.35">
      <c r="B504" s="107"/>
    </row>
    <row r="505" spans="2:2" x14ac:dyDescent="0.35">
      <c r="B505" s="107"/>
    </row>
    <row r="506" spans="2:2" x14ac:dyDescent="0.35">
      <c r="B506" s="107"/>
    </row>
    <row r="507" spans="2:2" x14ac:dyDescent="0.35">
      <c r="B507" s="107"/>
    </row>
    <row r="508" spans="2:2" x14ac:dyDescent="0.35">
      <c r="B508" s="107"/>
    </row>
    <row r="509" spans="2:2" x14ac:dyDescent="0.35">
      <c r="B509" s="107"/>
    </row>
    <row r="510" spans="2:2" x14ac:dyDescent="0.35">
      <c r="B510" s="107"/>
    </row>
    <row r="511" spans="2:2" x14ac:dyDescent="0.35">
      <c r="B511" s="107"/>
    </row>
    <row r="512" spans="2:2" x14ac:dyDescent="0.35">
      <c r="B512" s="107"/>
    </row>
    <row r="513" spans="2:2" x14ac:dyDescent="0.35">
      <c r="B513" s="107"/>
    </row>
    <row r="514" spans="2:2" x14ac:dyDescent="0.35">
      <c r="B514" s="107"/>
    </row>
    <row r="515" spans="2:2" x14ac:dyDescent="0.35">
      <c r="B515" s="107"/>
    </row>
    <row r="516" spans="2:2" x14ac:dyDescent="0.35">
      <c r="B516" s="107"/>
    </row>
    <row r="517" spans="2:2" x14ac:dyDescent="0.35">
      <c r="B517" s="107"/>
    </row>
    <row r="518" spans="2:2" x14ac:dyDescent="0.35">
      <c r="B518" s="107"/>
    </row>
    <row r="519" spans="2:2" x14ac:dyDescent="0.35">
      <c r="B519" s="107"/>
    </row>
    <row r="520" spans="2:2" x14ac:dyDescent="0.35">
      <c r="B520" s="107"/>
    </row>
    <row r="521" spans="2:2" x14ac:dyDescent="0.35">
      <c r="B521" s="107"/>
    </row>
    <row r="522" spans="2:2" x14ac:dyDescent="0.35">
      <c r="B522" s="107"/>
    </row>
    <row r="523" spans="2:2" x14ac:dyDescent="0.35">
      <c r="B523" s="107"/>
    </row>
    <row r="524" spans="2:2" x14ac:dyDescent="0.35">
      <c r="B524" s="107"/>
    </row>
    <row r="525" spans="2:2" x14ac:dyDescent="0.35">
      <c r="B525" s="107"/>
    </row>
    <row r="526" spans="2:2" x14ac:dyDescent="0.35">
      <c r="B526" s="107"/>
    </row>
    <row r="527" spans="2:2" x14ac:dyDescent="0.35">
      <c r="B527" s="107"/>
    </row>
    <row r="528" spans="2:2" x14ac:dyDescent="0.35">
      <c r="B528" s="107"/>
    </row>
    <row r="529" spans="2:2" x14ac:dyDescent="0.35">
      <c r="B529" s="107"/>
    </row>
    <row r="530" spans="2:2" x14ac:dyDescent="0.35">
      <c r="B530" s="107"/>
    </row>
    <row r="531" spans="2:2" x14ac:dyDescent="0.35">
      <c r="B531" s="107"/>
    </row>
    <row r="532" spans="2:2" x14ac:dyDescent="0.35">
      <c r="B532" s="107"/>
    </row>
    <row r="533" spans="2:2" x14ac:dyDescent="0.35">
      <c r="B533" s="107"/>
    </row>
    <row r="534" spans="2:2" x14ac:dyDescent="0.35">
      <c r="B534" s="107"/>
    </row>
    <row r="535" spans="2:2" x14ac:dyDescent="0.35">
      <c r="B535" s="107"/>
    </row>
    <row r="536" spans="2:2" x14ac:dyDescent="0.35">
      <c r="B536" s="107"/>
    </row>
    <row r="537" spans="2:2" x14ac:dyDescent="0.35">
      <c r="B537" s="107"/>
    </row>
    <row r="538" spans="2:2" x14ac:dyDescent="0.35">
      <c r="B538" s="107"/>
    </row>
    <row r="539" spans="2:2" x14ac:dyDescent="0.35">
      <c r="B539" s="107"/>
    </row>
    <row r="540" spans="2:2" x14ac:dyDescent="0.35">
      <c r="B540" s="107"/>
    </row>
    <row r="541" spans="2:2" x14ac:dyDescent="0.35">
      <c r="B541" s="107"/>
    </row>
    <row r="542" spans="2:2" x14ac:dyDescent="0.35">
      <c r="B542" s="107"/>
    </row>
    <row r="543" spans="2:2" x14ac:dyDescent="0.35">
      <c r="B543" s="107"/>
    </row>
    <row r="544" spans="2:2" x14ac:dyDescent="0.35">
      <c r="B544" s="107"/>
    </row>
    <row r="545" spans="2:2" x14ac:dyDescent="0.35">
      <c r="B545" s="107"/>
    </row>
    <row r="546" spans="2:2" x14ac:dyDescent="0.35">
      <c r="B546" s="107"/>
    </row>
    <row r="547" spans="2:2" x14ac:dyDescent="0.35">
      <c r="B547" s="107"/>
    </row>
    <row r="548" spans="2:2" x14ac:dyDescent="0.35">
      <c r="B548" s="107"/>
    </row>
    <row r="549" spans="2:2" x14ac:dyDescent="0.35">
      <c r="B549" s="107"/>
    </row>
    <row r="550" spans="2:2" x14ac:dyDescent="0.35">
      <c r="B550" s="107"/>
    </row>
    <row r="551" spans="2:2" x14ac:dyDescent="0.35">
      <c r="B551" s="107"/>
    </row>
    <row r="552" spans="2:2" x14ac:dyDescent="0.35">
      <c r="B552" s="107"/>
    </row>
    <row r="553" spans="2:2" x14ac:dyDescent="0.35">
      <c r="B553" s="107"/>
    </row>
    <row r="554" spans="2:2" x14ac:dyDescent="0.35">
      <c r="B554" s="107"/>
    </row>
    <row r="555" spans="2:2" x14ac:dyDescent="0.35">
      <c r="B555" s="107"/>
    </row>
    <row r="556" spans="2:2" x14ac:dyDescent="0.35">
      <c r="B556" s="107"/>
    </row>
    <row r="557" spans="2:2" x14ac:dyDescent="0.35">
      <c r="B557" s="107"/>
    </row>
    <row r="558" spans="2:2" x14ac:dyDescent="0.35">
      <c r="B558" s="107"/>
    </row>
    <row r="559" spans="2:2" x14ac:dyDescent="0.35">
      <c r="B559" s="107"/>
    </row>
    <row r="560" spans="2:2" x14ac:dyDescent="0.35">
      <c r="B560" s="107"/>
    </row>
    <row r="561" spans="2:2" x14ac:dyDescent="0.35">
      <c r="B561" s="107"/>
    </row>
    <row r="562" spans="2:2" x14ac:dyDescent="0.35">
      <c r="B562" s="107"/>
    </row>
    <row r="563" spans="2:2" x14ac:dyDescent="0.35">
      <c r="B563" s="107"/>
    </row>
    <row r="564" spans="2:2" x14ac:dyDescent="0.35">
      <c r="B564" s="107"/>
    </row>
    <row r="565" spans="2:2" x14ac:dyDescent="0.35">
      <c r="B565" s="107"/>
    </row>
    <row r="566" spans="2:2" x14ac:dyDescent="0.35">
      <c r="B566" s="107"/>
    </row>
    <row r="567" spans="2:2" x14ac:dyDescent="0.35">
      <c r="B567" s="107"/>
    </row>
    <row r="568" spans="2:2" x14ac:dyDescent="0.35">
      <c r="B568" s="107"/>
    </row>
    <row r="569" spans="2:2" x14ac:dyDescent="0.35">
      <c r="B569" s="107"/>
    </row>
    <row r="570" spans="2:2" x14ac:dyDescent="0.35">
      <c r="B570" s="107"/>
    </row>
    <row r="571" spans="2:2" x14ac:dyDescent="0.35">
      <c r="B571" s="107"/>
    </row>
    <row r="572" spans="2:2" x14ac:dyDescent="0.35">
      <c r="B572" s="107"/>
    </row>
    <row r="573" spans="2:2" x14ac:dyDescent="0.35">
      <c r="B573" s="107"/>
    </row>
    <row r="574" spans="2:2" x14ac:dyDescent="0.35">
      <c r="B574" s="107"/>
    </row>
    <row r="575" spans="2:2" x14ac:dyDescent="0.35">
      <c r="B575" s="107"/>
    </row>
    <row r="576" spans="2:2" x14ac:dyDescent="0.35">
      <c r="B576" s="107"/>
    </row>
    <row r="577" spans="2:2" x14ac:dyDescent="0.35">
      <c r="B577" s="107"/>
    </row>
    <row r="578" spans="2:2" x14ac:dyDescent="0.35">
      <c r="B578" s="107"/>
    </row>
    <row r="579" spans="2:2" x14ac:dyDescent="0.35">
      <c r="B579" s="107"/>
    </row>
    <row r="580" spans="2:2" x14ac:dyDescent="0.35">
      <c r="B580" s="107"/>
    </row>
    <row r="581" spans="2:2" x14ac:dyDescent="0.35">
      <c r="B581" s="107"/>
    </row>
    <row r="582" spans="2:2" x14ac:dyDescent="0.35">
      <c r="B582" s="107"/>
    </row>
    <row r="583" spans="2:2" x14ac:dyDescent="0.35">
      <c r="B583" s="107"/>
    </row>
    <row r="584" spans="2:2" x14ac:dyDescent="0.35">
      <c r="B584" s="107"/>
    </row>
    <row r="585" spans="2:2" x14ac:dyDescent="0.35">
      <c r="B585" s="107"/>
    </row>
    <row r="586" spans="2:2" x14ac:dyDescent="0.35">
      <c r="B586" s="107"/>
    </row>
    <row r="587" spans="2:2" x14ac:dyDescent="0.35">
      <c r="B587" s="107"/>
    </row>
    <row r="588" spans="2:2" x14ac:dyDescent="0.35">
      <c r="B588" s="107"/>
    </row>
    <row r="589" spans="2:2" x14ac:dyDescent="0.35">
      <c r="B589" s="107"/>
    </row>
    <row r="590" spans="2:2" x14ac:dyDescent="0.35">
      <c r="B590" s="107"/>
    </row>
    <row r="591" spans="2:2" x14ac:dyDescent="0.35">
      <c r="B591" s="107"/>
    </row>
    <row r="592" spans="2:2" x14ac:dyDescent="0.35">
      <c r="B592" s="107"/>
    </row>
    <row r="593" spans="2:2" x14ac:dyDescent="0.35">
      <c r="B593" s="107"/>
    </row>
    <row r="594" spans="2:2" x14ac:dyDescent="0.35">
      <c r="B594" s="107"/>
    </row>
    <row r="595" spans="2:2" x14ac:dyDescent="0.35">
      <c r="B595" s="107"/>
    </row>
    <row r="596" spans="2:2" x14ac:dyDescent="0.35">
      <c r="B596" s="107"/>
    </row>
    <row r="597" spans="2:2" x14ac:dyDescent="0.35">
      <c r="B597" s="107"/>
    </row>
    <row r="598" spans="2:2" x14ac:dyDescent="0.35">
      <c r="B598" s="107"/>
    </row>
    <row r="599" spans="2:2" x14ac:dyDescent="0.35">
      <c r="B599" s="107"/>
    </row>
    <row r="600" spans="2:2" x14ac:dyDescent="0.35">
      <c r="B600" s="107"/>
    </row>
    <row r="601" spans="2:2" x14ac:dyDescent="0.35">
      <c r="B601" s="107"/>
    </row>
    <row r="602" spans="2:2" x14ac:dyDescent="0.35">
      <c r="B602" s="107"/>
    </row>
    <row r="603" spans="2:2" x14ac:dyDescent="0.35">
      <c r="B603" s="107"/>
    </row>
    <row r="604" spans="2:2" x14ac:dyDescent="0.35">
      <c r="B604" s="107"/>
    </row>
    <row r="605" spans="2:2" x14ac:dyDescent="0.35">
      <c r="B605" s="107"/>
    </row>
    <row r="606" spans="2:2" x14ac:dyDescent="0.35">
      <c r="B606" s="107"/>
    </row>
    <row r="607" spans="2:2" x14ac:dyDescent="0.35">
      <c r="B607" s="107"/>
    </row>
    <row r="608" spans="2:2" x14ac:dyDescent="0.35">
      <c r="B608" s="107"/>
    </row>
    <row r="609" spans="2:2" x14ac:dyDescent="0.35">
      <c r="B609" s="107"/>
    </row>
    <row r="610" spans="2:2" x14ac:dyDescent="0.35">
      <c r="B610" s="107"/>
    </row>
    <row r="611" spans="2:2" x14ac:dyDescent="0.35">
      <c r="B611" s="107"/>
    </row>
    <row r="612" spans="2:2" x14ac:dyDescent="0.35">
      <c r="B612" s="107"/>
    </row>
    <row r="613" spans="2:2" x14ac:dyDescent="0.35">
      <c r="B613" s="107"/>
    </row>
    <row r="614" spans="2:2" x14ac:dyDescent="0.35">
      <c r="B614" s="107"/>
    </row>
    <row r="615" spans="2:2" x14ac:dyDescent="0.35">
      <c r="B615" s="107"/>
    </row>
    <row r="616" spans="2:2" x14ac:dyDescent="0.35">
      <c r="B616" s="107"/>
    </row>
    <row r="617" spans="2:2" x14ac:dyDescent="0.35">
      <c r="B617" s="107"/>
    </row>
    <row r="618" spans="2:2" x14ac:dyDescent="0.35">
      <c r="B618" s="107"/>
    </row>
    <row r="619" spans="2:2" x14ac:dyDescent="0.35">
      <c r="B619" s="107"/>
    </row>
    <row r="620" spans="2:2" x14ac:dyDescent="0.35">
      <c r="B620" s="107"/>
    </row>
    <row r="621" spans="2:2" x14ac:dyDescent="0.35">
      <c r="B621" s="107"/>
    </row>
    <row r="622" spans="2:2" x14ac:dyDescent="0.35">
      <c r="B622" s="107"/>
    </row>
    <row r="623" spans="2:2" x14ac:dyDescent="0.35">
      <c r="B623" s="107"/>
    </row>
    <row r="624" spans="2:2" x14ac:dyDescent="0.35">
      <c r="B624" s="107"/>
    </row>
    <row r="625" spans="2:2" x14ac:dyDescent="0.35">
      <c r="B625" s="107"/>
    </row>
    <row r="626" spans="2:2" x14ac:dyDescent="0.35">
      <c r="B626" s="107"/>
    </row>
    <row r="627" spans="2:2" x14ac:dyDescent="0.35">
      <c r="B627" s="107"/>
    </row>
    <row r="628" spans="2:2" x14ac:dyDescent="0.35">
      <c r="B628" s="107"/>
    </row>
    <row r="629" spans="2:2" x14ac:dyDescent="0.35">
      <c r="B629" s="107"/>
    </row>
    <row r="630" spans="2:2" x14ac:dyDescent="0.35">
      <c r="B630" s="107"/>
    </row>
    <row r="631" spans="2:2" x14ac:dyDescent="0.35">
      <c r="B631" s="107"/>
    </row>
    <row r="632" spans="2:2" x14ac:dyDescent="0.35">
      <c r="B632" s="107"/>
    </row>
    <row r="633" spans="2:2" x14ac:dyDescent="0.35">
      <c r="B633" s="107"/>
    </row>
    <row r="634" spans="2:2" x14ac:dyDescent="0.35">
      <c r="B634" s="107"/>
    </row>
    <row r="635" spans="2:2" x14ac:dyDescent="0.35">
      <c r="B635" s="107"/>
    </row>
    <row r="636" spans="2:2" x14ac:dyDescent="0.35">
      <c r="B636" s="107"/>
    </row>
    <row r="637" spans="2:2" x14ac:dyDescent="0.35">
      <c r="B637" s="107"/>
    </row>
    <row r="638" spans="2:2" x14ac:dyDescent="0.35">
      <c r="B638" s="107"/>
    </row>
    <row r="639" spans="2:2" x14ac:dyDescent="0.35">
      <c r="B639" s="107"/>
    </row>
    <row r="640" spans="2:2" x14ac:dyDescent="0.35">
      <c r="B640" s="107"/>
    </row>
    <row r="641" spans="2:2" x14ac:dyDescent="0.35">
      <c r="B641" s="107"/>
    </row>
    <row r="642" spans="2:2" x14ac:dyDescent="0.35">
      <c r="B642" s="107"/>
    </row>
    <row r="643" spans="2:2" x14ac:dyDescent="0.35">
      <c r="B643" s="107"/>
    </row>
    <row r="644" spans="2:2" x14ac:dyDescent="0.35">
      <c r="B644" s="107"/>
    </row>
    <row r="645" spans="2:2" x14ac:dyDescent="0.35">
      <c r="B645" s="107"/>
    </row>
    <row r="646" spans="2:2" x14ac:dyDescent="0.35">
      <c r="B646" s="107"/>
    </row>
    <row r="647" spans="2:2" x14ac:dyDescent="0.35">
      <c r="B647" s="107"/>
    </row>
    <row r="648" spans="2:2" x14ac:dyDescent="0.35">
      <c r="B648" s="107"/>
    </row>
    <row r="649" spans="2:2" x14ac:dyDescent="0.35">
      <c r="B649" s="107"/>
    </row>
    <row r="650" spans="2:2" x14ac:dyDescent="0.35">
      <c r="B650" s="107"/>
    </row>
    <row r="651" spans="2:2" x14ac:dyDescent="0.35">
      <c r="B651" s="107"/>
    </row>
    <row r="652" spans="2:2" x14ac:dyDescent="0.35">
      <c r="B652" s="107"/>
    </row>
    <row r="653" spans="2:2" x14ac:dyDescent="0.35">
      <c r="B653" s="107"/>
    </row>
    <row r="654" spans="2:2" x14ac:dyDescent="0.35">
      <c r="B654" s="107"/>
    </row>
    <row r="655" spans="2:2" x14ac:dyDescent="0.35">
      <c r="B655" s="107"/>
    </row>
    <row r="656" spans="2:2" x14ac:dyDescent="0.35">
      <c r="B656" s="107"/>
    </row>
    <row r="657" spans="2:2" x14ac:dyDescent="0.35">
      <c r="B657" s="107"/>
    </row>
    <row r="658" spans="2:2" x14ac:dyDescent="0.35">
      <c r="B658" s="107"/>
    </row>
    <row r="659" spans="2:2" x14ac:dyDescent="0.35">
      <c r="B659" s="107"/>
    </row>
    <row r="660" spans="2:2" x14ac:dyDescent="0.35">
      <c r="B660" s="107"/>
    </row>
    <row r="661" spans="2:2" x14ac:dyDescent="0.35">
      <c r="B661" s="107"/>
    </row>
    <row r="662" spans="2:2" x14ac:dyDescent="0.35">
      <c r="B662" s="107"/>
    </row>
    <row r="663" spans="2:2" x14ac:dyDescent="0.35">
      <c r="B663" s="107"/>
    </row>
    <row r="664" spans="2:2" x14ac:dyDescent="0.35">
      <c r="B664" s="107"/>
    </row>
    <row r="665" spans="2:2" x14ac:dyDescent="0.35">
      <c r="B665" s="107"/>
    </row>
    <row r="666" spans="2:2" x14ac:dyDescent="0.35">
      <c r="B666" s="107"/>
    </row>
    <row r="667" spans="2:2" x14ac:dyDescent="0.35">
      <c r="B667" s="107"/>
    </row>
    <row r="668" spans="2:2" x14ac:dyDescent="0.35">
      <c r="B668" s="107"/>
    </row>
    <row r="669" spans="2:2" x14ac:dyDescent="0.35">
      <c r="B669" s="107"/>
    </row>
    <row r="670" spans="2:2" x14ac:dyDescent="0.35">
      <c r="B670" s="107"/>
    </row>
    <row r="671" spans="2:2" x14ac:dyDescent="0.35">
      <c r="B671" s="107"/>
    </row>
    <row r="672" spans="2:2" x14ac:dyDescent="0.35">
      <c r="B672" s="107"/>
    </row>
    <row r="673" spans="2:9" x14ac:dyDescent="0.35">
      <c r="B673" s="107"/>
    </row>
    <row r="674" spans="2:9" x14ac:dyDescent="0.35">
      <c r="B674" s="107"/>
    </row>
    <row r="675" spans="2:9" x14ac:dyDescent="0.35">
      <c r="B675" s="107"/>
    </row>
    <row r="676" spans="2:9" x14ac:dyDescent="0.35">
      <c r="B676" s="107"/>
    </row>
    <row r="677" spans="2:9" x14ac:dyDescent="0.35">
      <c r="B677" s="107"/>
    </row>
    <row r="678" spans="2:9" x14ac:dyDescent="0.35">
      <c r="B678" s="107"/>
    </row>
    <row r="679" spans="2:9" x14ac:dyDescent="0.35">
      <c r="B679" s="107"/>
    </row>
    <row r="680" spans="2:9" x14ac:dyDescent="0.35">
      <c r="B680" s="107"/>
    </row>
    <row r="681" spans="2:9" x14ac:dyDescent="0.35">
      <c r="B681" s="107"/>
    </row>
    <row r="682" spans="2:9" x14ac:dyDescent="0.35">
      <c r="B682" s="107"/>
    </row>
    <row r="683" spans="2:9" x14ac:dyDescent="0.35">
      <c r="B683" s="107"/>
    </row>
    <row r="684" spans="2:9" x14ac:dyDescent="0.35">
      <c r="B684" s="107"/>
    </row>
    <row r="685" spans="2:9" x14ac:dyDescent="0.35">
      <c r="B685" s="107"/>
    </row>
    <row r="686" spans="2:9" x14ac:dyDescent="0.35">
      <c r="B686" s="107"/>
    </row>
    <row r="687" spans="2:9" x14ac:dyDescent="0.35">
      <c r="B687" s="107"/>
    </row>
    <row r="688" spans="2:9" x14ac:dyDescent="0.35">
      <c r="B688" s="156"/>
      <c r="C688" s="157"/>
      <c r="D688" s="157"/>
      <c r="E688" s="157"/>
      <c r="F688" s="157"/>
      <c r="G688" s="157"/>
      <c r="H688" s="157"/>
      <c r="I688" s="1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00E9-DCF4-49A3-B7C2-EF9A05C05F96}">
  <dimension ref="A1:J688"/>
  <sheetViews>
    <sheetView workbookViewId="0">
      <selection activeCell="C24" sqref="C24"/>
    </sheetView>
  </sheetViews>
  <sheetFormatPr defaultRowHeight="15.5" x14ac:dyDescent="0.35"/>
  <cols>
    <col min="2" max="2" width="20.33203125" style="4" customWidth="1"/>
    <col min="3" max="3" width="13.6640625" style="4" bestFit="1" customWidth="1"/>
    <col min="4" max="4" width="30.5" style="4" customWidth="1"/>
    <col min="5" max="5" width="17.1640625" style="4" bestFit="1" customWidth="1"/>
    <col min="6" max="6" width="17.1640625" style="4" customWidth="1"/>
    <col min="7" max="7" width="21.6640625" style="4" customWidth="1"/>
    <col min="8" max="8" width="30.1640625" style="4" bestFit="1" customWidth="1"/>
    <col min="9" max="9" width="7" style="4" bestFit="1" customWidth="1"/>
    <col min="10" max="10" width="13.33203125" style="4" bestFit="1" customWidth="1"/>
  </cols>
  <sheetData>
    <row r="1" spans="1:10" x14ac:dyDescent="0.35">
      <c r="A1" t="s">
        <v>1378</v>
      </c>
      <c r="B1" s="11" t="s">
        <v>0</v>
      </c>
      <c r="C1" s="12" t="s">
        <v>1</v>
      </c>
      <c r="D1" s="12" t="s">
        <v>17</v>
      </c>
      <c r="E1" s="12" t="s">
        <v>5</v>
      </c>
      <c r="F1" s="12" t="s">
        <v>6</v>
      </c>
      <c r="G1" s="12" t="s">
        <v>16</v>
      </c>
      <c r="H1" s="12" t="s">
        <v>18</v>
      </c>
      <c r="I1" s="12" t="s">
        <v>19</v>
      </c>
      <c r="J1" s="13" t="s">
        <v>12</v>
      </c>
    </row>
    <row r="2" spans="1:10" x14ac:dyDescent="0.35">
      <c r="A2" t="s">
        <v>1387</v>
      </c>
      <c r="B2" s="20" t="s">
        <v>33</v>
      </c>
      <c r="C2" s="21" t="s">
        <v>34</v>
      </c>
      <c r="D2" s="21">
        <v>-66</v>
      </c>
      <c r="E2" s="32">
        <f t="shared" ref="E2:E11" si="0">(-0.0157*D2)+66.016</f>
        <v>67.052199999999999</v>
      </c>
      <c r="F2" s="27" t="s">
        <v>27</v>
      </c>
      <c r="G2" s="32">
        <v>-1.0121999999999929</v>
      </c>
      <c r="H2" s="21">
        <v>26.7</v>
      </c>
      <c r="I2" s="21">
        <v>1.5</v>
      </c>
      <c r="J2" s="25">
        <v>4.0999999999999979</v>
      </c>
    </row>
    <row r="3" spans="1:10" x14ac:dyDescent="0.35">
      <c r="A3" t="s">
        <v>1387</v>
      </c>
      <c r="B3" s="17" t="s">
        <v>33</v>
      </c>
      <c r="C3" s="5" t="s">
        <v>47</v>
      </c>
      <c r="D3" s="5">
        <v>-66</v>
      </c>
      <c r="E3" s="18">
        <f t="shared" si="0"/>
        <v>67.052199999999999</v>
      </c>
      <c r="F3" s="61" t="s">
        <v>27</v>
      </c>
      <c r="G3" s="18">
        <v>-1.0121999999999929</v>
      </c>
      <c r="H3" s="5">
        <v>25.9</v>
      </c>
      <c r="I3" s="5">
        <v>4</v>
      </c>
      <c r="J3" s="63">
        <v>3.2999999999999972</v>
      </c>
    </row>
    <row r="4" spans="1:10" x14ac:dyDescent="0.35">
      <c r="A4" t="s">
        <v>1387</v>
      </c>
      <c r="B4" s="17" t="s">
        <v>33</v>
      </c>
      <c r="C4" s="5" t="s">
        <v>51</v>
      </c>
      <c r="D4" s="5">
        <v>-26</v>
      </c>
      <c r="E4" s="18">
        <f t="shared" si="0"/>
        <v>66.424199999999999</v>
      </c>
      <c r="F4" s="61" t="s">
        <v>27</v>
      </c>
      <c r="G4" s="18">
        <v>-0.38419999999999277</v>
      </c>
      <c r="H4" s="5">
        <v>30.5</v>
      </c>
      <c r="I4" s="5">
        <v>3.5</v>
      </c>
      <c r="J4" s="63">
        <v>7.8999999999999986</v>
      </c>
    </row>
    <row r="5" spans="1:10" x14ac:dyDescent="0.35">
      <c r="A5" t="s">
        <v>1387</v>
      </c>
      <c r="B5" s="17" t="s">
        <v>33</v>
      </c>
      <c r="C5" s="5" t="s">
        <v>54</v>
      </c>
      <c r="D5" s="5">
        <v>-25</v>
      </c>
      <c r="E5" s="18">
        <f t="shared" si="0"/>
        <v>66.408500000000004</v>
      </c>
      <c r="F5" s="61" t="s">
        <v>27</v>
      </c>
      <c r="G5" s="18">
        <v>-0.36849999999999739</v>
      </c>
      <c r="H5" s="5">
        <v>30.4</v>
      </c>
      <c r="I5" s="5">
        <v>1.5</v>
      </c>
      <c r="J5" s="63">
        <v>7.7999999999999972</v>
      </c>
    </row>
    <row r="6" spans="1:10" x14ac:dyDescent="0.35">
      <c r="A6" t="s">
        <v>1387</v>
      </c>
      <c r="B6" s="17" t="s">
        <v>33</v>
      </c>
      <c r="C6" s="5" t="s">
        <v>57</v>
      </c>
      <c r="D6" s="5">
        <v>-10.7</v>
      </c>
      <c r="E6" s="18">
        <f t="shared" si="0"/>
        <v>66.183990000000009</v>
      </c>
      <c r="F6" s="61" t="s">
        <v>27</v>
      </c>
      <c r="G6" s="18">
        <v>-0.14399000000000228</v>
      </c>
      <c r="H6" s="5">
        <v>25.1</v>
      </c>
      <c r="I6" s="5">
        <v>2</v>
      </c>
      <c r="J6" s="63">
        <v>2.5</v>
      </c>
    </row>
    <row r="7" spans="1:10" x14ac:dyDescent="0.35">
      <c r="A7" t="s">
        <v>1387</v>
      </c>
      <c r="B7" s="17" t="s">
        <v>33</v>
      </c>
      <c r="C7" s="5" t="s">
        <v>60</v>
      </c>
      <c r="D7" s="5">
        <v>-4.3</v>
      </c>
      <c r="E7" s="18">
        <f t="shared" si="0"/>
        <v>66.083510000000004</v>
      </c>
      <c r="F7" s="61" t="s">
        <v>27</v>
      </c>
      <c r="G7" s="18">
        <v>-4.3509999999997717E-2</v>
      </c>
      <c r="H7" s="5">
        <v>22.9</v>
      </c>
      <c r="I7" s="5">
        <v>2</v>
      </c>
      <c r="J7" s="63">
        <v>0.29999999999999716</v>
      </c>
    </row>
    <row r="8" spans="1:10" x14ac:dyDescent="0.35">
      <c r="A8" t="s">
        <v>1387</v>
      </c>
      <c r="B8" s="17" t="s">
        <v>33</v>
      </c>
      <c r="C8" s="5" t="s">
        <v>64</v>
      </c>
      <c r="D8" s="5">
        <v>-1.5</v>
      </c>
      <c r="E8" s="18">
        <f t="shared" si="0"/>
        <v>66.039550000000006</v>
      </c>
      <c r="F8" s="61" t="s">
        <v>27</v>
      </c>
      <c r="G8" s="18">
        <v>4.500000000007276E-4</v>
      </c>
      <c r="H8" s="5">
        <v>22.6</v>
      </c>
      <c r="I8" s="5">
        <v>3.5</v>
      </c>
      <c r="J8" s="63">
        <v>0</v>
      </c>
    </row>
    <row r="9" spans="1:10" x14ac:dyDescent="0.35">
      <c r="A9" t="s">
        <v>1387</v>
      </c>
      <c r="B9" s="17" t="s">
        <v>33</v>
      </c>
      <c r="C9" s="5" t="s">
        <v>67</v>
      </c>
      <c r="D9" s="5">
        <v>34</v>
      </c>
      <c r="E9" s="18">
        <f t="shared" si="0"/>
        <v>65.482200000000006</v>
      </c>
      <c r="F9" s="61" t="s">
        <v>27</v>
      </c>
      <c r="G9" s="18">
        <v>0.5578000000000003</v>
      </c>
      <c r="H9" s="5">
        <v>28.3</v>
      </c>
      <c r="I9" s="5">
        <v>2</v>
      </c>
      <c r="J9" s="63">
        <v>5.6999999999999993</v>
      </c>
    </row>
    <row r="10" spans="1:10" x14ac:dyDescent="0.35">
      <c r="A10" t="s">
        <v>1387</v>
      </c>
      <c r="B10" s="17" t="s">
        <v>33</v>
      </c>
      <c r="C10" s="5" t="s">
        <v>70</v>
      </c>
      <c r="D10" s="5">
        <v>35</v>
      </c>
      <c r="E10" s="18">
        <f t="shared" si="0"/>
        <v>65.466500000000011</v>
      </c>
      <c r="F10" s="61" t="s">
        <v>27</v>
      </c>
      <c r="G10" s="18">
        <v>0.57349999999999568</v>
      </c>
      <c r="H10" s="5">
        <v>24.3</v>
      </c>
      <c r="I10" s="5">
        <v>2.5</v>
      </c>
      <c r="J10" s="63">
        <v>1.6999999999999993</v>
      </c>
    </row>
    <row r="11" spans="1:10" x14ac:dyDescent="0.35">
      <c r="A11" t="s">
        <v>1387</v>
      </c>
      <c r="B11" s="17" t="s">
        <v>33</v>
      </c>
      <c r="C11" s="5" t="s">
        <v>73</v>
      </c>
      <c r="D11" s="5">
        <v>54</v>
      </c>
      <c r="E11" s="18">
        <f t="shared" si="0"/>
        <v>65.168199999999999</v>
      </c>
      <c r="F11" s="61" t="s">
        <v>27</v>
      </c>
      <c r="G11" s="18">
        <v>0.87180000000000746</v>
      </c>
      <c r="H11" s="5">
        <v>22</v>
      </c>
      <c r="I11" s="5">
        <v>2</v>
      </c>
      <c r="J11" s="63">
        <v>-0.60000000000000142</v>
      </c>
    </row>
    <row r="12" spans="1:10" x14ac:dyDescent="0.35">
      <c r="A12" t="s">
        <v>1387</v>
      </c>
      <c r="B12" s="17"/>
      <c r="C12" s="5"/>
      <c r="D12" s="5"/>
      <c r="E12" s="18"/>
      <c r="F12" s="61"/>
      <c r="G12" s="18"/>
      <c r="H12" s="5"/>
      <c r="I12" s="5"/>
      <c r="J12" s="63"/>
    </row>
    <row r="13" spans="1:10" x14ac:dyDescent="0.35">
      <c r="A13" t="s">
        <v>1387</v>
      </c>
      <c r="B13" s="17" t="s">
        <v>79</v>
      </c>
      <c r="C13" s="5" t="s">
        <v>80</v>
      </c>
      <c r="D13" s="96"/>
      <c r="E13" s="18">
        <v>68.953000000000003</v>
      </c>
      <c r="F13" s="61" t="s">
        <v>27</v>
      </c>
      <c r="G13" s="18">
        <v>-2.9129999999999967</v>
      </c>
      <c r="H13" s="67">
        <v>6.532</v>
      </c>
      <c r="I13" s="67">
        <v>1.4730000000000001</v>
      </c>
      <c r="J13" s="68">
        <v>-1.1959999999999997</v>
      </c>
    </row>
    <row r="14" spans="1:10" x14ac:dyDescent="0.35">
      <c r="A14" t="s">
        <v>1387</v>
      </c>
      <c r="B14" s="17" t="s">
        <v>79</v>
      </c>
      <c r="C14" s="5" t="s">
        <v>80</v>
      </c>
      <c r="D14" s="59"/>
      <c r="E14" s="18">
        <v>68.8</v>
      </c>
      <c r="F14" s="61" t="s">
        <v>27</v>
      </c>
      <c r="G14" s="18">
        <v>-2.7599999999999909</v>
      </c>
      <c r="H14" s="67">
        <v>1.9810000000000001</v>
      </c>
      <c r="I14" s="67">
        <v>1.63</v>
      </c>
      <c r="J14" s="68">
        <v>-5.7469999999999999</v>
      </c>
    </row>
    <row r="15" spans="1:10" x14ac:dyDescent="0.35">
      <c r="A15" t="s">
        <v>1387</v>
      </c>
      <c r="B15" s="17" t="s">
        <v>79</v>
      </c>
      <c r="C15" s="5" t="s">
        <v>80</v>
      </c>
      <c r="D15" s="59"/>
      <c r="E15" s="18">
        <v>68.727999999999994</v>
      </c>
      <c r="F15" s="61" t="s">
        <v>27</v>
      </c>
      <c r="G15" s="18">
        <v>-2.6879999999999882</v>
      </c>
      <c r="H15" s="67">
        <v>5</v>
      </c>
      <c r="I15" s="67">
        <v>2.1920000000000002</v>
      </c>
      <c r="J15" s="68">
        <v>-2.7279999999999998</v>
      </c>
    </row>
    <row r="16" spans="1:10" x14ac:dyDescent="0.35">
      <c r="A16" t="s">
        <v>1387</v>
      </c>
      <c r="B16" s="17" t="s">
        <v>79</v>
      </c>
      <c r="C16" s="5" t="s">
        <v>80</v>
      </c>
      <c r="D16" s="59"/>
      <c r="E16" s="18">
        <v>67.959000000000003</v>
      </c>
      <c r="F16" s="61" t="s">
        <v>27</v>
      </c>
      <c r="G16" s="18">
        <v>-1.9189999999999969</v>
      </c>
      <c r="H16" s="67">
        <v>10.435</v>
      </c>
      <c r="I16" s="67">
        <v>2.0779999999999998</v>
      </c>
      <c r="J16" s="68">
        <v>2.7070000000000007</v>
      </c>
    </row>
    <row r="17" spans="1:10" x14ac:dyDescent="0.35">
      <c r="A17" t="s">
        <v>1387</v>
      </c>
      <c r="B17" s="17" t="s">
        <v>79</v>
      </c>
      <c r="C17" s="5" t="s">
        <v>80</v>
      </c>
      <c r="D17" s="98"/>
      <c r="E17" s="18">
        <v>67.83</v>
      </c>
      <c r="F17" s="61" t="s">
        <v>27</v>
      </c>
      <c r="G17" s="18">
        <v>-1.789999999999992</v>
      </c>
      <c r="H17" s="67">
        <v>14.191000000000001</v>
      </c>
      <c r="I17" s="67">
        <v>2.254</v>
      </c>
      <c r="J17" s="68">
        <v>6.463000000000001</v>
      </c>
    </row>
    <row r="18" spans="1:10" x14ac:dyDescent="0.35">
      <c r="A18" t="s">
        <v>1387</v>
      </c>
      <c r="B18" s="17" t="s">
        <v>79</v>
      </c>
      <c r="C18" s="5" t="s">
        <v>80</v>
      </c>
      <c r="D18" s="5"/>
      <c r="E18" s="18">
        <v>67.653000000000006</v>
      </c>
      <c r="F18" s="61" t="s">
        <v>27</v>
      </c>
      <c r="G18" s="18">
        <v>-1.6129999999999995</v>
      </c>
      <c r="H18" s="67">
        <v>7.7119999999999997</v>
      </c>
      <c r="I18" s="67">
        <v>1.657</v>
      </c>
      <c r="J18" s="68">
        <v>-1.6000000000000014E-2</v>
      </c>
    </row>
    <row r="19" spans="1:10" x14ac:dyDescent="0.35">
      <c r="A19" t="s">
        <v>1387</v>
      </c>
      <c r="B19" s="17" t="s">
        <v>79</v>
      </c>
      <c r="C19" s="5" t="s">
        <v>80</v>
      </c>
      <c r="D19" s="5"/>
      <c r="E19" s="18">
        <v>67.346000000000004</v>
      </c>
      <c r="F19" s="61" t="s">
        <v>27</v>
      </c>
      <c r="G19" s="18">
        <v>-1.3059999999999974</v>
      </c>
      <c r="H19" s="67">
        <v>11.625999999999999</v>
      </c>
      <c r="I19" s="67">
        <v>2.1720000000000002</v>
      </c>
      <c r="J19" s="68">
        <v>3.8979999999999997</v>
      </c>
    </row>
    <row r="20" spans="1:10" x14ac:dyDescent="0.35">
      <c r="A20" t="s">
        <v>1387</v>
      </c>
      <c r="B20" s="17" t="s">
        <v>79</v>
      </c>
      <c r="C20" s="5" t="s">
        <v>80</v>
      </c>
      <c r="D20" s="5"/>
      <c r="E20" s="18">
        <v>66.971000000000004</v>
      </c>
      <c r="F20" s="61" t="s">
        <v>27</v>
      </c>
      <c r="G20" s="18">
        <v>-0.93099999999999739</v>
      </c>
      <c r="H20" s="67">
        <v>10.696999999999999</v>
      </c>
      <c r="I20" s="67">
        <v>1.446</v>
      </c>
      <c r="J20" s="68">
        <v>2.9689999999999994</v>
      </c>
    </row>
    <row r="21" spans="1:10" x14ac:dyDescent="0.35">
      <c r="A21" t="s">
        <v>1387</v>
      </c>
      <c r="B21" s="17" t="s">
        <v>79</v>
      </c>
      <c r="C21" s="5" t="s">
        <v>80</v>
      </c>
      <c r="D21" s="5"/>
      <c r="E21" s="18">
        <v>66.902000000000001</v>
      </c>
      <c r="F21" s="61" t="s">
        <v>27</v>
      </c>
      <c r="G21" s="18">
        <v>-0.86199999999999477</v>
      </c>
      <c r="H21" s="67">
        <v>10.8</v>
      </c>
      <c r="I21" s="67">
        <v>3.4</v>
      </c>
      <c r="J21" s="68">
        <v>3.072000000000001</v>
      </c>
    </row>
    <row r="22" spans="1:10" x14ac:dyDescent="0.35">
      <c r="A22" t="s">
        <v>1387</v>
      </c>
      <c r="B22" s="17" t="s">
        <v>79</v>
      </c>
      <c r="C22" s="5" t="s">
        <v>80</v>
      </c>
      <c r="D22" s="5"/>
      <c r="E22" s="18">
        <v>66.497</v>
      </c>
      <c r="F22" s="61" t="s">
        <v>27</v>
      </c>
      <c r="G22" s="18">
        <v>-0.45699999999999363</v>
      </c>
      <c r="H22" s="67">
        <v>6.4340000000000002</v>
      </c>
      <c r="I22" s="67">
        <v>2.5710000000000002</v>
      </c>
      <c r="J22" s="68">
        <v>-1.2939999999999996</v>
      </c>
    </row>
    <row r="23" spans="1:10" x14ac:dyDescent="0.35">
      <c r="A23" t="s">
        <v>1387</v>
      </c>
      <c r="B23" s="17" t="s">
        <v>79</v>
      </c>
      <c r="C23" s="5" t="s">
        <v>80</v>
      </c>
      <c r="D23" s="5"/>
      <c r="E23" s="18">
        <v>66.308999999999997</v>
      </c>
      <c r="F23" s="61" t="s">
        <v>27</v>
      </c>
      <c r="G23" s="18">
        <v>-0.26899999999999125</v>
      </c>
      <c r="H23" s="67">
        <v>6.0119999999999996</v>
      </c>
      <c r="I23" s="67">
        <v>2.036</v>
      </c>
      <c r="J23" s="68">
        <v>-1.7160000000000002</v>
      </c>
    </row>
    <row r="24" spans="1:10" x14ac:dyDescent="0.35">
      <c r="A24" t="s">
        <v>1387</v>
      </c>
      <c r="B24" s="17" t="s">
        <v>79</v>
      </c>
      <c r="C24" s="5" t="s">
        <v>80</v>
      </c>
      <c r="D24" s="5"/>
      <c r="E24" s="18">
        <v>66.244</v>
      </c>
      <c r="F24" s="61" t="s">
        <v>27</v>
      </c>
      <c r="G24" s="18">
        <v>-0.20399999999999352</v>
      </c>
      <c r="H24" s="67">
        <v>3.6909999999999998</v>
      </c>
      <c r="I24" s="67">
        <v>2.2200000000000002</v>
      </c>
      <c r="J24" s="68">
        <v>-4.0369999999999999</v>
      </c>
    </row>
    <row r="25" spans="1:10" x14ac:dyDescent="0.35">
      <c r="A25" t="s">
        <v>1387</v>
      </c>
      <c r="B25" s="17" t="s">
        <v>79</v>
      </c>
      <c r="C25" s="5" t="s">
        <v>80</v>
      </c>
      <c r="D25" s="5"/>
      <c r="E25" s="18">
        <v>66.201999999999998</v>
      </c>
      <c r="F25" s="61" t="s">
        <v>27</v>
      </c>
      <c r="G25" s="18">
        <v>-0.16199999999999193</v>
      </c>
      <c r="H25" s="67">
        <v>11.512</v>
      </c>
      <c r="I25" s="67">
        <v>2.4009999999999998</v>
      </c>
      <c r="J25" s="68">
        <v>3.7840000000000007</v>
      </c>
    </row>
    <row r="26" spans="1:10" x14ac:dyDescent="0.35">
      <c r="A26" t="s">
        <v>1387</v>
      </c>
      <c r="B26" s="17" t="s">
        <v>79</v>
      </c>
      <c r="C26" s="5" t="s">
        <v>80</v>
      </c>
      <c r="D26" s="5"/>
      <c r="E26" s="18">
        <v>66.168999999999997</v>
      </c>
      <c r="F26" s="61" t="s">
        <v>27</v>
      </c>
      <c r="G26" s="18">
        <v>-0.12899999999999068</v>
      </c>
      <c r="H26" s="67">
        <v>8.6999999999999993</v>
      </c>
      <c r="I26" s="67">
        <v>2.3330000000000002</v>
      </c>
      <c r="J26" s="68">
        <v>0.97199999999999953</v>
      </c>
    </row>
    <row r="27" spans="1:10" x14ac:dyDescent="0.35">
      <c r="A27" t="s">
        <v>1387</v>
      </c>
      <c r="B27" s="17" t="s">
        <v>79</v>
      </c>
      <c r="C27" s="5" t="s">
        <v>80</v>
      </c>
      <c r="D27" s="5"/>
      <c r="E27" s="18">
        <v>66.08</v>
      </c>
      <c r="F27" s="61" t="s">
        <v>27</v>
      </c>
      <c r="G27" s="18">
        <v>-3.9999999999992042E-2</v>
      </c>
      <c r="H27" s="67">
        <v>6.5919999999999996</v>
      </c>
      <c r="I27" s="67">
        <v>2.5449999999999999</v>
      </c>
      <c r="J27" s="68">
        <v>-1.1360000000000001</v>
      </c>
    </row>
    <row r="28" spans="1:10" x14ac:dyDescent="0.35">
      <c r="A28" t="s">
        <v>1387</v>
      </c>
      <c r="B28" s="17" t="s">
        <v>79</v>
      </c>
      <c r="C28" s="5" t="s">
        <v>80</v>
      </c>
      <c r="D28" s="5"/>
      <c r="E28" s="18">
        <v>66.045000000000002</v>
      </c>
      <c r="F28" s="61" t="s">
        <v>27</v>
      </c>
      <c r="G28" s="18">
        <v>-4.9999999999954525E-3</v>
      </c>
      <c r="H28" s="67">
        <v>7.7279999999999998</v>
      </c>
      <c r="I28" s="67">
        <v>1.236</v>
      </c>
      <c r="J28" s="68">
        <v>0</v>
      </c>
    </row>
    <row r="29" spans="1:10" x14ac:dyDescent="0.35">
      <c r="A29" t="s">
        <v>1387</v>
      </c>
      <c r="B29" s="17" t="s">
        <v>79</v>
      </c>
      <c r="C29" s="5" t="s">
        <v>80</v>
      </c>
      <c r="D29" s="5"/>
      <c r="E29" s="18">
        <v>65.995000000000005</v>
      </c>
      <c r="F29" s="61" t="s">
        <v>27</v>
      </c>
      <c r="G29" s="18">
        <v>4.5000000000001705E-2</v>
      </c>
      <c r="H29" s="67">
        <v>6.4569999999999999</v>
      </c>
      <c r="I29" s="67">
        <v>2.2970000000000002</v>
      </c>
      <c r="J29" s="68">
        <v>-1.2709999999999999</v>
      </c>
    </row>
    <row r="30" spans="1:10" x14ac:dyDescent="0.35">
      <c r="A30" t="s">
        <v>1387</v>
      </c>
      <c r="B30" s="102" t="s">
        <v>79</v>
      </c>
      <c r="C30" s="9" t="s">
        <v>80</v>
      </c>
      <c r="D30" s="9"/>
      <c r="E30" s="113">
        <v>65.808000000000007</v>
      </c>
      <c r="F30" s="104" t="s">
        <v>27</v>
      </c>
      <c r="G30" s="113">
        <v>0.23199999999999932</v>
      </c>
      <c r="H30" s="105">
        <v>1.77</v>
      </c>
      <c r="I30" s="105">
        <v>2.58</v>
      </c>
      <c r="J30" s="106">
        <v>-5.9580000000000002</v>
      </c>
    </row>
    <row r="31" spans="1:10" x14ac:dyDescent="0.35">
      <c r="B31" s="116"/>
      <c r="C31" s="117"/>
      <c r="F31" s="7"/>
      <c r="J31" s="115"/>
    </row>
    <row r="32" spans="1:10" x14ac:dyDescent="0.35">
      <c r="B32" s="116"/>
      <c r="C32" s="117"/>
      <c r="J32" s="115"/>
    </row>
    <row r="33" spans="2:10" x14ac:dyDescent="0.35">
      <c r="B33" s="107"/>
      <c r="J33" s="115"/>
    </row>
    <row r="34" spans="2:10" x14ac:dyDescent="0.35">
      <c r="B34" s="107"/>
      <c r="J34" s="115"/>
    </row>
    <row r="35" spans="2:10" x14ac:dyDescent="0.35">
      <c r="B35" s="107"/>
      <c r="J35" s="115"/>
    </row>
    <row r="36" spans="2:10" x14ac:dyDescent="0.35">
      <c r="B36" s="107"/>
      <c r="J36" s="115"/>
    </row>
    <row r="37" spans="2:10" x14ac:dyDescent="0.35">
      <c r="B37" s="107"/>
      <c r="J37" s="115"/>
    </row>
    <row r="38" spans="2:10" x14ac:dyDescent="0.35">
      <c r="B38" s="107"/>
      <c r="J38" s="115"/>
    </row>
    <row r="39" spans="2:10" x14ac:dyDescent="0.35">
      <c r="B39" s="107"/>
      <c r="J39" s="115"/>
    </row>
    <row r="40" spans="2:10" x14ac:dyDescent="0.35">
      <c r="B40" s="107"/>
      <c r="J40" s="115"/>
    </row>
    <row r="41" spans="2:10" x14ac:dyDescent="0.35">
      <c r="B41" s="107"/>
      <c r="J41" s="115"/>
    </row>
    <row r="42" spans="2:10" x14ac:dyDescent="0.35">
      <c r="B42" s="107"/>
      <c r="J42" s="115"/>
    </row>
    <row r="43" spans="2:10" x14ac:dyDescent="0.35">
      <c r="B43" s="107"/>
      <c r="J43" s="115"/>
    </row>
    <row r="44" spans="2:10" x14ac:dyDescent="0.35">
      <c r="B44" s="107"/>
      <c r="J44" s="115"/>
    </row>
    <row r="45" spans="2:10" x14ac:dyDescent="0.35">
      <c r="B45" s="107"/>
      <c r="J45" s="115"/>
    </row>
    <row r="46" spans="2:10" x14ac:dyDescent="0.35">
      <c r="B46" s="107"/>
      <c r="J46" s="115"/>
    </row>
    <row r="47" spans="2:10" x14ac:dyDescent="0.35">
      <c r="B47" s="107"/>
      <c r="J47" s="115"/>
    </row>
    <row r="48" spans="2:10" x14ac:dyDescent="0.35">
      <c r="B48" s="107"/>
      <c r="J48" s="115"/>
    </row>
    <row r="49" spans="2:10" x14ac:dyDescent="0.35">
      <c r="B49" s="107"/>
      <c r="J49" s="115"/>
    </row>
    <row r="50" spans="2:10" x14ac:dyDescent="0.35">
      <c r="B50" s="107"/>
      <c r="J50" s="115"/>
    </row>
    <row r="51" spans="2:10" x14ac:dyDescent="0.35">
      <c r="B51" s="107"/>
      <c r="J51" s="115"/>
    </row>
    <row r="52" spans="2:10" x14ac:dyDescent="0.35">
      <c r="B52" s="107"/>
      <c r="J52" s="115"/>
    </row>
    <row r="53" spans="2:10" x14ac:dyDescent="0.35">
      <c r="B53" s="107"/>
      <c r="J53" s="115"/>
    </row>
    <row r="54" spans="2:10" x14ac:dyDescent="0.35">
      <c r="B54" s="107"/>
      <c r="J54" s="115"/>
    </row>
    <row r="55" spans="2:10" x14ac:dyDescent="0.35">
      <c r="B55" s="107"/>
      <c r="J55" s="115"/>
    </row>
    <row r="56" spans="2:10" x14ac:dyDescent="0.35">
      <c r="B56" s="107"/>
      <c r="J56" s="115"/>
    </row>
    <row r="57" spans="2:10" x14ac:dyDescent="0.35">
      <c r="B57" s="107"/>
      <c r="J57" s="115"/>
    </row>
    <row r="58" spans="2:10" x14ac:dyDescent="0.35">
      <c r="B58" s="107"/>
      <c r="J58" s="115"/>
    </row>
    <row r="59" spans="2:10" x14ac:dyDescent="0.35">
      <c r="B59" s="107"/>
      <c r="J59" s="115"/>
    </row>
    <row r="60" spans="2:10" x14ac:dyDescent="0.35">
      <c r="B60" s="107"/>
      <c r="J60" s="115"/>
    </row>
    <row r="61" spans="2:10" x14ac:dyDescent="0.35">
      <c r="B61" s="107"/>
      <c r="J61" s="115"/>
    </row>
    <row r="62" spans="2:10" x14ac:dyDescent="0.35">
      <c r="B62" s="107"/>
      <c r="J62" s="115"/>
    </row>
    <row r="63" spans="2:10" x14ac:dyDescent="0.35">
      <c r="B63" s="107"/>
      <c r="J63" s="115"/>
    </row>
    <row r="64" spans="2:10" x14ac:dyDescent="0.35">
      <c r="B64" s="107"/>
      <c r="J64" s="115"/>
    </row>
    <row r="65" spans="2:10" x14ac:dyDescent="0.35">
      <c r="B65" s="107"/>
      <c r="J65" s="115"/>
    </row>
    <row r="66" spans="2:10" x14ac:dyDescent="0.35">
      <c r="B66" s="107"/>
      <c r="J66" s="115"/>
    </row>
    <row r="67" spans="2:10" x14ac:dyDescent="0.35">
      <c r="B67" s="107"/>
      <c r="J67" s="115"/>
    </row>
    <row r="68" spans="2:10" x14ac:dyDescent="0.35">
      <c r="B68" s="107"/>
      <c r="J68" s="115"/>
    </row>
    <row r="69" spans="2:10" x14ac:dyDescent="0.35">
      <c r="B69" s="107"/>
      <c r="J69" s="115"/>
    </row>
    <row r="70" spans="2:10" x14ac:dyDescent="0.35">
      <c r="B70" s="107"/>
      <c r="J70" s="115"/>
    </row>
    <row r="71" spans="2:10" x14ac:dyDescent="0.35">
      <c r="B71" s="107"/>
      <c r="J71" s="115"/>
    </row>
    <row r="72" spans="2:10" x14ac:dyDescent="0.35">
      <c r="B72" s="107"/>
      <c r="J72" s="115"/>
    </row>
    <row r="73" spans="2:10" x14ac:dyDescent="0.35">
      <c r="B73" s="107"/>
      <c r="J73" s="115"/>
    </row>
    <row r="74" spans="2:10" x14ac:dyDescent="0.35">
      <c r="B74" s="107"/>
      <c r="J74" s="115"/>
    </row>
    <row r="75" spans="2:10" x14ac:dyDescent="0.35">
      <c r="B75" s="107"/>
      <c r="J75" s="115"/>
    </row>
    <row r="76" spans="2:10" x14ac:dyDescent="0.35">
      <c r="B76" s="107"/>
      <c r="J76" s="115"/>
    </row>
    <row r="77" spans="2:10" x14ac:dyDescent="0.35">
      <c r="B77" s="107"/>
      <c r="J77" s="115"/>
    </row>
    <row r="78" spans="2:10" x14ac:dyDescent="0.35">
      <c r="B78" s="107"/>
      <c r="J78" s="115"/>
    </row>
    <row r="79" spans="2:10" x14ac:dyDescent="0.35">
      <c r="B79" s="107"/>
      <c r="J79" s="115"/>
    </row>
    <row r="80" spans="2:10" x14ac:dyDescent="0.35">
      <c r="B80" s="107"/>
      <c r="J80" s="115"/>
    </row>
    <row r="81" spans="2:10" x14ac:dyDescent="0.35">
      <c r="B81" s="107"/>
      <c r="J81" s="115"/>
    </row>
    <row r="82" spans="2:10" x14ac:dyDescent="0.35">
      <c r="B82" s="107"/>
      <c r="J82" s="115"/>
    </row>
    <row r="83" spans="2:10" x14ac:dyDescent="0.35">
      <c r="B83" s="107"/>
      <c r="J83" s="115"/>
    </row>
    <row r="84" spans="2:10" x14ac:dyDescent="0.35">
      <c r="B84" s="107"/>
      <c r="J84" s="115"/>
    </row>
    <row r="85" spans="2:10" x14ac:dyDescent="0.35">
      <c r="B85" s="107"/>
      <c r="J85" s="115"/>
    </row>
    <row r="86" spans="2:10" x14ac:dyDescent="0.35">
      <c r="B86" s="107"/>
      <c r="J86" s="115"/>
    </row>
    <row r="87" spans="2:10" x14ac:dyDescent="0.35">
      <c r="B87" s="107"/>
      <c r="J87" s="115"/>
    </row>
    <row r="88" spans="2:10" x14ac:dyDescent="0.35">
      <c r="B88" s="107"/>
      <c r="J88" s="115"/>
    </row>
    <row r="89" spans="2:10" x14ac:dyDescent="0.35">
      <c r="B89" s="107"/>
      <c r="J89" s="115"/>
    </row>
    <row r="90" spans="2:10" x14ac:dyDescent="0.35">
      <c r="B90" s="107"/>
      <c r="J90" s="115"/>
    </row>
    <row r="91" spans="2:10" x14ac:dyDescent="0.35">
      <c r="B91" s="107"/>
      <c r="J91" s="115"/>
    </row>
    <row r="92" spans="2:10" x14ac:dyDescent="0.35">
      <c r="B92" s="107"/>
      <c r="J92" s="115"/>
    </row>
    <row r="93" spans="2:10" x14ac:dyDescent="0.35">
      <c r="B93" s="107"/>
      <c r="J93" s="115"/>
    </row>
    <row r="94" spans="2:10" x14ac:dyDescent="0.35">
      <c r="B94" s="107"/>
      <c r="J94" s="115"/>
    </row>
    <row r="95" spans="2:10" x14ac:dyDescent="0.35">
      <c r="B95" s="107"/>
      <c r="J95" s="115"/>
    </row>
    <row r="96" spans="2:10" x14ac:dyDescent="0.35">
      <c r="B96" s="107"/>
      <c r="J96" s="115"/>
    </row>
    <row r="97" spans="2:10" x14ac:dyDescent="0.35">
      <c r="B97" s="107"/>
      <c r="J97" s="115"/>
    </row>
    <row r="98" spans="2:10" x14ac:dyDescent="0.35">
      <c r="B98" s="107"/>
      <c r="J98" s="115"/>
    </row>
    <row r="99" spans="2:10" x14ac:dyDescent="0.35">
      <c r="B99" s="107"/>
      <c r="J99" s="115"/>
    </row>
    <row r="100" spans="2:10" x14ac:dyDescent="0.35">
      <c r="B100" s="107"/>
      <c r="J100" s="115"/>
    </row>
    <row r="101" spans="2:10" x14ac:dyDescent="0.35">
      <c r="B101" s="107"/>
      <c r="J101" s="115"/>
    </row>
    <row r="102" spans="2:10" x14ac:dyDescent="0.35">
      <c r="B102" s="107"/>
      <c r="J102" s="115"/>
    </row>
    <row r="103" spans="2:10" x14ac:dyDescent="0.35">
      <c r="B103" s="107"/>
      <c r="J103" s="115"/>
    </row>
    <row r="104" spans="2:10" x14ac:dyDescent="0.35">
      <c r="B104" s="107"/>
      <c r="J104" s="115"/>
    </row>
    <row r="105" spans="2:10" x14ac:dyDescent="0.35">
      <c r="B105" s="107"/>
      <c r="J105" s="115"/>
    </row>
    <row r="106" spans="2:10" x14ac:dyDescent="0.35">
      <c r="B106" s="107"/>
      <c r="J106" s="115"/>
    </row>
    <row r="107" spans="2:10" x14ac:dyDescent="0.35">
      <c r="B107" s="107"/>
      <c r="J107" s="115"/>
    </row>
    <row r="108" spans="2:10" x14ac:dyDescent="0.35">
      <c r="B108" s="107"/>
      <c r="J108" s="115"/>
    </row>
    <row r="109" spans="2:10" x14ac:dyDescent="0.35">
      <c r="B109" s="107"/>
      <c r="J109" s="115"/>
    </row>
    <row r="110" spans="2:10" x14ac:dyDescent="0.35">
      <c r="B110" s="107"/>
      <c r="J110" s="115"/>
    </row>
    <row r="111" spans="2:10" x14ac:dyDescent="0.35">
      <c r="B111" s="107"/>
      <c r="J111" s="115"/>
    </row>
    <row r="112" spans="2:10" x14ac:dyDescent="0.35">
      <c r="B112" s="107"/>
      <c r="J112" s="115"/>
    </row>
    <row r="113" spans="2:10" x14ac:dyDescent="0.35">
      <c r="B113" s="107"/>
      <c r="J113" s="115"/>
    </row>
    <row r="114" spans="2:10" x14ac:dyDescent="0.35">
      <c r="B114" s="107"/>
      <c r="J114" s="115"/>
    </row>
    <row r="115" spans="2:10" x14ac:dyDescent="0.35">
      <c r="B115" s="107"/>
      <c r="J115" s="115"/>
    </row>
    <row r="116" spans="2:10" x14ac:dyDescent="0.35">
      <c r="B116" s="107"/>
      <c r="J116" s="115"/>
    </row>
    <row r="117" spans="2:10" x14ac:dyDescent="0.35">
      <c r="B117" s="107"/>
      <c r="J117" s="115"/>
    </row>
    <row r="118" spans="2:10" x14ac:dyDescent="0.35">
      <c r="B118" s="107"/>
      <c r="J118" s="115"/>
    </row>
    <row r="119" spans="2:10" x14ac:dyDescent="0.35">
      <c r="B119" s="107"/>
      <c r="J119" s="115"/>
    </row>
    <row r="120" spans="2:10" x14ac:dyDescent="0.35">
      <c r="B120" s="107"/>
      <c r="J120" s="115"/>
    </row>
    <row r="121" spans="2:10" x14ac:dyDescent="0.35">
      <c r="B121" s="107"/>
      <c r="J121" s="115"/>
    </row>
    <row r="122" spans="2:10" x14ac:dyDescent="0.35">
      <c r="B122" s="107"/>
      <c r="J122" s="115"/>
    </row>
    <row r="123" spans="2:10" x14ac:dyDescent="0.35">
      <c r="B123" s="107"/>
      <c r="J123" s="115"/>
    </row>
    <row r="124" spans="2:10" x14ac:dyDescent="0.35">
      <c r="B124" s="107"/>
      <c r="J124" s="115"/>
    </row>
    <row r="125" spans="2:10" x14ac:dyDescent="0.35">
      <c r="B125" s="107"/>
      <c r="J125" s="115"/>
    </row>
    <row r="126" spans="2:10" x14ac:dyDescent="0.35">
      <c r="B126" s="107"/>
      <c r="J126" s="115"/>
    </row>
    <row r="127" spans="2:10" x14ac:dyDescent="0.35">
      <c r="B127" s="107"/>
      <c r="J127" s="115"/>
    </row>
    <row r="128" spans="2:10" x14ac:dyDescent="0.35">
      <c r="B128" s="107"/>
      <c r="J128" s="115"/>
    </row>
    <row r="129" spans="2:10" x14ac:dyDescent="0.35">
      <c r="B129" s="107"/>
      <c r="J129" s="115"/>
    </row>
    <row r="130" spans="2:10" x14ac:dyDescent="0.35">
      <c r="B130" s="107"/>
      <c r="J130" s="115"/>
    </row>
    <row r="131" spans="2:10" x14ac:dyDescent="0.35">
      <c r="B131" s="107"/>
      <c r="J131" s="115"/>
    </row>
    <row r="132" spans="2:10" x14ac:dyDescent="0.35">
      <c r="B132" s="107"/>
      <c r="J132" s="115"/>
    </row>
    <row r="133" spans="2:10" x14ac:dyDescent="0.35">
      <c r="B133" s="107"/>
      <c r="J133" s="115"/>
    </row>
    <row r="134" spans="2:10" x14ac:dyDescent="0.35">
      <c r="B134" s="107"/>
      <c r="J134" s="115"/>
    </row>
    <row r="135" spans="2:10" x14ac:dyDescent="0.35">
      <c r="B135" s="107"/>
      <c r="J135" s="115"/>
    </row>
    <row r="136" spans="2:10" x14ac:dyDescent="0.35">
      <c r="B136" s="107"/>
      <c r="J136" s="115"/>
    </row>
    <row r="137" spans="2:10" x14ac:dyDescent="0.35">
      <c r="B137" s="107"/>
      <c r="J137" s="115"/>
    </row>
    <row r="138" spans="2:10" x14ac:dyDescent="0.35">
      <c r="B138" s="107"/>
      <c r="J138" s="115"/>
    </row>
    <row r="139" spans="2:10" x14ac:dyDescent="0.35">
      <c r="B139" s="107"/>
      <c r="J139" s="115"/>
    </row>
    <row r="140" spans="2:10" x14ac:dyDescent="0.35">
      <c r="B140" s="107"/>
      <c r="J140" s="115"/>
    </row>
    <row r="141" spans="2:10" x14ac:dyDescent="0.35">
      <c r="B141" s="107"/>
      <c r="J141" s="115"/>
    </row>
    <row r="142" spans="2:10" x14ac:dyDescent="0.35">
      <c r="B142" s="107"/>
      <c r="J142" s="115"/>
    </row>
    <row r="143" spans="2:10" x14ac:dyDescent="0.35">
      <c r="B143" s="107"/>
      <c r="J143" s="115"/>
    </row>
    <row r="144" spans="2:10" x14ac:dyDescent="0.35">
      <c r="B144" s="107"/>
      <c r="J144" s="115"/>
    </row>
    <row r="145" spans="2:10" x14ac:dyDescent="0.35">
      <c r="B145" s="107"/>
      <c r="J145" s="115"/>
    </row>
    <row r="146" spans="2:10" x14ac:dyDescent="0.35">
      <c r="B146" s="107"/>
      <c r="J146" s="115"/>
    </row>
    <row r="147" spans="2:10" x14ac:dyDescent="0.35">
      <c r="B147" s="107"/>
      <c r="J147" s="115"/>
    </row>
    <row r="148" spans="2:10" x14ac:dyDescent="0.35">
      <c r="B148" s="107"/>
      <c r="J148" s="115"/>
    </row>
    <row r="149" spans="2:10" x14ac:dyDescent="0.35">
      <c r="B149" s="107"/>
      <c r="J149" s="115"/>
    </row>
    <row r="150" spans="2:10" x14ac:dyDescent="0.35">
      <c r="B150" s="107"/>
      <c r="J150" s="115"/>
    </row>
    <row r="151" spans="2:10" x14ac:dyDescent="0.35">
      <c r="B151" s="107"/>
      <c r="J151" s="115"/>
    </row>
    <row r="152" spans="2:10" x14ac:dyDescent="0.35">
      <c r="B152" s="107"/>
      <c r="J152" s="115"/>
    </row>
    <row r="153" spans="2:10" x14ac:dyDescent="0.35">
      <c r="B153" s="107"/>
      <c r="J153" s="115"/>
    </row>
    <row r="154" spans="2:10" x14ac:dyDescent="0.35">
      <c r="B154" s="107"/>
      <c r="J154" s="115"/>
    </row>
    <row r="155" spans="2:10" x14ac:dyDescent="0.35">
      <c r="B155" s="107"/>
      <c r="J155" s="115"/>
    </row>
    <row r="156" spans="2:10" x14ac:dyDescent="0.35">
      <c r="B156" s="107"/>
      <c r="J156" s="115"/>
    </row>
    <row r="157" spans="2:10" x14ac:dyDescent="0.35">
      <c r="B157" s="107"/>
      <c r="J157" s="115"/>
    </row>
    <row r="158" spans="2:10" x14ac:dyDescent="0.35">
      <c r="B158" s="107"/>
      <c r="J158" s="115"/>
    </row>
    <row r="159" spans="2:10" x14ac:dyDescent="0.35">
      <c r="B159" s="107"/>
      <c r="J159" s="115"/>
    </row>
    <row r="160" spans="2:10" x14ac:dyDescent="0.35">
      <c r="B160" s="107"/>
      <c r="J160" s="115"/>
    </row>
    <row r="161" spans="2:10" x14ac:dyDescent="0.35">
      <c r="B161" s="107"/>
      <c r="J161" s="115"/>
    </row>
    <row r="162" spans="2:10" x14ac:dyDescent="0.35">
      <c r="B162" s="107"/>
      <c r="J162" s="115"/>
    </row>
    <row r="163" spans="2:10" x14ac:dyDescent="0.35">
      <c r="B163" s="107"/>
      <c r="J163" s="115"/>
    </row>
    <row r="164" spans="2:10" x14ac:dyDescent="0.35">
      <c r="B164" s="107"/>
      <c r="J164" s="115"/>
    </row>
    <row r="165" spans="2:10" x14ac:dyDescent="0.35">
      <c r="B165" s="107"/>
      <c r="J165" s="115"/>
    </row>
    <row r="166" spans="2:10" x14ac:dyDescent="0.35">
      <c r="B166" s="107"/>
      <c r="J166" s="115"/>
    </row>
    <row r="167" spans="2:10" x14ac:dyDescent="0.35">
      <c r="B167" s="107"/>
      <c r="J167" s="115"/>
    </row>
    <row r="168" spans="2:10" x14ac:dyDescent="0.35">
      <c r="B168" s="107"/>
      <c r="J168" s="115"/>
    </row>
    <row r="169" spans="2:10" x14ac:dyDescent="0.35">
      <c r="B169" s="107"/>
      <c r="J169" s="115"/>
    </row>
    <row r="170" spans="2:10" x14ac:dyDescent="0.35">
      <c r="B170" s="107"/>
      <c r="J170" s="115"/>
    </row>
    <row r="171" spans="2:10" x14ac:dyDescent="0.35">
      <c r="B171" s="107"/>
      <c r="J171" s="115"/>
    </row>
    <row r="172" spans="2:10" x14ac:dyDescent="0.35">
      <c r="B172" s="107"/>
      <c r="J172" s="115"/>
    </row>
    <row r="173" spans="2:10" x14ac:dyDescent="0.35">
      <c r="B173" s="107"/>
      <c r="J173" s="115"/>
    </row>
    <row r="174" spans="2:10" x14ac:dyDescent="0.35">
      <c r="B174" s="107"/>
      <c r="J174" s="115"/>
    </row>
    <row r="175" spans="2:10" x14ac:dyDescent="0.35">
      <c r="B175" s="107"/>
      <c r="J175" s="115"/>
    </row>
    <row r="176" spans="2:10" x14ac:dyDescent="0.35">
      <c r="B176" s="107"/>
      <c r="J176" s="115"/>
    </row>
    <row r="177" spans="2:10" x14ac:dyDescent="0.35">
      <c r="B177" s="107"/>
      <c r="J177" s="115"/>
    </row>
    <row r="178" spans="2:10" x14ac:dyDescent="0.35">
      <c r="B178" s="107"/>
      <c r="J178" s="115"/>
    </row>
    <row r="179" spans="2:10" x14ac:dyDescent="0.35">
      <c r="B179" s="107"/>
      <c r="J179" s="115"/>
    </row>
    <row r="180" spans="2:10" x14ac:dyDescent="0.35">
      <c r="B180" s="107"/>
      <c r="J180" s="115"/>
    </row>
    <row r="181" spans="2:10" x14ac:dyDescent="0.35">
      <c r="B181" s="107"/>
      <c r="J181" s="115"/>
    </row>
    <row r="182" spans="2:10" x14ac:dyDescent="0.35">
      <c r="B182" s="107"/>
      <c r="J182" s="115"/>
    </row>
    <row r="183" spans="2:10" x14ac:dyDescent="0.35">
      <c r="B183" s="107"/>
      <c r="J183" s="115"/>
    </row>
    <row r="184" spans="2:10" x14ac:dyDescent="0.35">
      <c r="B184" s="107"/>
      <c r="J184" s="115"/>
    </row>
    <row r="185" spans="2:10" x14ac:dyDescent="0.35">
      <c r="B185" s="107"/>
      <c r="J185" s="115"/>
    </row>
    <row r="186" spans="2:10" x14ac:dyDescent="0.35">
      <c r="B186" s="107"/>
      <c r="J186" s="115"/>
    </row>
    <row r="187" spans="2:10" x14ac:dyDescent="0.35">
      <c r="B187" s="107"/>
      <c r="J187" s="115"/>
    </row>
    <row r="188" spans="2:10" x14ac:dyDescent="0.35">
      <c r="B188" s="107"/>
      <c r="J188" s="115"/>
    </row>
    <row r="189" spans="2:10" x14ac:dyDescent="0.35">
      <c r="B189" s="107"/>
      <c r="J189" s="115"/>
    </row>
    <row r="190" spans="2:10" x14ac:dyDescent="0.35">
      <c r="B190" s="107"/>
      <c r="J190" s="115"/>
    </row>
    <row r="191" spans="2:10" x14ac:dyDescent="0.35">
      <c r="B191" s="107"/>
      <c r="J191" s="115"/>
    </row>
    <row r="192" spans="2:10" x14ac:dyDescent="0.35">
      <c r="B192" s="107"/>
      <c r="J192" s="115"/>
    </row>
    <row r="193" spans="2:10" x14ac:dyDescent="0.35">
      <c r="B193" s="107"/>
      <c r="J193" s="115"/>
    </row>
    <row r="194" spans="2:10" x14ac:dyDescent="0.35">
      <c r="B194" s="107"/>
      <c r="J194" s="115"/>
    </row>
    <row r="195" spans="2:10" x14ac:dyDescent="0.35">
      <c r="B195" s="107"/>
      <c r="J195" s="115"/>
    </row>
    <row r="196" spans="2:10" x14ac:dyDescent="0.35">
      <c r="B196" s="107"/>
      <c r="J196" s="115"/>
    </row>
    <row r="197" spans="2:10" x14ac:dyDescent="0.35">
      <c r="B197" s="107"/>
      <c r="J197" s="115"/>
    </row>
    <row r="198" spans="2:10" x14ac:dyDescent="0.35">
      <c r="B198" s="107"/>
      <c r="J198" s="115"/>
    </row>
    <row r="199" spans="2:10" x14ac:dyDescent="0.35">
      <c r="B199" s="107"/>
      <c r="J199" s="115"/>
    </row>
    <row r="200" spans="2:10" x14ac:dyDescent="0.35">
      <c r="B200" s="107"/>
      <c r="J200" s="115"/>
    </row>
    <row r="201" spans="2:10" x14ac:dyDescent="0.35">
      <c r="B201" s="107"/>
      <c r="J201" s="115"/>
    </row>
    <row r="202" spans="2:10" x14ac:dyDescent="0.35">
      <c r="B202" s="107"/>
      <c r="J202" s="115"/>
    </row>
    <row r="203" spans="2:10" x14ac:dyDescent="0.35">
      <c r="B203" s="107"/>
      <c r="J203" s="115"/>
    </row>
    <row r="204" spans="2:10" x14ac:dyDescent="0.35">
      <c r="B204" s="107"/>
      <c r="J204" s="115"/>
    </row>
    <row r="205" spans="2:10" x14ac:dyDescent="0.35">
      <c r="B205" s="107"/>
      <c r="J205" s="115"/>
    </row>
    <row r="206" spans="2:10" x14ac:dyDescent="0.35">
      <c r="B206" s="107"/>
      <c r="J206" s="115"/>
    </row>
    <row r="207" spans="2:10" x14ac:dyDescent="0.35">
      <c r="B207" s="107"/>
      <c r="J207" s="115"/>
    </row>
    <row r="208" spans="2:10" x14ac:dyDescent="0.35">
      <c r="B208" s="107"/>
      <c r="J208" s="115"/>
    </row>
    <row r="209" spans="2:10" x14ac:dyDescent="0.35">
      <c r="B209" s="107"/>
      <c r="J209" s="115"/>
    </row>
    <row r="210" spans="2:10" x14ac:dyDescent="0.35">
      <c r="B210" s="107"/>
      <c r="J210" s="115"/>
    </row>
    <row r="211" spans="2:10" x14ac:dyDescent="0.35">
      <c r="B211" s="107"/>
      <c r="J211" s="115"/>
    </row>
    <row r="212" spans="2:10" x14ac:dyDescent="0.35">
      <c r="B212" s="107"/>
      <c r="J212" s="115"/>
    </row>
    <row r="213" spans="2:10" x14ac:dyDescent="0.35">
      <c r="B213" s="107"/>
      <c r="J213" s="115"/>
    </row>
    <row r="214" spans="2:10" x14ac:dyDescent="0.35">
      <c r="B214" s="107"/>
      <c r="J214" s="115"/>
    </row>
    <row r="215" spans="2:10" x14ac:dyDescent="0.35">
      <c r="B215" s="107"/>
      <c r="J215" s="115"/>
    </row>
    <row r="216" spans="2:10" x14ac:dyDescent="0.35">
      <c r="B216" s="107"/>
      <c r="J216" s="115"/>
    </row>
    <row r="217" spans="2:10" x14ac:dyDescent="0.35">
      <c r="B217" s="107"/>
      <c r="J217" s="115"/>
    </row>
    <row r="218" spans="2:10" x14ac:dyDescent="0.35">
      <c r="B218" s="107"/>
      <c r="J218" s="115"/>
    </row>
    <row r="219" spans="2:10" x14ac:dyDescent="0.35">
      <c r="B219" s="107"/>
      <c r="J219" s="115"/>
    </row>
    <row r="220" spans="2:10" x14ac:dyDescent="0.35">
      <c r="B220" s="107"/>
      <c r="J220" s="115"/>
    </row>
    <row r="221" spans="2:10" x14ac:dyDescent="0.35">
      <c r="B221" s="107"/>
      <c r="J221" s="115"/>
    </row>
    <row r="222" spans="2:10" x14ac:dyDescent="0.35">
      <c r="B222" s="107"/>
      <c r="J222" s="115"/>
    </row>
    <row r="223" spans="2:10" x14ac:dyDescent="0.35">
      <c r="B223" s="107"/>
      <c r="J223" s="115"/>
    </row>
    <row r="224" spans="2:10" x14ac:dyDescent="0.35">
      <c r="B224" s="107"/>
      <c r="J224" s="115"/>
    </row>
    <row r="225" spans="2:10" x14ac:dyDescent="0.35">
      <c r="B225" s="107"/>
      <c r="J225" s="115"/>
    </row>
    <row r="226" spans="2:10" x14ac:dyDescent="0.35">
      <c r="B226" s="107"/>
      <c r="J226" s="115"/>
    </row>
    <row r="227" spans="2:10" x14ac:dyDescent="0.35">
      <c r="B227" s="107"/>
      <c r="J227" s="115"/>
    </row>
    <row r="228" spans="2:10" x14ac:dyDescent="0.35">
      <c r="B228" s="107"/>
      <c r="J228" s="115"/>
    </row>
    <row r="229" spans="2:10" x14ac:dyDescent="0.35">
      <c r="B229" s="107"/>
      <c r="J229" s="115"/>
    </row>
    <row r="230" spans="2:10" x14ac:dyDescent="0.35">
      <c r="B230" s="107"/>
      <c r="J230" s="115"/>
    </row>
    <row r="231" spans="2:10" x14ac:dyDescent="0.35">
      <c r="B231" s="107"/>
      <c r="J231" s="115"/>
    </row>
    <row r="232" spans="2:10" x14ac:dyDescent="0.35">
      <c r="B232" s="107"/>
      <c r="J232" s="115"/>
    </row>
    <row r="233" spans="2:10" x14ac:dyDescent="0.35">
      <c r="B233" s="107"/>
      <c r="J233" s="115"/>
    </row>
    <row r="234" spans="2:10" x14ac:dyDescent="0.35">
      <c r="B234" s="107"/>
      <c r="J234" s="115"/>
    </row>
    <row r="235" spans="2:10" x14ac:dyDescent="0.35">
      <c r="B235" s="107"/>
      <c r="J235" s="115"/>
    </row>
    <row r="236" spans="2:10" x14ac:dyDescent="0.35">
      <c r="B236" s="107"/>
      <c r="J236" s="115"/>
    </row>
    <row r="237" spans="2:10" x14ac:dyDescent="0.35">
      <c r="B237" s="107"/>
      <c r="J237" s="115"/>
    </row>
    <row r="238" spans="2:10" x14ac:dyDescent="0.35">
      <c r="B238" s="107"/>
      <c r="J238" s="115"/>
    </row>
    <row r="239" spans="2:10" x14ac:dyDescent="0.35">
      <c r="B239" s="107"/>
      <c r="J239" s="115"/>
    </row>
    <row r="240" spans="2:10" x14ac:dyDescent="0.35">
      <c r="B240" s="107"/>
      <c r="J240" s="115"/>
    </row>
    <row r="241" spans="2:10" x14ac:dyDescent="0.35">
      <c r="B241" s="107"/>
      <c r="J241" s="115"/>
    </row>
    <row r="242" spans="2:10" x14ac:dyDescent="0.35">
      <c r="B242" s="107"/>
      <c r="J242" s="115"/>
    </row>
    <row r="243" spans="2:10" x14ac:dyDescent="0.35">
      <c r="B243" s="107"/>
      <c r="J243" s="115"/>
    </row>
    <row r="244" spans="2:10" x14ac:dyDescent="0.35">
      <c r="B244" s="107"/>
      <c r="J244" s="115"/>
    </row>
    <row r="245" spans="2:10" x14ac:dyDescent="0.35">
      <c r="B245" s="107"/>
      <c r="J245" s="115"/>
    </row>
    <row r="246" spans="2:10" x14ac:dyDescent="0.35">
      <c r="B246" s="107"/>
      <c r="J246" s="115"/>
    </row>
    <row r="247" spans="2:10" x14ac:dyDescent="0.35">
      <c r="B247" s="107"/>
      <c r="J247" s="115"/>
    </row>
    <row r="248" spans="2:10" x14ac:dyDescent="0.35">
      <c r="B248" s="107"/>
      <c r="J248" s="115"/>
    </row>
    <row r="249" spans="2:10" x14ac:dyDescent="0.35">
      <c r="B249" s="107"/>
      <c r="J249" s="115"/>
    </row>
    <row r="250" spans="2:10" x14ac:dyDescent="0.35">
      <c r="B250" s="107"/>
      <c r="J250" s="115"/>
    </row>
    <row r="251" spans="2:10" x14ac:dyDescent="0.35">
      <c r="B251" s="107"/>
      <c r="J251" s="115"/>
    </row>
    <row r="252" spans="2:10" x14ac:dyDescent="0.35">
      <c r="B252" s="107"/>
      <c r="J252" s="115"/>
    </row>
    <row r="253" spans="2:10" x14ac:dyDescent="0.35">
      <c r="B253" s="107"/>
      <c r="J253" s="115"/>
    </row>
    <row r="254" spans="2:10" x14ac:dyDescent="0.35">
      <c r="B254" s="107"/>
      <c r="J254" s="115"/>
    </row>
    <row r="255" spans="2:10" x14ac:dyDescent="0.35">
      <c r="B255" s="107"/>
      <c r="J255" s="115"/>
    </row>
    <row r="256" spans="2:10" x14ac:dyDescent="0.35">
      <c r="B256" s="107"/>
      <c r="J256" s="115"/>
    </row>
    <row r="257" spans="2:10" x14ac:dyDescent="0.35">
      <c r="B257" s="107"/>
      <c r="J257" s="115"/>
    </row>
    <row r="258" spans="2:10" x14ac:dyDescent="0.35">
      <c r="B258" s="107"/>
      <c r="J258" s="115"/>
    </row>
    <row r="259" spans="2:10" x14ac:dyDescent="0.35">
      <c r="B259" s="107"/>
      <c r="J259" s="115"/>
    </row>
    <row r="260" spans="2:10" x14ac:dyDescent="0.35">
      <c r="B260" s="107"/>
      <c r="J260" s="115"/>
    </row>
    <row r="261" spans="2:10" x14ac:dyDescent="0.35">
      <c r="B261" s="107"/>
      <c r="J261" s="115"/>
    </row>
    <row r="262" spans="2:10" x14ac:dyDescent="0.35">
      <c r="B262" s="107"/>
      <c r="J262" s="115"/>
    </row>
    <row r="263" spans="2:10" x14ac:dyDescent="0.35">
      <c r="B263" s="107"/>
      <c r="J263" s="115"/>
    </row>
    <row r="264" spans="2:10" x14ac:dyDescent="0.35">
      <c r="B264" s="107"/>
      <c r="J264" s="115"/>
    </row>
    <row r="265" spans="2:10" x14ac:dyDescent="0.35">
      <c r="B265" s="107"/>
      <c r="J265" s="115"/>
    </row>
    <row r="266" spans="2:10" x14ac:dyDescent="0.35">
      <c r="B266" s="107"/>
      <c r="J266" s="115"/>
    </row>
    <row r="267" spans="2:10" x14ac:dyDescent="0.35">
      <c r="B267" s="107"/>
      <c r="J267" s="115"/>
    </row>
    <row r="268" spans="2:10" x14ac:dyDescent="0.35">
      <c r="B268" s="107"/>
      <c r="J268" s="115"/>
    </row>
    <row r="269" spans="2:10" x14ac:dyDescent="0.35">
      <c r="B269" s="107"/>
      <c r="J269" s="115"/>
    </row>
    <row r="270" spans="2:10" x14ac:dyDescent="0.35">
      <c r="B270" s="107"/>
      <c r="J270" s="115"/>
    </row>
    <row r="271" spans="2:10" x14ac:dyDescent="0.35">
      <c r="B271" s="107"/>
      <c r="J271" s="115"/>
    </row>
    <row r="272" spans="2:10" x14ac:dyDescent="0.35">
      <c r="B272" s="107"/>
      <c r="J272" s="115"/>
    </row>
    <row r="273" spans="2:10" x14ac:dyDescent="0.35">
      <c r="B273" s="107"/>
      <c r="J273" s="115"/>
    </row>
    <row r="274" spans="2:10" x14ac:dyDescent="0.35">
      <c r="B274" s="107"/>
      <c r="J274" s="115"/>
    </row>
    <row r="275" spans="2:10" x14ac:dyDescent="0.35">
      <c r="B275" s="107"/>
      <c r="J275" s="115"/>
    </row>
    <row r="276" spans="2:10" x14ac:dyDescent="0.35">
      <c r="B276" s="107"/>
      <c r="J276" s="115"/>
    </row>
    <row r="277" spans="2:10" x14ac:dyDescent="0.35">
      <c r="B277" s="107"/>
      <c r="J277" s="115"/>
    </row>
    <row r="278" spans="2:10" x14ac:dyDescent="0.35">
      <c r="B278" s="107"/>
      <c r="J278" s="115"/>
    </row>
    <row r="279" spans="2:10" x14ac:dyDescent="0.35">
      <c r="B279" s="107"/>
      <c r="J279" s="115"/>
    </row>
    <row r="280" spans="2:10" x14ac:dyDescent="0.35">
      <c r="B280" s="107"/>
      <c r="J280" s="115"/>
    </row>
    <row r="281" spans="2:10" x14ac:dyDescent="0.35">
      <c r="B281" s="107"/>
      <c r="J281" s="115"/>
    </row>
    <row r="282" spans="2:10" x14ac:dyDescent="0.35">
      <c r="B282" s="107"/>
      <c r="J282" s="115"/>
    </row>
    <row r="283" spans="2:10" x14ac:dyDescent="0.35">
      <c r="B283" s="107"/>
      <c r="J283" s="115"/>
    </row>
    <row r="284" spans="2:10" x14ac:dyDescent="0.35">
      <c r="B284" s="107"/>
      <c r="J284" s="115"/>
    </row>
    <row r="285" spans="2:10" x14ac:dyDescent="0.35">
      <c r="B285" s="107"/>
      <c r="J285" s="115"/>
    </row>
    <row r="286" spans="2:10" x14ac:dyDescent="0.35">
      <c r="B286" s="107"/>
      <c r="J286" s="115"/>
    </row>
    <row r="287" spans="2:10" x14ac:dyDescent="0.35">
      <c r="B287" s="107"/>
      <c r="J287" s="115"/>
    </row>
    <row r="288" spans="2:10" x14ac:dyDescent="0.35">
      <c r="B288" s="107"/>
      <c r="J288" s="115"/>
    </row>
    <row r="289" spans="2:10" x14ac:dyDescent="0.35">
      <c r="B289" s="107"/>
      <c r="J289" s="115"/>
    </row>
    <row r="290" spans="2:10" x14ac:dyDescent="0.35">
      <c r="B290" s="107"/>
      <c r="J290" s="115"/>
    </row>
    <row r="291" spans="2:10" x14ac:dyDescent="0.35">
      <c r="B291" s="107"/>
      <c r="J291" s="115"/>
    </row>
    <row r="292" spans="2:10" x14ac:dyDescent="0.35">
      <c r="B292" s="107"/>
      <c r="J292" s="115"/>
    </row>
    <row r="293" spans="2:10" x14ac:dyDescent="0.35">
      <c r="B293" s="107"/>
      <c r="J293" s="115"/>
    </row>
    <row r="294" spans="2:10" x14ac:dyDescent="0.35">
      <c r="B294" s="107"/>
      <c r="J294" s="115"/>
    </row>
    <row r="295" spans="2:10" x14ac:dyDescent="0.35">
      <c r="B295" s="107"/>
      <c r="J295" s="115"/>
    </row>
    <row r="296" spans="2:10" x14ac:dyDescent="0.35">
      <c r="B296" s="107"/>
      <c r="J296" s="115"/>
    </row>
    <row r="297" spans="2:10" x14ac:dyDescent="0.35">
      <c r="B297" s="107"/>
      <c r="J297" s="115"/>
    </row>
    <row r="298" spans="2:10" x14ac:dyDescent="0.35">
      <c r="B298" s="107"/>
      <c r="J298" s="115"/>
    </row>
    <row r="299" spans="2:10" x14ac:dyDescent="0.35">
      <c r="B299" s="107"/>
      <c r="J299" s="115"/>
    </row>
    <row r="300" spans="2:10" x14ac:dyDescent="0.35">
      <c r="B300" s="107"/>
      <c r="J300" s="115"/>
    </row>
    <row r="301" spans="2:10" x14ac:dyDescent="0.35">
      <c r="B301" s="107"/>
      <c r="J301" s="115"/>
    </row>
    <row r="302" spans="2:10" x14ac:dyDescent="0.35">
      <c r="B302" s="107"/>
      <c r="J302" s="115"/>
    </row>
    <row r="303" spans="2:10" x14ac:dyDescent="0.35">
      <c r="B303" s="107"/>
      <c r="J303" s="115"/>
    </row>
    <row r="304" spans="2:10" x14ac:dyDescent="0.35">
      <c r="B304" s="107"/>
      <c r="J304" s="115"/>
    </row>
    <row r="305" spans="2:10" x14ac:dyDescent="0.35">
      <c r="B305" s="107"/>
      <c r="J305" s="115"/>
    </row>
    <row r="306" spans="2:10" x14ac:dyDescent="0.35">
      <c r="B306" s="107"/>
      <c r="J306" s="115"/>
    </row>
    <row r="307" spans="2:10" x14ac:dyDescent="0.35">
      <c r="B307" s="107"/>
      <c r="J307" s="115"/>
    </row>
    <row r="308" spans="2:10" x14ac:dyDescent="0.35">
      <c r="B308" s="107"/>
      <c r="J308" s="115"/>
    </row>
    <row r="309" spans="2:10" x14ac:dyDescent="0.35">
      <c r="B309" s="107"/>
      <c r="J309" s="115"/>
    </row>
    <row r="310" spans="2:10" x14ac:dyDescent="0.35">
      <c r="B310" s="107"/>
      <c r="J310" s="115"/>
    </row>
    <row r="311" spans="2:10" x14ac:dyDescent="0.35">
      <c r="B311" s="107"/>
      <c r="J311" s="115"/>
    </row>
    <row r="312" spans="2:10" x14ac:dyDescent="0.35">
      <c r="B312" s="107"/>
      <c r="J312" s="115"/>
    </row>
    <row r="313" spans="2:10" x14ac:dyDescent="0.35">
      <c r="B313" s="107"/>
      <c r="J313" s="115"/>
    </row>
    <row r="314" spans="2:10" x14ac:dyDescent="0.35">
      <c r="B314" s="107"/>
      <c r="J314" s="115"/>
    </row>
    <row r="315" spans="2:10" x14ac:dyDescent="0.35">
      <c r="B315" s="107"/>
      <c r="J315" s="115"/>
    </row>
    <row r="316" spans="2:10" x14ac:dyDescent="0.35">
      <c r="B316" s="107"/>
      <c r="J316" s="115"/>
    </row>
    <row r="317" spans="2:10" x14ac:dyDescent="0.35">
      <c r="B317" s="107"/>
      <c r="J317" s="115"/>
    </row>
    <row r="318" spans="2:10" x14ac:dyDescent="0.35">
      <c r="B318" s="107"/>
      <c r="J318" s="115"/>
    </row>
    <row r="319" spans="2:10" x14ac:dyDescent="0.35">
      <c r="B319" s="107"/>
      <c r="J319" s="115"/>
    </row>
    <row r="320" spans="2:10" x14ac:dyDescent="0.35">
      <c r="B320" s="107"/>
      <c r="J320" s="115"/>
    </row>
    <row r="321" spans="2:10" x14ac:dyDescent="0.35">
      <c r="B321" s="107"/>
      <c r="J321" s="115"/>
    </row>
    <row r="322" spans="2:10" x14ac:dyDescent="0.35">
      <c r="B322" s="107"/>
      <c r="J322" s="115"/>
    </row>
    <row r="323" spans="2:10" x14ac:dyDescent="0.35">
      <c r="B323" s="107"/>
      <c r="J323" s="115"/>
    </row>
    <row r="324" spans="2:10" x14ac:dyDescent="0.35">
      <c r="B324" s="107"/>
      <c r="J324" s="115"/>
    </row>
    <row r="325" spans="2:10" x14ac:dyDescent="0.35">
      <c r="B325" s="107"/>
      <c r="J325" s="115"/>
    </row>
    <row r="326" spans="2:10" x14ac:dyDescent="0.35">
      <c r="B326" s="107"/>
      <c r="J326" s="115"/>
    </row>
    <row r="327" spans="2:10" x14ac:dyDescent="0.35">
      <c r="B327" s="107"/>
      <c r="J327" s="115"/>
    </row>
    <row r="328" spans="2:10" x14ac:dyDescent="0.35">
      <c r="B328" s="107"/>
      <c r="J328" s="115"/>
    </row>
    <row r="329" spans="2:10" x14ac:dyDescent="0.35">
      <c r="B329" s="107"/>
      <c r="J329" s="115"/>
    </row>
    <row r="330" spans="2:10" x14ac:dyDescent="0.35">
      <c r="B330" s="107"/>
      <c r="J330" s="115"/>
    </row>
    <row r="331" spans="2:10" x14ac:dyDescent="0.35">
      <c r="B331" s="107"/>
      <c r="J331" s="115"/>
    </row>
    <row r="332" spans="2:10" x14ac:dyDescent="0.35">
      <c r="B332" s="107"/>
      <c r="J332" s="115"/>
    </row>
    <row r="333" spans="2:10" x14ac:dyDescent="0.35">
      <c r="B333" s="107"/>
      <c r="J333" s="115"/>
    </row>
    <row r="334" spans="2:10" x14ac:dyDescent="0.35">
      <c r="B334" s="107"/>
      <c r="J334" s="115"/>
    </row>
    <row r="335" spans="2:10" x14ac:dyDescent="0.35">
      <c r="B335" s="107"/>
      <c r="J335" s="115"/>
    </row>
    <row r="336" spans="2:10" x14ac:dyDescent="0.35">
      <c r="B336" s="107"/>
      <c r="J336" s="115"/>
    </row>
    <row r="337" spans="2:10" x14ac:dyDescent="0.35">
      <c r="B337" s="107"/>
      <c r="J337" s="115"/>
    </row>
    <row r="338" spans="2:10" x14ac:dyDescent="0.35">
      <c r="B338" s="107"/>
      <c r="J338" s="115"/>
    </row>
    <row r="339" spans="2:10" x14ac:dyDescent="0.35">
      <c r="B339" s="107"/>
      <c r="J339" s="115"/>
    </row>
    <row r="340" spans="2:10" x14ac:dyDescent="0.35">
      <c r="B340" s="107"/>
      <c r="J340" s="115"/>
    </row>
    <row r="341" spans="2:10" x14ac:dyDescent="0.35">
      <c r="B341" s="107"/>
      <c r="J341" s="115"/>
    </row>
    <row r="342" spans="2:10" x14ac:dyDescent="0.35">
      <c r="B342" s="107"/>
      <c r="J342" s="115"/>
    </row>
    <row r="343" spans="2:10" x14ac:dyDescent="0.35">
      <c r="B343" s="107"/>
      <c r="J343" s="115"/>
    </row>
    <row r="344" spans="2:10" x14ac:dyDescent="0.35">
      <c r="B344" s="107"/>
      <c r="J344" s="115"/>
    </row>
    <row r="345" spans="2:10" x14ac:dyDescent="0.35">
      <c r="B345" s="107"/>
      <c r="J345" s="115"/>
    </row>
    <row r="346" spans="2:10" x14ac:dyDescent="0.35">
      <c r="B346" s="107"/>
      <c r="J346" s="115"/>
    </row>
    <row r="347" spans="2:10" x14ac:dyDescent="0.35">
      <c r="B347" s="107"/>
      <c r="J347" s="115"/>
    </row>
    <row r="348" spans="2:10" x14ac:dyDescent="0.35">
      <c r="B348" s="107"/>
      <c r="J348" s="115"/>
    </row>
    <row r="349" spans="2:10" x14ac:dyDescent="0.35">
      <c r="B349" s="107"/>
      <c r="J349" s="115"/>
    </row>
    <row r="350" spans="2:10" x14ac:dyDescent="0.35">
      <c r="B350" s="107"/>
      <c r="J350" s="115"/>
    </row>
    <row r="351" spans="2:10" x14ac:dyDescent="0.35">
      <c r="B351" s="107"/>
      <c r="J351" s="115"/>
    </row>
    <row r="352" spans="2:10" x14ac:dyDescent="0.35">
      <c r="B352" s="107"/>
      <c r="J352" s="115"/>
    </row>
    <row r="353" spans="2:10" x14ac:dyDescent="0.35">
      <c r="B353" s="107"/>
      <c r="J353" s="115"/>
    </row>
    <row r="354" spans="2:10" x14ac:dyDescent="0.35">
      <c r="B354" s="107"/>
      <c r="J354" s="115"/>
    </row>
    <row r="355" spans="2:10" x14ac:dyDescent="0.35">
      <c r="B355" s="107"/>
      <c r="J355" s="115"/>
    </row>
    <row r="356" spans="2:10" x14ac:dyDescent="0.35">
      <c r="B356" s="107"/>
      <c r="J356" s="115"/>
    </row>
    <row r="357" spans="2:10" x14ac:dyDescent="0.35">
      <c r="B357" s="107"/>
      <c r="J357" s="115"/>
    </row>
    <row r="358" spans="2:10" x14ac:dyDescent="0.35">
      <c r="B358" s="107"/>
      <c r="J358" s="115"/>
    </row>
    <row r="359" spans="2:10" x14ac:dyDescent="0.35">
      <c r="B359" s="107"/>
      <c r="J359" s="115"/>
    </row>
    <row r="360" spans="2:10" x14ac:dyDescent="0.35">
      <c r="B360" s="107"/>
      <c r="J360" s="115"/>
    </row>
    <row r="361" spans="2:10" x14ac:dyDescent="0.35">
      <c r="B361" s="107"/>
      <c r="J361" s="115"/>
    </row>
    <row r="362" spans="2:10" x14ac:dyDescent="0.35">
      <c r="B362" s="107"/>
      <c r="J362" s="115"/>
    </row>
    <row r="363" spans="2:10" x14ac:dyDescent="0.35">
      <c r="B363" s="107"/>
      <c r="J363" s="115"/>
    </row>
    <row r="364" spans="2:10" x14ac:dyDescent="0.35">
      <c r="B364" s="107"/>
      <c r="J364" s="115"/>
    </row>
    <row r="365" spans="2:10" x14ac:dyDescent="0.35">
      <c r="B365" s="107"/>
      <c r="J365" s="115"/>
    </row>
    <row r="366" spans="2:10" x14ac:dyDescent="0.35">
      <c r="B366" s="107"/>
      <c r="J366" s="115"/>
    </row>
    <row r="367" spans="2:10" x14ac:dyDescent="0.35">
      <c r="B367" s="107"/>
      <c r="J367" s="115"/>
    </row>
    <row r="368" spans="2:10" x14ac:dyDescent="0.35">
      <c r="B368" s="107"/>
      <c r="J368" s="115"/>
    </row>
    <row r="369" spans="2:10" x14ac:dyDescent="0.35">
      <c r="B369" s="107"/>
      <c r="J369" s="115"/>
    </row>
    <row r="370" spans="2:10" x14ac:dyDescent="0.35">
      <c r="B370" s="107"/>
      <c r="J370" s="115"/>
    </row>
    <row r="371" spans="2:10" x14ac:dyDescent="0.35">
      <c r="B371" s="107"/>
      <c r="J371" s="115"/>
    </row>
    <row r="372" spans="2:10" x14ac:dyDescent="0.35">
      <c r="B372" s="107"/>
      <c r="J372" s="115"/>
    </row>
    <row r="373" spans="2:10" x14ac:dyDescent="0.35">
      <c r="B373" s="107"/>
      <c r="J373" s="115"/>
    </row>
    <row r="374" spans="2:10" x14ac:dyDescent="0.35">
      <c r="B374" s="107"/>
      <c r="J374" s="115"/>
    </row>
    <row r="375" spans="2:10" x14ac:dyDescent="0.35">
      <c r="B375" s="107"/>
      <c r="J375" s="115"/>
    </row>
    <row r="376" spans="2:10" x14ac:dyDescent="0.35">
      <c r="B376" s="107"/>
      <c r="J376" s="115"/>
    </row>
    <row r="377" spans="2:10" x14ac:dyDescent="0.35">
      <c r="B377" s="107"/>
      <c r="J377" s="115"/>
    </row>
    <row r="378" spans="2:10" x14ac:dyDescent="0.35">
      <c r="B378" s="107"/>
      <c r="J378" s="115"/>
    </row>
    <row r="379" spans="2:10" x14ac:dyDescent="0.35">
      <c r="B379" s="107"/>
      <c r="J379" s="115"/>
    </row>
    <row r="380" spans="2:10" x14ac:dyDescent="0.35">
      <c r="B380" s="107"/>
      <c r="J380" s="115"/>
    </row>
    <row r="381" spans="2:10" x14ac:dyDescent="0.35">
      <c r="B381" s="107"/>
      <c r="J381" s="115"/>
    </row>
    <row r="382" spans="2:10" x14ac:dyDescent="0.35">
      <c r="B382" s="107"/>
      <c r="J382" s="115"/>
    </row>
    <row r="383" spans="2:10" x14ac:dyDescent="0.35">
      <c r="B383" s="107"/>
      <c r="J383" s="115"/>
    </row>
    <row r="384" spans="2:10" x14ac:dyDescent="0.35">
      <c r="B384" s="107"/>
      <c r="J384" s="115"/>
    </row>
    <row r="385" spans="2:10" x14ac:dyDescent="0.35">
      <c r="B385" s="107"/>
      <c r="J385" s="115"/>
    </row>
    <row r="386" spans="2:10" x14ac:dyDescent="0.35">
      <c r="B386" s="107"/>
      <c r="J386" s="115"/>
    </row>
    <row r="387" spans="2:10" x14ac:dyDescent="0.35">
      <c r="B387" s="107"/>
      <c r="J387" s="115"/>
    </row>
    <row r="388" spans="2:10" x14ac:dyDescent="0.35">
      <c r="B388" s="107"/>
      <c r="J388" s="115"/>
    </row>
    <row r="389" spans="2:10" x14ac:dyDescent="0.35">
      <c r="B389" s="107"/>
      <c r="J389" s="115"/>
    </row>
    <row r="390" spans="2:10" x14ac:dyDescent="0.35">
      <c r="B390" s="107"/>
      <c r="J390" s="115"/>
    </row>
    <row r="391" spans="2:10" x14ac:dyDescent="0.35">
      <c r="B391" s="107"/>
      <c r="J391" s="115"/>
    </row>
    <row r="392" spans="2:10" x14ac:dyDescent="0.35">
      <c r="B392" s="107"/>
      <c r="J392" s="115"/>
    </row>
    <row r="393" spans="2:10" x14ac:dyDescent="0.35">
      <c r="B393" s="107"/>
      <c r="J393" s="115"/>
    </row>
    <row r="394" spans="2:10" x14ac:dyDescent="0.35">
      <c r="B394" s="107"/>
      <c r="J394" s="115"/>
    </row>
    <row r="395" spans="2:10" x14ac:dyDescent="0.35">
      <c r="B395" s="107"/>
      <c r="J395" s="115"/>
    </row>
    <row r="396" spans="2:10" x14ac:dyDescent="0.35">
      <c r="B396" s="107"/>
      <c r="J396" s="115"/>
    </row>
    <row r="397" spans="2:10" x14ac:dyDescent="0.35">
      <c r="B397" s="107"/>
      <c r="J397" s="115"/>
    </row>
    <row r="398" spans="2:10" x14ac:dyDescent="0.35">
      <c r="B398" s="107"/>
      <c r="J398" s="115"/>
    </row>
    <row r="399" spans="2:10" x14ac:dyDescent="0.35">
      <c r="B399" s="107"/>
      <c r="J399" s="115"/>
    </row>
    <row r="400" spans="2:10" x14ac:dyDescent="0.35">
      <c r="B400" s="107"/>
      <c r="J400" s="115"/>
    </row>
    <row r="401" spans="2:10" x14ac:dyDescent="0.35">
      <c r="B401" s="107"/>
      <c r="J401" s="115"/>
    </row>
    <row r="402" spans="2:10" x14ac:dyDescent="0.35">
      <c r="B402" s="107"/>
      <c r="J402" s="115"/>
    </row>
    <row r="403" spans="2:10" x14ac:dyDescent="0.35">
      <c r="B403" s="107"/>
      <c r="J403" s="115"/>
    </row>
    <row r="404" spans="2:10" x14ac:dyDescent="0.35">
      <c r="B404" s="107"/>
      <c r="J404" s="115"/>
    </row>
    <row r="405" spans="2:10" x14ac:dyDescent="0.35">
      <c r="B405" s="107"/>
      <c r="J405" s="115"/>
    </row>
    <row r="406" spans="2:10" x14ac:dyDescent="0.35">
      <c r="B406" s="107"/>
      <c r="J406" s="115"/>
    </row>
    <row r="407" spans="2:10" x14ac:dyDescent="0.35">
      <c r="B407" s="107"/>
      <c r="J407" s="115"/>
    </row>
    <row r="408" spans="2:10" x14ac:dyDescent="0.35">
      <c r="B408" s="107"/>
      <c r="J408" s="115"/>
    </row>
    <row r="409" spans="2:10" x14ac:dyDescent="0.35">
      <c r="B409" s="107"/>
      <c r="J409" s="115"/>
    </row>
    <row r="410" spans="2:10" x14ac:dyDescent="0.35">
      <c r="B410" s="107"/>
      <c r="J410" s="115"/>
    </row>
    <row r="411" spans="2:10" x14ac:dyDescent="0.35">
      <c r="B411" s="107"/>
      <c r="J411" s="115"/>
    </row>
    <row r="412" spans="2:10" x14ac:dyDescent="0.35">
      <c r="B412" s="107"/>
      <c r="J412" s="115"/>
    </row>
    <row r="413" spans="2:10" x14ac:dyDescent="0.35">
      <c r="B413" s="107"/>
      <c r="J413" s="115"/>
    </row>
    <row r="414" spans="2:10" x14ac:dyDescent="0.35">
      <c r="B414" s="107"/>
      <c r="J414" s="115"/>
    </row>
    <row r="415" spans="2:10" x14ac:dyDescent="0.35">
      <c r="B415" s="107"/>
      <c r="J415" s="115"/>
    </row>
    <row r="416" spans="2:10" x14ac:dyDescent="0.35">
      <c r="B416" s="107"/>
      <c r="J416" s="115"/>
    </row>
    <row r="417" spans="2:10" x14ac:dyDescent="0.35">
      <c r="B417" s="107"/>
      <c r="J417" s="115"/>
    </row>
    <row r="418" spans="2:10" x14ac:dyDescent="0.35">
      <c r="B418" s="107"/>
      <c r="J418" s="115"/>
    </row>
    <row r="419" spans="2:10" x14ac:dyDescent="0.35">
      <c r="B419" s="107"/>
      <c r="J419" s="115"/>
    </row>
    <row r="420" spans="2:10" x14ac:dyDescent="0.35">
      <c r="B420" s="107"/>
      <c r="J420" s="115"/>
    </row>
    <row r="421" spans="2:10" x14ac:dyDescent="0.35">
      <c r="B421" s="107"/>
      <c r="J421" s="115"/>
    </row>
    <row r="422" spans="2:10" x14ac:dyDescent="0.35">
      <c r="B422" s="107"/>
      <c r="J422" s="115"/>
    </row>
    <row r="423" spans="2:10" x14ac:dyDescent="0.35">
      <c r="B423" s="107"/>
      <c r="J423" s="115"/>
    </row>
    <row r="424" spans="2:10" x14ac:dyDescent="0.35">
      <c r="B424" s="107"/>
      <c r="J424" s="115"/>
    </row>
    <row r="425" spans="2:10" x14ac:dyDescent="0.35">
      <c r="B425" s="107"/>
      <c r="J425" s="115"/>
    </row>
    <row r="426" spans="2:10" x14ac:dyDescent="0.35">
      <c r="B426" s="107"/>
      <c r="J426" s="115"/>
    </row>
    <row r="427" spans="2:10" x14ac:dyDescent="0.35">
      <c r="B427" s="107"/>
      <c r="J427" s="115"/>
    </row>
    <row r="428" spans="2:10" x14ac:dyDescent="0.35">
      <c r="B428" s="107"/>
      <c r="J428" s="115"/>
    </row>
    <row r="429" spans="2:10" x14ac:dyDescent="0.35">
      <c r="B429" s="107"/>
      <c r="J429" s="115"/>
    </row>
    <row r="430" spans="2:10" x14ac:dyDescent="0.35">
      <c r="B430" s="107"/>
      <c r="J430" s="115"/>
    </row>
    <row r="431" spans="2:10" x14ac:dyDescent="0.35">
      <c r="B431" s="107"/>
      <c r="J431" s="115"/>
    </row>
    <row r="432" spans="2:10" x14ac:dyDescent="0.35">
      <c r="B432" s="107"/>
      <c r="J432" s="115"/>
    </row>
    <row r="433" spans="2:10" x14ac:dyDescent="0.35">
      <c r="B433" s="107"/>
      <c r="J433" s="115"/>
    </row>
    <row r="434" spans="2:10" x14ac:dyDescent="0.35">
      <c r="B434" s="107"/>
      <c r="J434" s="115"/>
    </row>
    <row r="435" spans="2:10" x14ac:dyDescent="0.35">
      <c r="B435" s="107"/>
      <c r="J435" s="115"/>
    </row>
    <row r="436" spans="2:10" x14ac:dyDescent="0.35">
      <c r="B436" s="107"/>
      <c r="J436" s="115"/>
    </row>
    <row r="437" spans="2:10" x14ac:dyDescent="0.35">
      <c r="B437" s="107"/>
      <c r="J437" s="115"/>
    </row>
    <row r="438" spans="2:10" x14ac:dyDescent="0.35">
      <c r="B438" s="107"/>
      <c r="J438" s="115"/>
    </row>
    <row r="439" spans="2:10" x14ac:dyDescent="0.35">
      <c r="B439" s="107"/>
      <c r="J439" s="115"/>
    </row>
    <row r="440" spans="2:10" x14ac:dyDescent="0.35">
      <c r="B440" s="107"/>
      <c r="J440" s="115"/>
    </row>
    <row r="441" spans="2:10" x14ac:dyDescent="0.35">
      <c r="B441" s="107"/>
      <c r="J441" s="115"/>
    </row>
    <row r="442" spans="2:10" x14ac:dyDescent="0.35">
      <c r="B442" s="107"/>
      <c r="J442" s="115"/>
    </row>
    <row r="443" spans="2:10" x14ac:dyDescent="0.35">
      <c r="B443" s="107"/>
      <c r="J443" s="115"/>
    </row>
    <row r="444" spans="2:10" x14ac:dyDescent="0.35">
      <c r="B444" s="107"/>
      <c r="J444" s="115"/>
    </row>
    <row r="445" spans="2:10" x14ac:dyDescent="0.35">
      <c r="B445" s="107"/>
      <c r="J445" s="115"/>
    </row>
    <row r="446" spans="2:10" x14ac:dyDescent="0.35">
      <c r="B446" s="107"/>
      <c r="J446" s="115"/>
    </row>
    <row r="447" spans="2:10" x14ac:dyDescent="0.35">
      <c r="B447" s="107"/>
      <c r="J447" s="115"/>
    </row>
    <row r="448" spans="2:10" x14ac:dyDescent="0.35">
      <c r="B448" s="107"/>
      <c r="J448" s="115"/>
    </row>
    <row r="449" spans="2:10" x14ac:dyDescent="0.35">
      <c r="B449" s="107"/>
      <c r="J449" s="115"/>
    </row>
    <row r="450" spans="2:10" x14ac:dyDescent="0.35">
      <c r="B450" s="107"/>
      <c r="J450" s="115"/>
    </row>
    <row r="451" spans="2:10" x14ac:dyDescent="0.35">
      <c r="B451" s="107"/>
      <c r="J451" s="115"/>
    </row>
    <row r="452" spans="2:10" x14ac:dyDescent="0.35">
      <c r="B452" s="107"/>
      <c r="J452" s="115"/>
    </row>
    <row r="453" spans="2:10" x14ac:dyDescent="0.35">
      <c r="B453" s="107"/>
      <c r="J453" s="115"/>
    </row>
    <row r="454" spans="2:10" x14ac:dyDescent="0.35">
      <c r="B454" s="107"/>
      <c r="J454" s="115"/>
    </row>
    <row r="455" spans="2:10" x14ac:dyDescent="0.35">
      <c r="B455" s="107"/>
      <c r="J455" s="115"/>
    </row>
    <row r="456" spans="2:10" x14ac:dyDescent="0.35">
      <c r="B456" s="107"/>
      <c r="J456" s="115"/>
    </row>
    <row r="457" spans="2:10" x14ac:dyDescent="0.35">
      <c r="B457" s="107"/>
      <c r="J457" s="115"/>
    </row>
    <row r="458" spans="2:10" x14ac:dyDescent="0.35">
      <c r="B458" s="107"/>
      <c r="J458" s="115"/>
    </row>
    <row r="459" spans="2:10" x14ac:dyDescent="0.35">
      <c r="B459" s="107"/>
      <c r="J459" s="115"/>
    </row>
    <row r="460" spans="2:10" x14ac:dyDescent="0.35">
      <c r="B460" s="107"/>
      <c r="J460" s="115"/>
    </row>
    <row r="461" spans="2:10" x14ac:dyDescent="0.35">
      <c r="B461" s="107"/>
      <c r="J461" s="115"/>
    </row>
    <row r="462" spans="2:10" x14ac:dyDescent="0.35">
      <c r="B462" s="107"/>
      <c r="J462" s="115"/>
    </row>
    <row r="463" spans="2:10" x14ac:dyDescent="0.35">
      <c r="B463" s="107"/>
      <c r="J463" s="115"/>
    </row>
    <row r="464" spans="2:10" x14ac:dyDescent="0.35">
      <c r="B464" s="107"/>
      <c r="J464" s="115"/>
    </row>
    <row r="465" spans="2:10" x14ac:dyDescent="0.35">
      <c r="B465" s="107"/>
      <c r="J465" s="115"/>
    </row>
    <row r="466" spans="2:10" x14ac:dyDescent="0.35">
      <c r="B466" s="107"/>
      <c r="J466" s="115"/>
    </row>
    <row r="467" spans="2:10" x14ac:dyDescent="0.35">
      <c r="B467" s="107"/>
      <c r="J467" s="115"/>
    </row>
    <row r="468" spans="2:10" x14ac:dyDescent="0.35">
      <c r="B468" s="107"/>
      <c r="J468" s="115"/>
    </row>
    <row r="469" spans="2:10" x14ac:dyDescent="0.35">
      <c r="B469" s="107"/>
      <c r="J469" s="115"/>
    </row>
    <row r="470" spans="2:10" x14ac:dyDescent="0.35">
      <c r="B470" s="107"/>
      <c r="J470" s="115"/>
    </row>
    <row r="471" spans="2:10" x14ac:dyDescent="0.35">
      <c r="B471" s="107"/>
      <c r="J471" s="115"/>
    </row>
    <row r="472" spans="2:10" x14ac:dyDescent="0.35">
      <c r="B472" s="107"/>
      <c r="J472" s="115"/>
    </row>
    <row r="473" spans="2:10" x14ac:dyDescent="0.35">
      <c r="B473" s="107"/>
      <c r="J473" s="115"/>
    </row>
    <row r="474" spans="2:10" x14ac:dyDescent="0.35">
      <c r="B474" s="107"/>
      <c r="J474" s="115"/>
    </row>
    <row r="475" spans="2:10" x14ac:dyDescent="0.35">
      <c r="B475" s="107"/>
      <c r="J475" s="115"/>
    </row>
    <row r="476" spans="2:10" x14ac:dyDescent="0.35">
      <c r="B476" s="107"/>
      <c r="J476" s="115"/>
    </row>
    <row r="477" spans="2:10" x14ac:dyDescent="0.35">
      <c r="B477" s="107"/>
      <c r="J477" s="115"/>
    </row>
    <row r="478" spans="2:10" x14ac:dyDescent="0.35">
      <c r="B478" s="107"/>
      <c r="J478" s="115"/>
    </row>
    <row r="479" spans="2:10" x14ac:dyDescent="0.35">
      <c r="B479" s="107"/>
      <c r="J479" s="115"/>
    </row>
    <row r="480" spans="2:10" x14ac:dyDescent="0.35">
      <c r="B480" s="107"/>
      <c r="J480" s="115"/>
    </row>
    <row r="481" spans="2:10" x14ac:dyDescent="0.35">
      <c r="B481" s="107"/>
      <c r="J481" s="115"/>
    </row>
    <row r="482" spans="2:10" x14ac:dyDescent="0.35">
      <c r="B482" s="107"/>
      <c r="J482" s="115"/>
    </row>
    <row r="483" spans="2:10" x14ac:dyDescent="0.35">
      <c r="B483" s="107"/>
      <c r="J483" s="115"/>
    </row>
    <row r="484" spans="2:10" x14ac:dyDescent="0.35">
      <c r="B484" s="107"/>
      <c r="J484" s="115"/>
    </row>
    <row r="485" spans="2:10" x14ac:dyDescent="0.35">
      <c r="B485" s="107"/>
      <c r="J485" s="115"/>
    </row>
    <row r="486" spans="2:10" x14ac:dyDescent="0.35">
      <c r="B486" s="107"/>
      <c r="J486" s="115"/>
    </row>
    <row r="487" spans="2:10" x14ac:dyDescent="0.35">
      <c r="B487" s="107"/>
      <c r="J487" s="115"/>
    </row>
    <row r="488" spans="2:10" x14ac:dyDescent="0.35">
      <c r="B488" s="107"/>
      <c r="J488" s="115"/>
    </row>
    <row r="489" spans="2:10" x14ac:dyDescent="0.35">
      <c r="B489" s="107"/>
      <c r="J489" s="115"/>
    </row>
    <row r="490" spans="2:10" x14ac:dyDescent="0.35">
      <c r="B490" s="107"/>
      <c r="J490" s="115"/>
    </row>
    <row r="491" spans="2:10" x14ac:dyDescent="0.35">
      <c r="B491" s="107"/>
      <c r="J491" s="115"/>
    </row>
    <row r="492" spans="2:10" x14ac:dyDescent="0.35">
      <c r="B492" s="107"/>
      <c r="J492" s="115"/>
    </row>
    <row r="493" spans="2:10" x14ac:dyDescent="0.35">
      <c r="B493" s="107"/>
      <c r="J493" s="115"/>
    </row>
    <row r="494" spans="2:10" x14ac:dyDescent="0.35">
      <c r="B494" s="107"/>
      <c r="J494" s="115"/>
    </row>
    <row r="495" spans="2:10" x14ac:dyDescent="0.35">
      <c r="B495" s="107"/>
      <c r="J495" s="115"/>
    </row>
    <row r="496" spans="2:10" x14ac:dyDescent="0.35">
      <c r="B496" s="107"/>
      <c r="J496" s="115"/>
    </row>
    <row r="497" spans="2:10" x14ac:dyDescent="0.35">
      <c r="B497" s="107"/>
      <c r="J497" s="115"/>
    </row>
    <row r="498" spans="2:10" x14ac:dyDescent="0.35">
      <c r="B498" s="107"/>
      <c r="J498" s="115"/>
    </row>
    <row r="499" spans="2:10" x14ac:dyDescent="0.35">
      <c r="B499" s="107"/>
      <c r="J499" s="115"/>
    </row>
    <row r="500" spans="2:10" x14ac:dyDescent="0.35">
      <c r="B500" s="107"/>
      <c r="J500" s="115"/>
    </row>
    <row r="501" spans="2:10" x14ac:dyDescent="0.35">
      <c r="B501" s="107"/>
      <c r="J501" s="115"/>
    </row>
    <row r="502" spans="2:10" x14ac:dyDescent="0.35">
      <c r="B502" s="107"/>
      <c r="J502" s="115"/>
    </row>
    <row r="503" spans="2:10" x14ac:dyDescent="0.35">
      <c r="B503" s="107"/>
      <c r="J503" s="115"/>
    </row>
    <row r="504" spans="2:10" x14ac:dyDescent="0.35">
      <c r="B504" s="107"/>
      <c r="J504" s="115"/>
    </row>
    <row r="505" spans="2:10" x14ac:dyDescent="0.35">
      <c r="B505" s="107"/>
      <c r="J505" s="115"/>
    </row>
    <row r="506" spans="2:10" x14ac:dyDescent="0.35">
      <c r="B506" s="107"/>
      <c r="J506" s="115"/>
    </row>
    <row r="507" spans="2:10" x14ac:dyDescent="0.35">
      <c r="B507" s="107"/>
      <c r="J507" s="115"/>
    </row>
    <row r="508" spans="2:10" x14ac:dyDescent="0.35">
      <c r="B508" s="107"/>
      <c r="J508" s="115"/>
    </row>
    <row r="509" spans="2:10" x14ac:dyDescent="0.35">
      <c r="B509" s="107"/>
      <c r="J509" s="115"/>
    </row>
    <row r="510" spans="2:10" x14ac:dyDescent="0.35">
      <c r="B510" s="107"/>
      <c r="J510" s="115"/>
    </row>
    <row r="511" spans="2:10" x14ac:dyDescent="0.35">
      <c r="B511" s="107"/>
      <c r="J511" s="115"/>
    </row>
    <row r="512" spans="2:10" x14ac:dyDescent="0.35">
      <c r="B512" s="107"/>
      <c r="J512" s="115"/>
    </row>
    <row r="513" spans="2:10" x14ac:dyDescent="0.35">
      <c r="B513" s="107"/>
      <c r="J513" s="115"/>
    </row>
    <row r="514" spans="2:10" x14ac:dyDescent="0.35">
      <c r="B514" s="107"/>
      <c r="J514" s="115"/>
    </row>
    <row r="515" spans="2:10" x14ac:dyDescent="0.35">
      <c r="B515" s="107"/>
      <c r="J515" s="115"/>
    </row>
    <row r="516" spans="2:10" x14ac:dyDescent="0.35">
      <c r="B516" s="107"/>
      <c r="J516" s="115"/>
    </row>
    <row r="517" spans="2:10" x14ac:dyDescent="0.35">
      <c r="B517" s="107"/>
      <c r="J517" s="115"/>
    </row>
    <row r="518" spans="2:10" x14ac:dyDescent="0.35">
      <c r="B518" s="107"/>
      <c r="J518" s="115"/>
    </row>
    <row r="519" spans="2:10" x14ac:dyDescent="0.35">
      <c r="B519" s="107"/>
      <c r="J519" s="115"/>
    </row>
    <row r="520" spans="2:10" x14ac:dyDescent="0.35">
      <c r="B520" s="107"/>
      <c r="J520" s="115"/>
    </row>
    <row r="521" spans="2:10" x14ac:dyDescent="0.35">
      <c r="B521" s="107"/>
      <c r="J521" s="115"/>
    </row>
    <row r="522" spans="2:10" x14ac:dyDescent="0.35">
      <c r="B522" s="107"/>
      <c r="J522" s="115"/>
    </row>
    <row r="523" spans="2:10" x14ac:dyDescent="0.35">
      <c r="B523" s="107"/>
      <c r="J523" s="115"/>
    </row>
    <row r="524" spans="2:10" x14ac:dyDescent="0.35">
      <c r="B524" s="107"/>
      <c r="J524" s="115"/>
    </row>
    <row r="525" spans="2:10" x14ac:dyDescent="0.35">
      <c r="B525" s="107"/>
      <c r="J525" s="115"/>
    </row>
    <row r="526" spans="2:10" x14ac:dyDescent="0.35">
      <c r="B526" s="107"/>
      <c r="J526" s="115"/>
    </row>
    <row r="527" spans="2:10" x14ac:dyDescent="0.35">
      <c r="B527" s="107"/>
      <c r="J527" s="115"/>
    </row>
    <row r="528" spans="2:10" x14ac:dyDescent="0.35">
      <c r="B528" s="107"/>
      <c r="J528" s="115"/>
    </row>
    <row r="529" spans="2:10" x14ac:dyDescent="0.35">
      <c r="B529" s="107"/>
      <c r="J529" s="115"/>
    </row>
    <row r="530" spans="2:10" x14ac:dyDescent="0.35">
      <c r="B530" s="107"/>
      <c r="J530" s="115"/>
    </row>
    <row r="531" spans="2:10" x14ac:dyDescent="0.35">
      <c r="B531" s="107"/>
      <c r="J531" s="115"/>
    </row>
    <row r="532" spans="2:10" x14ac:dyDescent="0.35">
      <c r="B532" s="107"/>
      <c r="J532" s="115"/>
    </row>
    <row r="533" spans="2:10" x14ac:dyDescent="0.35">
      <c r="B533" s="107"/>
      <c r="J533" s="115"/>
    </row>
    <row r="534" spans="2:10" x14ac:dyDescent="0.35">
      <c r="B534" s="107"/>
      <c r="J534" s="115"/>
    </row>
    <row r="535" spans="2:10" x14ac:dyDescent="0.35">
      <c r="B535" s="107"/>
      <c r="J535" s="115"/>
    </row>
    <row r="536" spans="2:10" x14ac:dyDescent="0.35">
      <c r="B536" s="107"/>
      <c r="J536" s="115"/>
    </row>
    <row r="537" spans="2:10" x14ac:dyDescent="0.35">
      <c r="B537" s="107"/>
      <c r="J537" s="115"/>
    </row>
    <row r="538" spans="2:10" x14ac:dyDescent="0.35">
      <c r="B538" s="107"/>
      <c r="J538" s="115"/>
    </row>
    <row r="539" spans="2:10" x14ac:dyDescent="0.35">
      <c r="B539" s="107"/>
      <c r="J539" s="115"/>
    </row>
    <row r="540" spans="2:10" x14ac:dyDescent="0.35">
      <c r="B540" s="107"/>
      <c r="J540" s="115"/>
    </row>
    <row r="541" spans="2:10" x14ac:dyDescent="0.35">
      <c r="B541" s="107"/>
      <c r="J541" s="115"/>
    </row>
    <row r="542" spans="2:10" x14ac:dyDescent="0.35">
      <c r="B542" s="107"/>
      <c r="J542" s="115"/>
    </row>
    <row r="543" spans="2:10" x14ac:dyDescent="0.35">
      <c r="B543" s="107"/>
      <c r="J543" s="115"/>
    </row>
    <row r="544" spans="2:10" x14ac:dyDescent="0.35">
      <c r="B544" s="107"/>
      <c r="J544" s="115"/>
    </row>
    <row r="545" spans="2:10" x14ac:dyDescent="0.35">
      <c r="B545" s="107"/>
      <c r="J545" s="115"/>
    </row>
    <row r="546" spans="2:10" x14ac:dyDescent="0.35">
      <c r="B546" s="107"/>
      <c r="J546" s="115"/>
    </row>
    <row r="547" spans="2:10" x14ac:dyDescent="0.35">
      <c r="B547" s="107"/>
      <c r="J547" s="115"/>
    </row>
    <row r="548" spans="2:10" x14ac:dyDescent="0.35">
      <c r="B548" s="107"/>
      <c r="J548" s="115"/>
    </row>
    <row r="549" spans="2:10" x14ac:dyDescent="0.35">
      <c r="B549" s="107"/>
      <c r="J549" s="115"/>
    </row>
    <row r="550" spans="2:10" x14ac:dyDescent="0.35">
      <c r="B550" s="107"/>
      <c r="J550" s="115"/>
    </row>
    <row r="551" spans="2:10" x14ac:dyDescent="0.35">
      <c r="B551" s="107"/>
      <c r="J551" s="115"/>
    </row>
    <row r="552" spans="2:10" x14ac:dyDescent="0.35">
      <c r="B552" s="107"/>
      <c r="J552" s="115"/>
    </row>
    <row r="553" spans="2:10" x14ac:dyDescent="0.35">
      <c r="B553" s="107"/>
      <c r="J553" s="115"/>
    </row>
    <row r="554" spans="2:10" x14ac:dyDescent="0.35">
      <c r="B554" s="107"/>
      <c r="J554" s="115"/>
    </row>
    <row r="555" spans="2:10" x14ac:dyDescent="0.35">
      <c r="B555" s="107"/>
      <c r="J555" s="115"/>
    </row>
    <row r="556" spans="2:10" x14ac:dyDescent="0.35">
      <c r="B556" s="107"/>
      <c r="J556" s="115"/>
    </row>
    <row r="557" spans="2:10" x14ac:dyDescent="0.35">
      <c r="B557" s="107"/>
      <c r="J557" s="115"/>
    </row>
    <row r="558" spans="2:10" x14ac:dyDescent="0.35">
      <c r="B558" s="107"/>
      <c r="J558" s="115"/>
    </row>
    <row r="559" spans="2:10" x14ac:dyDescent="0.35">
      <c r="B559" s="107"/>
      <c r="J559" s="115"/>
    </row>
    <row r="560" spans="2:10" x14ac:dyDescent="0.35">
      <c r="B560" s="107"/>
      <c r="J560" s="115"/>
    </row>
    <row r="561" spans="2:10" x14ac:dyDescent="0.35">
      <c r="B561" s="107"/>
      <c r="J561" s="115"/>
    </row>
    <row r="562" spans="2:10" x14ac:dyDescent="0.35">
      <c r="B562" s="107"/>
      <c r="J562" s="115"/>
    </row>
    <row r="563" spans="2:10" x14ac:dyDescent="0.35">
      <c r="B563" s="107"/>
      <c r="J563" s="115"/>
    </row>
    <row r="564" spans="2:10" x14ac:dyDescent="0.35">
      <c r="B564" s="107"/>
      <c r="J564" s="115"/>
    </row>
    <row r="565" spans="2:10" x14ac:dyDescent="0.35">
      <c r="B565" s="107"/>
      <c r="J565" s="115"/>
    </row>
    <row r="566" spans="2:10" x14ac:dyDescent="0.35">
      <c r="B566" s="107"/>
      <c r="J566" s="115"/>
    </row>
    <row r="567" spans="2:10" x14ac:dyDescent="0.35">
      <c r="B567" s="107"/>
      <c r="J567" s="115"/>
    </row>
    <row r="568" spans="2:10" x14ac:dyDescent="0.35">
      <c r="B568" s="107"/>
      <c r="J568" s="115"/>
    </row>
    <row r="569" spans="2:10" x14ac:dyDescent="0.35">
      <c r="B569" s="107"/>
      <c r="J569" s="115"/>
    </row>
    <row r="570" spans="2:10" x14ac:dyDescent="0.35">
      <c r="B570" s="107"/>
      <c r="J570" s="115"/>
    </row>
    <row r="571" spans="2:10" x14ac:dyDescent="0.35">
      <c r="B571" s="107"/>
      <c r="J571" s="115"/>
    </row>
    <row r="572" spans="2:10" x14ac:dyDescent="0.35">
      <c r="B572" s="107"/>
      <c r="J572" s="115"/>
    </row>
    <row r="573" spans="2:10" x14ac:dyDescent="0.35">
      <c r="B573" s="107"/>
      <c r="J573" s="115"/>
    </row>
    <row r="574" spans="2:10" x14ac:dyDescent="0.35">
      <c r="B574" s="107"/>
      <c r="J574" s="115"/>
    </row>
    <row r="575" spans="2:10" x14ac:dyDescent="0.35">
      <c r="B575" s="107"/>
      <c r="J575" s="115"/>
    </row>
    <row r="576" spans="2:10" x14ac:dyDescent="0.35">
      <c r="B576" s="107"/>
      <c r="J576" s="115"/>
    </row>
    <row r="577" spans="2:10" x14ac:dyDescent="0.35">
      <c r="B577" s="107"/>
      <c r="J577" s="115"/>
    </row>
    <row r="578" spans="2:10" x14ac:dyDescent="0.35">
      <c r="B578" s="107"/>
      <c r="J578" s="115"/>
    </row>
    <row r="579" spans="2:10" x14ac:dyDescent="0.35">
      <c r="B579" s="107"/>
      <c r="J579" s="115"/>
    </row>
    <row r="580" spans="2:10" x14ac:dyDescent="0.35">
      <c r="B580" s="107"/>
      <c r="J580" s="115"/>
    </row>
    <row r="581" spans="2:10" x14ac:dyDescent="0.35">
      <c r="B581" s="107"/>
      <c r="J581" s="115"/>
    </row>
    <row r="582" spans="2:10" x14ac:dyDescent="0.35">
      <c r="B582" s="107"/>
      <c r="J582" s="115"/>
    </row>
    <row r="583" spans="2:10" x14ac:dyDescent="0.35">
      <c r="B583" s="107"/>
      <c r="J583" s="115"/>
    </row>
    <row r="584" spans="2:10" x14ac:dyDescent="0.35">
      <c r="B584" s="107"/>
      <c r="J584" s="115"/>
    </row>
    <row r="585" spans="2:10" x14ac:dyDescent="0.35">
      <c r="B585" s="107"/>
      <c r="J585" s="115"/>
    </row>
    <row r="586" spans="2:10" x14ac:dyDescent="0.35">
      <c r="B586" s="107"/>
      <c r="J586" s="115"/>
    </row>
    <row r="587" spans="2:10" x14ac:dyDescent="0.35">
      <c r="B587" s="107"/>
      <c r="J587" s="115"/>
    </row>
    <row r="588" spans="2:10" x14ac:dyDescent="0.35">
      <c r="B588" s="107"/>
      <c r="J588" s="115"/>
    </row>
    <row r="589" spans="2:10" x14ac:dyDescent="0.35">
      <c r="B589" s="107"/>
      <c r="J589" s="115"/>
    </row>
    <row r="590" spans="2:10" x14ac:dyDescent="0.35">
      <c r="B590" s="107"/>
      <c r="J590" s="115"/>
    </row>
    <row r="591" spans="2:10" x14ac:dyDescent="0.35">
      <c r="B591" s="107"/>
      <c r="J591" s="115"/>
    </row>
    <row r="592" spans="2:10" x14ac:dyDescent="0.35">
      <c r="B592" s="107"/>
      <c r="J592" s="115"/>
    </row>
    <row r="593" spans="2:10" x14ac:dyDescent="0.35">
      <c r="B593" s="107"/>
      <c r="J593" s="115"/>
    </row>
    <row r="594" spans="2:10" x14ac:dyDescent="0.35">
      <c r="B594" s="107"/>
      <c r="J594" s="115"/>
    </row>
    <row r="595" spans="2:10" x14ac:dyDescent="0.35">
      <c r="B595" s="107"/>
      <c r="J595" s="115"/>
    </row>
    <row r="596" spans="2:10" x14ac:dyDescent="0.35">
      <c r="B596" s="107"/>
      <c r="J596" s="115"/>
    </row>
    <row r="597" spans="2:10" x14ac:dyDescent="0.35">
      <c r="B597" s="107"/>
      <c r="J597" s="115"/>
    </row>
    <row r="598" spans="2:10" x14ac:dyDescent="0.35">
      <c r="B598" s="107"/>
      <c r="J598" s="115"/>
    </row>
    <row r="599" spans="2:10" x14ac:dyDescent="0.35">
      <c r="B599" s="107"/>
      <c r="J599" s="115"/>
    </row>
    <row r="600" spans="2:10" x14ac:dyDescent="0.35">
      <c r="B600" s="107"/>
      <c r="J600" s="115"/>
    </row>
    <row r="601" spans="2:10" x14ac:dyDescent="0.35">
      <c r="B601" s="107"/>
      <c r="J601" s="115"/>
    </row>
    <row r="602" spans="2:10" x14ac:dyDescent="0.35">
      <c r="B602" s="107"/>
      <c r="J602" s="115"/>
    </row>
    <row r="603" spans="2:10" x14ac:dyDescent="0.35">
      <c r="B603" s="107"/>
      <c r="J603" s="115"/>
    </row>
    <row r="604" spans="2:10" x14ac:dyDescent="0.35">
      <c r="B604" s="107"/>
      <c r="J604" s="115"/>
    </row>
    <row r="605" spans="2:10" x14ac:dyDescent="0.35">
      <c r="B605" s="107"/>
      <c r="J605" s="115"/>
    </row>
    <row r="606" spans="2:10" x14ac:dyDescent="0.35">
      <c r="B606" s="107"/>
      <c r="J606" s="115"/>
    </row>
    <row r="607" spans="2:10" x14ac:dyDescent="0.35">
      <c r="B607" s="107"/>
      <c r="J607" s="115"/>
    </row>
    <row r="608" spans="2:10" x14ac:dyDescent="0.35">
      <c r="B608" s="107"/>
      <c r="J608" s="115"/>
    </row>
    <row r="609" spans="2:10" x14ac:dyDescent="0.35">
      <c r="B609" s="107"/>
      <c r="J609" s="115"/>
    </row>
    <row r="610" spans="2:10" x14ac:dyDescent="0.35">
      <c r="B610" s="107"/>
      <c r="J610" s="115"/>
    </row>
    <row r="611" spans="2:10" x14ac:dyDescent="0.35">
      <c r="B611" s="107"/>
      <c r="J611" s="115"/>
    </row>
    <row r="612" spans="2:10" x14ac:dyDescent="0.35">
      <c r="B612" s="107"/>
      <c r="J612" s="115"/>
    </row>
    <row r="613" spans="2:10" x14ac:dyDescent="0.35">
      <c r="B613" s="107"/>
      <c r="J613" s="115"/>
    </row>
    <row r="614" spans="2:10" x14ac:dyDescent="0.35">
      <c r="B614" s="107"/>
      <c r="J614" s="115"/>
    </row>
    <row r="615" spans="2:10" x14ac:dyDescent="0.35">
      <c r="B615" s="107"/>
      <c r="J615" s="115"/>
    </row>
    <row r="616" spans="2:10" x14ac:dyDescent="0.35">
      <c r="B616" s="107"/>
      <c r="J616" s="115"/>
    </row>
    <row r="617" spans="2:10" x14ac:dyDescent="0.35">
      <c r="B617" s="107"/>
      <c r="J617" s="115"/>
    </row>
    <row r="618" spans="2:10" x14ac:dyDescent="0.35">
      <c r="B618" s="107"/>
      <c r="J618" s="115"/>
    </row>
    <row r="619" spans="2:10" x14ac:dyDescent="0.35">
      <c r="B619" s="107"/>
      <c r="J619" s="115"/>
    </row>
    <row r="620" spans="2:10" x14ac:dyDescent="0.35">
      <c r="B620" s="107"/>
      <c r="J620" s="115"/>
    </row>
    <row r="621" spans="2:10" x14ac:dyDescent="0.35">
      <c r="B621" s="107"/>
      <c r="J621" s="115"/>
    </row>
    <row r="622" spans="2:10" x14ac:dyDescent="0.35">
      <c r="B622" s="107"/>
      <c r="J622" s="115"/>
    </row>
    <row r="623" spans="2:10" x14ac:dyDescent="0.35">
      <c r="B623" s="107"/>
      <c r="J623" s="115"/>
    </row>
    <row r="624" spans="2:10" x14ac:dyDescent="0.35">
      <c r="B624" s="107"/>
      <c r="J624" s="115"/>
    </row>
    <row r="625" spans="2:10" x14ac:dyDescent="0.35">
      <c r="B625" s="107"/>
      <c r="J625" s="115"/>
    </row>
    <row r="626" spans="2:10" x14ac:dyDescent="0.35">
      <c r="B626" s="107"/>
      <c r="J626" s="115"/>
    </row>
    <row r="627" spans="2:10" x14ac:dyDescent="0.35">
      <c r="B627" s="107"/>
      <c r="J627" s="115"/>
    </row>
    <row r="628" spans="2:10" x14ac:dyDescent="0.35">
      <c r="B628" s="107"/>
      <c r="J628" s="115"/>
    </row>
    <row r="629" spans="2:10" x14ac:dyDescent="0.35">
      <c r="B629" s="107"/>
      <c r="J629" s="115"/>
    </row>
    <row r="630" spans="2:10" x14ac:dyDescent="0.35">
      <c r="B630" s="107"/>
      <c r="J630" s="115"/>
    </row>
    <row r="631" spans="2:10" x14ac:dyDescent="0.35">
      <c r="B631" s="107"/>
      <c r="J631" s="115"/>
    </row>
    <row r="632" spans="2:10" x14ac:dyDescent="0.35">
      <c r="B632" s="107"/>
      <c r="J632" s="115"/>
    </row>
    <row r="633" spans="2:10" x14ac:dyDescent="0.35">
      <c r="B633" s="107"/>
      <c r="J633" s="115"/>
    </row>
    <row r="634" spans="2:10" x14ac:dyDescent="0.35">
      <c r="B634" s="107"/>
      <c r="J634" s="115"/>
    </row>
    <row r="635" spans="2:10" x14ac:dyDescent="0.35">
      <c r="B635" s="107"/>
      <c r="J635" s="115"/>
    </row>
    <row r="636" spans="2:10" x14ac:dyDescent="0.35">
      <c r="B636" s="107"/>
      <c r="J636" s="115"/>
    </row>
    <row r="637" spans="2:10" x14ac:dyDescent="0.35">
      <c r="B637" s="107"/>
      <c r="J637" s="115"/>
    </row>
    <row r="638" spans="2:10" x14ac:dyDescent="0.35">
      <c r="B638" s="107"/>
      <c r="J638" s="115"/>
    </row>
    <row r="639" spans="2:10" x14ac:dyDescent="0.35">
      <c r="B639" s="107"/>
      <c r="J639" s="115"/>
    </row>
    <row r="640" spans="2:10" x14ac:dyDescent="0.35">
      <c r="B640" s="107"/>
      <c r="J640" s="115"/>
    </row>
    <row r="641" spans="2:10" x14ac:dyDescent="0.35">
      <c r="B641" s="107"/>
      <c r="J641" s="115"/>
    </row>
    <row r="642" spans="2:10" x14ac:dyDescent="0.35">
      <c r="B642" s="107"/>
      <c r="J642" s="115"/>
    </row>
    <row r="643" spans="2:10" x14ac:dyDescent="0.35">
      <c r="B643" s="107"/>
      <c r="J643" s="115"/>
    </row>
    <row r="644" spans="2:10" x14ac:dyDescent="0.35">
      <c r="B644" s="107"/>
      <c r="J644" s="115"/>
    </row>
    <row r="645" spans="2:10" x14ac:dyDescent="0.35">
      <c r="B645" s="107"/>
      <c r="J645" s="115"/>
    </row>
    <row r="646" spans="2:10" x14ac:dyDescent="0.35">
      <c r="B646" s="107"/>
      <c r="J646" s="115"/>
    </row>
    <row r="647" spans="2:10" x14ac:dyDescent="0.35">
      <c r="B647" s="107"/>
      <c r="J647" s="115"/>
    </row>
    <row r="648" spans="2:10" x14ac:dyDescent="0.35">
      <c r="B648" s="107"/>
      <c r="J648" s="115"/>
    </row>
    <row r="649" spans="2:10" x14ac:dyDescent="0.35">
      <c r="B649" s="107"/>
      <c r="J649" s="115"/>
    </row>
    <row r="650" spans="2:10" x14ac:dyDescent="0.35">
      <c r="B650" s="107"/>
      <c r="J650" s="115"/>
    </row>
    <row r="651" spans="2:10" x14ac:dyDescent="0.35">
      <c r="B651" s="107"/>
      <c r="J651" s="115"/>
    </row>
    <row r="652" spans="2:10" x14ac:dyDescent="0.35">
      <c r="B652" s="107"/>
      <c r="J652" s="115"/>
    </row>
    <row r="653" spans="2:10" x14ac:dyDescent="0.35">
      <c r="B653" s="107"/>
      <c r="J653" s="115"/>
    </row>
    <row r="654" spans="2:10" x14ac:dyDescent="0.35">
      <c r="B654" s="107"/>
      <c r="J654" s="115"/>
    </row>
    <row r="655" spans="2:10" x14ac:dyDescent="0.35">
      <c r="B655" s="107"/>
      <c r="J655" s="115"/>
    </row>
    <row r="656" spans="2:10" x14ac:dyDescent="0.35">
      <c r="B656" s="107"/>
      <c r="J656" s="115"/>
    </row>
    <row r="657" spans="2:10" x14ac:dyDescent="0.35">
      <c r="B657" s="107"/>
      <c r="J657" s="115"/>
    </row>
    <row r="658" spans="2:10" x14ac:dyDescent="0.35">
      <c r="B658" s="107"/>
      <c r="J658" s="115"/>
    </row>
    <row r="659" spans="2:10" x14ac:dyDescent="0.35">
      <c r="B659" s="107"/>
      <c r="J659" s="115"/>
    </row>
    <row r="660" spans="2:10" x14ac:dyDescent="0.35">
      <c r="B660" s="107"/>
      <c r="J660" s="115"/>
    </row>
    <row r="661" spans="2:10" x14ac:dyDescent="0.35">
      <c r="B661" s="107"/>
      <c r="J661" s="115"/>
    </row>
    <row r="662" spans="2:10" x14ac:dyDescent="0.35">
      <c r="B662" s="107"/>
      <c r="J662" s="115"/>
    </row>
    <row r="663" spans="2:10" x14ac:dyDescent="0.35">
      <c r="B663" s="107"/>
      <c r="J663" s="115"/>
    </row>
    <row r="664" spans="2:10" x14ac:dyDescent="0.35">
      <c r="B664" s="107"/>
      <c r="J664" s="115"/>
    </row>
    <row r="665" spans="2:10" x14ac:dyDescent="0.35">
      <c r="B665" s="107"/>
      <c r="J665" s="115"/>
    </row>
    <row r="666" spans="2:10" x14ac:dyDescent="0.35">
      <c r="B666" s="107"/>
      <c r="J666" s="115"/>
    </row>
    <row r="667" spans="2:10" x14ac:dyDescent="0.35">
      <c r="B667" s="107"/>
      <c r="J667" s="115"/>
    </row>
    <row r="668" spans="2:10" x14ac:dyDescent="0.35">
      <c r="B668" s="107"/>
      <c r="J668" s="115"/>
    </row>
    <row r="669" spans="2:10" x14ac:dyDescent="0.35">
      <c r="B669" s="107"/>
      <c r="J669" s="115"/>
    </row>
    <row r="670" spans="2:10" x14ac:dyDescent="0.35">
      <c r="B670" s="107"/>
      <c r="J670" s="115"/>
    </row>
    <row r="671" spans="2:10" x14ac:dyDescent="0.35">
      <c r="B671" s="107"/>
      <c r="J671" s="115"/>
    </row>
    <row r="672" spans="2:10" x14ac:dyDescent="0.35">
      <c r="B672" s="107"/>
      <c r="J672" s="115"/>
    </row>
    <row r="673" spans="2:10" x14ac:dyDescent="0.35">
      <c r="B673" s="107"/>
      <c r="J673" s="115"/>
    </row>
    <row r="674" spans="2:10" x14ac:dyDescent="0.35">
      <c r="B674" s="107"/>
      <c r="J674" s="115"/>
    </row>
    <row r="675" spans="2:10" x14ac:dyDescent="0.35">
      <c r="B675" s="107"/>
      <c r="J675" s="115"/>
    </row>
    <row r="676" spans="2:10" x14ac:dyDescent="0.35">
      <c r="B676" s="107"/>
      <c r="J676" s="115"/>
    </row>
    <row r="677" spans="2:10" x14ac:dyDescent="0.35">
      <c r="B677" s="107"/>
      <c r="J677" s="115"/>
    </row>
    <row r="678" spans="2:10" x14ac:dyDescent="0.35">
      <c r="B678" s="107"/>
      <c r="J678" s="115"/>
    </row>
    <row r="679" spans="2:10" x14ac:dyDescent="0.35">
      <c r="B679" s="107"/>
      <c r="J679" s="115"/>
    </row>
    <row r="680" spans="2:10" x14ac:dyDescent="0.35">
      <c r="B680" s="107"/>
      <c r="J680" s="115"/>
    </row>
    <row r="681" spans="2:10" x14ac:dyDescent="0.35">
      <c r="B681" s="107"/>
      <c r="J681" s="115"/>
    </row>
    <row r="682" spans="2:10" x14ac:dyDescent="0.35">
      <c r="B682" s="107"/>
      <c r="J682" s="115"/>
    </row>
    <row r="683" spans="2:10" x14ac:dyDescent="0.35">
      <c r="B683" s="107"/>
      <c r="J683" s="115"/>
    </row>
    <row r="684" spans="2:10" x14ac:dyDescent="0.35">
      <c r="B684" s="107"/>
      <c r="J684" s="115"/>
    </row>
    <row r="685" spans="2:10" x14ac:dyDescent="0.35">
      <c r="B685" s="107"/>
      <c r="J685" s="115"/>
    </row>
    <row r="686" spans="2:10" x14ac:dyDescent="0.35">
      <c r="B686" s="107"/>
      <c r="J686" s="115"/>
    </row>
    <row r="687" spans="2:10" x14ac:dyDescent="0.35">
      <c r="B687" s="107"/>
      <c r="J687" s="115"/>
    </row>
    <row r="688" spans="2:10" x14ac:dyDescent="0.35">
      <c r="B688" s="156"/>
      <c r="C688" s="157"/>
      <c r="D688" s="157"/>
      <c r="E688" s="157"/>
      <c r="F688" s="157"/>
      <c r="G688" s="157"/>
      <c r="H688" s="157"/>
      <c r="I688" s="157"/>
      <c r="J688" s="1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1FA4-D6F9-4F05-8952-FEA77FC48149}">
  <dimension ref="A1:H1527"/>
  <sheetViews>
    <sheetView workbookViewId="0">
      <selection sqref="A1:XFD1"/>
    </sheetView>
  </sheetViews>
  <sheetFormatPr defaultRowHeight="15.5" x14ac:dyDescent="0.35"/>
  <cols>
    <col min="1" max="1" width="13.25" bestFit="1" customWidth="1"/>
    <col min="2" max="2" width="20.83203125" style="5" customWidth="1"/>
    <col min="3" max="3" width="27.33203125" style="5" bestFit="1" customWidth="1"/>
    <col min="4" max="4" width="17.1640625" style="5" bestFit="1" customWidth="1"/>
    <col min="5" max="6" width="17.1640625" style="5" customWidth="1"/>
    <col min="7" max="7" width="15.6640625" style="5" bestFit="1" customWidth="1"/>
    <col min="8" max="8" width="13.33203125" style="5" bestFit="1" customWidth="1"/>
  </cols>
  <sheetData>
    <row r="1" spans="1:8" x14ac:dyDescent="0.35">
      <c r="A1" t="s">
        <v>1378</v>
      </c>
      <c r="B1" s="11" t="s">
        <v>0</v>
      </c>
      <c r="C1" s="12" t="s">
        <v>2</v>
      </c>
      <c r="D1" s="12" t="s">
        <v>5</v>
      </c>
      <c r="E1" s="12" t="s">
        <v>6</v>
      </c>
      <c r="F1" s="12" t="s">
        <v>16</v>
      </c>
      <c r="G1" s="12" t="s">
        <v>11</v>
      </c>
      <c r="H1" s="13" t="s">
        <v>12</v>
      </c>
    </row>
    <row r="2" spans="1:8" x14ac:dyDescent="0.35">
      <c r="A2" t="s">
        <v>1381</v>
      </c>
      <c r="B2" s="20" t="s">
        <v>31</v>
      </c>
      <c r="C2" s="26" t="s">
        <v>32</v>
      </c>
      <c r="D2" s="27">
        <v>63.125</v>
      </c>
      <c r="E2" s="27" t="s">
        <v>27</v>
      </c>
      <c r="F2" s="27">
        <v>2.9150000000000063</v>
      </c>
      <c r="G2" s="26">
        <v>17.100000000000001</v>
      </c>
      <c r="H2" s="28">
        <v>-9.9999999999997868E-2</v>
      </c>
    </row>
    <row r="3" spans="1:8" x14ac:dyDescent="0.35">
      <c r="A3" t="s">
        <v>1381</v>
      </c>
      <c r="B3" s="17" t="s">
        <v>31</v>
      </c>
      <c r="C3" s="64" t="s">
        <v>46</v>
      </c>
      <c r="D3" s="65">
        <v>63.164999999999999</v>
      </c>
      <c r="E3" s="61" t="s">
        <v>27</v>
      </c>
      <c r="F3" s="65">
        <v>2.8750000000000071</v>
      </c>
      <c r="G3" s="64">
        <v>16</v>
      </c>
      <c r="H3" s="66">
        <v>-1.1999999999999993</v>
      </c>
    </row>
    <row r="4" spans="1:8" x14ac:dyDescent="0.35">
      <c r="A4" t="s">
        <v>1381</v>
      </c>
      <c r="B4" s="17" t="s">
        <v>31</v>
      </c>
      <c r="C4" s="64" t="s">
        <v>50</v>
      </c>
      <c r="D4" s="65">
        <v>63.284999999999997</v>
      </c>
      <c r="E4" s="61" t="s">
        <v>27</v>
      </c>
      <c r="F4" s="65">
        <v>2.7550000000000097</v>
      </c>
      <c r="G4" s="64">
        <v>17.100000000000001</v>
      </c>
      <c r="H4" s="66">
        <v>-9.9999999999997868E-2</v>
      </c>
    </row>
    <row r="5" spans="1:8" x14ac:dyDescent="0.35">
      <c r="A5" t="s">
        <v>1381</v>
      </c>
      <c r="B5" s="17" t="s">
        <v>31</v>
      </c>
      <c r="C5" s="64" t="s">
        <v>53</v>
      </c>
      <c r="D5" s="65">
        <v>63.325000000000003</v>
      </c>
      <c r="E5" s="61" t="s">
        <v>27</v>
      </c>
      <c r="F5" s="65">
        <v>2.7150000000000034</v>
      </c>
      <c r="G5" s="64">
        <v>16.600000000000001</v>
      </c>
      <c r="H5" s="66">
        <v>-0.59999999999999787</v>
      </c>
    </row>
    <row r="6" spans="1:8" x14ac:dyDescent="0.35">
      <c r="A6" t="s">
        <v>1381</v>
      </c>
      <c r="B6" s="17" t="s">
        <v>31</v>
      </c>
      <c r="C6" s="64" t="s">
        <v>56</v>
      </c>
      <c r="D6" s="65">
        <v>63.35</v>
      </c>
      <c r="E6" s="61" t="s">
        <v>27</v>
      </c>
      <c r="F6" s="65">
        <v>2.6900000000000048</v>
      </c>
      <c r="G6" s="64">
        <v>16.8</v>
      </c>
      <c r="H6" s="66">
        <v>-0.39999999999999858</v>
      </c>
    </row>
    <row r="7" spans="1:8" x14ac:dyDescent="0.35">
      <c r="A7" t="s">
        <v>1381</v>
      </c>
      <c r="B7" s="17" t="s">
        <v>31</v>
      </c>
      <c r="C7" s="64" t="s">
        <v>59</v>
      </c>
      <c r="D7" s="65">
        <v>63.37</v>
      </c>
      <c r="E7" s="61" t="s">
        <v>27</v>
      </c>
      <c r="F7" s="65">
        <v>2.6700000000000088</v>
      </c>
      <c r="G7" s="64">
        <v>17.100000000000001</v>
      </c>
      <c r="H7" s="66">
        <v>-9.9999999999997868E-2</v>
      </c>
    </row>
    <row r="8" spans="1:8" x14ac:dyDescent="0.35">
      <c r="A8" t="s">
        <v>1381</v>
      </c>
      <c r="B8" s="17" t="s">
        <v>31</v>
      </c>
      <c r="C8" s="64" t="s">
        <v>63</v>
      </c>
      <c r="D8" s="65">
        <v>63.38</v>
      </c>
      <c r="E8" s="61" t="s">
        <v>27</v>
      </c>
      <c r="F8" s="65">
        <v>2.6600000000000037</v>
      </c>
      <c r="G8" s="64">
        <v>16.8</v>
      </c>
      <c r="H8" s="66">
        <v>-0.39999999999999858</v>
      </c>
    </row>
    <row r="9" spans="1:8" x14ac:dyDescent="0.35">
      <c r="A9" t="s">
        <v>1381</v>
      </c>
      <c r="B9" s="17" t="s">
        <v>31</v>
      </c>
      <c r="C9" s="64" t="s">
        <v>66</v>
      </c>
      <c r="D9" s="92">
        <v>63.4</v>
      </c>
      <c r="E9" s="61" t="s">
        <v>27</v>
      </c>
      <c r="F9" s="92">
        <v>2.6400000000000077</v>
      </c>
      <c r="G9" s="64">
        <v>17.100000000000001</v>
      </c>
      <c r="H9" s="66">
        <v>-9.9999999999997868E-2</v>
      </c>
    </row>
    <row r="10" spans="1:8" x14ac:dyDescent="0.35">
      <c r="A10" t="s">
        <v>1381</v>
      </c>
      <c r="B10" s="17" t="s">
        <v>31</v>
      </c>
      <c r="C10" s="64" t="s">
        <v>69</v>
      </c>
      <c r="D10" s="65">
        <v>65.968999999999994</v>
      </c>
      <c r="E10" s="61" t="s">
        <v>27</v>
      </c>
      <c r="F10" s="65">
        <v>7.1000000000012164E-2</v>
      </c>
      <c r="G10" s="64">
        <v>17.399999999999999</v>
      </c>
      <c r="H10" s="66">
        <v>0.19999999999999929</v>
      </c>
    </row>
    <row r="11" spans="1:8" x14ac:dyDescent="0.35">
      <c r="A11" t="s">
        <v>1381</v>
      </c>
      <c r="B11" s="17" t="s">
        <v>31</v>
      </c>
      <c r="C11" s="64" t="s">
        <v>72</v>
      </c>
      <c r="D11" s="92">
        <v>66</v>
      </c>
      <c r="E11" s="61" t="s">
        <v>27</v>
      </c>
      <c r="F11" s="92">
        <v>4.0000000000006253E-2</v>
      </c>
      <c r="G11" s="64">
        <v>17.399999999999999</v>
      </c>
      <c r="H11" s="66">
        <v>0.19999999999999929</v>
      </c>
    </row>
    <row r="12" spans="1:8" x14ac:dyDescent="0.35">
      <c r="A12" t="s">
        <v>1381</v>
      </c>
      <c r="B12" s="17" t="s">
        <v>31</v>
      </c>
      <c r="C12" s="64" t="s">
        <v>76</v>
      </c>
      <c r="D12" s="65">
        <v>66.040000000000006</v>
      </c>
      <c r="E12" s="61" t="s">
        <v>27</v>
      </c>
      <c r="F12" s="65">
        <v>0</v>
      </c>
      <c r="G12" s="64">
        <v>17.2</v>
      </c>
      <c r="H12" s="66">
        <v>0</v>
      </c>
    </row>
    <row r="13" spans="1:8" x14ac:dyDescent="0.35">
      <c r="A13" t="s">
        <v>1381</v>
      </c>
      <c r="B13" s="17" t="s">
        <v>31</v>
      </c>
      <c r="C13" s="64" t="s">
        <v>78</v>
      </c>
      <c r="D13" s="65">
        <v>66.144999999999996</v>
      </c>
      <c r="E13" s="61" t="s">
        <v>27</v>
      </c>
      <c r="F13" s="65">
        <v>-0.10499999999998977</v>
      </c>
      <c r="G13" s="64">
        <v>17.3</v>
      </c>
      <c r="H13" s="66">
        <v>0.10000000000000142</v>
      </c>
    </row>
    <row r="14" spans="1:8" x14ac:dyDescent="0.35">
      <c r="A14" t="s">
        <v>1381</v>
      </c>
      <c r="B14" s="17" t="s">
        <v>31</v>
      </c>
      <c r="C14" s="62" t="s">
        <v>82</v>
      </c>
      <c r="D14" s="65">
        <v>66.165000000000006</v>
      </c>
      <c r="E14" s="61" t="s">
        <v>27</v>
      </c>
      <c r="F14" s="65">
        <v>-0.125</v>
      </c>
      <c r="G14" s="64">
        <v>19.600000000000001</v>
      </c>
      <c r="H14" s="66">
        <v>2.4000000000000021</v>
      </c>
    </row>
    <row r="15" spans="1:8" x14ac:dyDescent="0.35">
      <c r="A15" t="s">
        <v>1381</v>
      </c>
      <c r="B15" s="17" t="s">
        <v>31</v>
      </c>
      <c r="C15" s="64" t="s">
        <v>84</v>
      </c>
      <c r="D15" s="65">
        <v>66.245000000000005</v>
      </c>
      <c r="E15" s="61" t="s">
        <v>27</v>
      </c>
      <c r="F15" s="65">
        <v>-0.20499999999999829</v>
      </c>
      <c r="G15" s="64">
        <v>18.600000000000001</v>
      </c>
      <c r="H15" s="66">
        <v>1.4000000000000021</v>
      </c>
    </row>
    <row r="16" spans="1:8" x14ac:dyDescent="0.35">
      <c r="A16" t="s">
        <v>1381</v>
      </c>
      <c r="B16" s="17" t="s">
        <v>31</v>
      </c>
      <c r="C16" s="64" t="s">
        <v>87</v>
      </c>
      <c r="D16" s="92">
        <v>66.265000000000001</v>
      </c>
      <c r="E16" s="61" t="s">
        <v>27</v>
      </c>
      <c r="F16" s="92">
        <v>-0.22499999999999432</v>
      </c>
      <c r="G16" s="64">
        <v>18.8</v>
      </c>
      <c r="H16" s="66">
        <v>1.6000000000000014</v>
      </c>
    </row>
    <row r="17" spans="1:8" x14ac:dyDescent="0.35">
      <c r="A17" t="s">
        <v>1381</v>
      </c>
      <c r="B17" s="17" t="s">
        <v>31</v>
      </c>
      <c r="C17" s="64" t="s">
        <v>89</v>
      </c>
      <c r="D17" s="92">
        <v>66.292000000000002</v>
      </c>
      <c r="E17" s="61" t="s">
        <v>27</v>
      </c>
      <c r="F17" s="92">
        <v>-0.25199999999999534</v>
      </c>
      <c r="G17" s="64">
        <v>19.3</v>
      </c>
      <c r="H17" s="66">
        <v>2.1000000000000014</v>
      </c>
    </row>
    <row r="18" spans="1:8" x14ac:dyDescent="0.35">
      <c r="A18" t="s">
        <v>1381</v>
      </c>
      <c r="B18" s="17" t="s">
        <v>31</v>
      </c>
      <c r="C18" s="64" t="s">
        <v>91</v>
      </c>
      <c r="D18" s="65">
        <v>66.316999999999993</v>
      </c>
      <c r="E18" s="61" t="s">
        <v>27</v>
      </c>
      <c r="F18" s="65">
        <v>-0.27699999999998681</v>
      </c>
      <c r="G18" s="64">
        <v>19</v>
      </c>
      <c r="H18" s="66">
        <v>1.8000000000000007</v>
      </c>
    </row>
    <row r="19" spans="1:8" x14ac:dyDescent="0.35">
      <c r="A19" t="s">
        <v>1381</v>
      </c>
      <c r="B19" s="17" t="s">
        <v>31</v>
      </c>
      <c r="C19" s="64" t="s">
        <v>92</v>
      </c>
      <c r="D19" s="65">
        <v>66.325000000000003</v>
      </c>
      <c r="E19" s="61" t="s">
        <v>27</v>
      </c>
      <c r="F19" s="65">
        <v>-0.28499999999999659</v>
      </c>
      <c r="G19" s="64">
        <v>19.3</v>
      </c>
      <c r="H19" s="66">
        <v>2.1000000000000014</v>
      </c>
    </row>
    <row r="20" spans="1:8" x14ac:dyDescent="0.35">
      <c r="A20" t="s">
        <v>1381</v>
      </c>
      <c r="B20" s="17" t="s">
        <v>31</v>
      </c>
      <c r="C20" s="64" t="s">
        <v>99</v>
      </c>
      <c r="D20" s="65">
        <v>66.344999999999999</v>
      </c>
      <c r="E20" s="61" t="s">
        <v>27</v>
      </c>
      <c r="F20" s="65">
        <v>-0.30499999999999261</v>
      </c>
      <c r="G20" s="64">
        <v>16.5</v>
      </c>
      <c r="H20" s="66">
        <v>-0.69999999999999929</v>
      </c>
    </row>
    <row r="21" spans="1:8" x14ac:dyDescent="0.35">
      <c r="A21" t="s">
        <v>1381</v>
      </c>
      <c r="B21" s="17" t="s">
        <v>31</v>
      </c>
      <c r="C21" s="64" t="s">
        <v>101</v>
      </c>
      <c r="D21" s="65">
        <v>66.364999999999995</v>
      </c>
      <c r="E21" s="61" t="s">
        <v>27</v>
      </c>
      <c r="F21" s="65">
        <v>-0.32499999999998863</v>
      </c>
      <c r="G21" s="64">
        <v>16.7</v>
      </c>
      <c r="H21" s="66">
        <v>-0.5</v>
      </c>
    </row>
    <row r="22" spans="1:8" x14ac:dyDescent="0.35">
      <c r="A22" t="s">
        <v>1381</v>
      </c>
      <c r="B22" s="17" t="s">
        <v>31</v>
      </c>
      <c r="C22" s="64" t="s">
        <v>104</v>
      </c>
      <c r="D22" s="65">
        <v>66.38</v>
      </c>
      <c r="E22" s="61" t="s">
        <v>27</v>
      </c>
      <c r="F22" s="65">
        <v>-0.3399999999999892</v>
      </c>
      <c r="G22" s="64">
        <v>18.100000000000001</v>
      </c>
      <c r="H22" s="66">
        <v>0.90000000000000213</v>
      </c>
    </row>
    <row r="23" spans="1:8" x14ac:dyDescent="0.35">
      <c r="A23" t="s">
        <v>1381</v>
      </c>
      <c r="B23" s="17" t="s">
        <v>31</v>
      </c>
      <c r="C23" s="64" t="s">
        <v>106</v>
      </c>
      <c r="D23" s="92">
        <v>66.400000000000006</v>
      </c>
      <c r="E23" s="61" t="s">
        <v>27</v>
      </c>
      <c r="F23" s="92">
        <v>-0.35999999999999943</v>
      </c>
      <c r="G23" s="64">
        <v>17.2</v>
      </c>
      <c r="H23" s="66">
        <v>0</v>
      </c>
    </row>
    <row r="24" spans="1:8" x14ac:dyDescent="0.35">
      <c r="A24" t="s">
        <v>1381</v>
      </c>
      <c r="B24" s="17" t="s">
        <v>31</v>
      </c>
      <c r="C24" s="64" t="s">
        <v>108</v>
      </c>
      <c r="D24" s="65">
        <v>69.244</v>
      </c>
      <c r="E24" s="61" t="s">
        <v>27</v>
      </c>
      <c r="F24" s="65">
        <v>-3.2039999999999935</v>
      </c>
      <c r="G24" s="64">
        <v>17.899999999999999</v>
      </c>
      <c r="H24" s="66">
        <v>0.69999999999999929</v>
      </c>
    </row>
    <row r="25" spans="1:8" x14ac:dyDescent="0.35">
      <c r="A25" t="s">
        <v>1381</v>
      </c>
      <c r="B25" s="17" t="s">
        <v>31</v>
      </c>
      <c r="C25" s="64" t="s">
        <v>109</v>
      </c>
      <c r="D25" s="65">
        <v>69.263999999999996</v>
      </c>
      <c r="E25" s="61" t="s">
        <v>27</v>
      </c>
      <c r="F25" s="65">
        <v>-3.2239999999999895</v>
      </c>
      <c r="G25" s="64">
        <v>18.2</v>
      </c>
      <c r="H25" s="66">
        <v>1</v>
      </c>
    </row>
    <row r="26" spans="1:8" x14ac:dyDescent="0.35">
      <c r="A26" t="s">
        <v>1381</v>
      </c>
      <c r="B26" s="17" t="s">
        <v>31</v>
      </c>
      <c r="C26" s="64" t="s">
        <v>111</v>
      </c>
      <c r="D26" s="92">
        <v>69.278999999999996</v>
      </c>
      <c r="E26" s="61" t="s">
        <v>27</v>
      </c>
      <c r="F26" s="92">
        <v>-3.2389999999999901</v>
      </c>
      <c r="G26" s="64">
        <v>17.100000000000001</v>
      </c>
      <c r="H26" s="66">
        <v>-9.9999999999997868E-2</v>
      </c>
    </row>
    <row r="27" spans="1:8" x14ac:dyDescent="0.35">
      <c r="A27" t="s">
        <v>1381</v>
      </c>
      <c r="B27" s="17" t="s">
        <v>31</v>
      </c>
      <c r="C27" s="64" t="s">
        <v>112</v>
      </c>
      <c r="D27" s="65">
        <v>69.299000000000007</v>
      </c>
      <c r="E27" s="61" t="s">
        <v>27</v>
      </c>
      <c r="F27" s="65">
        <v>-3.2590000000000003</v>
      </c>
      <c r="G27" s="64">
        <v>17.3</v>
      </c>
      <c r="H27" s="66">
        <v>0.10000000000000142</v>
      </c>
    </row>
    <row r="28" spans="1:8" x14ac:dyDescent="0.35">
      <c r="A28" t="s">
        <v>1381</v>
      </c>
      <c r="B28" s="17" t="s">
        <v>31</v>
      </c>
      <c r="C28" s="64" t="s">
        <v>115</v>
      </c>
      <c r="D28" s="65">
        <v>69.313999999999993</v>
      </c>
      <c r="E28" s="61" t="s">
        <v>27</v>
      </c>
      <c r="F28" s="65">
        <v>-3.2739999999999867</v>
      </c>
      <c r="G28" s="64">
        <v>17.600000000000001</v>
      </c>
      <c r="H28" s="66">
        <v>0.40000000000000213</v>
      </c>
    </row>
    <row r="29" spans="1:8" x14ac:dyDescent="0.35">
      <c r="A29" t="s">
        <v>1381</v>
      </c>
      <c r="B29" s="17" t="s">
        <v>31</v>
      </c>
      <c r="C29" s="64" t="s">
        <v>118</v>
      </c>
      <c r="D29" s="65">
        <v>69.334000000000003</v>
      </c>
      <c r="E29" s="61" t="s">
        <v>27</v>
      </c>
      <c r="F29" s="65">
        <v>-3.2939999999999969</v>
      </c>
      <c r="G29" s="64">
        <v>19.399999999999999</v>
      </c>
      <c r="H29" s="66">
        <v>2.1999999999999993</v>
      </c>
    </row>
    <row r="30" spans="1:8" x14ac:dyDescent="0.35">
      <c r="A30" t="s">
        <v>1381</v>
      </c>
      <c r="B30" s="17" t="s">
        <v>31</v>
      </c>
      <c r="C30" s="64" t="s">
        <v>121</v>
      </c>
      <c r="D30" s="65">
        <v>69.343999999999994</v>
      </c>
      <c r="E30" s="61" t="s">
        <v>27</v>
      </c>
      <c r="F30" s="65">
        <v>-3.3039999999999878</v>
      </c>
      <c r="G30" s="64">
        <v>19.399999999999999</v>
      </c>
      <c r="H30" s="66">
        <v>2.1999999999999993</v>
      </c>
    </row>
    <row r="31" spans="1:8" x14ac:dyDescent="0.35">
      <c r="A31" t="s">
        <v>1381</v>
      </c>
      <c r="B31" s="17" t="s">
        <v>31</v>
      </c>
      <c r="C31" s="64" t="s">
        <v>123</v>
      </c>
      <c r="D31" s="65">
        <v>69.364000000000004</v>
      </c>
      <c r="E31" s="61" t="s">
        <v>27</v>
      </c>
      <c r="F31" s="65">
        <v>-3.3239999999999981</v>
      </c>
      <c r="G31" s="64">
        <v>20</v>
      </c>
      <c r="H31" s="66">
        <v>2.8000000000000007</v>
      </c>
    </row>
    <row r="32" spans="1:8" x14ac:dyDescent="0.35">
      <c r="A32" t="s">
        <v>1381</v>
      </c>
      <c r="B32" s="17" t="s">
        <v>31</v>
      </c>
      <c r="C32" s="64" t="s">
        <v>126</v>
      </c>
      <c r="D32" s="65">
        <v>69.373999999999995</v>
      </c>
      <c r="E32" s="61" t="s">
        <v>27</v>
      </c>
      <c r="F32" s="65">
        <v>-3.333999999999989</v>
      </c>
      <c r="G32" s="64">
        <v>18</v>
      </c>
      <c r="H32" s="66">
        <v>0.80000000000000071</v>
      </c>
    </row>
    <row r="33" spans="1:8" x14ac:dyDescent="0.35">
      <c r="A33" t="s">
        <v>1381</v>
      </c>
      <c r="B33" s="17" t="s">
        <v>31</v>
      </c>
      <c r="C33" s="64" t="s">
        <v>128</v>
      </c>
      <c r="D33" s="65">
        <v>69.478999999999999</v>
      </c>
      <c r="E33" s="61" t="s">
        <v>27</v>
      </c>
      <c r="F33" s="65">
        <v>-3.438999999999993</v>
      </c>
      <c r="G33" s="64">
        <v>16.7</v>
      </c>
      <c r="H33" s="66">
        <v>-0.5</v>
      </c>
    </row>
    <row r="34" spans="1:8" x14ac:dyDescent="0.35">
      <c r="A34" t="s">
        <v>1381</v>
      </c>
      <c r="B34" s="17" t="s">
        <v>31</v>
      </c>
      <c r="C34" s="64" t="s">
        <v>129</v>
      </c>
      <c r="D34" s="65">
        <v>69.652000000000001</v>
      </c>
      <c r="E34" s="61" t="s">
        <v>27</v>
      </c>
      <c r="F34" s="65">
        <v>-3.6119999999999948</v>
      </c>
      <c r="G34" s="64">
        <v>16.2</v>
      </c>
      <c r="H34" s="66">
        <v>-1</v>
      </c>
    </row>
    <row r="35" spans="1:8" x14ac:dyDescent="0.35">
      <c r="A35" t="s">
        <v>1381</v>
      </c>
      <c r="B35" s="102" t="s">
        <v>31</v>
      </c>
      <c r="C35" s="118" t="s">
        <v>131</v>
      </c>
      <c r="D35" s="119">
        <v>69.721999999999994</v>
      </c>
      <c r="E35" s="104" t="s">
        <v>27</v>
      </c>
      <c r="F35" s="119">
        <v>-3.6819999999999879</v>
      </c>
      <c r="G35" s="118">
        <v>17.3</v>
      </c>
      <c r="H35" s="120">
        <v>0.10000000000000142</v>
      </c>
    </row>
    <row r="36" spans="1:8" x14ac:dyDescent="0.35">
      <c r="B36" s="17"/>
      <c r="D36" s="123"/>
      <c r="E36" s="61"/>
      <c r="F36" s="123"/>
      <c r="G36" s="64"/>
      <c r="H36" s="124"/>
    </row>
    <row r="37" spans="1:8" x14ac:dyDescent="0.35">
      <c r="B37" s="17"/>
      <c r="D37" s="123"/>
      <c r="E37" s="61"/>
      <c r="F37" s="123"/>
      <c r="G37" s="64"/>
      <c r="H37" s="124"/>
    </row>
    <row r="38" spans="1:8" x14ac:dyDescent="0.35">
      <c r="B38" s="17"/>
      <c r="D38" s="123"/>
      <c r="E38" s="61"/>
      <c r="F38" s="123"/>
      <c r="G38" s="64"/>
      <c r="H38" s="124"/>
    </row>
    <row r="39" spans="1:8" x14ac:dyDescent="0.35">
      <c r="B39" s="17"/>
      <c r="D39" s="64"/>
      <c r="E39" s="61"/>
      <c r="F39" s="64"/>
      <c r="G39" s="64"/>
      <c r="H39" s="124"/>
    </row>
    <row r="40" spans="1:8" x14ac:dyDescent="0.35">
      <c r="B40" s="17"/>
      <c r="D40" s="64"/>
      <c r="E40" s="61"/>
      <c r="F40" s="64"/>
      <c r="G40" s="64"/>
      <c r="H40" s="124"/>
    </row>
    <row r="41" spans="1:8" x14ac:dyDescent="0.35">
      <c r="B41" s="17"/>
      <c r="E41" s="61"/>
      <c r="H41" s="63"/>
    </row>
    <row r="42" spans="1:8" x14ac:dyDescent="0.35">
      <c r="B42" s="17"/>
      <c r="E42" s="61"/>
      <c r="H42" s="63"/>
    </row>
    <row r="43" spans="1:8" x14ac:dyDescent="0.35">
      <c r="B43" s="17"/>
      <c r="E43" s="61"/>
      <c r="H43" s="63"/>
    </row>
    <row r="44" spans="1:8" x14ac:dyDescent="0.35">
      <c r="B44" s="17"/>
      <c r="E44" s="61"/>
      <c r="H44" s="63"/>
    </row>
    <row r="45" spans="1:8" x14ac:dyDescent="0.35">
      <c r="B45" s="17"/>
      <c r="E45" s="61"/>
      <c r="H45" s="63"/>
    </row>
    <row r="46" spans="1:8" x14ac:dyDescent="0.35">
      <c r="B46" s="17"/>
      <c r="E46" s="61"/>
      <c r="H46" s="63"/>
    </row>
    <row r="47" spans="1:8" x14ac:dyDescent="0.35">
      <c r="B47" s="17"/>
      <c r="C47" s="67"/>
      <c r="D47" s="18"/>
      <c r="E47" s="61"/>
      <c r="F47" s="18"/>
      <c r="H47" s="63"/>
    </row>
    <row r="48" spans="1:8" x14ac:dyDescent="0.35">
      <c r="B48" s="17"/>
      <c r="C48" s="67"/>
      <c r="D48" s="18"/>
      <c r="E48" s="61"/>
      <c r="F48" s="18"/>
      <c r="H48" s="63"/>
    </row>
    <row r="49" spans="2:8" x14ac:dyDescent="0.35">
      <c r="B49" s="142"/>
      <c r="C49" s="67"/>
      <c r="D49" s="18"/>
      <c r="E49" s="61"/>
      <c r="F49" s="18"/>
      <c r="H49" s="63"/>
    </row>
    <row r="50" spans="2:8" x14ac:dyDescent="0.35">
      <c r="B50" s="142"/>
      <c r="C50" s="67"/>
      <c r="D50" s="18"/>
      <c r="E50" s="61"/>
      <c r="F50" s="18"/>
      <c r="H50" s="63"/>
    </row>
    <row r="51" spans="2:8" x14ac:dyDescent="0.35">
      <c r="B51" s="142"/>
      <c r="C51" s="67"/>
      <c r="D51" s="18"/>
      <c r="E51" s="61"/>
      <c r="F51" s="18"/>
      <c r="H51" s="63"/>
    </row>
    <row r="52" spans="2:8" x14ac:dyDescent="0.35">
      <c r="B52" s="142"/>
      <c r="C52" s="67"/>
      <c r="D52" s="18"/>
      <c r="E52" s="61"/>
      <c r="F52" s="18"/>
      <c r="H52" s="63"/>
    </row>
    <row r="53" spans="2:8" x14ac:dyDescent="0.35">
      <c r="B53" s="142"/>
      <c r="C53" s="67"/>
      <c r="D53" s="18"/>
      <c r="E53" s="61"/>
      <c r="F53" s="18"/>
      <c r="H53" s="63"/>
    </row>
    <row r="54" spans="2:8" x14ac:dyDescent="0.35">
      <c r="B54" s="142"/>
      <c r="C54" s="67"/>
      <c r="D54" s="18"/>
      <c r="E54" s="61"/>
      <c r="F54" s="18"/>
      <c r="G54" s="67"/>
      <c r="H54" s="63"/>
    </row>
    <row r="55" spans="2:8" x14ac:dyDescent="0.35">
      <c r="B55" s="142"/>
      <c r="C55" s="67"/>
      <c r="D55" s="18"/>
      <c r="E55" s="61"/>
      <c r="F55" s="18"/>
      <c r="H55" s="63"/>
    </row>
    <row r="56" spans="2:8" x14ac:dyDescent="0.35">
      <c r="B56" s="142"/>
      <c r="C56" s="67"/>
      <c r="D56" s="18"/>
      <c r="E56" s="61"/>
      <c r="F56" s="18"/>
      <c r="H56" s="63"/>
    </row>
    <row r="57" spans="2:8" x14ac:dyDescent="0.35">
      <c r="B57" s="142"/>
      <c r="C57" s="67"/>
      <c r="D57" s="18"/>
      <c r="E57" s="61"/>
      <c r="F57" s="18"/>
      <c r="H57" s="63"/>
    </row>
    <row r="58" spans="2:8" x14ac:dyDescent="0.35">
      <c r="B58" s="142"/>
      <c r="C58" s="67"/>
      <c r="D58" s="18"/>
      <c r="E58" s="61"/>
      <c r="F58" s="18"/>
      <c r="H58" s="63"/>
    </row>
    <row r="59" spans="2:8" x14ac:dyDescent="0.35">
      <c r="B59" s="142"/>
      <c r="C59" s="67"/>
      <c r="D59" s="18"/>
      <c r="E59" s="61"/>
      <c r="F59" s="18"/>
      <c r="H59" s="63"/>
    </row>
    <row r="60" spans="2:8" x14ac:dyDescent="0.35">
      <c r="B60" s="142"/>
      <c r="C60" s="67"/>
      <c r="D60" s="18"/>
      <c r="E60" s="61"/>
      <c r="F60" s="18"/>
      <c r="H60" s="63"/>
    </row>
    <row r="61" spans="2:8" x14ac:dyDescent="0.35">
      <c r="B61" s="142"/>
      <c r="C61" s="67"/>
      <c r="D61" s="18"/>
      <c r="E61" s="61"/>
      <c r="F61" s="18"/>
      <c r="H61" s="63"/>
    </row>
    <row r="62" spans="2:8" x14ac:dyDescent="0.35">
      <c r="B62" s="142"/>
      <c r="C62" s="67"/>
      <c r="D62" s="18"/>
      <c r="E62" s="61"/>
      <c r="F62" s="18"/>
      <c r="G62" s="67"/>
      <c r="H62" s="63"/>
    </row>
    <row r="63" spans="2:8" x14ac:dyDescent="0.35">
      <c r="B63" s="142"/>
      <c r="C63" s="67"/>
      <c r="D63" s="18"/>
      <c r="E63" s="61"/>
      <c r="F63" s="18"/>
      <c r="G63" s="67"/>
      <c r="H63" s="63"/>
    </row>
    <row r="64" spans="2:8" x14ac:dyDescent="0.35">
      <c r="B64" s="142"/>
      <c r="C64" s="67"/>
      <c r="D64" s="18"/>
      <c r="E64" s="61"/>
      <c r="F64" s="18"/>
      <c r="H64" s="63"/>
    </row>
    <row r="65" spans="2:8" x14ac:dyDescent="0.35">
      <c r="B65" s="142"/>
      <c r="C65" s="67"/>
      <c r="D65" s="18"/>
      <c r="E65" s="61"/>
      <c r="F65" s="18"/>
      <c r="H65" s="63"/>
    </row>
    <row r="66" spans="2:8" x14ac:dyDescent="0.35">
      <c r="B66" s="142"/>
      <c r="C66" s="67"/>
      <c r="D66" s="18"/>
      <c r="E66" s="61"/>
      <c r="F66" s="18"/>
      <c r="G66" s="67"/>
      <c r="H66" s="63"/>
    </row>
    <row r="67" spans="2:8" x14ac:dyDescent="0.35">
      <c r="B67" s="142"/>
      <c r="C67" s="67"/>
      <c r="D67" s="18"/>
      <c r="E67" s="61"/>
      <c r="F67" s="18"/>
      <c r="H67" s="63"/>
    </row>
    <row r="68" spans="2:8" x14ac:dyDescent="0.35">
      <c r="B68" s="142"/>
      <c r="C68" s="67"/>
      <c r="D68" s="18"/>
      <c r="E68" s="61"/>
      <c r="F68" s="18"/>
      <c r="G68" s="18"/>
      <c r="H68" s="63"/>
    </row>
    <row r="69" spans="2:8" x14ac:dyDescent="0.35">
      <c r="B69" s="142"/>
      <c r="C69" s="67"/>
      <c r="D69" s="18"/>
      <c r="E69" s="61"/>
      <c r="F69" s="18"/>
      <c r="H69" s="63"/>
    </row>
    <row r="70" spans="2:8" x14ac:dyDescent="0.35">
      <c r="B70" s="142"/>
      <c r="C70" s="67"/>
      <c r="D70" s="18"/>
      <c r="E70" s="61"/>
      <c r="F70" s="18"/>
      <c r="H70" s="63"/>
    </row>
    <row r="71" spans="2:8" x14ac:dyDescent="0.35">
      <c r="B71" s="142"/>
      <c r="C71" s="67"/>
      <c r="D71" s="18"/>
      <c r="E71" s="61"/>
      <c r="F71" s="18"/>
      <c r="H71" s="63"/>
    </row>
    <row r="72" spans="2:8" x14ac:dyDescent="0.35">
      <c r="B72" s="142"/>
      <c r="C72" s="67"/>
      <c r="D72" s="18"/>
      <c r="E72" s="61"/>
      <c r="F72" s="18"/>
      <c r="H72" s="63"/>
    </row>
    <row r="73" spans="2:8" x14ac:dyDescent="0.35">
      <c r="B73" s="142"/>
      <c r="C73" s="67"/>
      <c r="D73" s="18"/>
      <c r="E73" s="61"/>
      <c r="F73" s="18"/>
      <c r="H73" s="63"/>
    </row>
    <row r="74" spans="2:8" x14ac:dyDescent="0.35">
      <c r="B74" s="142"/>
      <c r="C74" s="67"/>
      <c r="D74" s="18"/>
      <c r="E74" s="61"/>
      <c r="F74" s="18"/>
      <c r="H74" s="63"/>
    </row>
    <row r="75" spans="2:8" x14ac:dyDescent="0.35">
      <c r="B75" s="142"/>
      <c r="C75" s="67"/>
      <c r="D75" s="18"/>
      <c r="E75" s="61"/>
      <c r="F75" s="18"/>
      <c r="H75" s="63"/>
    </row>
    <row r="76" spans="2:8" x14ac:dyDescent="0.35">
      <c r="B76" s="142"/>
      <c r="C76" s="67"/>
      <c r="D76" s="18"/>
      <c r="E76" s="61"/>
      <c r="F76" s="18"/>
      <c r="G76" s="18"/>
      <c r="H76" s="63"/>
    </row>
    <row r="77" spans="2:8" x14ac:dyDescent="0.35">
      <c r="B77" s="142"/>
      <c r="C77" s="67"/>
      <c r="D77" s="18"/>
      <c r="E77" s="61"/>
      <c r="F77" s="18"/>
      <c r="H77" s="63"/>
    </row>
    <row r="78" spans="2:8" x14ac:dyDescent="0.35">
      <c r="B78" s="142"/>
      <c r="C78" s="67"/>
      <c r="D78" s="18"/>
      <c r="E78" s="61"/>
      <c r="F78" s="18"/>
      <c r="H78" s="63"/>
    </row>
    <row r="79" spans="2:8" x14ac:dyDescent="0.35">
      <c r="B79" s="142"/>
      <c r="C79" s="67"/>
      <c r="D79" s="18"/>
      <c r="E79" s="61"/>
      <c r="F79" s="18"/>
      <c r="H79" s="63"/>
    </row>
    <row r="80" spans="2:8" x14ac:dyDescent="0.35">
      <c r="B80" s="142"/>
      <c r="C80" s="67"/>
      <c r="D80" s="18"/>
      <c r="E80" s="61"/>
      <c r="F80" s="18"/>
      <c r="H80" s="63"/>
    </row>
    <row r="81" spans="2:8" x14ac:dyDescent="0.35">
      <c r="B81" s="142"/>
      <c r="C81" s="67"/>
      <c r="D81" s="18"/>
      <c r="E81" s="61"/>
      <c r="F81" s="18"/>
      <c r="H81" s="63"/>
    </row>
    <row r="82" spans="2:8" x14ac:dyDescent="0.35">
      <c r="B82" s="142"/>
      <c r="C82" s="67"/>
      <c r="D82" s="18"/>
      <c r="E82" s="61"/>
      <c r="F82" s="18"/>
      <c r="H82" s="63"/>
    </row>
    <row r="83" spans="2:8" x14ac:dyDescent="0.35">
      <c r="B83" s="142"/>
      <c r="C83" s="67"/>
      <c r="D83" s="18"/>
      <c r="E83" s="61"/>
      <c r="F83" s="18"/>
      <c r="H83" s="63"/>
    </row>
    <row r="84" spans="2:8" x14ac:dyDescent="0.35">
      <c r="B84" s="142"/>
      <c r="C84" s="67"/>
      <c r="D84" s="18"/>
      <c r="E84" s="61"/>
      <c r="F84" s="18"/>
      <c r="H84" s="63"/>
    </row>
    <row r="85" spans="2:8" x14ac:dyDescent="0.35">
      <c r="B85" s="142"/>
      <c r="C85" s="67"/>
      <c r="D85" s="18"/>
      <c r="E85" s="61"/>
      <c r="F85" s="18"/>
      <c r="H85" s="63"/>
    </row>
    <row r="86" spans="2:8" x14ac:dyDescent="0.35">
      <c r="B86" s="142"/>
      <c r="C86" s="67"/>
      <c r="D86" s="18"/>
      <c r="E86" s="61"/>
      <c r="F86" s="18"/>
      <c r="H86" s="63"/>
    </row>
    <row r="87" spans="2:8" x14ac:dyDescent="0.35">
      <c r="B87" s="142"/>
      <c r="C87" s="67"/>
      <c r="D87" s="18"/>
      <c r="E87" s="61"/>
      <c r="F87" s="18"/>
      <c r="H87" s="63"/>
    </row>
    <row r="88" spans="2:8" x14ac:dyDescent="0.35">
      <c r="B88" s="142"/>
      <c r="C88" s="67"/>
      <c r="D88" s="18"/>
      <c r="E88" s="61"/>
      <c r="F88" s="18"/>
      <c r="H88" s="63"/>
    </row>
    <row r="89" spans="2:8" x14ac:dyDescent="0.35">
      <c r="B89" s="142"/>
      <c r="C89" s="67"/>
      <c r="D89" s="18"/>
      <c r="E89" s="61"/>
      <c r="F89" s="18"/>
      <c r="H89" s="63"/>
    </row>
    <row r="90" spans="2:8" x14ac:dyDescent="0.35">
      <c r="B90" s="142"/>
      <c r="C90" s="67"/>
      <c r="D90" s="18"/>
      <c r="E90" s="61"/>
      <c r="F90" s="18"/>
      <c r="H90" s="63"/>
    </row>
    <row r="91" spans="2:8" x14ac:dyDescent="0.35">
      <c r="B91" s="142"/>
      <c r="C91" s="67"/>
      <c r="D91" s="18"/>
      <c r="E91" s="61"/>
      <c r="F91" s="18"/>
      <c r="H91" s="63"/>
    </row>
    <row r="92" spans="2:8" x14ac:dyDescent="0.35">
      <c r="B92" s="142"/>
      <c r="C92" s="67"/>
      <c r="D92" s="18"/>
      <c r="E92" s="61"/>
      <c r="F92" s="18"/>
      <c r="H92" s="63"/>
    </row>
    <row r="93" spans="2:8" x14ac:dyDescent="0.35">
      <c r="B93" s="142"/>
      <c r="C93" s="67"/>
      <c r="D93" s="18"/>
      <c r="E93" s="61"/>
      <c r="F93" s="18"/>
      <c r="H93" s="63"/>
    </row>
    <row r="94" spans="2:8" x14ac:dyDescent="0.35">
      <c r="B94" s="142"/>
      <c r="C94" s="67"/>
      <c r="D94" s="18"/>
      <c r="E94" s="61"/>
      <c r="F94" s="18"/>
      <c r="H94" s="63"/>
    </row>
    <row r="95" spans="2:8" x14ac:dyDescent="0.35">
      <c r="B95" s="142"/>
      <c r="C95" s="67"/>
      <c r="D95" s="18"/>
      <c r="E95" s="61"/>
      <c r="F95" s="18"/>
      <c r="H95" s="63"/>
    </row>
    <row r="96" spans="2:8" x14ac:dyDescent="0.35">
      <c r="B96" s="142"/>
      <c r="C96" s="67"/>
      <c r="D96" s="18"/>
      <c r="E96" s="61"/>
      <c r="F96" s="18"/>
      <c r="H96" s="63"/>
    </row>
    <row r="97" spans="2:8" x14ac:dyDescent="0.35">
      <c r="B97" s="142"/>
      <c r="C97" s="67"/>
      <c r="D97" s="18"/>
      <c r="E97" s="61"/>
      <c r="F97" s="18"/>
      <c r="H97" s="63"/>
    </row>
    <row r="98" spans="2:8" x14ac:dyDescent="0.35">
      <c r="B98" s="142"/>
      <c r="C98" s="67"/>
      <c r="D98" s="18"/>
      <c r="E98" s="61"/>
      <c r="F98" s="18"/>
      <c r="G98" s="18"/>
      <c r="H98" s="63"/>
    </row>
    <row r="99" spans="2:8" x14ac:dyDescent="0.35">
      <c r="B99" s="142"/>
      <c r="C99" s="67"/>
      <c r="D99" s="18"/>
      <c r="E99" s="61"/>
      <c r="F99" s="18"/>
      <c r="G99" s="18"/>
      <c r="H99" s="63"/>
    </row>
    <row r="100" spans="2:8" x14ac:dyDescent="0.35">
      <c r="B100" s="142"/>
      <c r="D100" s="18"/>
      <c r="E100" s="61"/>
      <c r="F100" s="18"/>
      <c r="G100" s="18"/>
      <c r="H100" s="63"/>
    </row>
    <row r="101" spans="2:8" x14ac:dyDescent="0.35">
      <c r="B101" s="142"/>
      <c r="D101" s="18"/>
      <c r="E101" s="61"/>
      <c r="F101" s="18"/>
      <c r="G101" s="18"/>
      <c r="H101" s="63"/>
    </row>
    <row r="102" spans="2:8" x14ac:dyDescent="0.35">
      <c r="B102" s="17"/>
      <c r="C102" s="18"/>
      <c r="D102" s="18"/>
      <c r="E102" s="61"/>
      <c r="F102" s="18"/>
      <c r="G102" s="18"/>
      <c r="H102" s="63"/>
    </row>
    <row r="103" spans="2:8" x14ac:dyDescent="0.35">
      <c r="B103" s="17"/>
      <c r="C103" s="18"/>
      <c r="D103" s="18"/>
      <c r="E103" s="61"/>
      <c r="F103" s="18"/>
      <c r="G103" s="18"/>
      <c r="H103" s="63"/>
    </row>
    <row r="104" spans="2:8" x14ac:dyDescent="0.35">
      <c r="B104" s="17"/>
      <c r="C104" s="18"/>
      <c r="D104" s="18"/>
      <c r="E104" s="61"/>
      <c r="F104" s="18"/>
      <c r="G104" s="18"/>
      <c r="H104" s="63"/>
    </row>
    <row r="105" spans="2:8" x14ac:dyDescent="0.35">
      <c r="B105" s="17"/>
      <c r="C105" s="18"/>
      <c r="D105" s="18"/>
      <c r="E105" s="61"/>
      <c r="F105" s="18"/>
      <c r="G105" s="18"/>
      <c r="H105" s="63"/>
    </row>
    <row r="106" spans="2:8" x14ac:dyDescent="0.35">
      <c r="B106" s="17"/>
      <c r="C106" s="18"/>
      <c r="D106" s="18"/>
      <c r="E106" s="61"/>
      <c r="F106" s="18"/>
      <c r="G106" s="18"/>
      <c r="H106" s="63"/>
    </row>
    <row r="107" spans="2:8" x14ac:dyDescent="0.35">
      <c r="B107" s="17"/>
      <c r="C107" s="18"/>
      <c r="D107" s="60"/>
      <c r="E107" s="61"/>
      <c r="F107" s="60"/>
      <c r="H107" s="63"/>
    </row>
    <row r="108" spans="2:8" x14ac:dyDescent="0.35">
      <c r="B108" s="17"/>
      <c r="C108" s="18"/>
      <c r="D108" s="60"/>
      <c r="E108" s="61"/>
      <c r="F108" s="60"/>
      <c r="H108" s="63"/>
    </row>
    <row r="109" spans="2:8" x14ac:dyDescent="0.35">
      <c r="B109" s="17"/>
      <c r="D109" s="60"/>
      <c r="E109" s="61"/>
      <c r="F109" s="60"/>
      <c r="H109" s="63"/>
    </row>
    <row r="110" spans="2:8" x14ac:dyDescent="0.35">
      <c r="B110" s="17"/>
      <c r="D110" s="60"/>
      <c r="E110" s="61"/>
      <c r="F110" s="60"/>
      <c r="H110" s="63"/>
    </row>
    <row r="111" spans="2:8" x14ac:dyDescent="0.35">
      <c r="B111" s="144"/>
      <c r="D111" s="60"/>
      <c r="E111" s="61"/>
      <c r="F111" s="60"/>
      <c r="H111" s="63"/>
    </row>
    <row r="112" spans="2:8" x14ac:dyDescent="0.35">
      <c r="B112" s="144"/>
      <c r="D112" s="60"/>
      <c r="E112" s="61"/>
      <c r="F112" s="60"/>
      <c r="H112" s="63"/>
    </row>
    <row r="113" spans="2:8" x14ac:dyDescent="0.35">
      <c r="B113" s="144"/>
      <c r="D113" s="60"/>
      <c r="E113" s="61"/>
      <c r="F113" s="60"/>
      <c r="H113" s="63"/>
    </row>
    <row r="114" spans="2:8" x14ac:dyDescent="0.35">
      <c r="B114" s="144"/>
      <c r="D114" s="60"/>
      <c r="E114" s="61"/>
      <c r="F114" s="60"/>
      <c r="H114" s="63"/>
    </row>
    <row r="115" spans="2:8" x14ac:dyDescent="0.35">
      <c r="B115" s="144"/>
      <c r="D115" s="60"/>
      <c r="E115" s="61"/>
      <c r="F115" s="60"/>
      <c r="H115" s="63"/>
    </row>
    <row r="116" spans="2:8" x14ac:dyDescent="0.35">
      <c r="B116" s="144"/>
      <c r="D116" s="60"/>
      <c r="E116" s="61"/>
      <c r="F116" s="60"/>
      <c r="H116" s="63"/>
    </row>
    <row r="117" spans="2:8" x14ac:dyDescent="0.35">
      <c r="B117" s="144"/>
      <c r="D117" s="60"/>
      <c r="E117" s="61"/>
      <c r="F117" s="60"/>
      <c r="H117" s="63"/>
    </row>
    <row r="118" spans="2:8" x14ac:dyDescent="0.35">
      <c r="B118" s="144"/>
      <c r="D118" s="60"/>
      <c r="E118" s="61"/>
      <c r="F118" s="60"/>
      <c r="H118" s="63"/>
    </row>
    <row r="119" spans="2:8" x14ac:dyDescent="0.35">
      <c r="B119" s="144"/>
      <c r="D119" s="60"/>
      <c r="E119" s="61"/>
      <c r="F119" s="60"/>
      <c r="H119" s="63"/>
    </row>
    <row r="120" spans="2:8" x14ac:dyDescent="0.35">
      <c r="B120" s="144"/>
      <c r="D120" s="60"/>
      <c r="E120" s="61"/>
      <c r="F120" s="60"/>
      <c r="H120" s="63"/>
    </row>
    <row r="121" spans="2:8" x14ac:dyDescent="0.35">
      <c r="B121" s="144"/>
      <c r="D121" s="60"/>
      <c r="E121" s="61"/>
      <c r="F121" s="60"/>
      <c r="H121" s="63"/>
    </row>
    <row r="122" spans="2:8" x14ac:dyDescent="0.35">
      <c r="B122" s="144"/>
      <c r="D122" s="60"/>
      <c r="E122" s="61"/>
      <c r="F122" s="60"/>
      <c r="H122" s="63"/>
    </row>
    <row r="123" spans="2:8" x14ac:dyDescent="0.35">
      <c r="B123" s="144"/>
      <c r="E123" s="61"/>
      <c r="H123" s="63"/>
    </row>
    <row r="124" spans="2:8" x14ac:dyDescent="0.35">
      <c r="B124" s="144"/>
      <c r="E124" s="61"/>
      <c r="H124" s="63"/>
    </row>
    <row r="125" spans="2:8" x14ac:dyDescent="0.35">
      <c r="B125" s="144"/>
      <c r="E125" s="61"/>
      <c r="H125" s="63"/>
    </row>
    <row r="126" spans="2:8" x14ac:dyDescent="0.35">
      <c r="B126" s="144"/>
      <c r="E126" s="61"/>
      <c r="H126" s="63"/>
    </row>
    <row r="127" spans="2:8" x14ac:dyDescent="0.35">
      <c r="B127" s="144"/>
      <c r="E127" s="61"/>
      <c r="H127" s="63"/>
    </row>
    <row r="128" spans="2:8" x14ac:dyDescent="0.35">
      <c r="B128" s="144"/>
      <c r="E128" s="61"/>
      <c r="H128" s="63"/>
    </row>
    <row r="129" spans="2:8" x14ac:dyDescent="0.35">
      <c r="B129" s="144"/>
      <c r="E129" s="61"/>
      <c r="H129" s="63"/>
    </row>
    <row r="130" spans="2:8" x14ac:dyDescent="0.35">
      <c r="B130" s="144"/>
      <c r="E130" s="61"/>
      <c r="H130" s="63"/>
    </row>
    <row r="131" spans="2:8" x14ac:dyDescent="0.35">
      <c r="B131" s="144"/>
      <c r="E131" s="61"/>
      <c r="H131" s="63"/>
    </row>
    <row r="132" spans="2:8" x14ac:dyDescent="0.35">
      <c r="B132" s="144"/>
      <c r="E132" s="61"/>
      <c r="H132" s="63"/>
    </row>
    <row r="133" spans="2:8" x14ac:dyDescent="0.35">
      <c r="B133" s="144"/>
      <c r="E133" s="61"/>
      <c r="H133" s="63"/>
    </row>
    <row r="134" spans="2:8" x14ac:dyDescent="0.35">
      <c r="B134" s="144"/>
      <c r="E134" s="61"/>
      <c r="H134" s="63"/>
    </row>
    <row r="135" spans="2:8" x14ac:dyDescent="0.35">
      <c r="B135" s="144"/>
      <c r="E135" s="61"/>
      <c r="H135" s="63"/>
    </row>
    <row r="136" spans="2:8" x14ac:dyDescent="0.35">
      <c r="B136" s="144"/>
      <c r="E136" s="61"/>
      <c r="H136" s="63"/>
    </row>
    <row r="137" spans="2:8" x14ac:dyDescent="0.35">
      <c r="B137" s="144"/>
      <c r="E137" s="61"/>
      <c r="H137" s="63"/>
    </row>
    <row r="138" spans="2:8" x14ac:dyDescent="0.35">
      <c r="B138" s="144"/>
      <c r="E138" s="61"/>
      <c r="H138" s="63"/>
    </row>
    <row r="139" spans="2:8" x14ac:dyDescent="0.35">
      <c r="B139" s="144"/>
      <c r="E139" s="61"/>
      <c r="H139" s="63"/>
    </row>
    <row r="140" spans="2:8" x14ac:dyDescent="0.35">
      <c r="B140" s="144"/>
      <c r="E140" s="61"/>
      <c r="H140" s="63"/>
    </row>
    <row r="141" spans="2:8" x14ac:dyDescent="0.35">
      <c r="B141" s="144"/>
      <c r="E141" s="61"/>
      <c r="H141" s="63"/>
    </row>
    <row r="142" spans="2:8" x14ac:dyDescent="0.35">
      <c r="B142" s="144"/>
      <c r="E142" s="61"/>
      <c r="H142" s="63"/>
    </row>
    <row r="143" spans="2:8" x14ac:dyDescent="0.35">
      <c r="B143" s="144"/>
      <c r="E143" s="61"/>
      <c r="H143" s="63"/>
    </row>
    <row r="144" spans="2:8" x14ac:dyDescent="0.35">
      <c r="B144" s="144"/>
      <c r="E144" s="61"/>
      <c r="H144" s="63"/>
    </row>
    <row r="145" spans="2:8" x14ac:dyDescent="0.35">
      <c r="B145" s="144"/>
      <c r="E145" s="61"/>
      <c r="H145" s="63"/>
    </row>
    <row r="146" spans="2:8" x14ac:dyDescent="0.35">
      <c r="B146" s="144"/>
      <c r="E146" s="61"/>
      <c r="H146" s="63"/>
    </row>
    <row r="147" spans="2:8" x14ac:dyDescent="0.35">
      <c r="B147" s="144"/>
      <c r="E147" s="61"/>
      <c r="H147" s="63"/>
    </row>
    <row r="148" spans="2:8" x14ac:dyDescent="0.35">
      <c r="B148" s="144"/>
      <c r="E148" s="61"/>
      <c r="H148" s="63"/>
    </row>
    <row r="149" spans="2:8" x14ac:dyDescent="0.35">
      <c r="B149" s="144"/>
      <c r="E149" s="61"/>
      <c r="H149" s="63"/>
    </row>
    <row r="150" spans="2:8" x14ac:dyDescent="0.35">
      <c r="B150" s="144"/>
      <c r="E150" s="61"/>
      <c r="H150" s="63"/>
    </row>
    <row r="151" spans="2:8" x14ac:dyDescent="0.35">
      <c r="B151" s="144"/>
      <c r="E151" s="61"/>
      <c r="H151" s="63"/>
    </row>
    <row r="152" spans="2:8" x14ac:dyDescent="0.35">
      <c r="B152" s="144"/>
      <c r="E152" s="61"/>
      <c r="H152" s="63"/>
    </row>
    <row r="153" spans="2:8" x14ac:dyDescent="0.35">
      <c r="B153" s="144"/>
      <c r="E153" s="61"/>
      <c r="H153" s="63"/>
    </row>
    <row r="154" spans="2:8" x14ac:dyDescent="0.35">
      <c r="B154" s="144"/>
      <c r="E154" s="61"/>
      <c r="H154" s="63"/>
    </row>
    <row r="155" spans="2:8" x14ac:dyDescent="0.35">
      <c r="B155" s="144"/>
      <c r="E155" s="61"/>
      <c r="H155" s="63"/>
    </row>
    <row r="156" spans="2:8" x14ac:dyDescent="0.35">
      <c r="B156" s="144"/>
      <c r="E156" s="61"/>
      <c r="H156" s="63"/>
    </row>
    <row r="157" spans="2:8" x14ac:dyDescent="0.35">
      <c r="B157" s="144"/>
      <c r="E157" s="61"/>
      <c r="H157" s="63"/>
    </row>
    <row r="158" spans="2:8" x14ac:dyDescent="0.35">
      <c r="B158" s="144"/>
      <c r="E158" s="61"/>
      <c r="H158" s="63"/>
    </row>
    <row r="159" spans="2:8" x14ac:dyDescent="0.35">
      <c r="B159" s="144"/>
      <c r="E159" s="61"/>
      <c r="H159" s="63"/>
    </row>
    <row r="160" spans="2:8" x14ac:dyDescent="0.35">
      <c r="B160" s="144"/>
      <c r="E160" s="61"/>
      <c r="H160" s="63"/>
    </row>
    <row r="161" spans="2:8" x14ac:dyDescent="0.35">
      <c r="B161" s="144"/>
      <c r="E161" s="61"/>
      <c r="H161" s="63"/>
    </row>
    <row r="162" spans="2:8" x14ac:dyDescent="0.35">
      <c r="B162" s="144"/>
      <c r="E162" s="61"/>
      <c r="H162" s="63"/>
    </row>
    <row r="163" spans="2:8" x14ac:dyDescent="0.35">
      <c r="B163" s="144"/>
      <c r="E163" s="61"/>
      <c r="H163" s="63"/>
    </row>
    <row r="164" spans="2:8" x14ac:dyDescent="0.35">
      <c r="B164" s="17"/>
      <c r="E164" s="61"/>
      <c r="H164" s="63"/>
    </row>
    <row r="165" spans="2:8" x14ac:dyDescent="0.35">
      <c r="B165" s="17"/>
      <c r="E165" s="61"/>
      <c r="H165" s="63"/>
    </row>
    <row r="166" spans="2:8" x14ac:dyDescent="0.35">
      <c r="B166" s="17"/>
      <c r="E166" s="61"/>
      <c r="H166" s="63"/>
    </row>
    <row r="167" spans="2:8" x14ac:dyDescent="0.35">
      <c r="B167" s="17"/>
      <c r="E167" s="61"/>
      <c r="H167" s="63"/>
    </row>
    <row r="168" spans="2:8" x14ac:dyDescent="0.35">
      <c r="B168" s="17"/>
      <c r="E168" s="61"/>
      <c r="H168" s="63"/>
    </row>
    <row r="169" spans="2:8" x14ac:dyDescent="0.35">
      <c r="B169" s="17"/>
      <c r="E169" s="61"/>
      <c r="H169" s="63"/>
    </row>
    <row r="170" spans="2:8" x14ac:dyDescent="0.35">
      <c r="B170" s="17"/>
      <c r="E170" s="61"/>
      <c r="H170" s="63"/>
    </row>
    <row r="171" spans="2:8" x14ac:dyDescent="0.35">
      <c r="B171" s="17"/>
      <c r="E171" s="61"/>
      <c r="H171" s="63"/>
    </row>
    <row r="172" spans="2:8" x14ac:dyDescent="0.35">
      <c r="B172" s="17"/>
      <c r="E172" s="61"/>
      <c r="H172" s="63"/>
    </row>
    <row r="173" spans="2:8" x14ac:dyDescent="0.35">
      <c r="B173" s="17"/>
      <c r="E173" s="61"/>
      <c r="H173" s="63"/>
    </row>
    <row r="174" spans="2:8" x14ac:dyDescent="0.35">
      <c r="B174" s="17"/>
      <c r="E174" s="61"/>
      <c r="H174" s="63"/>
    </row>
    <row r="175" spans="2:8" x14ac:dyDescent="0.35">
      <c r="B175" s="17"/>
      <c r="E175" s="61"/>
      <c r="H175" s="63"/>
    </row>
    <row r="176" spans="2:8" x14ac:dyDescent="0.35">
      <c r="B176" s="17"/>
      <c r="E176" s="61"/>
      <c r="H176" s="63"/>
    </row>
    <row r="177" spans="2:8" x14ac:dyDescent="0.35">
      <c r="B177" s="17"/>
      <c r="E177" s="61"/>
      <c r="H177" s="63"/>
    </row>
    <row r="178" spans="2:8" x14ac:dyDescent="0.35">
      <c r="B178" s="17"/>
      <c r="E178" s="61"/>
      <c r="H178" s="63"/>
    </row>
    <row r="179" spans="2:8" x14ac:dyDescent="0.35">
      <c r="B179" s="17"/>
      <c r="E179" s="61"/>
      <c r="H179" s="63"/>
    </row>
    <row r="180" spans="2:8" x14ac:dyDescent="0.35">
      <c r="B180" s="17"/>
      <c r="E180" s="61"/>
      <c r="H180" s="63"/>
    </row>
    <row r="181" spans="2:8" x14ac:dyDescent="0.35">
      <c r="B181" s="17"/>
      <c r="E181" s="61"/>
      <c r="H181" s="63"/>
    </row>
    <row r="182" spans="2:8" x14ac:dyDescent="0.35">
      <c r="B182" s="17"/>
      <c r="E182" s="61"/>
      <c r="H182" s="63"/>
    </row>
    <row r="183" spans="2:8" x14ac:dyDescent="0.35">
      <c r="B183" s="17"/>
      <c r="E183" s="61"/>
      <c r="H183" s="63"/>
    </row>
    <row r="184" spans="2:8" x14ac:dyDescent="0.35">
      <c r="B184" s="17"/>
      <c r="E184" s="61"/>
      <c r="H184" s="63"/>
    </row>
    <row r="185" spans="2:8" x14ac:dyDescent="0.35">
      <c r="B185" s="17"/>
      <c r="E185" s="61"/>
      <c r="H185" s="63"/>
    </row>
    <row r="186" spans="2:8" x14ac:dyDescent="0.35">
      <c r="B186" s="17"/>
      <c r="E186" s="61"/>
      <c r="H186" s="63"/>
    </row>
    <row r="187" spans="2:8" x14ac:dyDescent="0.35">
      <c r="B187" s="17"/>
      <c r="E187" s="61"/>
      <c r="H187" s="63"/>
    </row>
    <row r="188" spans="2:8" x14ac:dyDescent="0.35">
      <c r="B188" s="17"/>
      <c r="E188" s="61"/>
      <c r="H188" s="63"/>
    </row>
    <row r="189" spans="2:8" x14ac:dyDescent="0.35">
      <c r="B189" s="17"/>
      <c r="E189" s="61"/>
      <c r="H189" s="63"/>
    </row>
    <row r="190" spans="2:8" x14ac:dyDescent="0.35">
      <c r="B190" s="17"/>
      <c r="E190" s="61"/>
      <c r="H190" s="63"/>
    </row>
    <row r="191" spans="2:8" x14ac:dyDescent="0.35">
      <c r="B191" s="17"/>
      <c r="E191" s="61"/>
      <c r="H191" s="63"/>
    </row>
    <row r="192" spans="2:8" x14ac:dyDescent="0.35">
      <c r="B192" s="17"/>
      <c r="E192" s="61"/>
      <c r="H192" s="63"/>
    </row>
    <row r="193" spans="2:8" x14ac:dyDescent="0.35">
      <c r="B193" s="17"/>
      <c r="E193" s="61"/>
      <c r="H193" s="63"/>
    </row>
    <row r="194" spans="2:8" x14ac:dyDescent="0.35">
      <c r="B194" s="17"/>
      <c r="E194" s="61"/>
      <c r="H194" s="63"/>
    </row>
    <row r="195" spans="2:8" x14ac:dyDescent="0.35">
      <c r="B195" s="17"/>
      <c r="E195" s="61"/>
      <c r="H195" s="63"/>
    </row>
    <row r="196" spans="2:8" x14ac:dyDescent="0.35">
      <c r="B196" s="17"/>
      <c r="E196" s="61"/>
      <c r="H196" s="63"/>
    </row>
    <row r="197" spans="2:8" x14ac:dyDescent="0.35">
      <c r="B197" s="17"/>
      <c r="E197" s="61"/>
      <c r="H197" s="63"/>
    </row>
    <row r="198" spans="2:8" x14ac:dyDescent="0.35">
      <c r="B198" s="17"/>
      <c r="E198" s="61"/>
      <c r="H198" s="63"/>
    </row>
    <row r="199" spans="2:8" x14ac:dyDescent="0.35">
      <c r="B199" s="17"/>
      <c r="E199" s="61"/>
      <c r="H199" s="63"/>
    </row>
    <row r="200" spans="2:8" x14ac:dyDescent="0.35">
      <c r="B200" s="17"/>
      <c r="E200" s="61"/>
      <c r="H200" s="63"/>
    </row>
    <row r="201" spans="2:8" x14ac:dyDescent="0.35">
      <c r="B201" s="17"/>
      <c r="E201" s="61"/>
      <c r="H201" s="63"/>
    </row>
    <row r="202" spans="2:8" x14ac:dyDescent="0.35">
      <c r="B202" s="17"/>
      <c r="E202" s="61"/>
      <c r="H202" s="63"/>
    </row>
    <row r="203" spans="2:8" x14ac:dyDescent="0.35">
      <c r="B203" s="17"/>
      <c r="E203" s="61"/>
      <c r="H203" s="63"/>
    </row>
    <row r="204" spans="2:8" x14ac:dyDescent="0.35">
      <c r="B204" s="17"/>
      <c r="E204" s="61"/>
      <c r="H204" s="63"/>
    </row>
    <row r="205" spans="2:8" x14ac:dyDescent="0.35">
      <c r="B205" s="17"/>
      <c r="E205" s="61"/>
      <c r="H205" s="63"/>
    </row>
    <row r="206" spans="2:8" x14ac:dyDescent="0.35">
      <c r="B206" s="17"/>
      <c r="E206" s="61"/>
      <c r="H206" s="63"/>
    </row>
    <row r="207" spans="2:8" x14ac:dyDescent="0.35">
      <c r="B207" s="17"/>
      <c r="E207" s="61"/>
      <c r="H207" s="63"/>
    </row>
    <row r="208" spans="2:8" x14ac:dyDescent="0.35">
      <c r="B208" s="17"/>
      <c r="E208" s="61"/>
      <c r="H208" s="63"/>
    </row>
    <row r="209" spans="2:8" x14ac:dyDescent="0.35">
      <c r="B209" s="17"/>
      <c r="E209" s="61"/>
      <c r="H209" s="63"/>
    </row>
    <row r="210" spans="2:8" x14ac:dyDescent="0.35">
      <c r="B210" s="17"/>
      <c r="E210" s="61"/>
      <c r="H210" s="63"/>
    </row>
    <row r="211" spans="2:8" x14ac:dyDescent="0.35">
      <c r="B211" s="17"/>
      <c r="E211" s="61"/>
      <c r="H211" s="63"/>
    </row>
    <row r="212" spans="2:8" x14ac:dyDescent="0.35">
      <c r="B212" s="17"/>
      <c r="E212" s="61"/>
      <c r="H212" s="63"/>
    </row>
    <row r="213" spans="2:8" x14ac:dyDescent="0.35">
      <c r="B213" s="17"/>
      <c r="E213" s="61"/>
      <c r="H213" s="63"/>
    </row>
    <row r="214" spans="2:8" x14ac:dyDescent="0.35">
      <c r="B214" s="17"/>
      <c r="E214" s="61"/>
      <c r="H214" s="63"/>
    </row>
    <row r="215" spans="2:8" x14ac:dyDescent="0.35">
      <c r="B215" s="17"/>
      <c r="E215" s="61"/>
      <c r="H215" s="63"/>
    </row>
    <row r="216" spans="2:8" x14ac:dyDescent="0.35">
      <c r="B216" s="17"/>
      <c r="E216" s="61"/>
      <c r="H216" s="63"/>
    </row>
    <row r="217" spans="2:8" x14ac:dyDescent="0.35">
      <c r="B217" s="17"/>
      <c r="E217" s="61"/>
      <c r="H217" s="63"/>
    </row>
    <row r="218" spans="2:8" x14ac:dyDescent="0.35">
      <c r="B218" s="17"/>
      <c r="E218" s="61"/>
      <c r="H218" s="63"/>
    </row>
    <row r="219" spans="2:8" x14ac:dyDescent="0.35">
      <c r="B219" s="17"/>
      <c r="E219" s="61"/>
      <c r="H219" s="63"/>
    </row>
    <row r="220" spans="2:8" x14ac:dyDescent="0.35">
      <c r="B220" s="17"/>
      <c r="E220" s="61"/>
      <c r="H220" s="63"/>
    </row>
    <row r="221" spans="2:8" x14ac:dyDescent="0.35">
      <c r="B221" s="17"/>
      <c r="E221" s="61"/>
      <c r="H221" s="63"/>
    </row>
    <row r="222" spans="2:8" x14ac:dyDescent="0.35">
      <c r="B222" s="17"/>
      <c r="E222" s="61"/>
      <c r="H222" s="63"/>
    </row>
    <row r="223" spans="2:8" x14ac:dyDescent="0.35">
      <c r="B223" s="17"/>
      <c r="E223" s="61"/>
      <c r="H223" s="63"/>
    </row>
    <row r="224" spans="2:8" x14ac:dyDescent="0.35">
      <c r="B224" s="17"/>
      <c r="E224" s="61"/>
      <c r="H224" s="63"/>
    </row>
    <row r="225" spans="2:8" x14ac:dyDescent="0.35">
      <c r="B225" s="17"/>
      <c r="E225" s="61"/>
      <c r="H225" s="63"/>
    </row>
    <row r="226" spans="2:8" x14ac:dyDescent="0.35">
      <c r="B226" s="17"/>
      <c r="E226" s="61"/>
      <c r="H226" s="63"/>
    </row>
    <row r="227" spans="2:8" x14ac:dyDescent="0.35">
      <c r="B227" s="17"/>
      <c r="E227" s="61"/>
      <c r="H227" s="63"/>
    </row>
    <row r="228" spans="2:8" x14ac:dyDescent="0.35">
      <c r="B228" s="17"/>
      <c r="E228" s="61"/>
      <c r="H228" s="63"/>
    </row>
    <row r="229" spans="2:8" x14ac:dyDescent="0.35">
      <c r="B229" s="17"/>
      <c r="E229" s="61"/>
      <c r="H229" s="63"/>
    </row>
    <row r="230" spans="2:8" x14ac:dyDescent="0.35">
      <c r="B230" s="17"/>
      <c r="E230" s="61"/>
      <c r="H230" s="63"/>
    </row>
    <row r="231" spans="2:8" x14ac:dyDescent="0.35">
      <c r="B231" s="17"/>
      <c r="E231" s="61"/>
      <c r="H231" s="63"/>
    </row>
    <row r="232" spans="2:8" x14ac:dyDescent="0.35">
      <c r="B232" s="17"/>
      <c r="E232" s="61"/>
      <c r="H232" s="63"/>
    </row>
    <row r="233" spans="2:8" x14ac:dyDescent="0.35">
      <c r="B233" s="17"/>
      <c r="E233" s="61"/>
      <c r="H233" s="63"/>
    </row>
    <row r="234" spans="2:8" x14ac:dyDescent="0.35">
      <c r="B234" s="17"/>
      <c r="E234" s="61"/>
      <c r="H234" s="63"/>
    </row>
    <row r="235" spans="2:8" x14ac:dyDescent="0.35">
      <c r="B235" s="17"/>
      <c r="E235" s="61"/>
      <c r="H235" s="63"/>
    </row>
    <row r="236" spans="2:8" x14ac:dyDescent="0.35">
      <c r="B236" s="17"/>
      <c r="E236" s="61"/>
      <c r="H236" s="63"/>
    </row>
    <row r="237" spans="2:8" x14ac:dyDescent="0.35">
      <c r="B237" s="17"/>
      <c r="E237" s="61"/>
      <c r="H237" s="63"/>
    </row>
    <row r="238" spans="2:8" x14ac:dyDescent="0.35">
      <c r="B238" s="17"/>
      <c r="E238" s="61"/>
      <c r="H238" s="63"/>
    </row>
    <row r="239" spans="2:8" x14ac:dyDescent="0.35">
      <c r="B239" s="17"/>
      <c r="E239" s="61"/>
      <c r="H239" s="63"/>
    </row>
    <row r="240" spans="2:8" x14ac:dyDescent="0.35">
      <c r="B240" s="17"/>
      <c r="E240" s="61"/>
      <c r="H240" s="63"/>
    </row>
    <row r="241" spans="2:8" x14ac:dyDescent="0.35">
      <c r="B241" s="17"/>
      <c r="E241" s="61"/>
      <c r="H241" s="63"/>
    </row>
    <row r="242" spans="2:8" x14ac:dyDescent="0.35">
      <c r="B242" s="17"/>
      <c r="E242" s="61"/>
      <c r="H242" s="63"/>
    </row>
    <row r="243" spans="2:8" x14ac:dyDescent="0.35">
      <c r="B243" s="17"/>
      <c r="E243" s="61"/>
      <c r="H243" s="63"/>
    </row>
    <row r="244" spans="2:8" x14ac:dyDescent="0.35">
      <c r="B244" s="17"/>
      <c r="E244" s="61"/>
      <c r="H244" s="63"/>
    </row>
    <row r="245" spans="2:8" x14ac:dyDescent="0.35">
      <c r="B245" s="17"/>
      <c r="E245" s="61"/>
      <c r="H245" s="63"/>
    </row>
    <row r="246" spans="2:8" x14ac:dyDescent="0.35">
      <c r="B246" s="17"/>
      <c r="E246" s="61"/>
      <c r="H246" s="63"/>
    </row>
    <row r="247" spans="2:8" x14ac:dyDescent="0.35">
      <c r="B247" s="17"/>
      <c r="E247" s="61"/>
      <c r="H247" s="63"/>
    </row>
    <row r="248" spans="2:8" x14ac:dyDescent="0.35">
      <c r="B248" s="17"/>
      <c r="E248" s="61"/>
      <c r="H248" s="63"/>
    </row>
    <row r="249" spans="2:8" x14ac:dyDescent="0.35">
      <c r="B249" s="17"/>
      <c r="E249" s="61"/>
      <c r="H249" s="63"/>
    </row>
    <row r="250" spans="2:8" x14ac:dyDescent="0.35">
      <c r="B250" s="17"/>
      <c r="E250" s="61"/>
      <c r="H250" s="63"/>
    </row>
    <row r="251" spans="2:8" x14ac:dyDescent="0.35">
      <c r="B251" s="17"/>
      <c r="E251" s="61"/>
      <c r="H251" s="63"/>
    </row>
    <row r="252" spans="2:8" x14ac:dyDescent="0.35">
      <c r="B252" s="17"/>
      <c r="E252" s="61"/>
      <c r="H252" s="63"/>
    </row>
    <row r="253" spans="2:8" x14ac:dyDescent="0.35">
      <c r="B253" s="17"/>
      <c r="E253" s="61"/>
      <c r="H253" s="63"/>
    </row>
    <row r="254" spans="2:8" x14ac:dyDescent="0.35">
      <c r="B254" s="17"/>
      <c r="E254" s="61"/>
      <c r="H254" s="63"/>
    </row>
    <row r="255" spans="2:8" x14ac:dyDescent="0.35">
      <c r="B255" s="17"/>
      <c r="E255" s="61"/>
      <c r="H255" s="63"/>
    </row>
    <row r="256" spans="2:8" x14ac:dyDescent="0.35">
      <c r="B256" s="17"/>
      <c r="E256" s="61"/>
      <c r="H256" s="63"/>
    </row>
    <row r="257" spans="2:8" x14ac:dyDescent="0.35">
      <c r="B257" s="17"/>
      <c r="E257" s="61"/>
      <c r="H257" s="63"/>
    </row>
    <row r="258" spans="2:8" x14ac:dyDescent="0.35">
      <c r="B258" s="17"/>
      <c r="E258" s="61"/>
      <c r="H258" s="63"/>
    </row>
    <row r="259" spans="2:8" x14ac:dyDescent="0.35">
      <c r="B259" s="17"/>
      <c r="E259" s="61"/>
      <c r="H259" s="63"/>
    </row>
    <row r="260" spans="2:8" x14ac:dyDescent="0.35">
      <c r="B260" s="17"/>
      <c r="E260" s="61"/>
      <c r="H260" s="63"/>
    </row>
    <row r="261" spans="2:8" x14ac:dyDescent="0.35">
      <c r="B261" s="17"/>
      <c r="E261" s="61"/>
      <c r="H261" s="63"/>
    </row>
    <row r="262" spans="2:8" x14ac:dyDescent="0.35">
      <c r="B262" s="17"/>
      <c r="E262" s="61"/>
      <c r="H262" s="63"/>
    </row>
    <row r="263" spans="2:8" x14ac:dyDescent="0.35">
      <c r="B263" s="17"/>
      <c r="E263" s="61"/>
      <c r="H263" s="63"/>
    </row>
    <row r="264" spans="2:8" x14ac:dyDescent="0.35">
      <c r="B264" s="17"/>
      <c r="E264" s="61"/>
      <c r="H264" s="63"/>
    </row>
    <row r="265" spans="2:8" x14ac:dyDescent="0.35">
      <c r="B265" s="17"/>
      <c r="E265" s="61"/>
      <c r="H265" s="63"/>
    </row>
    <row r="266" spans="2:8" x14ac:dyDescent="0.35">
      <c r="B266" s="17"/>
      <c r="E266" s="61"/>
      <c r="H266" s="63"/>
    </row>
    <row r="267" spans="2:8" x14ac:dyDescent="0.35">
      <c r="B267" s="17"/>
      <c r="E267" s="61"/>
      <c r="H267" s="63"/>
    </row>
    <row r="268" spans="2:8" x14ac:dyDescent="0.35">
      <c r="B268" s="17"/>
      <c r="E268" s="61"/>
      <c r="H268" s="63"/>
    </row>
    <row r="269" spans="2:8" x14ac:dyDescent="0.35">
      <c r="B269" s="17"/>
      <c r="E269" s="61"/>
      <c r="H269" s="63"/>
    </row>
    <row r="270" spans="2:8" x14ac:dyDescent="0.35">
      <c r="B270" s="17"/>
      <c r="E270" s="61"/>
      <c r="H270" s="63"/>
    </row>
    <row r="271" spans="2:8" x14ac:dyDescent="0.35">
      <c r="B271" s="17"/>
      <c r="E271" s="61"/>
      <c r="H271" s="63"/>
    </row>
    <row r="272" spans="2:8" x14ac:dyDescent="0.35">
      <c r="B272" s="17"/>
      <c r="E272" s="61"/>
      <c r="H272" s="63"/>
    </row>
    <row r="273" spans="2:8" x14ac:dyDescent="0.35">
      <c r="B273" s="17"/>
      <c r="E273" s="61"/>
      <c r="H273" s="63"/>
    </row>
    <row r="274" spans="2:8" x14ac:dyDescent="0.35">
      <c r="B274" s="17"/>
      <c r="E274" s="61"/>
      <c r="H274" s="63"/>
    </row>
    <row r="275" spans="2:8" x14ac:dyDescent="0.35">
      <c r="B275" s="17"/>
      <c r="E275" s="61"/>
      <c r="H275" s="63"/>
    </row>
    <row r="276" spans="2:8" x14ac:dyDescent="0.35">
      <c r="B276" s="17"/>
      <c r="E276" s="61"/>
      <c r="H276" s="63"/>
    </row>
    <row r="277" spans="2:8" x14ac:dyDescent="0.35">
      <c r="B277" s="17"/>
      <c r="E277" s="61"/>
      <c r="H277" s="63"/>
    </row>
    <row r="278" spans="2:8" x14ac:dyDescent="0.35">
      <c r="B278" s="17"/>
      <c r="E278" s="61"/>
      <c r="H278" s="63"/>
    </row>
    <row r="279" spans="2:8" x14ac:dyDescent="0.35">
      <c r="B279" s="17"/>
      <c r="E279" s="61"/>
      <c r="H279" s="63"/>
    </row>
    <row r="280" spans="2:8" x14ac:dyDescent="0.35">
      <c r="B280" s="17"/>
      <c r="E280" s="61"/>
      <c r="H280" s="63"/>
    </row>
    <row r="281" spans="2:8" x14ac:dyDescent="0.35">
      <c r="B281" s="17"/>
      <c r="E281" s="61"/>
      <c r="H281" s="63"/>
    </row>
    <row r="282" spans="2:8" x14ac:dyDescent="0.35">
      <c r="B282" s="17"/>
      <c r="E282" s="61"/>
      <c r="H282" s="63"/>
    </row>
    <row r="283" spans="2:8" x14ac:dyDescent="0.35">
      <c r="B283" s="17"/>
      <c r="E283" s="61"/>
      <c r="H283" s="63"/>
    </row>
    <row r="284" spans="2:8" x14ac:dyDescent="0.35">
      <c r="B284" s="17"/>
      <c r="E284" s="61"/>
      <c r="H284" s="63"/>
    </row>
    <row r="285" spans="2:8" x14ac:dyDescent="0.35">
      <c r="B285" s="17"/>
      <c r="E285" s="61"/>
      <c r="H285" s="63"/>
    </row>
    <row r="286" spans="2:8" x14ac:dyDescent="0.35">
      <c r="B286" s="17"/>
      <c r="E286" s="61"/>
      <c r="H286" s="63"/>
    </row>
    <row r="287" spans="2:8" x14ac:dyDescent="0.35">
      <c r="B287" s="17"/>
      <c r="E287" s="61"/>
      <c r="H287" s="63"/>
    </row>
    <row r="288" spans="2:8" x14ac:dyDescent="0.35">
      <c r="B288" s="17"/>
      <c r="E288" s="61"/>
      <c r="H288" s="63"/>
    </row>
    <row r="289" spans="2:8" x14ac:dyDescent="0.35">
      <c r="B289" s="17"/>
      <c r="E289" s="61"/>
      <c r="H289" s="63"/>
    </row>
    <row r="290" spans="2:8" x14ac:dyDescent="0.35">
      <c r="B290" s="17"/>
      <c r="E290" s="61"/>
      <c r="H290" s="63"/>
    </row>
    <row r="291" spans="2:8" x14ac:dyDescent="0.35">
      <c r="B291" s="17"/>
      <c r="E291" s="61"/>
      <c r="H291" s="63"/>
    </row>
    <row r="292" spans="2:8" x14ac:dyDescent="0.35">
      <c r="B292" s="17"/>
      <c r="E292" s="61"/>
      <c r="H292" s="63"/>
    </row>
    <row r="293" spans="2:8" x14ac:dyDescent="0.35">
      <c r="B293" s="17"/>
      <c r="E293" s="61"/>
      <c r="H293" s="63"/>
    </row>
    <row r="294" spans="2:8" x14ac:dyDescent="0.35">
      <c r="B294" s="17"/>
      <c r="E294" s="61"/>
      <c r="H294" s="63"/>
    </row>
    <row r="295" spans="2:8" x14ac:dyDescent="0.35">
      <c r="B295" s="17"/>
      <c r="E295" s="61"/>
      <c r="H295" s="63"/>
    </row>
    <row r="296" spans="2:8" x14ac:dyDescent="0.35">
      <c r="B296" s="17"/>
      <c r="E296" s="61"/>
      <c r="H296" s="63"/>
    </row>
    <row r="297" spans="2:8" x14ac:dyDescent="0.35">
      <c r="B297" s="17"/>
      <c r="E297" s="61"/>
      <c r="H297" s="63"/>
    </row>
    <row r="298" spans="2:8" x14ac:dyDescent="0.35">
      <c r="B298" s="17"/>
      <c r="E298" s="61"/>
      <c r="H298" s="63"/>
    </row>
    <row r="299" spans="2:8" x14ac:dyDescent="0.35">
      <c r="B299" s="17"/>
      <c r="E299" s="61"/>
      <c r="H299" s="63"/>
    </row>
    <row r="300" spans="2:8" x14ac:dyDescent="0.35">
      <c r="B300" s="17"/>
      <c r="E300" s="61"/>
      <c r="H300" s="63"/>
    </row>
    <row r="301" spans="2:8" x14ac:dyDescent="0.35">
      <c r="B301" s="17"/>
      <c r="E301" s="61"/>
      <c r="H301" s="63"/>
    </row>
    <row r="302" spans="2:8" x14ac:dyDescent="0.35">
      <c r="B302" s="17"/>
      <c r="E302" s="61"/>
      <c r="H302" s="63"/>
    </row>
    <row r="303" spans="2:8" x14ac:dyDescent="0.35">
      <c r="B303" s="17"/>
      <c r="E303" s="61"/>
      <c r="H303" s="63"/>
    </row>
    <row r="304" spans="2:8" x14ac:dyDescent="0.35">
      <c r="B304" s="17"/>
      <c r="E304" s="61"/>
      <c r="H304" s="63"/>
    </row>
    <row r="305" spans="2:8" x14ac:dyDescent="0.35">
      <c r="B305" s="17"/>
      <c r="E305" s="61"/>
      <c r="H305" s="63"/>
    </row>
    <row r="306" spans="2:8" x14ac:dyDescent="0.35">
      <c r="B306" s="17"/>
      <c r="E306" s="61"/>
      <c r="H306" s="63"/>
    </row>
    <row r="307" spans="2:8" x14ac:dyDescent="0.35">
      <c r="B307" s="17"/>
      <c r="E307" s="61"/>
      <c r="H307" s="63"/>
    </row>
    <row r="308" spans="2:8" x14ac:dyDescent="0.35">
      <c r="B308" s="17"/>
      <c r="E308" s="61"/>
      <c r="H308" s="63"/>
    </row>
    <row r="309" spans="2:8" x14ac:dyDescent="0.35">
      <c r="B309" s="17"/>
      <c r="E309" s="61"/>
      <c r="H309" s="63"/>
    </row>
    <row r="310" spans="2:8" x14ac:dyDescent="0.35">
      <c r="B310" s="17"/>
      <c r="E310" s="61"/>
      <c r="H310" s="63"/>
    </row>
    <row r="311" spans="2:8" x14ac:dyDescent="0.35">
      <c r="B311" s="17"/>
      <c r="E311" s="61"/>
      <c r="H311" s="63"/>
    </row>
    <row r="312" spans="2:8" x14ac:dyDescent="0.35">
      <c r="B312" s="17"/>
      <c r="E312" s="61"/>
      <c r="H312" s="63"/>
    </row>
    <row r="313" spans="2:8" x14ac:dyDescent="0.35">
      <c r="B313" s="17"/>
      <c r="E313" s="61"/>
      <c r="H313" s="63"/>
    </row>
    <row r="314" spans="2:8" x14ac:dyDescent="0.35">
      <c r="B314" s="17"/>
      <c r="E314" s="61"/>
      <c r="H314" s="63"/>
    </row>
    <row r="315" spans="2:8" x14ac:dyDescent="0.35">
      <c r="B315" s="17"/>
      <c r="E315" s="61"/>
      <c r="H315" s="63"/>
    </row>
    <row r="316" spans="2:8" x14ac:dyDescent="0.35">
      <c r="B316" s="17"/>
      <c r="E316" s="61"/>
      <c r="H316" s="63"/>
    </row>
    <row r="317" spans="2:8" x14ac:dyDescent="0.35">
      <c r="B317" s="17"/>
      <c r="E317" s="61"/>
      <c r="H317" s="63"/>
    </row>
    <row r="318" spans="2:8" x14ac:dyDescent="0.35">
      <c r="B318" s="17"/>
      <c r="E318" s="61"/>
      <c r="H318" s="63"/>
    </row>
    <row r="319" spans="2:8" x14ac:dyDescent="0.35">
      <c r="B319" s="17"/>
      <c r="E319" s="61"/>
      <c r="H319" s="63"/>
    </row>
    <row r="320" spans="2:8" x14ac:dyDescent="0.35">
      <c r="B320" s="17"/>
      <c r="E320" s="61"/>
      <c r="H320" s="63"/>
    </row>
    <row r="321" spans="2:8" x14ac:dyDescent="0.35">
      <c r="B321" s="17"/>
      <c r="E321" s="61"/>
      <c r="H321" s="63"/>
    </row>
    <row r="322" spans="2:8" x14ac:dyDescent="0.35">
      <c r="B322" s="17"/>
      <c r="E322" s="61"/>
      <c r="H322" s="63"/>
    </row>
    <row r="323" spans="2:8" x14ac:dyDescent="0.35">
      <c r="B323" s="17"/>
      <c r="E323" s="61"/>
      <c r="H323" s="63"/>
    </row>
    <row r="324" spans="2:8" x14ac:dyDescent="0.35">
      <c r="B324" s="17"/>
      <c r="E324" s="61"/>
      <c r="H324" s="63"/>
    </row>
    <row r="325" spans="2:8" x14ac:dyDescent="0.35">
      <c r="B325" s="17"/>
      <c r="E325" s="61"/>
      <c r="H325" s="63"/>
    </row>
    <row r="326" spans="2:8" x14ac:dyDescent="0.35">
      <c r="B326" s="17"/>
      <c r="E326" s="61"/>
      <c r="H326" s="63"/>
    </row>
    <row r="327" spans="2:8" x14ac:dyDescent="0.35">
      <c r="B327" s="17"/>
      <c r="E327" s="61"/>
      <c r="H327" s="63"/>
    </row>
    <row r="328" spans="2:8" x14ac:dyDescent="0.35">
      <c r="B328" s="17"/>
      <c r="E328" s="61"/>
      <c r="H328" s="63"/>
    </row>
    <row r="329" spans="2:8" x14ac:dyDescent="0.35">
      <c r="B329" s="17"/>
      <c r="E329" s="61"/>
      <c r="H329" s="63"/>
    </row>
    <row r="330" spans="2:8" x14ac:dyDescent="0.35">
      <c r="B330" s="17"/>
      <c r="E330" s="61"/>
      <c r="H330" s="63"/>
    </row>
    <row r="331" spans="2:8" x14ac:dyDescent="0.35">
      <c r="B331" s="17"/>
      <c r="E331" s="61"/>
      <c r="H331" s="63"/>
    </row>
    <row r="332" spans="2:8" x14ac:dyDescent="0.35">
      <c r="B332" s="17"/>
      <c r="E332" s="61"/>
      <c r="H332" s="63"/>
    </row>
    <row r="333" spans="2:8" x14ac:dyDescent="0.35">
      <c r="B333" s="17"/>
      <c r="E333" s="61"/>
      <c r="H333" s="63"/>
    </row>
    <row r="334" spans="2:8" x14ac:dyDescent="0.35">
      <c r="B334" s="17"/>
      <c r="E334" s="61"/>
      <c r="H334" s="63"/>
    </row>
    <row r="335" spans="2:8" x14ac:dyDescent="0.35">
      <c r="B335" s="17"/>
      <c r="E335" s="61"/>
      <c r="H335" s="63"/>
    </row>
    <row r="336" spans="2:8" x14ac:dyDescent="0.35">
      <c r="B336" s="17"/>
      <c r="E336" s="61"/>
      <c r="H336" s="63"/>
    </row>
    <row r="337" spans="2:8" x14ac:dyDescent="0.35">
      <c r="B337" s="17"/>
      <c r="E337" s="61"/>
      <c r="H337" s="63"/>
    </row>
    <row r="338" spans="2:8" x14ac:dyDescent="0.35">
      <c r="B338" s="17"/>
      <c r="E338" s="61"/>
      <c r="H338" s="63"/>
    </row>
    <row r="339" spans="2:8" x14ac:dyDescent="0.35">
      <c r="B339" s="17"/>
      <c r="E339" s="61"/>
      <c r="H339" s="63"/>
    </row>
    <row r="340" spans="2:8" x14ac:dyDescent="0.35">
      <c r="B340" s="17"/>
      <c r="E340" s="61"/>
      <c r="H340" s="63"/>
    </row>
    <row r="341" spans="2:8" x14ac:dyDescent="0.35">
      <c r="B341" s="17"/>
      <c r="E341" s="61"/>
      <c r="H341" s="63"/>
    </row>
    <row r="342" spans="2:8" x14ac:dyDescent="0.35">
      <c r="B342" s="17"/>
      <c r="E342" s="61"/>
      <c r="H342" s="63"/>
    </row>
    <row r="343" spans="2:8" x14ac:dyDescent="0.35">
      <c r="B343" s="17"/>
      <c r="E343" s="61"/>
      <c r="H343" s="63"/>
    </row>
    <row r="344" spans="2:8" x14ac:dyDescent="0.35">
      <c r="B344" s="17"/>
      <c r="E344" s="61"/>
      <c r="H344" s="63"/>
    </row>
    <row r="345" spans="2:8" x14ac:dyDescent="0.35">
      <c r="B345" s="17"/>
      <c r="E345" s="61"/>
      <c r="H345" s="63"/>
    </row>
    <row r="346" spans="2:8" x14ac:dyDescent="0.35">
      <c r="B346" s="17"/>
      <c r="E346" s="61"/>
      <c r="H346" s="63"/>
    </row>
    <row r="347" spans="2:8" x14ac:dyDescent="0.35">
      <c r="B347" s="17"/>
      <c r="E347" s="61"/>
      <c r="H347" s="63"/>
    </row>
    <row r="348" spans="2:8" x14ac:dyDescent="0.35">
      <c r="B348" s="17"/>
      <c r="E348" s="61"/>
      <c r="H348" s="63"/>
    </row>
    <row r="349" spans="2:8" x14ac:dyDescent="0.35">
      <c r="B349" s="17"/>
      <c r="E349" s="61"/>
      <c r="H349" s="63"/>
    </row>
    <row r="350" spans="2:8" x14ac:dyDescent="0.35">
      <c r="B350" s="17"/>
      <c r="E350" s="61"/>
      <c r="H350" s="63"/>
    </row>
    <row r="351" spans="2:8" x14ac:dyDescent="0.35">
      <c r="B351" s="17"/>
      <c r="E351" s="61"/>
      <c r="H351" s="63"/>
    </row>
    <row r="352" spans="2:8" x14ac:dyDescent="0.35">
      <c r="B352" s="17"/>
      <c r="E352" s="61"/>
      <c r="H352" s="63"/>
    </row>
    <row r="353" spans="2:8" x14ac:dyDescent="0.35">
      <c r="B353" s="17"/>
      <c r="E353" s="61"/>
      <c r="H353" s="63"/>
    </row>
    <row r="354" spans="2:8" x14ac:dyDescent="0.35">
      <c r="B354" s="17"/>
      <c r="E354" s="61"/>
      <c r="H354" s="63"/>
    </row>
    <row r="355" spans="2:8" x14ac:dyDescent="0.35">
      <c r="B355" s="17"/>
      <c r="E355" s="61"/>
      <c r="H355" s="63"/>
    </row>
    <row r="356" spans="2:8" x14ac:dyDescent="0.35">
      <c r="B356" s="17"/>
      <c r="E356" s="61"/>
      <c r="H356" s="63"/>
    </row>
    <row r="357" spans="2:8" x14ac:dyDescent="0.35">
      <c r="B357" s="17"/>
      <c r="E357" s="61"/>
      <c r="H357" s="63"/>
    </row>
    <row r="358" spans="2:8" x14ac:dyDescent="0.35">
      <c r="B358" s="17"/>
      <c r="E358" s="61"/>
      <c r="H358" s="63"/>
    </row>
    <row r="359" spans="2:8" x14ac:dyDescent="0.35">
      <c r="B359" s="17"/>
      <c r="E359" s="61"/>
      <c r="H359" s="63"/>
    </row>
    <row r="360" spans="2:8" x14ac:dyDescent="0.35">
      <c r="B360" s="17"/>
      <c r="E360" s="61"/>
      <c r="H360" s="63"/>
    </row>
    <row r="361" spans="2:8" x14ac:dyDescent="0.35">
      <c r="B361" s="17"/>
      <c r="E361" s="61"/>
      <c r="H361" s="63"/>
    </row>
    <row r="362" spans="2:8" x14ac:dyDescent="0.35">
      <c r="B362" s="17"/>
      <c r="E362" s="61"/>
      <c r="H362" s="63"/>
    </row>
    <row r="363" spans="2:8" x14ac:dyDescent="0.35">
      <c r="B363" s="17"/>
      <c r="E363" s="61"/>
      <c r="H363" s="63"/>
    </row>
    <row r="364" spans="2:8" x14ac:dyDescent="0.35">
      <c r="B364" s="17"/>
      <c r="E364" s="61"/>
      <c r="H364" s="63"/>
    </row>
    <row r="365" spans="2:8" x14ac:dyDescent="0.35">
      <c r="B365" s="17"/>
      <c r="E365" s="61"/>
      <c r="H365" s="63"/>
    </row>
    <row r="366" spans="2:8" x14ac:dyDescent="0.35">
      <c r="B366" s="17"/>
      <c r="E366" s="61"/>
      <c r="H366" s="63"/>
    </row>
    <row r="367" spans="2:8" x14ac:dyDescent="0.35">
      <c r="B367" s="17"/>
      <c r="E367" s="61"/>
      <c r="H367" s="63"/>
    </row>
    <row r="368" spans="2:8" x14ac:dyDescent="0.35">
      <c r="B368" s="17"/>
      <c r="E368" s="61"/>
      <c r="H368" s="63"/>
    </row>
    <row r="369" spans="2:8" x14ac:dyDescent="0.35">
      <c r="B369" s="17"/>
      <c r="E369" s="61"/>
      <c r="H369" s="63"/>
    </row>
    <row r="370" spans="2:8" x14ac:dyDescent="0.35">
      <c r="B370" s="17"/>
      <c r="E370" s="61"/>
      <c r="H370" s="63"/>
    </row>
    <row r="371" spans="2:8" x14ac:dyDescent="0.35">
      <c r="B371" s="17"/>
      <c r="E371" s="61"/>
      <c r="H371" s="63"/>
    </row>
    <row r="372" spans="2:8" x14ac:dyDescent="0.35">
      <c r="B372" s="17"/>
      <c r="E372" s="61"/>
      <c r="H372" s="63"/>
    </row>
    <row r="373" spans="2:8" x14ac:dyDescent="0.35">
      <c r="B373" s="17"/>
      <c r="E373" s="61"/>
      <c r="H373" s="63"/>
    </row>
    <row r="374" spans="2:8" x14ac:dyDescent="0.35">
      <c r="B374" s="17"/>
      <c r="E374" s="61"/>
      <c r="H374" s="63"/>
    </row>
    <row r="375" spans="2:8" x14ac:dyDescent="0.35">
      <c r="B375" s="17"/>
      <c r="E375" s="61"/>
      <c r="H375" s="63"/>
    </row>
    <row r="376" spans="2:8" x14ac:dyDescent="0.35">
      <c r="B376" s="17"/>
      <c r="E376" s="61"/>
      <c r="H376" s="63"/>
    </row>
    <row r="377" spans="2:8" x14ac:dyDescent="0.35">
      <c r="B377" s="17"/>
      <c r="E377" s="61"/>
      <c r="H377" s="63"/>
    </row>
    <row r="378" spans="2:8" x14ac:dyDescent="0.35">
      <c r="B378" s="17"/>
      <c r="E378" s="61"/>
      <c r="H378" s="63"/>
    </row>
    <row r="379" spans="2:8" x14ac:dyDescent="0.35">
      <c r="B379" s="17"/>
      <c r="E379" s="61"/>
      <c r="H379" s="63"/>
    </row>
    <row r="380" spans="2:8" x14ac:dyDescent="0.35">
      <c r="B380" s="17"/>
      <c r="E380" s="61"/>
      <c r="H380" s="63"/>
    </row>
    <row r="381" spans="2:8" x14ac:dyDescent="0.35">
      <c r="B381" s="17"/>
      <c r="E381" s="61"/>
      <c r="H381" s="63"/>
    </row>
    <row r="382" spans="2:8" x14ac:dyDescent="0.35">
      <c r="B382" s="17"/>
      <c r="E382" s="61"/>
      <c r="H382" s="63"/>
    </row>
    <row r="383" spans="2:8" x14ac:dyDescent="0.35">
      <c r="B383" s="17"/>
      <c r="E383" s="61"/>
      <c r="H383" s="63"/>
    </row>
    <row r="384" spans="2:8" x14ac:dyDescent="0.35">
      <c r="B384" s="17"/>
      <c r="E384" s="61"/>
      <c r="H384" s="63"/>
    </row>
    <row r="385" spans="2:8" x14ac:dyDescent="0.35">
      <c r="B385" s="17"/>
      <c r="E385" s="61"/>
      <c r="H385" s="63"/>
    </row>
    <row r="386" spans="2:8" x14ac:dyDescent="0.35">
      <c r="B386" s="17"/>
      <c r="E386" s="61"/>
      <c r="H386" s="63"/>
    </row>
    <row r="387" spans="2:8" x14ac:dyDescent="0.35">
      <c r="B387" s="17"/>
      <c r="E387" s="61"/>
      <c r="H387" s="63"/>
    </row>
    <row r="388" spans="2:8" x14ac:dyDescent="0.35">
      <c r="B388" s="17"/>
      <c r="E388" s="61"/>
      <c r="H388" s="63"/>
    </row>
    <row r="389" spans="2:8" x14ac:dyDescent="0.35">
      <c r="B389" s="17"/>
      <c r="E389" s="61"/>
      <c r="H389" s="63"/>
    </row>
    <row r="390" spans="2:8" x14ac:dyDescent="0.35">
      <c r="B390" s="17"/>
      <c r="E390" s="61"/>
      <c r="H390" s="63"/>
    </row>
    <row r="391" spans="2:8" x14ac:dyDescent="0.35">
      <c r="B391" s="17"/>
      <c r="E391" s="61"/>
      <c r="H391" s="63"/>
    </row>
    <row r="392" spans="2:8" x14ac:dyDescent="0.35">
      <c r="B392" s="17"/>
      <c r="E392" s="61"/>
      <c r="H392" s="63"/>
    </row>
    <row r="393" spans="2:8" x14ac:dyDescent="0.35">
      <c r="B393" s="17"/>
      <c r="E393" s="61"/>
      <c r="H393" s="63"/>
    </row>
    <row r="394" spans="2:8" x14ac:dyDescent="0.35">
      <c r="B394" s="17"/>
      <c r="E394" s="61"/>
      <c r="H394" s="63"/>
    </row>
    <row r="395" spans="2:8" x14ac:dyDescent="0.35">
      <c r="B395" s="17"/>
      <c r="E395" s="61"/>
      <c r="H395" s="63"/>
    </row>
    <row r="396" spans="2:8" x14ac:dyDescent="0.35">
      <c r="B396" s="17"/>
      <c r="E396" s="61"/>
      <c r="H396" s="63"/>
    </row>
    <row r="397" spans="2:8" x14ac:dyDescent="0.35">
      <c r="B397" s="17"/>
      <c r="E397" s="61"/>
      <c r="H397" s="63"/>
    </row>
    <row r="398" spans="2:8" x14ac:dyDescent="0.35">
      <c r="B398" s="17"/>
      <c r="E398" s="61"/>
      <c r="H398" s="63"/>
    </row>
    <row r="399" spans="2:8" x14ac:dyDescent="0.35">
      <c r="B399" s="17"/>
      <c r="E399" s="61"/>
      <c r="H399" s="63"/>
    </row>
    <row r="400" spans="2:8" x14ac:dyDescent="0.35">
      <c r="B400" s="17"/>
      <c r="E400" s="61"/>
      <c r="H400" s="63"/>
    </row>
    <row r="401" spans="2:8" x14ac:dyDescent="0.35">
      <c r="B401" s="17"/>
      <c r="E401" s="61"/>
      <c r="H401" s="63"/>
    </row>
    <row r="402" spans="2:8" x14ac:dyDescent="0.35">
      <c r="B402" s="17"/>
      <c r="E402" s="61"/>
      <c r="H402" s="63"/>
    </row>
    <row r="403" spans="2:8" x14ac:dyDescent="0.35">
      <c r="B403" s="17"/>
      <c r="E403" s="61"/>
      <c r="H403" s="63"/>
    </row>
    <row r="404" spans="2:8" x14ac:dyDescent="0.35">
      <c r="B404" s="17"/>
      <c r="E404" s="61"/>
      <c r="H404" s="63"/>
    </row>
    <row r="405" spans="2:8" x14ac:dyDescent="0.35">
      <c r="B405" s="17"/>
      <c r="E405" s="61"/>
      <c r="H405" s="63"/>
    </row>
    <row r="406" spans="2:8" x14ac:dyDescent="0.35">
      <c r="B406" s="17"/>
      <c r="E406" s="61"/>
      <c r="H406" s="63"/>
    </row>
    <row r="407" spans="2:8" x14ac:dyDescent="0.35">
      <c r="B407" s="17"/>
      <c r="E407" s="61"/>
      <c r="H407" s="63"/>
    </row>
    <row r="408" spans="2:8" x14ac:dyDescent="0.35">
      <c r="B408" s="17"/>
      <c r="E408" s="61"/>
      <c r="H408" s="63"/>
    </row>
    <row r="409" spans="2:8" x14ac:dyDescent="0.35">
      <c r="B409" s="17"/>
      <c r="E409" s="61"/>
      <c r="H409" s="63"/>
    </row>
    <row r="410" spans="2:8" x14ac:dyDescent="0.35">
      <c r="B410" s="17"/>
      <c r="E410" s="61"/>
      <c r="H410" s="63"/>
    </row>
    <row r="411" spans="2:8" x14ac:dyDescent="0.35">
      <c r="B411" s="17"/>
      <c r="E411" s="61"/>
      <c r="H411" s="63"/>
    </row>
    <row r="412" spans="2:8" x14ac:dyDescent="0.35">
      <c r="B412" s="17"/>
      <c r="E412" s="61"/>
      <c r="H412" s="63"/>
    </row>
    <row r="413" spans="2:8" x14ac:dyDescent="0.35">
      <c r="B413" s="17"/>
      <c r="E413" s="61"/>
      <c r="H413" s="63"/>
    </row>
    <row r="414" spans="2:8" x14ac:dyDescent="0.35">
      <c r="B414" s="17"/>
      <c r="E414" s="61"/>
      <c r="H414" s="63"/>
    </row>
    <row r="415" spans="2:8" x14ac:dyDescent="0.35">
      <c r="B415" s="17"/>
      <c r="E415" s="61"/>
      <c r="H415" s="63"/>
    </row>
    <row r="416" spans="2:8" x14ac:dyDescent="0.35">
      <c r="B416" s="17"/>
      <c r="E416" s="61"/>
      <c r="H416" s="63"/>
    </row>
    <row r="417" spans="2:8" x14ac:dyDescent="0.35">
      <c r="B417" s="17"/>
      <c r="E417" s="61"/>
      <c r="H417" s="63"/>
    </row>
    <row r="418" spans="2:8" x14ac:dyDescent="0.35">
      <c r="B418" s="17"/>
      <c r="E418" s="61"/>
      <c r="H418" s="63"/>
    </row>
    <row r="419" spans="2:8" x14ac:dyDescent="0.35">
      <c r="B419" s="17"/>
      <c r="E419" s="61"/>
      <c r="H419" s="63"/>
    </row>
    <row r="420" spans="2:8" x14ac:dyDescent="0.35">
      <c r="B420" s="17"/>
      <c r="E420" s="61"/>
      <c r="H420" s="63"/>
    </row>
    <row r="421" spans="2:8" x14ac:dyDescent="0.35">
      <c r="B421" s="17"/>
      <c r="E421" s="61"/>
      <c r="H421" s="63"/>
    </row>
    <row r="422" spans="2:8" x14ac:dyDescent="0.35">
      <c r="B422" s="17"/>
      <c r="E422" s="61"/>
      <c r="H422" s="63"/>
    </row>
    <row r="423" spans="2:8" x14ac:dyDescent="0.35">
      <c r="B423" s="17"/>
      <c r="E423" s="61"/>
      <c r="H423" s="63"/>
    </row>
    <row r="424" spans="2:8" x14ac:dyDescent="0.35">
      <c r="B424" s="17"/>
      <c r="E424" s="61"/>
      <c r="H424" s="63"/>
    </row>
    <row r="425" spans="2:8" x14ac:dyDescent="0.35">
      <c r="B425" s="17"/>
      <c r="E425" s="61"/>
      <c r="H425" s="63"/>
    </row>
    <row r="426" spans="2:8" x14ac:dyDescent="0.35">
      <c r="B426" s="17"/>
      <c r="E426" s="61"/>
      <c r="H426" s="63"/>
    </row>
    <row r="427" spans="2:8" x14ac:dyDescent="0.35">
      <c r="B427" s="17"/>
      <c r="E427" s="61"/>
      <c r="H427" s="63"/>
    </row>
    <row r="428" spans="2:8" x14ac:dyDescent="0.35">
      <c r="B428" s="17"/>
      <c r="E428" s="61"/>
      <c r="H428" s="63"/>
    </row>
    <row r="429" spans="2:8" x14ac:dyDescent="0.35">
      <c r="B429" s="17"/>
      <c r="E429" s="61"/>
      <c r="H429" s="63"/>
    </row>
    <row r="430" spans="2:8" x14ac:dyDescent="0.35">
      <c r="B430" s="17"/>
      <c r="E430" s="61"/>
      <c r="H430" s="63"/>
    </row>
    <row r="431" spans="2:8" x14ac:dyDescent="0.35">
      <c r="B431" s="17"/>
      <c r="E431" s="61"/>
      <c r="H431" s="63"/>
    </row>
    <row r="432" spans="2:8" x14ac:dyDescent="0.35">
      <c r="B432" s="17"/>
      <c r="E432" s="61"/>
      <c r="H432" s="63"/>
    </row>
    <row r="433" spans="2:8" x14ac:dyDescent="0.35">
      <c r="B433" s="17"/>
      <c r="E433" s="61"/>
      <c r="H433" s="63"/>
    </row>
    <row r="434" spans="2:8" x14ac:dyDescent="0.35">
      <c r="B434" s="17"/>
      <c r="E434" s="61"/>
      <c r="H434" s="63"/>
    </row>
    <row r="435" spans="2:8" x14ac:dyDescent="0.35">
      <c r="B435" s="17"/>
      <c r="E435" s="61"/>
      <c r="H435" s="63"/>
    </row>
    <row r="436" spans="2:8" x14ac:dyDescent="0.35">
      <c r="B436" s="17"/>
      <c r="E436" s="61"/>
      <c r="H436" s="63"/>
    </row>
    <row r="437" spans="2:8" x14ac:dyDescent="0.35">
      <c r="B437" s="17"/>
      <c r="E437" s="61"/>
      <c r="H437" s="63"/>
    </row>
    <row r="438" spans="2:8" x14ac:dyDescent="0.35">
      <c r="B438" s="17"/>
      <c r="E438" s="61"/>
      <c r="H438" s="63"/>
    </row>
    <row r="439" spans="2:8" x14ac:dyDescent="0.35">
      <c r="B439" s="17"/>
      <c r="E439" s="61"/>
      <c r="H439" s="63"/>
    </row>
    <row r="440" spans="2:8" x14ac:dyDescent="0.35">
      <c r="B440" s="150"/>
      <c r="E440" s="61"/>
      <c r="H440" s="63"/>
    </row>
    <row r="441" spans="2:8" x14ac:dyDescent="0.35">
      <c r="B441" s="150"/>
      <c r="E441" s="61"/>
      <c r="H441" s="63"/>
    </row>
    <row r="442" spans="2:8" x14ac:dyDescent="0.35">
      <c r="B442" s="150"/>
      <c r="E442" s="61"/>
      <c r="H442" s="63"/>
    </row>
    <row r="443" spans="2:8" x14ac:dyDescent="0.35">
      <c r="B443" s="150"/>
      <c r="E443" s="61"/>
      <c r="H443" s="63"/>
    </row>
    <row r="444" spans="2:8" x14ac:dyDescent="0.35">
      <c r="B444" s="150"/>
      <c r="E444" s="61"/>
      <c r="H444" s="63"/>
    </row>
    <row r="445" spans="2:8" x14ac:dyDescent="0.35">
      <c r="B445" s="17"/>
      <c r="E445" s="61"/>
      <c r="H445" s="63"/>
    </row>
    <row r="446" spans="2:8" x14ac:dyDescent="0.35">
      <c r="B446" s="17"/>
      <c r="E446" s="61"/>
      <c r="H446" s="63"/>
    </row>
    <row r="447" spans="2:8" x14ac:dyDescent="0.35">
      <c r="B447" s="17"/>
      <c r="E447" s="61"/>
      <c r="H447" s="63"/>
    </row>
    <row r="448" spans="2:8" x14ac:dyDescent="0.35">
      <c r="B448" s="17"/>
      <c r="E448" s="61"/>
      <c r="H448" s="63"/>
    </row>
    <row r="449" spans="2:8" x14ac:dyDescent="0.35">
      <c r="B449" s="17"/>
      <c r="E449" s="61"/>
      <c r="H449" s="63"/>
    </row>
    <row r="450" spans="2:8" x14ac:dyDescent="0.35">
      <c r="B450" s="17"/>
      <c r="E450" s="61"/>
      <c r="H450" s="63"/>
    </row>
    <row r="451" spans="2:8" x14ac:dyDescent="0.35">
      <c r="B451" s="17"/>
      <c r="E451" s="61"/>
      <c r="H451" s="63"/>
    </row>
    <row r="452" spans="2:8" x14ac:dyDescent="0.35">
      <c r="B452" s="17"/>
      <c r="E452" s="61"/>
      <c r="H452" s="63"/>
    </row>
    <row r="453" spans="2:8" x14ac:dyDescent="0.35">
      <c r="B453" s="17"/>
      <c r="E453" s="61"/>
      <c r="H453" s="63"/>
    </row>
    <row r="454" spans="2:8" x14ac:dyDescent="0.35">
      <c r="B454" s="17"/>
      <c r="E454" s="61"/>
      <c r="H454" s="63"/>
    </row>
    <row r="455" spans="2:8" x14ac:dyDescent="0.35">
      <c r="B455" s="17"/>
      <c r="E455" s="61"/>
      <c r="H455" s="63"/>
    </row>
    <row r="456" spans="2:8" x14ac:dyDescent="0.35">
      <c r="B456" s="17"/>
      <c r="E456" s="61"/>
      <c r="H456" s="63"/>
    </row>
    <row r="457" spans="2:8" x14ac:dyDescent="0.35">
      <c r="B457" s="17"/>
      <c r="E457" s="61"/>
      <c r="H457" s="63"/>
    </row>
    <row r="458" spans="2:8" x14ac:dyDescent="0.35">
      <c r="B458" s="17"/>
      <c r="E458" s="61"/>
      <c r="H458" s="63"/>
    </row>
    <row r="459" spans="2:8" x14ac:dyDescent="0.35">
      <c r="B459" s="17"/>
      <c r="D459" s="70"/>
      <c r="E459" s="61"/>
      <c r="F459" s="70"/>
      <c r="H459" s="63"/>
    </row>
    <row r="460" spans="2:8" x14ac:dyDescent="0.35">
      <c r="B460" s="17"/>
      <c r="D460" s="70"/>
      <c r="E460" s="61"/>
      <c r="F460" s="70"/>
      <c r="H460" s="63"/>
    </row>
    <row r="461" spans="2:8" x14ac:dyDescent="0.35">
      <c r="B461" s="17"/>
      <c r="C461" s="70"/>
      <c r="D461" s="70"/>
      <c r="E461" s="61"/>
      <c r="F461" s="70"/>
      <c r="H461" s="63"/>
    </row>
    <row r="462" spans="2:8" x14ac:dyDescent="0.35">
      <c r="B462" s="17"/>
      <c r="C462" s="70"/>
      <c r="D462" s="70"/>
      <c r="E462" s="61"/>
      <c r="F462" s="70"/>
      <c r="H462" s="63"/>
    </row>
    <row r="463" spans="2:8" x14ac:dyDescent="0.35">
      <c r="B463" s="17"/>
      <c r="C463" s="70"/>
      <c r="D463" s="70"/>
      <c r="E463" s="61"/>
      <c r="F463" s="70"/>
      <c r="H463" s="63"/>
    </row>
    <row r="464" spans="2:8" x14ac:dyDescent="0.35">
      <c r="B464" s="17"/>
      <c r="C464" s="70"/>
      <c r="E464" s="61"/>
      <c r="H464" s="63"/>
    </row>
    <row r="465" spans="2:8" x14ac:dyDescent="0.35">
      <c r="B465" s="17"/>
      <c r="C465" s="70"/>
      <c r="E465" s="61"/>
      <c r="H465" s="63"/>
    </row>
    <row r="466" spans="2:8" x14ac:dyDescent="0.35">
      <c r="B466" s="17"/>
      <c r="E466" s="61"/>
      <c r="H466" s="63"/>
    </row>
    <row r="467" spans="2:8" x14ac:dyDescent="0.35">
      <c r="B467" s="17"/>
      <c r="E467" s="61"/>
      <c r="H467" s="63"/>
    </row>
    <row r="468" spans="2:8" x14ac:dyDescent="0.35">
      <c r="B468" s="17"/>
      <c r="E468" s="61"/>
      <c r="H468" s="63"/>
    </row>
    <row r="469" spans="2:8" x14ac:dyDescent="0.35">
      <c r="B469" s="17"/>
      <c r="E469" s="61"/>
      <c r="H469" s="63"/>
    </row>
    <row r="470" spans="2:8" x14ac:dyDescent="0.35">
      <c r="B470" s="17"/>
      <c r="E470" s="61"/>
      <c r="H470" s="63"/>
    </row>
    <row r="471" spans="2:8" x14ac:dyDescent="0.35">
      <c r="B471" s="17"/>
      <c r="E471" s="61"/>
      <c r="H471" s="63"/>
    </row>
    <row r="472" spans="2:8" x14ac:dyDescent="0.35">
      <c r="B472" s="17"/>
      <c r="E472" s="61"/>
      <c r="H472" s="63"/>
    </row>
    <row r="473" spans="2:8" x14ac:dyDescent="0.35">
      <c r="B473" s="17"/>
      <c r="E473" s="61"/>
      <c r="H473" s="63"/>
    </row>
    <row r="474" spans="2:8" x14ac:dyDescent="0.35">
      <c r="B474" s="17"/>
      <c r="E474" s="61"/>
      <c r="H474" s="63"/>
    </row>
    <row r="475" spans="2:8" x14ac:dyDescent="0.35">
      <c r="B475" s="17"/>
      <c r="E475" s="61"/>
      <c r="H475" s="63"/>
    </row>
    <row r="476" spans="2:8" x14ac:dyDescent="0.35">
      <c r="B476" s="17"/>
      <c r="E476" s="61"/>
      <c r="H476" s="63"/>
    </row>
    <row r="477" spans="2:8" x14ac:dyDescent="0.35">
      <c r="B477" s="17"/>
      <c r="E477" s="61"/>
      <c r="H477" s="63"/>
    </row>
    <row r="478" spans="2:8" x14ac:dyDescent="0.35">
      <c r="B478" s="17"/>
      <c r="E478" s="61"/>
      <c r="H478" s="63"/>
    </row>
    <row r="479" spans="2:8" x14ac:dyDescent="0.35">
      <c r="B479" s="17"/>
      <c r="E479" s="61"/>
      <c r="H479" s="63"/>
    </row>
    <row r="480" spans="2:8" x14ac:dyDescent="0.35">
      <c r="B480" s="17"/>
      <c r="E480" s="61"/>
      <c r="H480" s="63"/>
    </row>
    <row r="481" spans="2:8" x14ac:dyDescent="0.35">
      <c r="B481" s="17"/>
      <c r="E481" s="61"/>
      <c r="H481" s="63"/>
    </row>
    <row r="482" spans="2:8" x14ac:dyDescent="0.35">
      <c r="B482" s="17"/>
      <c r="E482" s="61"/>
      <c r="H482" s="63"/>
    </row>
    <row r="483" spans="2:8" x14ac:dyDescent="0.35">
      <c r="B483" s="17"/>
      <c r="E483" s="61"/>
      <c r="H483" s="63"/>
    </row>
    <row r="484" spans="2:8" x14ac:dyDescent="0.35">
      <c r="B484" s="17"/>
      <c r="E484" s="61"/>
      <c r="H484" s="63"/>
    </row>
    <row r="485" spans="2:8" x14ac:dyDescent="0.35">
      <c r="B485" s="17"/>
      <c r="E485" s="61"/>
      <c r="H485" s="63"/>
    </row>
    <row r="486" spans="2:8" x14ac:dyDescent="0.35">
      <c r="B486" s="17"/>
      <c r="E486" s="61"/>
      <c r="H486" s="63"/>
    </row>
    <row r="487" spans="2:8" x14ac:dyDescent="0.35">
      <c r="B487" s="17"/>
      <c r="E487" s="61"/>
      <c r="H487" s="63"/>
    </row>
    <row r="488" spans="2:8" x14ac:dyDescent="0.35">
      <c r="B488" s="17"/>
      <c r="E488" s="61"/>
      <c r="H488" s="63"/>
    </row>
    <row r="489" spans="2:8" x14ac:dyDescent="0.35">
      <c r="B489" s="17"/>
      <c r="E489" s="61"/>
      <c r="H489" s="63"/>
    </row>
    <row r="490" spans="2:8" x14ac:dyDescent="0.35">
      <c r="B490" s="17"/>
      <c r="E490" s="61"/>
      <c r="H490" s="63"/>
    </row>
    <row r="491" spans="2:8" x14ac:dyDescent="0.35">
      <c r="B491" s="17"/>
      <c r="E491" s="61"/>
      <c r="H491" s="63"/>
    </row>
    <row r="492" spans="2:8" x14ac:dyDescent="0.35">
      <c r="B492" s="17"/>
      <c r="E492" s="61"/>
      <c r="H492" s="63"/>
    </row>
    <row r="493" spans="2:8" x14ac:dyDescent="0.35">
      <c r="B493" s="17"/>
      <c r="E493" s="61"/>
      <c r="H493" s="63"/>
    </row>
    <row r="494" spans="2:8" x14ac:dyDescent="0.35">
      <c r="B494" s="17"/>
      <c r="E494" s="61"/>
      <c r="H494" s="63"/>
    </row>
    <row r="495" spans="2:8" x14ac:dyDescent="0.35">
      <c r="B495" s="17"/>
      <c r="E495" s="61"/>
      <c r="H495" s="63"/>
    </row>
    <row r="496" spans="2:8" x14ac:dyDescent="0.35">
      <c r="B496" s="17"/>
      <c r="E496" s="61"/>
      <c r="H496" s="63"/>
    </row>
    <row r="497" spans="2:8" x14ac:dyDescent="0.35">
      <c r="B497" s="17"/>
      <c r="E497" s="61"/>
      <c r="H497" s="63"/>
    </row>
    <row r="498" spans="2:8" x14ac:dyDescent="0.35">
      <c r="B498" s="17"/>
      <c r="E498" s="61"/>
      <c r="H498" s="63"/>
    </row>
    <row r="499" spans="2:8" x14ac:dyDescent="0.35">
      <c r="B499" s="17"/>
      <c r="E499" s="61"/>
      <c r="H499" s="63"/>
    </row>
    <row r="500" spans="2:8" x14ac:dyDescent="0.35">
      <c r="B500" s="17"/>
      <c r="E500" s="61"/>
      <c r="H500" s="63"/>
    </row>
    <row r="501" spans="2:8" x14ac:dyDescent="0.35">
      <c r="B501" s="17"/>
      <c r="E501" s="61"/>
      <c r="H501" s="63"/>
    </row>
    <row r="502" spans="2:8" x14ac:dyDescent="0.35">
      <c r="B502" s="17"/>
      <c r="E502" s="61"/>
      <c r="H502" s="63"/>
    </row>
    <row r="503" spans="2:8" x14ac:dyDescent="0.35">
      <c r="B503" s="17"/>
      <c r="E503" s="61"/>
      <c r="H503" s="63"/>
    </row>
    <row r="504" spans="2:8" x14ac:dyDescent="0.35">
      <c r="B504" s="17"/>
      <c r="E504" s="61"/>
      <c r="H504" s="63"/>
    </row>
    <row r="505" spans="2:8" x14ac:dyDescent="0.35">
      <c r="B505" s="17"/>
      <c r="E505" s="61"/>
      <c r="H505" s="63"/>
    </row>
    <row r="506" spans="2:8" x14ac:dyDescent="0.35">
      <c r="B506" s="17"/>
      <c r="E506" s="61"/>
      <c r="H506" s="63"/>
    </row>
    <row r="507" spans="2:8" x14ac:dyDescent="0.35">
      <c r="B507" s="17"/>
      <c r="E507" s="61"/>
      <c r="H507" s="63"/>
    </row>
    <row r="508" spans="2:8" x14ac:dyDescent="0.35">
      <c r="B508" s="17"/>
      <c r="E508" s="61"/>
      <c r="H508" s="63"/>
    </row>
    <row r="509" spans="2:8" x14ac:dyDescent="0.35">
      <c r="B509" s="17"/>
      <c r="E509" s="61"/>
      <c r="H509" s="63"/>
    </row>
    <row r="510" spans="2:8" x14ac:dyDescent="0.35">
      <c r="B510" s="17"/>
      <c r="E510" s="61"/>
      <c r="H510" s="63"/>
    </row>
    <row r="511" spans="2:8" x14ac:dyDescent="0.35">
      <c r="B511" s="17"/>
      <c r="E511" s="61"/>
      <c r="H511" s="63"/>
    </row>
    <row r="512" spans="2:8" x14ac:dyDescent="0.35">
      <c r="B512" s="17"/>
      <c r="E512" s="61"/>
      <c r="H512" s="63"/>
    </row>
    <row r="513" spans="2:8" x14ac:dyDescent="0.35">
      <c r="B513" s="17"/>
      <c r="E513" s="61"/>
      <c r="H513" s="63"/>
    </row>
    <row r="514" spans="2:8" x14ac:dyDescent="0.35">
      <c r="B514" s="17"/>
      <c r="E514" s="61"/>
      <c r="H514" s="63"/>
    </row>
    <row r="515" spans="2:8" x14ac:dyDescent="0.35">
      <c r="B515" s="17"/>
      <c r="E515" s="61"/>
      <c r="H515" s="63"/>
    </row>
    <row r="516" spans="2:8" x14ac:dyDescent="0.35">
      <c r="B516" s="17"/>
      <c r="E516" s="61"/>
      <c r="H516" s="63"/>
    </row>
    <row r="517" spans="2:8" x14ac:dyDescent="0.35">
      <c r="B517" s="17"/>
      <c r="E517" s="61"/>
      <c r="H517" s="63"/>
    </row>
    <row r="518" spans="2:8" x14ac:dyDescent="0.35">
      <c r="B518" s="17"/>
      <c r="E518" s="61"/>
      <c r="H518" s="63"/>
    </row>
    <row r="519" spans="2:8" x14ac:dyDescent="0.35">
      <c r="B519" s="17"/>
      <c r="E519" s="61"/>
      <c r="H519" s="63"/>
    </row>
    <row r="520" spans="2:8" x14ac:dyDescent="0.35">
      <c r="B520" s="17"/>
      <c r="E520" s="61"/>
      <c r="H520" s="63"/>
    </row>
    <row r="521" spans="2:8" x14ac:dyDescent="0.35">
      <c r="B521" s="17"/>
      <c r="E521" s="61"/>
      <c r="H521" s="63"/>
    </row>
    <row r="522" spans="2:8" x14ac:dyDescent="0.35">
      <c r="B522" s="17"/>
      <c r="E522" s="61"/>
      <c r="H522" s="63"/>
    </row>
    <row r="523" spans="2:8" x14ac:dyDescent="0.35">
      <c r="B523" s="17"/>
      <c r="E523" s="61"/>
      <c r="H523" s="63"/>
    </row>
    <row r="524" spans="2:8" x14ac:dyDescent="0.35">
      <c r="B524" s="17"/>
      <c r="E524" s="61"/>
      <c r="H524" s="63"/>
    </row>
    <row r="525" spans="2:8" x14ac:dyDescent="0.35">
      <c r="B525" s="17"/>
      <c r="E525" s="61"/>
      <c r="H525" s="63"/>
    </row>
    <row r="526" spans="2:8" x14ac:dyDescent="0.35">
      <c r="B526" s="17"/>
      <c r="E526" s="61"/>
      <c r="H526" s="63"/>
    </row>
    <row r="527" spans="2:8" x14ac:dyDescent="0.35">
      <c r="B527" s="17"/>
      <c r="E527" s="61"/>
      <c r="H527" s="63"/>
    </row>
    <row r="528" spans="2:8" x14ac:dyDescent="0.35">
      <c r="B528" s="17"/>
      <c r="E528" s="61"/>
      <c r="H528" s="63"/>
    </row>
    <row r="529" spans="2:8" x14ac:dyDescent="0.35">
      <c r="B529" s="17"/>
      <c r="E529" s="61"/>
      <c r="H529" s="63"/>
    </row>
    <row r="530" spans="2:8" x14ac:dyDescent="0.35">
      <c r="B530" s="17"/>
      <c r="E530" s="61"/>
      <c r="H530" s="63"/>
    </row>
    <row r="531" spans="2:8" x14ac:dyDescent="0.35">
      <c r="B531" s="17"/>
      <c r="E531" s="61"/>
      <c r="H531" s="63"/>
    </row>
    <row r="532" spans="2:8" x14ac:dyDescent="0.35">
      <c r="B532" s="17"/>
      <c r="E532" s="61"/>
      <c r="H532" s="63"/>
    </row>
    <row r="533" spans="2:8" x14ac:dyDescent="0.35">
      <c r="B533" s="17"/>
      <c r="E533" s="61"/>
      <c r="H533" s="63"/>
    </row>
    <row r="534" spans="2:8" x14ac:dyDescent="0.35">
      <c r="B534" s="17"/>
      <c r="E534" s="61"/>
      <c r="H534" s="63"/>
    </row>
    <row r="535" spans="2:8" x14ac:dyDescent="0.35">
      <c r="B535" s="17"/>
      <c r="E535" s="61"/>
      <c r="H535" s="63"/>
    </row>
    <row r="536" spans="2:8" x14ac:dyDescent="0.35">
      <c r="B536" s="17"/>
      <c r="E536" s="61"/>
      <c r="H536" s="63"/>
    </row>
    <row r="537" spans="2:8" x14ac:dyDescent="0.35">
      <c r="B537" s="17"/>
      <c r="E537" s="61"/>
      <c r="H537" s="63"/>
    </row>
    <row r="538" spans="2:8" x14ac:dyDescent="0.35">
      <c r="B538" s="17"/>
      <c r="E538" s="61"/>
      <c r="H538" s="63"/>
    </row>
    <row r="539" spans="2:8" x14ac:dyDescent="0.35">
      <c r="B539" s="17"/>
      <c r="E539" s="61"/>
      <c r="H539" s="63"/>
    </row>
    <row r="540" spans="2:8" x14ac:dyDescent="0.35">
      <c r="B540" s="17"/>
      <c r="E540" s="61"/>
      <c r="H540" s="63"/>
    </row>
    <row r="541" spans="2:8" x14ac:dyDescent="0.35">
      <c r="B541" s="17"/>
      <c r="E541" s="61"/>
      <c r="H541" s="63"/>
    </row>
    <row r="542" spans="2:8" x14ac:dyDescent="0.35">
      <c r="B542" s="17"/>
      <c r="E542" s="61"/>
      <c r="H542" s="63"/>
    </row>
    <row r="543" spans="2:8" x14ac:dyDescent="0.35">
      <c r="B543" s="17"/>
      <c r="E543" s="61"/>
      <c r="H543" s="63"/>
    </row>
    <row r="544" spans="2:8" x14ac:dyDescent="0.35">
      <c r="B544" s="17"/>
      <c r="E544" s="61"/>
      <c r="H544" s="63"/>
    </row>
    <row r="545" spans="2:8" x14ac:dyDescent="0.35">
      <c r="B545" s="17"/>
      <c r="E545" s="61"/>
      <c r="H545" s="63"/>
    </row>
    <row r="546" spans="2:8" x14ac:dyDescent="0.35">
      <c r="B546" s="17"/>
      <c r="E546" s="61"/>
      <c r="H546" s="63"/>
    </row>
    <row r="547" spans="2:8" x14ac:dyDescent="0.35">
      <c r="B547" s="17"/>
      <c r="E547" s="61"/>
      <c r="H547" s="63"/>
    </row>
    <row r="548" spans="2:8" x14ac:dyDescent="0.35">
      <c r="B548" s="17"/>
      <c r="E548" s="61"/>
      <c r="H548" s="63"/>
    </row>
    <row r="549" spans="2:8" x14ac:dyDescent="0.35">
      <c r="B549" s="17"/>
      <c r="E549" s="61"/>
      <c r="H549" s="63"/>
    </row>
    <row r="550" spans="2:8" x14ac:dyDescent="0.35">
      <c r="B550" s="17"/>
      <c r="E550" s="61"/>
      <c r="H550" s="63"/>
    </row>
    <row r="551" spans="2:8" x14ac:dyDescent="0.35">
      <c r="B551" s="17"/>
      <c r="E551" s="61"/>
      <c r="H551" s="63"/>
    </row>
    <row r="552" spans="2:8" x14ac:dyDescent="0.35">
      <c r="B552" s="17"/>
      <c r="E552" s="61"/>
      <c r="H552" s="63"/>
    </row>
    <row r="553" spans="2:8" x14ac:dyDescent="0.35">
      <c r="B553" s="17"/>
      <c r="E553" s="61"/>
      <c r="H553" s="63"/>
    </row>
    <row r="554" spans="2:8" x14ac:dyDescent="0.35">
      <c r="B554" s="17"/>
      <c r="E554" s="61"/>
      <c r="H554" s="63"/>
    </row>
    <row r="555" spans="2:8" x14ac:dyDescent="0.35">
      <c r="B555" s="17"/>
      <c r="E555" s="61"/>
      <c r="H555" s="63"/>
    </row>
    <row r="556" spans="2:8" x14ac:dyDescent="0.35">
      <c r="B556" s="17"/>
      <c r="E556" s="61"/>
      <c r="H556" s="63"/>
    </row>
    <row r="557" spans="2:8" x14ac:dyDescent="0.35">
      <c r="B557" s="17"/>
      <c r="E557" s="61"/>
      <c r="H557" s="63"/>
    </row>
    <row r="558" spans="2:8" x14ac:dyDescent="0.35">
      <c r="B558" s="17"/>
      <c r="E558" s="61"/>
      <c r="H558" s="63"/>
    </row>
    <row r="559" spans="2:8" x14ac:dyDescent="0.35">
      <c r="B559" s="17"/>
      <c r="E559" s="61"/>
      <c r="H559" s="63"/>
    </row>
    <row r="560" spans="2:8" x14ac:dyDescent="0.35">
      <c r="B560" s="17"/>
      <c r="E560" s="61"/>
      <c r="H560" s="63"/>
    </row>
    <row r="561" spans="2:8" x14ac:dyDescent="0.35">
      <c r="B561" s="17"/>
      <c r="E561" s="61"/>
      <c r="H561" s="63"/>
    </row>
    <row r="562" spans="2:8" x14ac:dyDescent="0.35">
      <c r="B562" s="17"/>
      <c r="E562" s="61"/>
      <c r="H562" s="63"/>
    </row>
    <row r="563" spans="2:8" x14ac:dyDescent="0.35">
      <c r="B563" s="17"/>
      <c r="E563" s="61"/>
      <c r="H563" s="63"/>
    </row>
    <row r="564" spans="2:8" x14ac:dyDescent="0.35">
      <c r="B564" s="17"/>
      <c r="E564" s="61"/>
      <c r="H564" s="63"/>
    </row>
    <row r="565" spans="2:8" x14ac:dyDescent="0.35">
      <c r="B565" s="17"/>
      <c r="E565" s="61"/>
      <c r="H565" s="63"/>
    </row>
    <row r="566" spans="2:8" x14ac:dyDescent="0.35">
      <c r="B566" s="17"/>
      <c r="E566" s="61"/>
      <c r="H566" s="63"/>
    </row>
    <row r="567" spans="2:8" x14ac:dyDescent="0.35">
      <c r="B567" s="17"/>
      <c r="E567" s="61"/>
      <c r="H567" s="63"/>
    </row>
    <row r="568" spans="2:8" x14ac:dyDescent="0.35">
      <c r="B568" s="17"/>
      <c r="E568" s="61"/>
      <c r="H568" s="63"/>
    </row>
    <row r="569" spans="2:8" x14ac:dyDescent="0.35">
      <c r="B569" s="17"/>
      <c r="E569" s="61"/>
      <c r="H569" s="63"/>
    </row>
    <row r="570" spans="2:8" x14ac:dyDescent="0.35">
      <c r="B570" s="17"/>
      <c r="E570" s="61"/>
      <c r="H570" s="63"/>
    </row>
    <row r="571" spans="2:8" x14ac:dyDescent="0.35">
      <c r="B571" s="17"/>
      <c r="E571" s="61"/>
      <c r="H571" s="63"/>
    </row>
    <row r="572" spans="2:8" x14ac:dyDescent="0.35">
      <c r="B572" s="17"/>
      <c r="E572" s="61"/>
      <c r="H572" s="63"/>
    </row>
    <row r="573" spans="2:8" x14ac:dyDescent="0.35">
      <c r="B573" s="17"/>
      <c r="E573" s="61"/>
      <c r="H573" s="63"/>
    </row>
    <row r="574" spans="2:8" x14ac:dyDescent="0.35">
      <c r="B574" s="17"/>
      <c r="E574" s="61"/>
      <c r="H574" s="63"/>
    </row>
    <row r="575" spans="2:8" x14ac:dyDescent="0.35">
      <c r="B575" s="17"/>
      <c r="E575" s="61"/>
      <c r="H575" s="63"/>
    </row>
    <row r="576" spans="2:8" x14ac:dyDescent="0.35">
      <c r="B576" s="17"/>
      <c r="E576" s="61"/>
      <c r="H576" s="63"/>
    </row>
    <row r="577" spans="2:8" x14ac:dyDescent="0.35">
      <c r="B577" s="17"/>
      <c r="E577" s="61"/>
      <c r="H577" s="63"/>
    </row>
    <row r="578" spans="2:8" x14ac:dyDescent="0.35">
      <c r="B578" s="17"/>
      <c r="E578" s="61"/>
      <c r="H578" s="63"/>
    </row>
    <row r="579" spans="2:8" x14ac:dyDescent="0.35">
      <c r="B579" s="17"/>
      <c r="E579" s="61"/>
      <c r="H579" s="63"/>
    </row>
    <row r="580" spans="2:8" x14ac:dyDescent="0.35">
      <c r="B580" s="17"/>
      <c r="E580" s="61"/>
      <c r="H580" s="63"/>
    </row>
    <row r="581" spans="2:8" x14ac:dyDescent="0.35">
      <c r="B581" s="17"/>
      <c r="E581" s="61"/>
      <c r="H581" s="63"/>
    </row>
    <row r="582" spans="2:8" x14ac:dyDescent="0.35">
      <c r="B582" s="17"/>
      <c r="E582" s="61"/>
      <c r="H582" s="63"/>
    </row>
    <row r="583" spans="2:8" x14ac:dyDescent="0.35">
      <c r="B583" s="17"/>
      <c r="E583" s="61"/>
      <c r="H583" s="63"/>
    </row>
    <row r="584" spans="2:8" x14ac:dyDescent="0.35">
      <c r="B584" s="17"/>
      <c r="E584" s="61"/>
      <c r="H584" s="63"/>
    </row>
    <row r="585" spans="2:8" x14ac:dyDescent="0.35">
      <c r="B585" s="17"/>
      <c r="E585" s="61"/>
      <c r="H585" s="63"/>
    </row>
    <row r="586" spans="2:8" x14ac:dyDescent="0.35">
      <c r="B586" s="17"/>
      <c r="E586" s="61"/>
      <c r="H586" s="63"/>
    </row>
    <row r="587" spans="2:8" x14ac:dyDescent="0.35">
      <c r="B587" s="17"/>
      <c r="E587" s="61"/>
      <c r="H587" s="63"/>
    </row>
    <row r="588" spans="2:8" x14ac:dyDescent="0.35">
      <c r="B588" s="17"/>
      <c r="E588" s="61"/>
      <c r="H588" s="63"/>
    </row>
    <row r="589" spans="2:8" x14ac:dyDescent="0.35">
      <c r="B589" s="17"/>
      <c r="E589" s="61"/>
      <c r="H589" s="63"/>
    </row>
    <row r="590" spans="2:8" x14ac:dyDescent="0.35">
      <c r="B590" s="17"/>
      <c r="E590" s="61"/>
      <c r="H590" s="63"/>
    </row>
    <row r="591" spans="2:8" x14ac:dyDescent="0.35">
      <c r="B591" s="17"/>
      <c r="E591" s="61"/>
      <c r="H591" s="63"/>
    </row>
    <row r="592" spans="2:8" x14ac:dyDescent="0.35">
      <c r="B592" s="17"/>
      <c r="E592" s="61"/>
      <c r="H592" s="63"/>
    </row>
    <row r="593" spans="2:8" x14ac:dyDescent="0.35">
      <c r="B593" s="17"/>
      <c r="E593" s="61"/>
      <c r="H593" s="63"/>
    </row>
    <row r="594" spans="2:8" x14ac:dyDescent="0.35">
      <c r="B594" s="17"/>
      <c r="E594" s="61"/>
      <c r="H594" s="63"/>
    </row>
    <row r="595" spans="2:8" x14ac:dyDescent="0.35">
      <c r="B595" s="17"/>
      <c r="E595" s="61"/>
      <c r="H595" s="63"/>
    </row>
    <row r="596" spans="2:8" x14ac:dyDescent="0.35">
      <c r="B596" s="17"/>
      <c r="E596" s="61"/>
      <c r="H596" s="63"/>
    </row>
    <row r="597" spans="2:8" x14ac:dyDescent="0.35">
      <c r="B597" s="17"/>
      <c r="E597" s="61"/>
      <c r="H597" s="63"/>
    </row>
    <row r="598" spans="2:8" x14ac:dyDescent="0.35">
      <c r="B598" s="17"/>
      <c r="E598" s="61"/>
      <c r="H598" s="63"/>
    </row>
    <row r="599" spans="2:8" x14ac:dyDescent="0.35">
      <c r="B599" s="17"/>
      <c r="E599" s="61"/>
      <c r="H599" s="63"/>
    </row>
    <row r="600" spans="2:8" x14ac:dyDescent="0.35">
      <c r="B600" s="17"/>
      <c r="E600" s="61"/>
      <c r="H600" s="63"/>
    </row>
    <row r="601" spans="2:8" x14ac:dyDescent="0.35">
      <c r="B601" s="17"/>
      <c r="E601" s="61"/>
      <c r="H601" s="63"/>
    </row>
    <row r="602" spans="2:8" x14ac:dyDescent="0.35">
      <c r="B602" s="17"/>
      <c r="E602" s="61"/>
      <c r="H602" s="63"/>
    </row>
    <row r="603" spans="2:8" x14ac:dyDescent="0.35">
      <c r="B603" s="17"/>
      <c r="E603" s="61"/>
      <c r="H603" s="63"/>
    </row>
    <row r="604" spans="2:8" x14ac:dyDescent="0.35">
      <c r="B604" s="17"/>
      <c r="E604" s="61"/>
      <c r="H604" s="63"/>
    </row>
    <row r="605" spans="2:8" x14ac:dyDescent="0.35">
      <c r="B605" s="17"/>
      <c r="E605" s="61"/>
      <c r="H605" s="63"/>
    </row>
    <row r="606" spans="2:8" x14ac:dyDescent="0.35">
      <c r="B606" s="17"/>
      <c r="E606" s="61"/>
      <c r="H606" s="63"/>
    </row>
    <row r="607" spans="2:8" x14ac:dyDescent="0.35">
      <c r="B607" s="17"/>
      <c r="E607" s="61"/>
      <c r="H607" s="63"/>
    </row>
    <row r="608" spans="2:8" x14ac:dyDescent="0.35">
      <c r="B608" s="17"/>
      <c r="E608" s="61"/>
      <c r="H608" s="63"/>
    </row>
    <row r="609" spans="2:8" x14ac:dyDescent="0.35">
      <c r="B609" s="17"/>
      <c r="E609" s="61"/>
      <c r="H609" s="63"/>
    </row>
    <row r="610" spans="2:8" x14ac:dyDescent="0.35">
      <c r="B610" s="17"/>
      <c r="E610" s="61"/>
      <c r="H610" s="63"/>
    </row>
    <row r="611" spans="2:8" x14ac:dyDescent="0.35">
      <c r="B611" s="17"/>
      <c r="E611" s="61"/>
      <c r="H611" s="63"/>
    </row>
    <row r="612" spans="2:8" x14ac:dyDescent="0.35">
      <c r="B612" s="17"/>
      <c r="E612" s="61"/>
      <c r="H612" s="63"/>
    </row>
    <row r="613" spans="2:8" x14ac:dyDescent="0.35">
      <c r="B613" s="17"/>
      <c r="E613" s="61"/>
      <c r="H613" s="63"/>
    </row>
    <row r="614" spans="2:8" x14ac:dyDescent="0.35">
      <c r="B614" s="17"/>
      <c r="E614" s="61"/>
      <c r="H614" s="63"/>
    </row>
    <row r="615" spans="2:8" x14ac:dyDescent="0.35">
      <c r="B615" s="17"/>
      <c r="E615" s="61"/>
      <c r="H615" s="63"/>
    </row>
    <row r="616" spans="2:8" x14ac:dyDescent="0.35">
      <c r="B616" s="17"/>
      <c r="E616" s="61"/>
      <c r="H616" s="63"/>
    </row>
    <row r="617" spans="2:8" x14ac:dyDescent="0.35">
      <c r="B617" s="17"/>
      <c r="E617" s="61"/>
      <c r="H617" s="63"/>
    </row>
    <row r="618" spans="2:8" x14ac:dyDescent="0.35">
      <c r="B618" s="17"/>
      <c r="E618" s="61"/>
      <c r="H618" s="63"/>
    </row>
    <row r="619" spans="2:8" x14ac:dyDescent="0.35">
      <c r="B619" s="17"/>
      <c r="E619" s="61"/>
      <c r="H619" s="63"/>
    </row>
    <row r="620" spans="2:8" x14ac:dyDescent="0.35">
      <c r="B620" s="17"/>
      <c r="E620" s="61"/>
      <c r="H620" s="63"/>
    </row>
    <row r="621" spans="2:8" x14ac:dyDescent="0.35">
      <c r="B621" s="17"/>
      <c r="E621" s="61"/>
      <c r="H621" s="63"/>
    </row>
    <row r="622" spans="2:8" x14ac:dyDescent="0.35">
      <c r="B622" s="17"/>
      <c r="E622" s="61"/>
      <c r="H622" s="63"/>
    </row>
    <row r="623" spans="2:8" x14ac:dyDescent="0.35">
      <c r="B623" s="17"/>
      <c r="E623" s="61"/>
      <c r="H623" s="63"/>
    </row>
    <row r="624" spans="2:8" x14ac:dyDescent="0.35">
      <c r="B624" s="17"/>
      <c r="E624" s="61"/>
      <c r="H624" s="63"/>
    </row>
    <row r="625" spans="2:8" x14ac:dyDescent="0.35">
      <c r="B625" s="17"/>
      <c r="E625" s="61"/>
      <c r="H625" s="63"/>
    </row>
    <row r="626" spans="2:8" x14ac:dyDescent="0.35">
      <c r="B626" s="17"/>
      <c r="E626" s="61"/>
      <c r="H626" s="63"/>
    </row>
    <row r="627" spans="2:8" x14ac:dyDescent="0.35">
      <c r="B627" s="17"/>
      <c r="E627" s="61"/>
      <c r="H627" s="63"/>
    </row>
    <row r="628" spans="2:8" x14ac:dyDescent="0.35">
      <c r="B628" s="17"/>
      <c r="E628" s="61"/>
      <c r="H628" s="63"/>
    </row>
    <row r="629" spans="2:8" x14ac:dyDescent="0.35">
      <c r="B629" s="17"/>
      <c r="E629" s="61"/>
      <c r="H629" s="63"/>
    </row>
    <row r="630" spans="2:8" x14ac:dyDescent="0.35">
      <c r="B630" s="17"/>
      <c r="E630" s="61"/>
      <c r="H630" s="63"/>
    </row>
    <row r="631" spans="2:8" x14ac:dyDescent="0.35">
      <c r="B631" s="17"/>
      <c r="E631" s="61"/>
      <c r="H631" s="63"/>
    </row>
    <row r="632" spans="2:8" x14ac:dyDescent="0.35">
      <c r="B632" s="17"/>
      <c r="E632" s="61"/>
      <c r="H632" s="63"/>
    </row>
    <row r="633" spans="2:8" x14ac:dyDescent="0.35">
      <c r="B633" s="17"/>
      <c r="E633" s="61"/>
      <c r="H633" s="63"/>
    </row>
    <row r="634" spans="2:8" x14ac:dyDescent="0.35">
      <c r="B634" s="17"/>
      <c r="E634" s="61"/>
      <c r="H634" s="63"/>
    </row>
    <row r="635" spans="2:8" x14ac:dyDescent="0.35">
      <c r="B635" s="17"/>
      <c r="E635" s="61"/>
      <c r="H635" s="63"/>
    </row>
    <row r="636" spans="2:8" x14ac:dyDescent="0.35">
      <c r="B636" s="17"/>
      <c r="E636" s="61"/>
      <c r="H636" s="63"/>
    </row>
    <row r="637" spans="2:8" x14ac:dyDescent="0.35">
      <c r="B637" s="17"/>
      <c r="E637" s="61"/>
      <c r="H637" s="63"/>
    </row>
    <row r="638" spans="2:8" x14ac:dyDescent="0.35">
      <c r="B638" s="17"/>
      <c r="E638" s="61"/>
      <c r="H638" s="63"/>
    </row>
    <row r="639" spans="2:8" x14ac:dyDescent="0.35">
      <c r="B639" s="17"/>
      <c r="E639" s="61"/>
      <c r="H639" s="63"/>
    </row>
    <row r="640" spans="2:8" x14ac:dyDescent="0.35">
      <c r="B640" s="17"/>
      <c r="E640" s="61"/>
      <c r="H640" s="63"/>
    </row>
    <row r="641" spans="2:8" x14ac:dyDescent="0.35">
      <c r="B641" s="17"/>
      <c r="E641" s="61"/>
      <c r="H641" s="63"/>
    </row>
    <row r="642" spans="2:8" x14ac:dyDescent="0.35">
      <c r="B642" s="17"/>
      <c r="E642" s="61"/>
      <c r="H642" s="63"/>
    </row>
    <row r="643" spans="2:8" x14ac:dyDescent="0.35">
      <c r="B643" s="17"/>
      <c r="E643" s="61"/>
      <c r="H643" s="63"/>
    </row>
    <row r="644" spans="2:8" x14ac:dyDescent="0.35">
      <c r="B644" s="17"/>
      <c r="E644" s="61"/>
      <c r="H644" s="63"/>
    </row>
    <row r="645" spans="2:8" x14ac:dyDescent="0.35">
      <c r="B645" s="17"/>
      <c r="E645" s="61"/>
      <c r="H645" s="63"/>
    </row>
    <row r="646" spans="2:8" x14ac:dyDescent="0.35">
      <c r="B646" s="17"/>
      <c r="E646" s="61"/>
      <c r="H646" s="63"/>
    </row>
    <row r="647" spans="2:8" x14ac:dyDescent="0.35">
      <c r="B647" s="17"/>
      <c r="E647" s="61"/>
      <c r="H647" s="63"/>
    </row>
    <row r="648" spans="2:8" x14ac:dyDescent="0.35">
      <c r="B648" s="17"/>
      <c r="E648" s="61"/>
      <c r="H648" s="63"/>
    </row>
    <row r="649" spans="2:8" x14ac:dyDescent="0.35">
      <c r="B649" s="17"/>
      <c r="E649" s="61"/>
      <c r="H649" s="63"/>
    </row>
    <row r="650" spans="2:8" x14ac:dyDescent="0.35">
      <c r="B650" s="17"/>
      <c r="E650" s="61"/>
      <c r="H650" s="63"/>
    </row>
    <row r="651" spans="2:8" x14ac:dyDescent="0.35">
      <c r="B651" s="17"/>
      <c r="E651" s="61"/>
      <c r="H651" s="63"/>
    </row>
    <row r="652" spans="2:8" x14ac:dyDescent="0.35">
      <c r="B652" s="17"/>
      <c r="E652" s="61"/>
      <c r="H652" s="63"/>
    </row>
    <row r="653" spans="2:8" x14ac:dyDescent="0.35">
      <c r="B653" s="17"/>
      <c r="E653" s="61"/>
      <c r="H653" s="63"/>
    </row>
    <row r="654" spans="2:8" x14ac:dyDescent="0.35">
      <c r="B654" s="17"/>
      <c r="E654" s="61"/>
      <c r="H654" s="63"/>
    </row>
    <row r="655" spans="2:8" x14ac:dyDescent="0.35">
      <c r="B655" s="17"/>
      <c r="E655" s="61"/>
      <c r="H655" s="63"/>
    </row>
    <row r="656" spans="2:8" x14ac:dyDescent="0.35">
      <c r="B656" s="17"/>
      <c r="E656" s="61"/>
      <c r="H656" s="63"/>
    </row>
    <row r="657" spans="2:8" x14ac:dyDescent="0.35">
      <c r="B657" s="17"/>
      <c r="E657" s="61"/>
      <c r="H657" s="63"/>
    </row>
    <row r="658" spans="2:8" x14ac:dyDescent="0.35">
      <c r="B658" s="17"/>
      <c r="E658" s="61"/>
      <c r="H658" s="63"/>
    </row>
    <row r="659" spans="2:8" x14ac:dyDescent="0.35">
      <c r="B659" s="17"/>
      <c r="E659" s="61"/>
      <c r="H659" s="63"/>
    </row>
    <row r="660" spans="2:8" x14ac:dyDescent="0.35">
      <c r="B660" s="17"/>
      <c r="E660" s="61"/>
      <c r="H660" s="63"/>
    </row>
    <row r="661" spans="2:8" x14ac:dyDescent="0.35">
      <c r="B661" s="17"/>
      <c r="E661" s="61"/>
      <c r="H661" s="63"/>
    </row>
    <row r="662" spans="2:8" x14ac:dyDescent="0.35">
      <c r="B662" s="17"/>
      <c r="E662" s="61"/>
      <c r="H662" s="63"/>
    </row>
    <row r="663" spans="2:8" x14ac:dyDescent="0.35">
      <c r="B663" s="17"/>
      <c r="E663" s="61"/>
      <c r="H663" s="63"/>
    </row>
    <row r="664" spans="2:8" x14ac:dyDescent="0.35">
      <c r="B664" s="17"/>
      <c r="E664" s="61"/>
      <c r="H664" s="63"/>
    </row>
    <row r="665" spans="2:8" x14ac:dyDescent="0.35">
      <c r="B665" s="17"/>
      <c r="E665" s="61"/>
      <c r="H665" s="63"/>
    </row>
    <row r="666" spans="2:8" x14ac:dyDescent="0.35">
      <c r="B666" s="17"/>
      <c r="E666" s="61"/>
      <c r="H666" s="63"/>
    </row>
    <row r="667" spans="2:8" x14ac:dyDescent="0.35">
      <c r="B667" s="17"/>
      <c r="E667" s="61"/>
      <c r="H667" s="63"/>
    </row>
    <row r="668" spans="2:8" x14ac:dyDescent="0.35">
      <c r="B668" s="17"/>
      <c r="E668" s="61"/>
      <c r="H668" s="63"/>
    </row>
    <row r="669" spans="2:8" x14ac:dyDescent="0.35">
      <c r="B669" s="17"/>
      <c r="E669" s="61"/>
      <c r="H669" s="63"/>
    </row>
    <row r="670" spans="2:8" x14ac:dyDescent="0.35">
      <c r="B670" s="17"/>
      <c r="E670" s="61"/>
      <c r="H670" s="63"/>
    </row>
    <row r="671" spans="2:8" x14ac:dyDescent="0.35">
      <c r="B671" s="17"/>
      <c r="E671" s="61"/>
      <c r="H671" s="63"/>
    </row>
    <row r="672" spans="2:8" x14ac:dyDescent="0.35">
      <c r="B672" s="17"/>
      <c r="E672" s="61"/>
      <c r="H672" s="63"/>
    </row>
    <row r="673" spans="2:8" x14ac:dyDescent="0.35">
      <c r="B673" s="17"/>
      <c r="E673" s="61"/>
      <c r="H673" s="63"/>
    </row>
    <row r="674" spans="2:8" x14ac:dyDescent="0.35">
      <c r="B674" s="17"/>
      <c r="E674" s="61"/>
      <c r="H674" s="63"/>
    </row>
    <row r="675" spans="2:8" x14ac:dyDescent="0.35">
      <c r="B675" s="17"/>
      <c r="E675" s="61"/>
      <c r="H675" s="63"/>
    </row>
    <row r="676" spans="2:8" x14ac:dyDescent="0.35">
      <c r="B676" s="17"/>
      <c r="E676" s="61"/>
      <c r="H676" s="63"/>
    </row>
    <row r="677" spans="2:8" x14ac:dyDescent="0.35">
      <c r="B677" s="17"/>
      <c r="E677" s="61"/>
      <c r="H677" s="63"/>
    </row>
    <row r="678" spans="2:8" x14ac:dyDescent="0.35">
      <c r="B678" s="17"/>
      <c r="E678" s="61"/>
      <c r="H678" s="63"/>
    </row>
    <row r="679" spans="2:8" x14ac:dyDescent="0.35">
      <c r="B679" s="17"/>
      <c r="E679" s="61"/>
      <c r="H679" s="63"/>
    </row>
    <row r="680" spans="2:8" x14ac:dyDescent="0.35">
      <c r="B680" s="17"/>
      <c r="E680" s="61"/>
      <c r="H680" s="63"/>
    </row>
    <row r="681" spans="2:8" x14ac:dyDescent="0.35">
      <c r="B681" s="17"/>
      <c r="E681" s="61"/>
      <c r="H681" s="63"/>
    </row>
    <row r="682" spans="2:8" x14ac:dyDescent="0.35">
      <c r="B682" s="17"/>
      <c r="E682" s="61"/>
      <c r="H682" s="63"/>
    </row>
    <row r="683" spans="2:8" x14ac:dyDescent="0.35">
      <c r="B683" s="17"/>
      <c r="E683" s="61"/>
      <c r="H683" s="63"/>
    </row>
    <row r="684" spans="2:8" x14ac:dyDescent="0.35">
      <c r="B684" s="17"/>
      <c r="E684" s="61"/>
      <c r="H684" s="63"/>
    </row>
    <row r="685" spans="2:8" x14ac:dyDescent="0.35">
      <c r="B685" s="17"/>
      <c r="E685" s="61"/>
      <c r="H685" s="63"/>
    </row>
    <row r="686" spans="2:8" x14ac:dyDescent="0.35">
      <c r="B686" s="17"/>
      <c r="E686" s="61"/>
      <c r="H686" s="63"/>
    </row>
    <row r="687" spans="2:8" x14ac:dyDescent="0.35">
      <c r="B687" s="17"/>
      <c r="E687" s="61"/>
      <c r="H687" s="63"/>
    </row>
    <row r="688" spans="2:8" x14ac:dyDescent="0.35">
      <c r="B688" s="102"/>
      <c r="C688" s="9"/>
      <c r="D688" s="9"/>
      <c r="E688" s="61"/>
      <c r="F688" s="9"/>
      <c r="G688" s="9"/>
      <c r="H688" s="148"/>
    </row>
    <row r="689" spans="5:5" x14ac:dyDescent="0.35">
      <c r="E689" s="61"/>
    </row>
    <row r="690" spans="5:5" x14ac:dyDescent="0.35">
      <c r="E690" s="61"/>
    </row>
    <row r="691" spans="5:5" x14ac:dyDescent="0.35">
      <c r="E691" s="61"/>
    </row>
    <row r="692" spans="5:5" x14ac:dyDescent="0.35">
      <c r="E692" s="61"/>
    </row>
    <row r="693" spans="5:5" x14ac:dyDescent="0.35">
      <c r="E693" s="61"/>
    </row>
    <row r="694" spans="5:5" x14ac:dyDescent="0.35">
      <c r="E694" s="61"/>
    </row>
    <row r="695" spans="5:5" x14ac:dyDescent="0.35">
      <c r="E695" s="61"/>
    </row>
    <row r="696" spans="5:5" x14ac:dyDescent="0.35">
      <c r="E696" s="61"/>
    </row>
    <row r="697" spans="5:5" x14ac:dyDescent="0.35">
      <c r="E697" s="61"/>
    </row>
    <row r="698" spans="5:5" x14ac:dyDescent="0.35">
      <c r="E698" s="61"/>
    </row>
    <row r="699" spans="5:5" x14ac:dyDescent="0.35">
      <c r="E699" s="61"/>
    </row>
    <row r="700" spans="5:5" x14ac:dyDescent="0.35">
      <c r="E700" s="61"/>
    </row>
    <row r="701" spans="5:5" x14ac:dyDescent="0.35">
      <c r="E701" s="61"/>
    </row>
    <row r="702" spans="5:5" x14ac:dyDescent="0.35">
      <c r="E702" s="61"/>
    </row>
    <row r="703" spans="5:5" x14ac:dyDescent="0.35">
      <c r="E703" s="61"/>
    </row>
    <row r="704" spans="5:5" x14ac:dyDescent="0.35">
      <c r="E704" s="61"/>
    </row>
    <row r="705" spans="5:5" x14ac:dyDescent="0.35">
      <c r="E705" s="61"/>
    </row>
    <row r="706" spans="5:5" x14ac:dyDescent="0.35">
      <c r="E706" s="61"/>
    </row>
    <row r="707" spans="5:5" x14ac:dyDescent="0.35">
      <c r="E707" s="61"/>
    </row>
    <row r="708" spans="5:5" x14ac:dyDescent="0.35">
      <c r="E708" s="61"/>
    </row>
    <row r="709" spans="5:5" x14ac:dyDescent="0.35">
      <c r="E709" s="61"/>
    </row>
    <row r="710" spans="5:5" x14ac:dyDescent="0.35">
      <c r="E710" s="61"/>
    </row>
    <row r="711" spans="5:5" x14ac:dyDescent="0.35">
      <c r="E711" s="61"/>
    </row>
    <row r="712" spans="5:5" x14ac:dyDescent="0.35">
      <c r="E712" s="61"/>
    </row>
    <row r="713" spans="5:5" x14ac:dyDescent="0.35">
      <c r="E713" s="61"/>
    </row>
    <row r="714" spans="5:5" x14ac:dyDescent="0.35">
      <c r="E714" s="61"/>
    </row>
    <row r="715" spans="5:5" x14ac:dyDescent="0.35">
      <c r="E715" s="61"/>
    </row>
    <row r="716" spans="5:5" x14ac:dyDescent="0.35">
      <c r="E716" s="61"/>
    </row>
    <row r="717" spans="5:5" x14ac:dyDescent="0.35">
      <c r="E717" s="61"/>
    </row>
    <row r="718" spans="5:5" x14ac:dyDescent="0.35">
      <c r="E718" s="61"/>
    </row>
    <row r="719" spans="5:5" x14ac:dyDescent="0.35">
      <c r="E719" s="61"/>
    </row>
    <row r="720" spans="5:5" x14ac:dyDescent="0.35">
      <c r="E720" s="61"/>
    </row>
    <row r="721" spans="5:5" x14ac:dyDescent="0.35">
      <c r="E721" s="61"/>
    </row>
    <row r="722" spans="5:5" x14ac:dyDescent="0.35">
      <c r="E722" s="61"/>
    </row>
    <row r="723" spans="5:5" x14ac:dyDescent="0.35">
      <c r="E723" s="61"/>
    </row>
    <row r="724" spans="5:5" x14ac:dyDescent="0.35">
      <c r="E724" s="61"/>
    </row>
    <row r="725" spans="5:5" x14ac:dyDescent="0.35">
      <c r="E725" s="61"/>
    </row>
    <row r="726" spans="5:5" x14ac:dyDescent="0.35">
      <c r="E726" s="61"/>
    </row>
    <row r="727" spans="5:5" x14ac:dyDescent="0.35">
      <c r="E727" s="61"/>
    </row>
    <row r="728" spans="5:5" x14ac:dyDescent="0.35">
      <c r="E728" s="61"/>
    </row>
    <row r="729" spans="5:5" x14ac:dyDescent="0.35">
      <c r="E729" s="61"/>
    </row>
    <row r="730" spans="5:5" x14ac:dyDescent="0.35">
      <c r="E730" s="61"/>
    </row>
    <row r="731" spans="5:5" x14ac:dyDescent="0.35">
      <c r="E731" s="61"/>
    </row>
    <row r="732" spans="5:5" x14ac:dyDescent="0.35">
      <c r="E732" s="61"/>
    </row>
    <row r="733" spans="5:5" x14ac:dyDescent="0.35">
      <c r="E733" s="61"/>
    </row>
    <row r="734" spans="5:5" x14ac:dyDescent="0.35">
      <c r="E734" s="61"/>
    </row>
    <row r="735" spans="5:5" x14ac:dyDescent="0.35">
      <c r="E735" s="61"/>
    </row>
    <row r="736" spans="5:5" x14ac:dyDescent="0.35">
      <c r="E736" s="61"/>
    </row>
    <row r="737" spans="5:5" x14ac:dyDescent="0.35">
      <c r="E737" s="61"/>
    </row>
    <row r="738" spans="5:5" x14ac:dyDescent="0.35">
      <c r="E738" s="61"/>
    </row>
    <row r="739" spans="5:5" x14ac:dyDescent="0.35">
      <c r="E739" s="61"/>
    </row>
    <row r="740" spans="5:5" x14ac:dyDescent="0.35">
      <c r="E740" s="61"/>
    </row>
    <row r="741" spans="5:5" x14ac:dyDescent="0.35">
      <c r="E741" s="61"/>
    </row>
    <row r="742" spans="5:5" x14ac:dyDescent="0.35">
      <c r="E742" s="61"/>
    </row>
    <row r="743" spans="5:5" x14ac:dyDescent="0.35">
      <c r="E743" s="61"/>
    </row>
    <row r="744" spans="5:5" x14ac:dyDescent="0.35">
      <c r="E744" s="61"/>
    </row>
    <row r="745" spans="5:5" x14ac:dyDescent="0.35">
      <c r="E745" s="61"/>
    </row>
    <row r="746" spans="5:5" x14ac:dyDescent="0.35">
      <c r="E746" s="61"/>
    </row>
    <row r="747" spans="5:5" x14ac:dyDescent="0.35">
      <c r="E747" s="61"/>
    </row>
    <row r="748" spans="5:5" x14ac:dyDescent="0.35">
      <c r="E748" s="61"/>
    </row>
    <row r="749" spans="5:5" x14ac:dyDescent="0.35">
      <c r="E749" s="61"/>
    </row>
    <row r="750" spans="5:5" x14ac:dyDescent="0.35">
      <c r="E750" s="61"/>
    </row>
    <row r="751" spans="5:5" x14ac:dyDescent="0.35">
      <c r="E751" s="61"/>
    </row>
    <row r="752" spans="5:5" x14ac:dyDescent="0.35">
      <c r="E752" s="61"/>
    </row>
    <row r="753" spans="5:5" x14ac:dyDescent="0.35">
      <c r="E753" s="61"/>
    </row>
    <row r="754" spans="5:5" x14ac:dyDescent="0.35">
      <c r="E754" s="61"/>
    </row>
    <row r="755" spans="5:5" x14ac:dyDescent="0.35">
      <c r="E755" s="61"/>
    </row>
    <row r="756" spans="5:5" x14ac:dyDescent="0.35">
      <c r="E756" s="61"/>
    </row>
    <row r="757" spans="5:5" x14ac:dyDescent="0.35">
      <c r="E757" s="61"/>
    </row>
    <row r="758" spans="5:5" x14ac:dyDescent="0.35">
      <c r="E758" s="61"/>
    </row>
    <row r="759" spans="5:5" x14ac:dyDescent="0.35">
      <c r="E759" s="61"/>
    </row>
    <row r="760" spans="5:5" x14ac:dyDescent="0.35">
      <c r="E760" s="61"/>
    </row>
    <row r="761" spans="5:5" x14ac:dyDescent="0.35">
      <c r="E761" s="61"/>
    </row>
    <row r="762" spans="5:5" x14ac:dyDescent="0.35">
      <c r="E762" s="61"/>
    </row>
    <row r="763" spans="5:5" x14ac:dyDescent="0.35">
      <c r="E763" s="61"/>
    </row>
    <row r="764" spans="5:5" x14ac:dyDescent="0.35">
      <c r="E764" s="61"/>
    </row>
    <row r="765" spans="5:5" x14ac:dyDescent="0.35">
      <c r="E765" s="61"/>
    </row>
    <row r="766" spans="5:5" x14ac:dyDescent="0.35">
      <c r="E766" s="61"/>
    </row>
    <row r="767" spans="5:5" x14ac:dyDescent="0.35">
      <c r="E767" s="61"/>
    </row>
    <row r="768" spans="5:5" x14ac:dyDescent="0.35">
      <c r="E768" s="61"/>
    </row>
    <row r="769" spans="5:5" x14ac:dyDescent="0.35">
      <c r="E769" s="61"/>
    </row>
    <row r="770" spans="5:5" x14ac:dyDescent="0.35">
      <c r="E770" s="61"/>
    </row>
    <row r="771" spans="5:5" x14ac:dyDescent="0.35">
      <c r="E771" s="61"/>
    </row>
    <row r="772" spans="5:5" x14ac:dyDescent="0.35">
      <c r="E772" s="61"/>
    </row>
    <row r="773" spans="5:5" x14ac:dyDescent="0.35">
      <c r="E773" s="61"/>
    </row>
    <row r="774" spans="5:5" x14ac:dyDescent="0.35">
      <c r="E774" s="61"/>
    </row>
    <row r="775" spans="5:5" x14ac:dyDescent="0.35">
      <c r="E775" s="61"/>
    </row>
    <row r="776" spans="5:5" x14ac:dyDescent="0.35">
      <c r="E776" s="61"/>
    </row>
    <row r="777" spans="5:5" x14ac:dyDescent="0.35">
      <c r="E777" s="61"/>
    </row>
    <row r="778" spans="5:5" x14ac:dyDescent="0.35">
      <c r="E778" s="61"/>
    </row>
    <row r="779" spans="5:5" x14ac:dyDescent="0.35">
      <c r="E779" s="61"/>
    </row>
    <row r="780" spans="5:5" x14ac:dyDescent="0.35">
      <c r="E780" s="61"/>
    </row>
    <row r="781" spans="5:5" x14ac:dyDescent="0.35">
      <c r="E781" s="61"/>
    </row>
    <row r="782" spans="5:5" x14ac:dyDescent="0.35">
      <c r="E782" s="61"/>
    </row>
    <row r="783" spans="5:5" x14ac:dyDescent="0.35">
      <c r="E783" s="61"/>
    </row>
    <row r="784" spans="5:5" x14ac:dyDescent="0.35">
      <c r="E784" s="61"/>
    </row>
    <row r="785" spans="5:5" x14ac:dyDescent="0.35">
      <c r="E785" s="61"/>
    </row>
    <row r="786" spans="5:5" x14ac:dyDescent="0.35">
      <c r="E786" s="61"/>
    </row>
    <row r="787" spans="5:5" x14ac:dyDescent="0.35">
      <c r="E787" s="61"/>
    </row>
    <row r="788" spans="5:5" x14ac:dyDescent="0.35">
      <c r="E788" s="61"/>
    </row>
    <row r="789" spans="5:5" x14ac:dyDescent="0.35">
      <c r="E789" s="61"/>
    </row>
    <row r="790" spans="5:5" x14ac:dyDescent="0.35">
      <c r="E790" s="61"/>
    </row>
    <row r="791" spans="5:5" x14ac:dyDescent="0.35">
      <c r="E791" s="61"/>
    </row>
    <row r="792" spans="5:5" x14ac:dyDescent="0.35">
      <c r="E792" s="61"/>
    </row>
    <row r="793" spans="5:5" x14ac:dyDescent="0.35">
      <c r="E793" s="61"/>
    </row>
    <row r="794" spans="5:5" x14ac:dyDescent="0.35">
      <c r="E794" s="61"/>
    </row>
    <row r="795" spans="5:5" x14ac:dyDescent="0.35">
      <c r="E795" s="61"/>
    </row>
    <row r="796" spans="5:5" x14ac:dyDescent="0.35">
      <c r="E796" s="61"/>
    </row>
    <row r="797" spans="5:5" x14ac:dyDescent="0.35">
      <c r="E797" s="61"/>
    </row>
    <row r="798" spans="5:5" x14ac:dyDescent="0.35">
      <c r="E798" s="61"/>
    </row>
    <row r="799" spans="5:5" x14ac:dyDescent="0.35">
      <c r="E799" s="61"/>
    </row>
    <row r="800" spans="5:5" x14ac:dyDescent="0.35">
      <c r="E800" s="61"/>
    </row>
    <row r="801" spans="5:5" x14ac:dyDescent="0.35">
      <c r="E801" s="61"/>
    </row>
    <row r="802" spans="5:5" x14ac:dyDescent="0.35">
      <c r="E802" s="61"/>
    </row>
    <row r="803" spans="5:5" x14ac:dyDescent="0.35">
      <c r="E803" s="61"/>
    </row>
    <row r="804" spans="5:5" x14ac:dyDescent="0.35">
      <c r="E804" s="61"/>
    </row>
    <row r="805" spans="5:5" x14ac:dyDescent="0.35">
      <c r="E805" s="61"/>
    </row>
    <row r="806" spans="5:5" x14ac:dyDescent="0.35">
      <c r="E806" s="61"/>
    </row>
    <row r="807" spans="5:5" x14ac:dyDescent="0.35">
      <c r="E807" s="61"/>
    </row>
    <row r="808" spans="5:5" x14ac:dyDescent="0.35">
      <c r="E808" s="61"/>
    </row>
    <row r="809" spans="5:5" x14ac:dyDescent="0.35">
      <c r="E809" s="61"/>
    </row>
    <row r="810" spans="5:5" x14ac:dyDescent="0.35">
      <c r="E810" s="61"/>
    </row>
    <row r="811" spans="5:5" x14ac:dyDescent="0.35">
      <c r="E811" s="61"/>
    </row>
    <row r="812" spans="5:5" x14ac:dyDescent="0.35">
      <c r="E812" s="61"/>
    </row>
    <row r="813" spans="5:5" x14ac:dyDescent="0.35">
      <c r="E813" s="61"/>
    </row>
    <row r="814" spans="5:5" x14ac:dyDescent="0.35">
      <c r="E814" s="61"/>
    </row>
    <row r="815" spans="5:5" x14ac:dyDescent="0.35">
      <c r="E815" s="61"/>
    </row>
    <row r="816" spans="5:5" x14ac:dyDescent="0.35">
      <c r="E816" s="61"/>
    </row>
    <row r="817" spans="5:5" x14ac:dyDescent="0.35">
      <c r="E817" s="61"/>
    </row>
    <row r="818" spans="5:5" x14ac:dyDescent="0.35">
      <c r="E818" s="61"/>
    </row>
    <row r="819" spans="5:5" x14ac:dyDescent="0.35">
      <c r="E819" s="61"/>
    </row>
    <row r="820" spans="5:5" x14ac:dyDescent="0.35">
      <c r="E820" s="61"/>
    </row>
    <row r="821" spans="5:5" x14ac:dyDescent="0.35">
      <c r="E821" s="61"/>
    </row>
    <row r="822" spans="5:5" x14ac:dyDescent="0.35">
      <c r="E822" s="61"/>
    </row>
    <row r="823" spans="5:5" x14ac:dyDescent="0.35">
      <c r="E823" s="61"/>
    </row>
    <row r="824" spans="5:5" x14ac:dyDescent="0.35">
      <c r="E824" s="61"/>
    </row>
    <row r="825" spans="5:5" x14ac:dyDescent="0.35">
      <c r="E825" s="61"/>
    </row>
    <row r="826" spans="5:5" x14ac:dyDescent="0.35">
      <c r="E826" s="61"/>
    </row>
    <row r="827" spans="5:5" x14ac:dyDescent="0.35">
      <c r="E827" s="61"/>
    </row>
    <row r="828" spans="5:5" x14ac:dyDescent="0.35">
      <c r="E828" s="61"/>
    </row>
    <row r="829" spans="5:5" x14ac:dyDescent="0.35">
      <c r="E829" s="61"/>
    </row>
    <row r="830" spans="5:5" x14ac:dyDescent="0.35">
      <c r="E830" s="61"/>
    </row>
    <row r="831" spans="5:5" x14ac:dyDescent="0.35">
      <c r="E831" s="61"/>
    </row>
    <row r="832" spans="5:5" x14ac:dyDescent="0.35">
      <c r="E832" s="61"/>
    </row>
    <row r="833" spans="5:5" x14ac:dyDescent="0.35">
      <c r="E833" s="61"/>
    </row>
    <row r="834" spans="5:5" x14ac:dyDescent="0.35">
      <c r="E834" s="61"/>
    </row>
    <row r="835" spans="5:5" x14ac:dyDescent="0.35">
      <c r="E835" s="61"/>
    </row>
    <row r="836" spans="5:5" x14ac:dyDescent="0.35">
      <c r="E836" s="61"/>
    </row>
    <row r="837" spans="5:5" x14ac:dyDescent="0.35">
      <c r="E837" s="61"/>
    </row>
    <row r="838" spans="5:5" x14ac:dyDescent="0.35">
      <c r="E838" s="61"/>
    </row>
    <row r="839" spans="5:5" x14ac:dyDescent="0.35">
      <c r="E839" s="61"/>
    </row>
    <row r="840" spans="5:5" x14ac:dyDescent="0.35">
      <c r="E840" s="61"/>
    </row>
    <row r="841" spans="5:5" x14ac:dyDescent="0.35">
      <c r="E841" s="61"/>
    </row>
    <row r="842" spans="5:5" x14ac:dyDescent="0.35">
      <c r="E842" s="61"/>
    </row>
    <row r="843" spans="5:5" x14ac:dyDescent="0.35">
      <c r="E843" s="61"/>
    </row>
    <row r="844" spans="5:5" x14ac:dyDescent="0.35">
      <c r="E844" s="61"/>
    </row>
    <row r="845" spans="5:5" x14ac:dyDescent="0.35">
      <c r="E845" s="61"/>
    </row>
    <row r="846" spans="5:5" x14ac:dyDescent="0.35">
      <c r="E846" s="61"/>
    </row>
    <row r="847" spans="5:5" x14ac:dyDescent="0.35">
      <c r="E847" s="61"/>
    </row>
    <row r="848" spans="5:5" x14ac:dyDescent="0.35">
      <c r="E848" s="61"/>
    </row>
    <row r="849" spans="5:5" x14ac:dyDescent="0.35">
      <c r="E849" s="61"/>
    </row>
    <row r="850" spans="5:5" x14ac:dyDescent="0.35">
      <c r="E850" s="61"/>
    </row>
    <row r="851" spans="5:5" x14ac:dyDescent="0.35">
      <c r="E851" s="61"/>
    </row>
    <row r="852" spans="5:5" x14ac:dyDescent="0.35">
      <c r="E852" s="61"/>
    </row>
    <row r="853" spans="5:5" x14ac:dyDescent="0.35">
      <c r="E853" s="61"/>
    </row>
    <row r="854" spans="5:5" x14ac:dyDescent="0.35">
      <c r="E854" s="61"/>
    </row>
    <row r="855" spans="5:5" x14ac:dyDescent="0.35">
      <c r="E855" s="61"/>
    </row>
    <row r="856" spans="5:5" x14ac:dyDescent="0.35">
      <c r="E856" s="61"/>
    </row>
    <row r="857" spans="5:5" x14ac:dyDescent="0.35">
      <c r="E857" s="61"/>
    </row>
    <row r="858" spans="5:5" x14ac:dyDescent="0.35">
      <c r="E858" s="61"/>
    </row>
    <row r="859" spans="5:5" x14ac:dyDescent="0.35">
      <c r="E859" s="61"/>
    </row>
    <row r="860" spans="5:5" x14ac:dyDescent="0.35">
      <c r="E860" s="61"/>
    </row>
    <row r="861" spans="5:5" x14ac:dyDescent="0.35">
      <c r="E861" s="61"/>
    </row>
    <row r="862" spans="5:5" x14ac:dyDescent="0.35">
      <c r="E862" s="61"/>
    </row>
    <row r="863" spans="5:5" x14ac:dyDescent="0.35">
      <c r="E863" s="61"/>
    </row>
    <row r="864" spans="5:5" x14ac:dyDescent="0.35">
      <c r="E864" s="61"/>
    </row>
    <row r="865" spans="5:5" x14ac:dyDescent="0.35">
      <c r="E865" s="61"/>
    </row>
    <row r="866" spans="5:5" x14ac:dyDescent="0.35">
      <c r="E866" s="61"/>
    </row>
    <row r="867" spans="5:5" x14ac:dyDescent="0.35">
      <c r="E867" s="61"/>
    </row>
    <row r="868" spans="5:5" x14ac:dyDescent="0.35">
      <c r="E868" s="61"/>
    </row>
    <row r="869" spans="5:5" x14ac:dyDescent="0.35">
      <c r="E869" s="61"/>
    </row>
    <row r="870" spans="5:5" x14ac:dyDescent="0.35">
      <c r="E870" s="61"/>
    </row>
    <row r="871" spans="5:5" x14ac:dyDescent="0.35">
      <c r="E871" s="61"/>
    </row>
    <row r="872" spans="5:5" x14ac:dyDescent="0.35">
      <c r="E872" s="61"/>
    </row>
    <row r="873" spans="5:5" x14ac:dyDescent="0.35">
      <c r="E873" s="61"/>
    </row>
    <row r="874" spans="5:5" x14ac:dyDescent="0.35">
      <c r="E874" s="61"/>
    </row>
    <row r="875" spans="5:5" x14ac:dyDescent="0.35">
      <c r="E875" s="61"/>
    </row>
    <row r="876" spans="5:5" x14ac:dyDescent="0.35">
      <c r="E876" s="61"/>
    </row>
    <row r="877" spans="5:5" x14ac:dyDescent="0.35">
      <c r="E877" s="61"/>
    </row>
    <row r="878" spans="5:5" x14ac:dyDescent="0.35">
      <c r="E878" s="61"/>
    </row>
    <row r="879" spans="5:5" x14ac:dyDescent="0.35">
      <c r="E879" s="61"/>
    </row>
    <row r="880" spans="5:5" x14ac:dyDescent="0.35">
      <c r="E880" s="61"/>
    </row>
    <row r="881" spans="5:5" x14ac:dyDescent="0.35">
      <c r="E881" s="61"/>
    </row>
    <row r="882" spans="5:5" x14ac:dyDescent="0.35">
      <c r="E882" s="61"/>
    </row>
    <row r="883" spans="5:5" x14ac:dyDescent="0.35">
      <c r="E883" s="61"/>
    </row>
    <row r="884" spans="5:5" x14ac:dyDescent="0.35">
      <c r="E884" s="61"/>
    </row>
    <row r="885" spans="5:5" x14ac:dyDescent="0.35">
      <c r="E885" s="61"/>
    </row>
    <row r="886" spans="5:5" x14ac:dyDescent="0.35">
      <c r="E886" s="61"/>
    </row>
    <row r="887" spans="5:5" x14ac:dyDescent="0.35">
      <c r="E887" s="61"/>
    </row>
    <row r="888" spans="5:5" x14ac:dyDescent="0.35">
      <c r="E888" s="61"/>
    </row>
    <row r="889" spans="5:5" x14ac:dyDescent="0.35">
      <c r="E889" s="61"/>
    </row>
    <row r="890" spans="5:5" x14ac:dyDescent="0.35">
      <c r="E890" s="61"/>
    </row>
    <row r="891" spans="5:5" x14ac:dyDescent="0.35">
      <c r="E891" s="61"/>
    </row>
    <row r="892" spans="5:5" x14ac:dyDescent="0.35">
      <c r="E892" s="61"/>
    </row>
    <row r="893" spans="5:5" x14ac:dyDescent="0.35">
      <c r="E893" s="61"/>
    </row>
    <row r="894" spans="5:5" x14ac:dyDescent="0.35">
      <c r="E894" s="61"/>
    </row>
    <row r="895" spans="5:5" x14ac:dyDescent="0.35">
      <c r="E895" s="61"/>
    </row>
    <row r="896" spans="5:5" x14ac:dyDescent="0.35">
      <c r="E896" s="61"/>
    </row>
    <row r="897" spans="5:5" x14ac:dyDescent="0.35">
      <c r="E897" s="61"/>
    </row>
    <row r="898" spans="5:5" x14ac:dyDescent="0.35">
      <c r="E898" s="61"/>
    </row>
    <row r="899" spans="5:5" x14ac:dyDescent="0.35">
      <c r="E899" s="61"/>
    </row>
    <row r="900" spans="5:5" x14ac:dyDescent="0.35">
      <c r="E900" s="61"/>
    </row>
    <row r="901" spans="5:5" x14ac:dyDescent="0.35">
      <c r="E901" s="61"/>
    </row>
    <row r="902" spans="5:5" x14ac:dyDescent="0.35">
      <c r="E902" s="61"/>
    </row>
    <row r="903" spans="5:5" x14ac:dyDescent="0.35">
      <c r="E903" s="61"/>
    </row>
    <row r="904" spans="5:5" x14ac:dyDescent="0.35">
      <c r="E904" s="61"/>
    </row>
    <row r="905" spans="5:5" x14ac:dyDescent="0.35">
      <c r="E905" s="61"/>
    </row>
    <row r="906" spans="5:5" x14ac:dyDescent="0.35">
      <c r="E906" s="61"/>
    </row>
    <row r="907" spans="5:5" x14ac:dyDescent="0.35">
      <c r="E907" s="61"/>
    </row>
    <row r="908" spans="5:5" x14ac:dyDescent="0.35">
      <c r="E908" s="61"/>
    </row>
    <row r="909" spans="5:5" x14ac:dyDescent="0.35">
      <c r="E909" s="61"/>
    </row>
    <row r="910" spans="5:5" x14ac:dyDescent="0.35">
      <c r="E910" s="61"/>
    </row>
    <row r="911" spans="5:5" x14ac:dyDescent="0.35">
      <c r="E911" s="61"/>
    </row>
    <row r="912" spans="5:5" x14ac:dyDescent="0.35">
      <c r="E912" s="61"/>
    </row>
    <row r="913" spans="5:5" x14ac:dyDescent="0.35">
      <c r="E913" s="61"/>
    </row>
    <row r="914" spans="5:5" x14ac:dyDescent="0.35">
      <c r="E914" s="61"/>
    </row>
    <row r="915" spans="5:5" x14ac:dyDescent="0.35">
      <c r="E915" s="61"/>
    </row>
    <row r="916" spans="5:5" x14ac:dyDescent="0.35">
      <c r="E916" s="61"/>
    </row>
    <row r="917" spans="5:5" x14ac:dyDescent="0.35">
      <c r="E917" s="61"/>
    </row>
    <row r="918" spans="5:5" x14ac:dyDescent="0.35">
      <c r="E918" s="61"/>
    </row>
    <row r="919" spans="5:5" x14ac:dyDescent="0.35">
      <c r="E919" s="61"/>
    </row>
    <row r="920" spans="5:5" x14ac:dyDescent="0.35">
      <c r="E920" s="61"/>
    </row>
    <row r="921" spans="5:5" x14ac:dyDescent="0.35">
      <c r="E921" s="61"/>
    </row>
    <row r="922" spans="5:5" x14ac:dyDescent="0.35">
      <c r="E922" s="61"/>
    </row>
    <row r="923" spans="5:5" x14ac:dyDescent="0.35">
      <c r="E923" s="61"/>
    </row>
    <row r="924" spans="5:5" x14ac:dyDescent="0.35">
      <c r="E924" s="61"/>
    </row>
    <row r="925" spans="5:5" x14ac:dyDescent="0.35">
      <c r="E925" s="61"/>
    </row>
    <row r="926" spans="5:5" x14ac:dyDescent="0.35">
      <c r="E926" s="61"/>
    </row>
    <row r="927" spans="5:5" x14ac:dyDescent="0.35">
      <c r="E927" s="61"/>
    </row>
    <row r="928" spans="5:5" x14ac:dyDescent="0.35">
      <c r="E928" s="61"/>
    </row>
    <row r="929" spans="5:5" x14ac:dyDescent="0.35">
      <c r="E929" s="61"/>
    </row>
    <row r="930" spans="5:5" x14ac:dyDescent="0.35">
      <c r="E930" s="61"/>
    </row>
    <row r="931" spans="5:5" x14ac:dyDescent="0.35">
      <c r="E931" s="61"/>
    </row>
    <row r="932" spans="5:5" x14ac:dyDescent="0.35">
      <c r="E932" s="61"/>
    </row>
    <row r="933" spans="5:5" x14ac:dyDescent="0.35">
      <c r="E933" s="61"/>
    </row>
    <row r="934" spans="5:5" x14ac:dyDescent="0.35">
      <c r="E934" s="61"/>
    </row>
    <row r="935" spans="5:5" x14ac:dyDescent="0.35">
      <c r="E935" s="61"/>
    </row>
    <row r="936" spans="5:5" x14ac:dyDescent="0.35">
      <c r="E936" s="61"/>
    </row>
    <row r="937" spans="5:5" x14ac:dyDescent="0.35">
      <c r="E937" s="61"/>
    </row>
    <row r="938" spans="5:5" x14ac:dyDescent="0.35">
      <c r="E938" s="61"/>
    </row>
    <row r="939" spans="5:5" x14ac:dyDescent="0.35">
      <c r="E939" s="61"/>
    </row>
    <row r="940" spans="5:5" x14ac:dyDescent="0.35">
      <c r="E940" s="61"/>
    </row>
    <row r="941" spans="5:5" x14ac:dyDescent="0.35">
      <c r="E941" s="61"/>
    </row>
    <row r="942" spans="5:5" x14ac:dyDescent="0.35">
      <c r="E942" s="61"/>
    </row>
    <row r="943" spans="5:5" x14ac:dyDescent="0.35">
      <c r="E943" s="61"/>
    </row>
    <row r="944" spans="5:5" x14ac:dyDescent="0.35">
      <c r="E944" s="61"/>
    </row>
    <row r="945" spans="5:5" x14ac:dyDescent="0.35">
      <c r="E945" s="61"/>
    </row>
    <row r="946" spans="5:5" x14ac:dyDescent="0.35">
      <c r="E946" s="61"/>
    </row>
    <row r="947" spans="5:5" x14ac:dyDescent="0.35">
      <c r="E947" s="61"/>
    </row>
    <row r="948" spans="5:5" x14ac:dyDescent="0.35">
      <c r="E948" s="61"/>
    </row>
    <row r="949" spans="5:5" x14ac:dyDescent="0.35">
      <c r="E949" s="61"/>
    </row>
    <row r="950" spans="5:5" x14ac:dyDescent="0.35">
      <c r="E950" s="61"/>
    </row>
    <row r="951" spans="5:5" x14ac:dyDescent="0.35">
      <c r="E951" s="61"/>
    </row>
    <row r="952" spans="5:5" x14ac:dyDescent="0.35">
      <c r="E952" s="61"/>
    </row>
    <row r="953" spans="5:5" x14ac:dyDescent="0.35">
      <c r="E953" s="61"/>
    </row>
    <row r="954" spans="5:5" x14ac:dyDescent="0.35">
      <c r="E954" s="61"/>
    </row>
    <row r="955" spans="5:5" x14ac:dyDescent="0.35">
      <c r="E955" s="61"/>
    </row>
    <row r="956" spans="5:5" x14ac:dyDescent="0.35">
      <c r="E956" s="61"/>
    </row>
    <row r="957" spans="5:5" x14ac:dyDescent="0.35">
      <c r="E957" s="61"/>
    </row>
    <row r="958" spans="5:5" x14ac:dyDescent="0.35">
      <c r="E958" s="61"/>
    </row>
    <row r="959" spans="5:5" x14ac:dyDescent="0.35">
      <c r="E959" s="61"/>
    </row>
    <row r="960" spans="5:5" x14ac:dyDescent="0.35">
      <c r="E960" s="61"/>
    </row>
    <row r="961" spans="5:5" x14ac:dyDescent="0.35">
      <c r="E961" s="61"/>
    </row>
    <row r="962" spans="5:5" x14ac:dyDescent="0.35">
      <c r="E962" s="61"/>
    </row>
    <row r="963" spans="5:5" x14ac:dyDescent="0.35">
      <c r="E963" s="61"/>
    </row>
    <row r="964" spans="5:5" x14ac:dyDescent="0.35">
      <c r="E964" s="61"/>
    </row>
    <row r="965" spans="5:5" x14ac:dyDescent="0.35">
      <c r="E965" s="61"/>
    </row>
    <row r="966" spans="5:5" x14ac:dyDescent="0.35">
      <c r="E966" s="61"/>
    </row>
    <row r="967" spans="5:5" x14ac:dyDescent="0.35">
      <c r="E967" s="61"/>
    </row>
    <row r="968" spans="5:5" x14ac:dyDescent="0.35">
      <c r="E968" s="61"/>
    </row>
    <row r="969" spans="5:5" x14ac:dyDescent="0.35">
      <c r="E969" s="61"/>
    </row>
    <row r="970" spans="5:5" x14ac:dyDescent="0.35">
      <c r="E970" s="61"/>
    </row>
    <row r="971" spans="5:5" x14ac:dyDescent="0.35">
      <c r="E971" s="61"/>
    </row>
    <row r="972" spans="5:5" x14ac:dyDescent="0.35">
      <c r="E972" s="61"/>
    </row>
    <row r="973" spans="5:5" x14ac:dyDescent="0.35">
      <c r="E973" s="61"/>
    </row>
    <row r="974" spans="5:5" x14ac:dyDescent="0.35">
      <c r="E974" s="61"/>
    </row>
    <row r="975" spans="5:5" x14ac:dyDescent="0.35">
      <c r="E975" s="61"/>
    </row>
    <row r="976" spans="5:5" x14ac:dyDescent="0.35">
      <c r="E976" s="61"/>
    </row>
    <row r="977" spans="5:5" x14ac:dyDescent="0.35">
      <c r="E977" s="61"/>
    </row>
    <row r="978" spans="5:5" x14ac:dyDescent="0.35">
      <c r="E978" s="61"/>
    </row>
    <row r="979" spans="5:5" x14ac:dyDescent="0.35">
      <c r="E979" s="61"/>
    </row>
    <row r="980" spans="5:5" x14ac:dyDescent="0.35">
      <c r="E980" s="61"/>
    </row>
    <row r="981" spans="5:5" x14ac:dyDescent="0.35">
      <c r="E981" s="61"/>
    </row>
    <row r="982" spans="5:5" x14ac:dyDescent="0.35">
      <c r="E982" s="61"/>
    </row>
    <row r="983" spans="5:5" x14ac:dyDescent="0.35">
      <c r="E983" s="61"/>
    </row>
    <row r="984" spans="5:5" x14ac:dyDescent="0.35">
      <c r="E984" s="61"/>
    </row>
    <row r="985" spans="5:5" x14ac:dyDescent="0.35">
      <c r="E985" s="61"/>
    </row>
    <row r="986" spans="5:5" x14ac:dyDescent="0.35">
      <c r="E986" s="61"/>
    </row>
    <row r="987" spans="5:5" x14ac:dyDescent="0.35">
      <c r="E987" s="61"/>
    </row>
    <row r="988" spans="5:5" x14ac:dyDescent="0.35">
      <c r="E988" s="61"/>
    </row>
    <row r="989" spans="5:5" x14ac:dyDescent="0.35">
      <c r="E989" s="61"/>
    </row>
    <row r="990" spans="5:5" x14ac:dyDescent="0.35">
      <c r="E990" s="61"/>
    </row>
    <row r="991" spans="5:5" x14ac:dyDescent="0.35">
      <c r="E991" s="61"/>
    </row>
    <row r="992" spans="5:5" x14ac:dyDescent="0.35">
      <c r="E992" s="61"/>
    </row>
    <row r="993" spans="5:5" x14ac:dyDescent="0.35">
      <c r="E993" s="61"/>
    </row>
    <row r="994" spans="5:5" x14ac:dyDescent="0.35">
      <c r="E994" s="61"/>
    </row>
    <row r="995" spans="5:5" x14ac:dyDescent="0.35">
      <c r="E995" s="61"/>
    </row>
    <row r="996" spans="5:5" x14ac:dyDescent="0.35">
      <c r="E996" s="61"/>
    </row>
    <row r="997" spans="5:5" x14ac:dyDescent="0.35">
      <c r="E997" s="61"/>
    </row>
    <row r="998" spans="5:5" x14ac:dyDescent="0.35">
      <c r="E998" s="61"/>
    </row>
    <row r="999" spans="5:5" x14ac:dyDescent="0.35">
      <c r="E999" s="61"/>
    </row>
    <row r="1000" spans="5:5" x14ac:dyDescent="0.35">
      <c r="E1000" s="61"/>
    </row>
    <row r="1001" spans="5:5" x14ac:dyDescent="0.35">
      <c r="E1001" s="61"/>
    </row>
    <row r="1002" spans="5:5" x14ac:dyDescent="0.35">
      <c r="E1002" s="61"/>
    </row>
    <row r="1003" spans="5:5" x14ac:dyDescent="0.35">
      <c r="E1003" s="61"/>
    </row>
    <row r="1004" spans="5:5" x14ac:dyDescent="0.35">
      <c r="E1004" s="61"/>
    </row>
    <row r="1005" spans="5:5" x14ac:dyDescent="0.35">
      <c r="E1005" s="61"/>
    </row>
    <row r="1006" spans="5:5" x14ac:dyDescent="0.35">
      <c r="E1006" s="61"/>
    </row>
    <row r="1007" spans="5:5" x14ac:dyDescent="0.35">
      <c r="E1007" s="61"/>
    </row>
    <row r="1008" spans="5:5" x14ac:dyDescent="0.35">
      <c r="E1008" s="61"/>
    </row>
    <row r="1009" spans="5:5" x14ac:dyDescent="0.35">
      <c r="E1009" s="61"/>
    </row>
    <row r="1010" spans="5:5" x14ac:dyDescent="0.35">
      <c r="E1010" s="61"/>
    </row>
    <row r="1011" spans="5:5" x14ac:dyDescent="0.35">
      <c r="E1011" s="61"/>
    </row>
    <row r="1012" spans="5:5" x14ac:dyDescent="0.35">
      <c r="E1012" s="61"/>
    </row>
    <row r="1013" spans="5:5" x14ac:dyDescent="0.35">
      <c r="E1013" s="61"/>
    </row>
    <row r="1014" spans="5:5" x14ac:dyDescent="0.35">
      <c r="E1014" s="61"/>
    </row>
    <row r="1015" spans="5:5" x14ac:dyDescent="0.35">
      <c r="E1015" s="61"/>
    </row>
    <row r="1016" spans="5:5" x14ac:dyDescent="0.35">
      <c r="E1016" s="61"/>
    </row>
    <row r="1017" spans="5:5" x14ac:dyDescent="0.35">
      <c r="E1017" s="61"/>
    </row>
    <row r="1018" spans="5:5" x14ac:dyDescent="0.35">
      <c r="E1018" s="61"/>
    </row>
    <row r="1019" spans="5:5" x14ac:dyDescent="0.35">
      <c r="E1019" s="61"/>
    </row>
    <row r="1020" spans="5:5" x14ac:dyDescent="0.35">
      <c r="E1020" s="61"/>
    </row>
    <row r="1021" spans="5:5" x14ac:dyDescent="0.35">
      <c r="E1021" s="61"/>
    </row>
    <row r="1022" spans="5:5" x14ac:dyDescent="0.35">
      <c r="E1022" s="61"/>
    </row>
    <row r="1023" spans="5:5" x14ac:dyDescent="0.35">
      <c r="E1023" s="61"/>
    </row>
    <row r="1024" spans="5:5" x14ac:dyDescent="0.35">
      <c r="E1024" s="61"/>
    </row>
    <row r="1025" spans="5:5" x14ac:dyDescent="0.35">
      <c r="E1025" s="61"/>
    </row>
    <row r="1026" spans="5:5" x14ac:dyDescent="0.35">
      <c r="E1026" s="61"/>
    </row>
    <row r="1027" spans="5:5" x14ac:dyDescent="0.35">
      <c r="E1027" s="61"/>
    </row>
    <row r="1028" spans="5:5" x14ac:dyDescent="0.35">
      <c r="E1028" s="61"/>
    </row>
    <row r="1029" spans="5:5" x14ac:dyDescent="0.35">
      <c r="E1029" s="61"/>
    </row>
    <row r="1030" spans="5:5" x14ac:dyDescent="0.35">
      <c r="E1030" s="61"/>
    </row>
    <row r="1031" spans="5:5" x14ac:dyDescent="0.35">
      <c r="E1031" s="61"/>
    </row>
    <row r="1032" spans="5:5" x14ac:dyDescent="0.35">
      <c r="E1032" s="61"/>
    </row>
    <row r="1033" spans="5:5" x14ac:dyDescent="0.35">
      <c r="E1033" s="61"/>
    </row>
    <row r="1034" spans="5:5" x14ac:dyDescent="0.35">
      <c r="E1034" s="61"/>
    </row>
    <row r="1035" spans="5:5" x14ac:dyDescent="0.35">
      <c r="E1035" s="61"/>
    </row>
    <row r="1036" spans="5:5" x14ac:dyDescent="0.35">
      <c r="E1036" s="61"/>
    </row>
    <row r="1037" spans="5:5" x14ac:dyDescent="0.35">
      <c r="E1037" s="61"/>
    </row>
    <row r="1038" spans="5:5" x14ac:dyDescent="0.35">
      <c r="E1038" s="61"/>
    </row>
    <row r="1039" spans="5:5" x14ac:dyDescent="0.35">
      <c r="E1039" s="61"/>
    </row>
    <row r="1040" spans="5:5" x14ac:dyDescent="0.35">
      <c r="E1040" s="61"/>
    </row>
    <row r="1041" spans="5:5" x14ac:dyDescent="0.35">
      <c r="E1041" s="61"/>
    </row>
    <row r="1042" spans="5:5" x14ac:dyDescent="0.35">
      <c r="E1042" s="61"/>
    </row>
    <row r="1043" spans="5:5" x14ac:dyDescent="0.35">
      <c r="E1043" s="61"/>
    </row>
    <row r="1044" spans="5:5" x14ac:dyDescent="0.35">
      <c r="E1044" s="61"/>
    </row>
    <row r="1045" spans="5:5" x14ac:dyDescent="0.35">
      <c r="E1045" s="61"/>
    </row>
    <row r="1046" spans="5:5" x14ac:dyDescent="0.35">
      <c r="E1046" s="61"/>
    </row>
    <row r="1047" spans="5:5" x14ac:dyDescent="0.35">
      <c r="E1047" s="61"/>
    </row>
    <row r="1048" spans="5:5" x14ac:dyDescent="0.35">
      <c r="E1048" s="61"/>
    </row>
    <row r="1049" spans="5:5" x14ac:dyDescent="0.35">
      <c r="E1049" s="61"/>
    </row>
    <row r="1050" spans="5:5" x14ac:dyDescent="0.35">
      <c r="E1050" s="61"/>
    </row>
    <row r="1051" spans="5:5" x14ac:dyDescent="0.35">
      <c r="E1051" s="61"/>
    </row>
    <row r="1052" spans="5:5" x14ac:dyDescent="0.35">
      <c r="E1052" s="61"/>
    </row>
    <row r="1053" spans="5:5" x14ac:dyDescent="0.35">
      <c r="E1053" s="61"/>
    </row>
    <row r="1054" spans="5:5" x14ac:dyDescent="0.35">
      <c r="E1054" s="61"/>
    </row>
    <row r="1055" spans="5:5" x14ac:dyDescent="0.35">
      <c r="E1055" s="61"/>
    </row>
    <row r="1056" spans="5:5" x14ac:dyDescent="0.35">
      <c r="E1056" s="61"/>
    </row>
    <row r="1057" spans="5:5" x14ac:dyDescent="0.35">
      <c r="E1057" s="61"/>
    </row>
    <row r="1058" spans="5:5" x14ac:dyDescent="0.35">
      <c r="E1058" s="61"/>
    </row>
    <row r="1059" spans="5:5" x14ac:dyDescent="0.35">
      <c r="E1059" s="61"/>
    </row>
    <row r="1060" spans="5:5" x14ac:dyDescent="0.35">
      <c r="E1060" s="61"/>
    </row>
    <row r="1061" spans="5:5" x14ac:dyDescent="0.35">
      <c r="E1061" s="61"/>
    </row>
    <row r="1062" spans="5:5" x14ac:dyDescent="0.35">
      <c r="E1062" s="61"/>
    </row>
    <row r="1063" spans="5:5" x14ac:dyDescent="0.35">
      <c r="E1063" s="61"/>
    </row>
    <row r="1064" spans="5:5" x14ac:dyDescent="0.35">
      <c r="E1064" s="61"/>
    </row>
    <row r="1065" spans="5:5" x14ac:dyDescent="0.35">
      <c r="E1065" s="61"/>
    </row>
    <row r="1066" spans="5:5" x14ac:dyDescent="0.35">
      <c r="E1066" s="61"/>
    </row>
    <row r="1067" spans="5:5" x14ac:dyDescent="0.35">
      <c r="E1067" s="61"/>
    </row>
    <row r="1068" spans="5:5" x14ac:dyDescent="0.35">
      <c r="E1068" s="61"/>
    </row>
    <row r="1069" spans="5:5" x14ac:dyDescent="0.35">
      <c r="E1069" s="61"/>
    </row>
    <row r="1070" spans="5:5" x14ac:dyDescent="0.35">
      <c r="E1070" s="61"/>
    </row>
    <row r="1071" spans="5:5" x14ac:dyDescent="0.35">
      <c r="E1071" s="61"/>
    </row>
    <row r="1072" spans="5:5" x14ac:dyDescent="0.35">
      <c r="E1072" s="61"/>
    </row>
    <row r="1073" spans="5:5" x14ac:dyDescent="0.35">
      <c r="E1073" s="61"/>
    </row>
    <row r="1074" spans="5:5" x14ac:dyDescent="0.35">
      <c r="E1074" s="61"/>
    </row>
    <row r="1075" spans="5:5" x14ac:dyDescent="0.35">
      <c r="E1075" s="61"/>
    </row>
    <row r="1076" spans="5:5" x14ac:dyDescent="0.35">
      <c r="E1076" s="61"/>
    </row>
    <row r="1077" spans="5:5" x14ac:dyDescent="0.35">
      <c r="E1077" s="61"/>
    </row>
    <row r="1078" spans="5:5" x14ac:dyDescent="0.35">
      <c r="E1078" s="61"/>
    </row>
    <row r="1079" spans="5:5" x14ac:dyDescent="0.35">
      <c r="E1079" s="61"/>
    </row>
    <row r="1080" spans="5:5" x14ac:dyDescent="0.35">
      <c r="E1080" s="61"/>
    </row>
    <row r="1081" spans="5:5" x14ac:dyDescent="0.35">
      <c r="E1081" s="61"/>
    </row>
    <row r="1082" spans="5:5" x14ac:dyDescent="0.35">
      <c r="E1082" s="61"/>
    </row>
    <row r="1083" spans="5:5" x14ac:dyDescent="0.35">
      <c r="E1083" s="61"/>
    </row>
    <row r="1084" spans="5:5" x14ac:dyDescent="0.35">
      <c r="E1084" s="61"/>
    </row>
    <row r="1085" spans="5:5" x14ac:dyDescent="0.35">
      <c r="E1085" s="61"/>
    </row>
    <row r="1086" spans="5:5" x14ac:dyDescent="0.35">
      <c r="E1086" s="61"/>
    </row>
    <row r="1087" spans="5:5" x14ac:dyDescent="0.35">
      <c r="E1087" s="61"/>
    </row>
    <row r="1088" spans="5:5" x14ac:dyDescent="0.35">
      <c r="E1088" s="61"/>
    </row>
    <row r="1089" spans="5:5" x14ac:dyDescent="0.35">
      <c r="E1089" s="61"/>
    </row>
    <row r="1090" spans="5:5" x14ac:dyDescent="0.35">
      <c r="E1090" s="61"/>
    </row>
    <row r="1091" spans="5:5" x14ac:dyDescent="0.35">
      <c r="E1091" s="61"/>
    </row>
    <row r="1092" spans="5:5" x14ac:dyDescent="0.35">
      <c r="E1092" s="61"/>
    </row>
    <row r="1093" spans="5:5" x14ac:dyDescent="0.35">
      <c r="E1093" s="61"/>
    </row>
    <row r="1094" spans="5:5" x14ac:dyDescent="0.35">
      <c r="E1094" s="61"/>
    </row>
    <row r="1095" spans="5:5" x14ac:dyDescent="0.35">
      <c r="E1095" s="61"/>
    </row>
    <row r="1096" spans="5:5" x14ac:dyDescent="0.35">
      <c r="E1096" s="61"/>
    </row>
    <row r="1097" spans="5:5" x14ac:dyDescent="0.35">
      <c r="E1097" s="61"/>
    </row>
    <row r="1098" spans="5:5" x14ac:dyDescent="0.35">
      <c r="E1098" s="61"/>
    </row>
    <row r="1099" spans="5:5" x14ac:dyDescent="0.35">
      <c r="E1099" s="61"/>
    </row>
    <row r="1100" spans="5:5" x14ac:dyDescent="0.35">
      <c r="E1100" s="61"/>
    </row>
    <row r="1101" spans="5:5" x14ac:dyDescent="0.35">
      <c r="E1101" s="61"/>
    </row>
    <row r="1102" spans="5:5" x14ac:dyDescent="0.35">
      <c r="E1102" s="61"/>
    </row>
    <row r="1103" spans="5:5" x14ac:dyDescent="0.35">
      <c r="E1103" s="61"/>
    </row>
    <row r="1104" spans="5:5" x14ac:dyDescent="0.35">
      <c r="E1104" s="61"/>
    </row>
    <row r="1105" spans="5:5" x14ac:dyDescent="0.35">
      <c r="E1105" s="61"/>
    </row>
    <row r="1106" spans="5:5" x14ac:dyDescent="0.35">
      <c r="E1106" s="61"/>
    </row>
    <row r="1107" spans="5:5" x14ac:dyDescent="0.35">
      <c r="E1107" s="61"/>
    </row>
    <row r="1108" spans="5:5" x14ac:dyDescent="0.35">
      <c r="E1108" s="61"/>
    </row>
    <row r="1109" spans="5:5" x14ac:dyDescent="0.35">
      <c r="E1109" s="61"/>
    </row>
    <row r="1110" spans="5:5" x14ac:dyDescent="0.35">
      <c r="E1110" s="61"/>
    </row>
    <row r="1111" spans="5:5" x14ac:dyDescent="0.35">
      <c r="E1111" s="61"/>
    </row>
    <row r="1112" spans="5:5" x14ac:dyDescent="0.35">
      <c r="E1112" s="61"/>
    </row>
    <row r="1113" spans="5:5" x14ac:dyDescent="0.35">
      <c r="E1113" s="61"/>
    </row>
    <row r="1114" spans="5:5" x14ac:dyDescent="0.35">
      <c r="E1114" s="61"/>
    </row>
    <row r="1115" spans="5:5" x14ac:dyDescent="0.35">
      <c r="E1115" s="61"/>
    </row>
    <row r="1116" spans="5:5" x14ac:dyDescent="0.35">
      <c r="E1116" s="61"/>
    </row>
    <row r="1117" spans="5:5" x14ac:dyDescent="0.35">
      <c r="E1117" s="61"/>
    </row>
    <row r="1118" spans="5:5" x14ac:dyDescent="0.35">
      <c r="E1118" s="61"/>
    </row>
    <row r="1119" spans="5:5" x14ac:dyDescent="0.35">
      <c r="E1119" s="61"/>
    </row>
    <row r="1120" spans="5:5" x14ac:dyDescent="0.35">
      <c r="E1120" s="61"/>
    </row>
    <row r="1121" spans="5:5" x14ac:dyDescent="0.35">
      <c r="E1121" s="61"/>
    </row>
    <row r="1122" spans="5:5" x14ac:dyDescent="0.35">
      <c r="E1122" s="61"/>
    </row>
    <row r="1123" spans="5:5" x14ac:dyDescent="0.35">
      <c r="E1123" s="61"/>
    </row>
    <row r="1124" spans="5:5" x14ac:dyDescent="0.35">
      <c r="E1124" s="61"/>
    </row>
    <row r="1125" spans="5:5" x14ac:dyDescent="0.35">
      <c r="E1125" s="61"/>
    </row>
    <row r="1126" spans="5:5" x14ac:dyDescent="0.35">
      <c r="E1126" s="61"/>
    </row>
    <row r="1127" spans="5:5" x14ac:dyDescent="0.35">
      <c r="E1127" s="61"/>
    </row>
    <row r="1128" spans="5:5" x14ac:dyDescent="0.35">
      <c r="E1128" s="61"/>
    </row>
    <row r="1129" spans="5:5" x14ac:dyDescent="0.35">
      <c r="E1129" s="61"/>
    </row>
    <row r="1130" spans="5:5" x14ac:dyDescent="0.35">
      <c r="E1130" s="61"/>
    </row>
    <row r="1131" spans="5:5" x14ac:dyDescent="0.35">
      <c r="E1131" s="61"/>
    </row>
    <row r="1132" spans="5:5" x14ac:dyDescent="0.35">
      <c r="E1132" s="61"/>
    </row>
    <row r="1133" spans="5:5" x14ac:dyDescent="0.35">
      <c r="E1133" s="61"/>
    </row>
    <row r="1134" spans="5:5" x14ac:dyDescent="0.35">
      <c r="E1134" s="61"/>
    </row>
    <row r="1135" spans="5:5" x14ac:dyDescent="0.35">
      <c r="E1135" s="61"/>
    </row>
    <row r="1136" spans="5:5" x14ac:dyDescent="0.35">
      <c r="E1136" s="61"/>
    </row>
    <row r="1137" spans="5:5" x14ac:dyDescent="0.35">
      <c r="E1137" s="61"/>
    </row>
    <row r="1138" spans="5:5" x14ac:dyDescent="0.35">
      <c r="E1138" s="61"/>
    </row>
    <row r="1139" spans="5:5" x14ac:dyDescent="0.35">
      <c r="E1139" s="61"/>
    </row>
    <row r="1140" spans="5:5" x14ac:dyDescent="0.35">
      <c r="E1140" s="61"/>
    </row>
    <row r="1141" spans="5:5" x14ac:dyDescent="0.35">
      <c r="E1141" s="61"/>
    </row>
    <row r="1142" spans="5:5" x14ac:dyDescent="0.35">
      <c r="E1142" s="61"/>
    </row>
    <row r="1143" spans="5:5" x14ac:dyDescent="0.35">
      <c r="E1143" s="61"/>
    </row>
    <row r="1144" spans="5:5" x14ac:dyDescent="0.35">
      <c r="E1144" s="61"/>
    </row>
    <row r="1145" spans="5:5" x14ac:dyDescent="0.35">
      <c r="E1145" s="61"/>
    </row>
    <row r="1146" spans="5:5" x14ac:dyDescent="0.35">
      <c r="E1146" s="61"/>
    </row>
    <row r="1147" spans="5:5" x14ac:dyDescent="0.35">
      <c r="E1147" s="61"/>
    </row>
    <row r="1148" spans="5:5" x14ac:dyDescent="0.35">
      <c r="E1148" s="61"/>
    </row>
    <row r="1149" spans="5:5" x14ac:dyDescent="0.35">
      <c r="E1149" s="61"/>
    </row>
    <row r="1150" spans="5:5" x14ac:dyDescent="0.35">
      <c r="E1150" s="61"/>
    </row>
    <row r="1151" spans="5:5" x14ac:dyDescent="0.35">
      <c r="E1151" s="61"/>
    </row>
    <row r="1152" spans="5:5" x14ac:dyDescent="0.35">
      <c r="E1152" s="61"/>
    </row>
    <row r="1153" spans="5:5" x14ac:dyDescent="0.35">
      <c r="E1153" s="61"/>
    </row>
    <row r="1154" spans="5:5" x14ac:dyDescent="0.35">
      <c r="E1154" s="61"/>
    </row>
    <row r="1155" spans="5:5" x14ac:dyDescent="0.35">
      <c r="E1155" s="61"/>
    </row>
    <row r="1156" spans="5:5" x14ac:dyDescent="0.35">
      <c r="E1156" s="61"/>
    </row>
    <row r="1157" spans="5:5" x14ac:dyDescent="0.35">
      <c r="E1157" s="61"/>
    </row>
    <row r="1158" spans="5:5" x14ac:dyDescent="0.35">
      <c r="E1158" s="61"/>
    </row>
    <row r="1159" spans="5:5" x14ac:dyDescent="0.35">
      <c r="E1159" s="61"/>
    </row>
    <row r="1160" spans="5:5" x14ac:dyDescent="0.35">
      <c r="E1160" s="61"/>
    </row>
    <row r="1161" spans="5:5" x14ac:dyDescent="0.35">
      <c r="E1161" s="61"/>
    </row>
    <row r="1162" spans="5:5" x14ac:dyDescent="0.35">
      <c r="E1162" s="61"/>
    </row>
    <row r="1163" spans="5:5" x14ac:dyDescent="0.35">
      <c r="E1163" s="61"/>
    </row>
    <row r="1164" spans="5:5" x14ac:dyDescent="0.35">
      <c r="E1164" s="61"/>
    </row>
    <row r="1165" spans="5:5" x14ac:dyDescent="0.35">
      <c r="E1165" s="61"/>
    </row>
    <row r="1166" spans="5:5" x14ac:dyDescent="0.35">
      <c r="E1166" s="61"/>
    </row>
    <row r="1167" spans="5:5" x14ac:dyDescent="0.35">
      <c r="E1167" s="61"/>
    </row>
    <row r="1168" spans="5:5" x14ac:dyDescent="0.35">
      <c r="E1168" s="61"/>
    </row>
    <row r="1169" spans="5:5" x14ac:dyDescent="0.35">
      <c r="E1169" s="61"/>
    </row>
    <row r="1170" spans="5:5" x14ac:dyDescent="0.35">
      <c r="E1170" s="61"/>
    </row>
    <row r="1171" spans="5:5" x14ac:dyDescent="0.35">
      <c r="E1171" s="61"/>
    </row>
    <row r="1172" spans="5:5" x14ac:dyDescent="0.35">
      <c r="E1172" s="61"/>
    </row>
    <row r="1173" spans="5:5" x14ac:dyDescent="0.35">
      <c r="E1173" s="61"/>
    </row>
    <row r="1174" spans="5:5" x14ac:dyDescent="0.35">
      <c r="E1174" s="61"/>
    </row>
    <row r="1175" spans="5:5" x14ac:dyDescent="0.35">
      <c r="E1175" s="61"/>
    </row>
    <row r="1176" spans="5:5" x14ac:dyDescent="0.35">
      <c r="E1176" s="61"/>
    </row>
    <row r="1177" spans="5:5" x14ac:dyDescent="0.35">
      <c r="E1177" s="61"/>
    </row>
    <row r="1178" spans="5:5" x14ac:dyDescent="0.35">
      <c r="E1178" s="61"/>
    </row>
    <row r="1179" spans="5:5" x14ac:dyDescent="0.35">
      <c r="E1179" s="61"/>
    </row>
    <row r="1180" spans="5:5" x14ac:dyDescent="0.35">
      <c r="E1180" s="61"/>
    </row>
    <row r="1181" spans="5:5" x14ac:dyDescent="0.35">
      <c r="E1181" s="61"/>
    </row>
    <row r="1182" spans="5:5" x14ac:dyDescent="0.35">
      <c r="E1182" s="61"/>
    </row>
    <row r="1183" spans="5:5" x14ac:dyDescent="0.35">
      <c r="E1183" s="61"/>
    </row>
    <row r="1184" spans="5:5" x14ac:dyDescent="0.35">
      <c r="E1184" s="61"/>
    </row>
    <row r="1185" spans="5:5" x14ac:dyDescent="0.35">
      <c r="E1185" s="61"/>
    </row>
    <row r="1186" spans="5:5" x14ac:dyDescent="0.35">
      <c r="E1186" s="61"/>
    </row>
    <row r="1187" spans="5:5" x14ac:dyDescent="0.35">
      <c r="E1187" s="61"/>
    </row>
    <row r="1188" spans="5:5" x14ac:dyDescent="0.35">
      <c r="E1188" s="61"/>
    </row>
    <row r="1189" spans="5:5" x14ac:dyDescent="0.35">
      <c r="E1189" s="61"/>
    </row>
    <row r="1190" spans="5:5" x14ac:dyDescent="0.35">
      <c r="E1190" s="61"/>
    </row>
    <row r="1191" spans="5:5" x14ac:dyDescent="0.35">
      <c r="E1191" s="61"/>
    </row>
    <row r="1192" spans="5:5" x14ac:dyDescent="0.35">
      <c r="E1192" s="61"/>
    </row>
    <row r="1193" spans="5:5" x14ac:dyDescent="0.35">
      <c r="E1193" s="61"/>
    </row>
    <row r="1194" spans="5:5" x14ac:dyDescent="0.35">
      <c r="E1194" s="61"/>
    </row>
    <row r="1195" spans="5:5" x14ac:dyDescent="0.35">
      <c r="E1195" s="61"/>
    </row>
    <row r="1196" spans="5:5" x14ac:dyDescent="0.35">
      <c r="E1196" s="61"/>
    </row>
    <row r="1197" spans="5:5" x14ac:dyDescent="0.35">
      <c r="E1197" s="61"/>
    </row>
    <row r="1198" spans="5:5" x14ac:dyDescent="0.35">
      <c r="E1198" s="61"/>
    </row>
    <row r="1199" spans="5:5" x14ac:dyDescent="0.35">
      <c r="E1199" s="61"/>
    </row>
    <row r="1200" spans="5:5" x14ac:dyDescent="0.35">
      <c r="E1200" s="61"/>
    </row>
    <row r="1201" spans="5:5" x14ac:dyDescent="0.35">
      <c r="E1201" s="61"/>
    </row>
    <row r="1202" spans="5:5" x14ac:dyDescent="0.35">
      <c r="E1202" s="61"/>
    </row>
    <row r="1203" spans="5:5" x14ac:dyDescent="0.35">
      <c r="E1203" s="61"/>
    </row>
    <row r="1204" spans="5:5" x14ac:dyDescent="0.35">
      <c r="E1204" s="61"/>
    </row>
    <row r="1205" spans="5:5" x14ac:dyDescent="0.35">
      <c r="E1205" s="61"/>
    </row>
    <row r="1206" spans="5:5" x14ac:dyDescent="0.35">
      <c r="E1206" s="61"/>
    </row>
    <row r="1207" spans="5:5" x14ac:dyDescent="0.35">
      <c r="E1207" s="61"/>
    </row>
    <row r="1208" spans="5:5" x14ac:dyDescent="0.35">
      <c r="E1208" s="61"/>
    </row>
    <row r="1209" spans="5:5" x14ac:dyDescent="0.35">
      <c r="E1209" s="61"/>
    </row>
    <row r="1210" spans="5:5" x14ac:dyDescent="0.35">
      <c r="E1210" s="61"/>
    </row>
    <row r="1211" spans="5:5" x14ac:dyDescent="0.35">
      <c r="E1211" s="61"/>
    </row>
    <row r="1212" spans="5:5" x14ac:dyDescent="0.35">
      <c r="E1212" s="61"/>
    </row>
    <row r="1213" spans="5:5" x14ac:dyDescent="0.35">
      <c r="E1213" s="61"/>
    </row>
    <row r="1214" spans="5:5" x14ac:dyDescent="0.35">
      <c r="E1214" s="61"/>
    </row>
    <row r="1215" spans="5:5" x14ac:dyDescent="0.35">
      <c r="E1215" s="61"/>
    </row>
    <row r="1216" spans="5:5" x14ac:dyDescent="0.35">
      <c r="E1216" s="61"/>
    </row>
    <row r="1217" spans="5:5" x14ac:dyDescent="0.35">
      <c r="E1217" s="61"/>
    </row>
    <row r="1218" spans="5:5" x14ac:dyDescent="0.35">
      <c r="E1218" s="61"/>
    </row>
    <row r="1219" spans="5:5" x14ac:dyDescent="0.35">
      <c r="E1219" s="61"/>
    </row>
    <row r="1220" spans="5:5" x14ac:dyDescent="0.35">
      <c r="E1220" s="61"/>
    </row>
    <row r="1221" spans="5:5" x14ac:dyDescent="0.35">
      <c r="E1221" s="61"/>
    </row>
    <row r="1222" spans="5:5" x14ac:dyDescent="0.35">
      <c r="E1222" s="61"/>
    </row>
    <row r="1223" spans="5:5" x14ac:dyDescent="0.35">
      <c r="E1223" s="61"/>
    </row>
    <row r="1224" spans="5:5" x14ac:dyDescent="0.35">
      <c r="E1224" s="61"/>
    </row>
    <row r="1225" spans="5:5" x14ac:dyDescent="0.35">
      <c r="E1225" s="61"/>
    </row>
    <row r="1226" spans="5:5" x14ac:dyDescent="0.35">
      <c r="E1226" s="61"/>
    </row>
    <row r="1227" spans="5:5" x14ac:dyDescent="0.35">
      <c r="E1227" s="61"/>
    </row>
    <row r="1228" spans="5:5" x14ac:dyDescent="0.35">
      <c r="E1228" s="61"/>
    </row>
    <row r="1229" spans="5:5" x14ac:dyDescent="0.35">
      <c r="E1229" s="61"/>
    </row>
    <row r="1230" spans="5:5" x14ac:dyDescent="0.35">
      <c r="E1230" s="61"/>
    </row>
    <row r="1231" spans="5:5" x14ac:dyDescent="0.35">
      <c r="E1231" s="61"/>
    </row>
    <row r="1232" spans="5:5" x14ac:dyDescent="0.35">
      <c r="E1232" s="61"/>
    </row>
    <row r="1233" spans="5:5" x14ac:dyDescent="0.35">
      <c r="E1233" s="61"/>
    </row>
    <row r="1234" spans="5:5" x14ac:dyDescent="0.35">
      <c r="E1234" s="61"/>
    </row>
    <row r="1235" spans="5:5" x14ac:dyDescent="0.35">
      <c r="E1235" s="61"/>
    </row>
    <row r="1236" spans="5:5" x14ac:dyDescent="0.35">
      <c r="E1236" s="61"/>
    </row>
    <row r="1237" spans="5:5" x14ac:dyDescent="0.35">
      <c r="E1237" s="61"/>
    </row>
    <row r="1238" spans="5:5" x14ac:dyDescent="0.35">
      <c r="E1238" s="61"/>
    </row>
    <row r="1239" spans="5:5" x14ac:dyDescent="0.35">
      <c r="E1239" s="61"/>
    </row>
    <row r="1240" spans="5:5" x14ac:dyDescent="0.35">
      <c r="E1240" s="61"/>
    </row>
    <row r="1241" spans="5:5" x14ac:dyDescent="0.35">
      <c r="E1241" s="61"/>
    </row>
    <row r="1242" spans="5:5" x14ac:dyDescent="0.35">
      <c r="E1242" s="61"/>
    </row>
    <row r="1243" spans="5:5" x14ac:dyDescent="0.35">
      <c r="E1243" s="61"/>
    </row>
    <row r="1244" spans="5:5" x14ac:dyDescent="0.35">
      <c r="E1244" s="61"/>
    </row>
    <row r="1245" spans="5:5" x14ac:dyDescent="0.35">
      <c r="E1245" s="61"/>
    </row>
    <row r="1246" spans="5:5" x14ac:dyDescent="0.35">
      <c r="E1246" s="61"/>
    </row>
    <row r="1247" spans="5:5" x14ac:dyDescent="0.35">
      <c r="E1247" s="61"/>
    </row>
    <row r="1248" spans="5:5" x14ac:dyDescent="0.35">
      <c r="E1248" s="61"/>
    </row>
    <row r="1249" spans="5:5" x14ac:dyDescent="0.35">
      <c r="E1249" s="61"/>
    </row>
    <row r="1250" spans="5:5" x14ac:dyDescent="0.35">
      <c r="E1250" s="61"/>
    </row>
    <row r="1251" spans="5:5" x14ac:dyDescent="0.35">
      <c r="E1251" s="61"/>
    </row>
    <row r="1252" spans="5:5" x14ac:dyDescent="0.35">
      <c r="E1252" s="61"/>
    </row>
    <row r="1253" spans="5:5" x14ac:dyDescent="0.35">
      <c r="E1253" s="61"/>
    </row>
    <row r="1254" spans="5:5" x14ac:dyDescent="0.35">
      <c r="E1254" s="61"/>
    </row>
    <row r="1255" spans="5:5" x14ac:dyDescent="0.35">
      <c r="E1255" s="61"/>
    </row>
    <row r="1256" spans="5:5" x14ac:dyDescent="0.35">
      <c r="E1256" s="61"/>
    </row>
    <row r="1257" spans="5:5" x14ac:dyDescent="0.35">
      <c r="E1257" s="61"/>
    </row>
    <row r="1258" spans="5:5" x14ac:dyDescent="0.35">
      <c r="E1258" s="61"/>
    </row>
    <row r="1259" spans="5:5" x14ac:dyDescent="0.35">
      <c r="E1259" s="61"/>
    </row>
    <row r="1260" spans="5:5" x14ac:dyDescent="0.35">
      <c r="E1260" s="61"/>
    </row>
    <row r="1261" spans="5:5" x14ac:dyDescent="0.35">
      <c r="E1261" s="61"/>
    </row>
    <row r="1262" spans="5:5" x14ac:dyDescent="0.35">
      <c r="E1262" s="61"/>
    </row>
    <row r="1263" spans="5:5" x14ac:dyDescent="0.35">
      <c r="E1263" s="61"/>
    </row>
    <row r="1264" spans="5:5" x14ac:dyDescent="0.35">
      <c r="E1264" s="61"/>
    </row>
    <row r="1265" spans="5:5" x14ac:dyDescent="0.35">
      <c r="E1265" s="61"/>
    </row>
    <row r="1266" spans="5:5" x14ac:dyDescent="0.35">
      <c r="E1266" s="61"/>
    </row>
    <row r="1267" spans="5:5" x14ac:dyDescent="0.35">
      <c r="E1267" s="61"/>
    </row>
    <row r="1268" spans="5:5" x14ac:dyDescent="0.35">
      <c r="E1268" s="61"/>
    </row>
    <row r="1269" spans="5:5" x14ac:dyDescent="0.35">
      <c r="E1269" s="61"/>
    </row>
    <row r="1270" spans="5:5" x14ac:dyDescent="0.35">
      <c r="E1270" s="61"/>
    </row>
    <row r="1271" spans="5:5" x14ac:dyDescent="0.35">
      <c r="E1271" s="61"/>
    </row>
    <row r="1272" spans="5:5" x14ac:dyDescent="0.35">
      <c r="E1272" s="61"/>
    </row>
    <row r="1273" spans="5:5" x14ac:dyDescent="0.35">
      <c r="E1273" s="61"/>
    </row>
    <row r="1274" spans="5:5" x14ac:dyDescent="0.35">
      <c r="E1274" s="61"/>
    </row>
    <row r="1275" spans="5:5" x14ac:dyDescent="0.35">
      <c r="E1275" s="61"/>
    </row>
    <row r="1276" spans="5:5" x14ac:dyDescent="0.35">
      <c r="E1276" s="61"/>
    </row>
    <row r="1277" spans="5:5" x14ac:dyDescent="0.35">
      <c r="E1277" s="61"/>
    </row>
    <row r="1278" spans="5:5" x14ac:dyDescent="0.35">
      <c r="E1278" s="61"/>
    </row>
    <row r="1279" spans="5:5" x14ac:dyDescent="0.35">
      <c r="E1279" s="61"/>
    </row>
    <row r="1280" spans="5:5" x14ac:dyDescent="0.35">
      <c r="E1280" s="61"/>
    </row>
    <row r="1281" spans="5:5" x14ac:dyDescent="0.35">
      <c r="E1281" s="61"/>
    </row>
    <row r="1282" spans="5:5" x14ac:dyDescent="0.35">
      <c r="E1282" s="61"/>
    </row>
    <row r="1283" spans="5:5" x14ac:dyDescent="0.35">
      <c r="E1283" s="61"/>
    </row>
    <row r="1284" spans="5:5" x14ac:dyDescent="0.35">
      <c r="E1284" s="61"/>
    </row>
    <row r="1285" spans="5:5" x14ac:dyDescent="0.35">
      <c r="E1285" s="61"/>
    </row>
    <row r="1286" spans="5:5" x14ac:dyDescent="0.35">
      <c r="E1286" s="61"/>
    </row>
    <row r="1287" spans="5:5" x14ac:dyDescent="0.35">
      <c r="E1287" s="61"/>
    </row>
    <row r="1288" spans="5:5" x14ac:dyDescent="0.35">
      <c r="E1288" s="61"/>
    </row>
    <row r="1289" spans="5:5" x14ac:dyDescent="0.35">
      <c r="E1289" s="61"/>
    </row>
    <row r="1290" spans="5:5" x14ac:dyDescent="0.35">
      <c r="E1290" s="61"/>
    </row>
    <row r="1291" spans="5:5" x14ac:dyDescent="0.35">
      <c r="E1291" s="61"/>
    </row>
    <row r="1292" spans="5:5" x14ac:dyDescent="0.35">
      <c r="E1292" s="61"/>
    </row>
    <row r="1293" spans="5:5" x14ac:dyDescent="0.35">
      <c r="E1293" s="61"/>
    </row>
    <row r="1294" spans="5:5" x14ac:dyDescent="0.35">
      <c r="E1294" s="61"/>
    </row>
    <row r="1295" spans="5:5" x14ac:dyDescent="0.35">
      <c r="E1295" s="61"/>
    </row>
    <row r="1296" spans="5:5" x14ac:dyDescent="0.35">
      <c r="E1296" s="61"/>
    </row>
    <row r="1297" spans="5:5" x14ac:dyDescent="0.35">
      <c r="E1297" s="61"/>
    </row>
    <row r="1298" spans="5:5" x14ac:dyDescent="0.35">
      <c r="E1298" s="61"/>
    </row>
    <row r="1299" spans="5:5" x14ac:dyDescent="0.35">
      <c r="E1299" s="61"/>
    </row>
    <row r="1300" spans="5:5" x14ac:dyDescent="0.35">
      <c r="E1300" s="61"/>
    </row>
    <row r="1301" spans="5:5" x14ac:dyDescent="0.35">
      <c r="E1301" s="61"/>
    </row>
    <row r="1302" spans="5:5" x14ac:dyDescent="0.35">
      <c r="E1302" s="61"/>
    </row>
    <row r="1303" spans="5:5" x14ac:dyDescent="0.35">
      <c r="E1303" s="61"/>
    </row>
    <row r="1304" spans="5:5" x14ac:dyDescent="0.35">
      <c r="E1304" s="61"/>
    </row>
    <row r="1305" spans="5:5" x14ac:dyDescent="0.35">
      <c r="E1305" s="61"/>
    </row>
    <row r="1306" spans="5:5" x14ac:dyDescent="0.35">
      <c r="E1306" s="61"/>
    </row>
    <row r="1307" spans="5:5" x14ac:dyDescent="0.35">
      <c r="E1307" s="61"/>
    </row>
    <row r="1308" spans="5:5" x14ac:dyDescent="0.35">
      <c r="E1308" s="61"/>
    </row>
    <row r="1309" spans="5:5" x14ac:dyDescent="0.35">
      <c r="E1309" s="61"/>
    </row>
    <row r="1310" spans="5:5" x14ac:dyDescent="0.35">
      <c r="E1310" s="61"/>
    </row>
    <row r="1311" spans="5:5" x14ac:dyDescent="0.35">
      <c r="E1311" s="61"/>
    </row>
    <row r="1312" spans="5:5" x14ac:dyDescent="0.35">
      <c r="E1312" s="61"/>
    </row>
    <row r="1313" spans="5:5" x14ac:dyDescent="0.35">
      <c r="E1313" s="61"/>
    </row>
    <row r="1314" spans="5:5" x14ac:dyDescent="0.35">
      <c r="E1314" s="61"/>
    </row>
    <row r="1315" spans="5:5" x14ac:dyDescent="0.35">
      <c r="E1315" s="61"/>
    </row>
    <row r="1316" spans="5:5" x14ac:dyDescent="0.35">
      <c r="E1316" s="61"/>
    </row>
    <row r="1317" spans="5:5" x14ac:dyDescent="0.35">
      <c r="E1317" s="61"/>
    </row>
    <row r="1318" spans="5:5" x14ac:dyDescent="0.35">
      <c r="E1318" s="61"/>
    </row>
    <row r="1319" spans="5:5" x14ac:dyDescent="0.35">
      <c r="E1319" s="61"/>
    </row>
    <row r="1320" spans="5:5" x14ac:dyDescent="0.35">
      <c r="E1320" s="61"/>
    </row>
    <row r="1321" spans="5:5" x14ac:dyDescent="0.35">
      <c r="E1321" s="61"/>
    </row>
    <row r="1322" spans="5:5" x14ac:dyDescent="0.35">
      <c r="E1322" s="61"/>
    </row>
    <row r="1323" spans="5:5" x14ac:dyDescent="0.35">
      <c r="E1323" s="61"/>
    </row>
    <row r="1324" spans="5:5" x14ac:dyDescent="0.35">
      <c r="E1324" s="61"/>
    </row>
    <row r="1325" spans="5:5" x14ac:dyDescent="0.35">
      <c r="E1325" s="61"/>
    </row>
    <row r="1326" spans="5:5" x14ac:dyDescent="0.35">
      <c r="E1326" s="61"/>
    </row>
    <row r="1327" spans="5:5" x14ac:dyDescent="0.35">
      <c r="E1327" s="61"/>
    </row>
    <row r="1328" spans="5:5" x14ac:dyDescent="0.35">
      <c r="E1328" s="61"/>
    </row>
    <row r="1329" spans="5:5" x14ac:dyDescent="0.35">
      <c r="E1329" s="61"/>
    </row>
    <row r="1330" spans="5:5" x14ac:dyDescent="0.35">
      <c r="E1330" s="61"/>
    </row>
    <row r="1331" spans="5:5" x14ac:dyDescent="0.35">
      <c r="E1331" s="61"/>
    </row>
    <row r="1332" spans="5:5" x14ac:dyDescent="0.35">
      <c r="E1332" s="61"/>
    </row>
    <row r="1333" spans="5:5" x14ac:dyDescent="0.35">
      <c r="E1333" s="61"/>
    </row>
    <row r="1334" spans="5:5" x14ac:dyDescent="0.35">
      <c r="E1334" s="61"/>
    </row>
    <row r="1335" spans="5:5" x14ac:dyDescent="0.35">
      <c r="E1335" s="61"/>
    </row>
    <row r="1336" spans="5:5" x14ac:dyDescent="0.35">
      <c r="E1336" s="61"/>
    </row>
    <row r="1337" spans="5:5" x14ac:dyDescent="0.35">
      <c r="E1337" s="61"/>
    </row>
    <row r="1338" spans="5:5" x14ac:dyDescent="0.35">
      <c r="E1338" s="61"/>
    </row>
    <row r="1339" spans="5:5" x14ac:dyDescent="0.35">
      <c r="E1339" s="61"/>
    </row>
    <row r="1340" spans="5:5" x14ac:dyDescent="0.35">
      <c r="E1340" s="61"/>
    </row>
    <row r="1341" spans="5:5" x14ac:dyDescent="0.35">
      <c r="E1341" s="61"/>
    </row>
    <row r="1342" spans="5:5" x14ac:dyDescent="0.35">
      <c r="E1342" s="61"/>
    </row>
    <row r="1343" spans="5:5" x14ac:dyDescent="0.35">
      <c r="E1343" s="61"/>
    </row>
    <row r="1344" spans="5:5" x14ac:dyDescent="0.35">
      <c r="E1344" s="61"/>
    </row>
    <row r="1345" spans="5:5" x14ac:dyDescent="0.35">
      <c r="E1345" s="61"/>
    </row>
    <row r="1346" spans="5:5" x14ac:dyDescent="0.35">
      <c r="E1346" s="61"/>
    </row>
    <row r="1347" spans="5:5" x14ac:dyDescent="0.35">
      <c r="E1347" s="61"/>
    </row>
    <row r="1348" spans="5:5" x14ac:dyDescent="0.35">
      <c r="E1348" s="61"/>
    </row>
    <row r="1349" spans="5:5" x14ac:dyDescent="0.35">
      <c r="E1349" s="61"/>
    </row>
    <row r="1350" spans="5:5" x14ac:dyDescent="0.35">
      <c r="E1350" s="61"/>
    </row>
    <row r="1351" spans="5:5" x14ac:dyDescent="0.35">
      <c r="E1351" s="61"/>
    </row>
    <row r="1352" spans="5:5" x14ac:dyDescent="0.35">
      <c r="E1352" s="61"/>
    </row>
    <row r="1353" spans="5:5" x14ac:dyDescent="0.35">
      <c r="E1353" s="61"/>
    </row>
    <row r="1354" spans="5:5" x14ac:dyDescent="0.35">
      <c r="E1354" s="61"/>
    </row>
    <row r="1355" spans="5:5" x14ac:dyDescent="0.35">
      <c r="E1355" s="61"/>
    </row>
    <row r="1356" spans="5:5" x14ac:dyDescent="0.35">
      <c r="E1356" s="61"/>
    </row>
    <row r="1357" spans="5:5" x14ac:dyDescent="0.35">
      <c r="E1357" s="61"/>
    </row>
    <row r="1358" spans="5:5" x14ac:dyDescent="0.35">
      <c r="E1358" s="61"/>
    </row>
    <row r="1359" spans="5:5" x14ac:dyDescent="0.35">
      <c r="E1359" s="61"/>
    </row>
    <row r="1360" spans="5:5" x14ac:dyDescent="0.35">
      <c r="E1360" s="61"/>
    </row>
    <row r="1361" spans="5:5" x14ac:dyDescent="0.35">
      <c r="E1361" s="61"/>
    </row>
    <row r="1362" spans="5:5" x14ac:dyDescent="0.35">
      <c r="E1362" s="61"/>
    </row>
    <row r="1363" spans="5:5" x14ac:dyDescent="0.35">
      <c r="E1363" s="61"/>
    </row>
    <row r="1364" spans="5:5" x14ac:dyDescent="0.35">
      <c r="E1364" s="61"/>
    </row>
    <row r="1365" spans="5:5" x14ac:dyDescent="0.35">
      <c r="E1365" s="61"/>
    </row>
    <row r="1366" spans="5:5" x14ac:dyDescent="0.35">
      <c r="E1366" s="61"/>
    </row>
    <row r="1367" spans="5:5" x14ac:dyDescent="0.35">
      <c r="E1367" s="61"/>
    </row>
    <row r="1368" spans="5:5" x14ac:dyDescent="0.35">
      <c r="E1368" s="61"/>
    </row>
    <row r="1369" spans="5:5" x14ac:dyDescent="0.35">
      <c r="E1369" s="61"/>
    </row>
    <row r="1370" spans="5:5" x14ac:dyDescent="0.35">
      <c r="E1370" s="61"/>
    </row>
    <row r="1371" spans="5:5" x14ac:dyDescent="0.35">
      <c r="E1371" s="61"/>
    </row>
    <row r="1372" spans="5:5" x14ac:dyDescent="0.35">
      <c r="E1372" s="61"/>
    </row>
    <row r="1373" spans="5:5" x14ac:dyDescent="0.35">
      <c r="E1373" s="61"/>
    </row>
    <row r="1374" spans="5:5" x14ac:dyDescent="0.35">
      <c r="E1374" s="61"/>
    </row>
    <row r="1375" spans="5:5" x14ac:dyDescent="0.35">
      <c r="E1375" s="61"/>
    </row>
    <row r="1376" spans="5:5" x14ac:dyDescent="0.35">
      <c r="E1376" s="61"/>
    </row>
    <row r="1377" spans="5:5" x14ac:dyDescent="0.35">
      <c r="E1377" s="61"/>
    </row>
    <row r="1378" spans="5:5" x14ac:dyDescent="0.35">
      <c r="E1378" s="61"/>
    </row>
    <row r="1379" spans="5:5" x14ac:dyDescent="0.35">
      <c r="E1379" s="61"/>
    </row>
    <row r="1380" spans="5:5" x14ac:dyDescent="0.35">
      <c r="E1380" s="61"/>
    </row>
    <row r="1381" spans="5:5" x14ac:dyDescent="0.35">
      <c r="E1381" s="61"/>
    </row>
    <row r="1382" spans="5:5" x14ac:dyDescent="0.35">
      <c r="E1382" s="61"/>
    </row>
    <row r="1383" spans="5:5" x14ac:dyDescent="0.35">
      <c r="E1383" s="61"/>
    </row>
    <row r="1384" spans="5:5" x14ac:dyDescent="0.35">
      <c r="E1384" s="61"/>
    </row>
    <row r="1385" spans="5:5" x14ac:dyDescent="0.35">
      <c r="E1385" s="61"/>
    </row>
    <row r="1386" spans="5:5" x14ac:dyDescent="0.35">
      <c r="E1386" s="61"/>
    </row>
    <row r="1387" spans="5:5" x14ac:dyDescent="0.35">
      <c r="E1387" s="61"/>
    </row>
    <row r="1388" spans="5:5" x14ac:dyDescent="0.35">
      <c r="E1388" s="61"/>
    </row>
    <row r="1389" spans="5:5" x14ac:dyDescent="0.35">
      <c r="E1389" s="61"/>
    </row>
    <row r="1390" spans="5:5" x14ac:dyDescent="0.35">
      <c r="E1390" s="61"/>
    </row>
    <row r="1391" spans="5:5" x14ac:dyDescent="0.35">
      <c r="E1391" s="61"/>
    </row>
    <row r="1392" spans="5:5" x14ac:dyDescent="0.35">
      <c r="E1392" s="61"/>
    </row>
    <row r="1393" spans="5:5" x14ac:dyDescent="0.35">
      <c r="E1393" s="61"/>
    </row>
    <row r="1394" spans="5:5" x14ac:dyDescent="0.35">
      <c r="E1394" s="61"/>
    </row>
    <row r="1395" spans="5:5" x14ac:dyDescent="0.35">
      <c r="E1395" s="61"/>
    </row>
    <row r="1396" spans="5:5" x14ac:dyDescent="0.35">
      <c r="E1396" s="61"/>
    </row>
    <row r="1397" spans="5:5" x14ac:dyDescent="0.35">
      <c r="E1397" s="61"/>
    </row>
    <row r="1398" spans="5:5" x14ac:dyDescent="0.35">
      <c r="E1398" s="61"/>
    </row>
    <row r="1399" spans="5:5" x14ac:dyDescent="0.35">
      <c r="E1399" s="61"/>
    </row>
    <row r="1400" spans="5:5" x14ac:dyDescent="0.35">
      <c r="E1400" s="61"/>
    </row>
    <row r="1401" spans="5:5" x14ac:dyDescent="0.35">
      <c r="E1401" s="61"/>
    </row>
    <row r="1402" spans="5:5" x14ac:dyDescent="0.35">
      <c r="E1402" s="61"/>
    </row>
    <row r="1403" spans="5:5" x14ac:dyDescent="0.35">
      <c r="E1403" s="61"/>
    </row>
    <row r="1404" spans="5:5" x14ac:dyDescent="0.35">
      <c r="E1404" s="61"/>
    </row>
    <row r="1405" spans="5:5" x14ac:dyDescent="0.35">
      <c r="E1405" s="61"/>
    </row>
    <row r="1406" spans="5:5" x14ac:dyDescent="0.35">
      <c r="E1406" s="61"/>
    </row>
    <row r="1407" spans="5:5" x14ac:dyDescent="0.35">
      <c r="E1407" s="61"/>
    </row>
    <row r="1408" spans="5:5" x14ac:dyDescent="0.35">
      <c r="E1408" s="61"/>
    </row>
    <row r="1409" spans="5:5" x14ac:dyDescent="0.35">
      <c r="E1409" s="61"/>
    </row>
    <row r="1410" spans="5:5" x14ac:dyDescent="0.35">
      <c r="E1410" s="61"/>
    </row>
    <row r="1411" spans="5:5" x14ac:dyDescent="0.35">
      <c r="E1411" s="61"/>
    </row>
    <row r="1412" spans="5:5" x14ac:dyDescent="0.35">
      <c r="E1412" s="61"/>
    </row>
    <row r="1413" spans="5:5" x14ac:dyDescent="0.35">
      <c r="E1413" s="61"/>
    </row>
    <row r="1414" spans="5:5" x14ac:dyDescent="0.35">
      <c r="E1414" s="61"/>
    </row>
    <row r="1415" spans="5:5" x14ac:dyDescent="0.35">
      <c r="E1415" s="61"/>
    </row>
    <row r="1416" spans="5:5" x14ac:dyDescent="0.35">
      <c r="E1416" s="61"/>
    </row>
    <row r="1417" spans="5:5" x14ac:dyDescent="0.35">
      <c r="E1417" s="61"/>
    </row>
    <row r="1418" spans="5:5" x14ac:dyDescent="0.35">
      <c r="E1418" s="61"/>
    </row>
    <row r="1419" spans="5:5" x14ac:dyDescent="0.35">
      <c r="E1419" s="61"/>
    </row>
    <row r="1420" spans="5:5" x14ac:dyDescent="0.35">
      <c r="E1420" s="61"/>
    </row>
    <row r="1421" spans="5:5" x14ac:dyDescent="0.35">
      <c r="E1421" s="61"/>
    </row>
    <row r="1422" spans="5:5" x14ac:dyDescent="0.35">
      <c r="E1422" s="61"/>
    </row>
    <row r="1423" spans="5:5" x14ac:dyDescent="0.35">
      <c r="E1423" s="61"/>
    </row>
    <row r="1424" spans="5:5" x14ac:dyDescent="0.35">
      <c r="E1424" s="61"/>
    </row>
    <row r="1425" spans="5:5" x14ac:dyDescent="0.35">
      <c r="E1425" s="61"/>
    </row>
    <row r="1426" spans="5:5" x14ac:dyDescent="0.35">
      <c r="E1426" s="61"/>
    </row>
    <row r="1427" spans="5:5" x14ac:dyDescent="0.35">
      <c r="E1427" s="61"/>
    </row>
    <row r="1428" spans="5:5" x14ac:dyDescent="0.35">
      <c r="E1428" s="61"/>
    </row>
    <row r="1429" spans="5:5" x14ac:dyDescent="0.35">
      <c r="E1429" s="61"/>
    </row>
    <row r="1430" spans="5:5" x14ac:dyDescent="0.35">
      <c r="E1430" s="61"/>
    </row>
    <row r="1431" spans="5:5" x14ac:dyDescent="0.35">
      <c r="E1431" s="61"/>
    </row>
    <row r="1432" spans="5:5" x14ac:dyDescent="0.35">
      <c r="E1432" s="61"/>
    </row>
    <row r="1433" spans="5:5" x14ac:dyDescent="0.35">
      <c r="E1433" s="61"/>
    </row>
    <row r="1434" spans="5:5" x14ac:dyDescent="0.35">
      <c r="E1434" s="61"/>
    </row>
    <row r="1435" spans="5:5" x14ac:dyDescent="0.35">
      <c r="E1435" s="61"/>
    </row>
    <row r="1436" spans="5:5" x14ac:dyDescent="0.35">
      <c r="E1436" s="61"/>
    </row>
    <row r="1437" spans="5:5" x14ac:dyDescent="0.35">
      <c r="E1437" s="61"/>
    </row>
    <row r="1438" spans="5:5" x14ac:dyDescent="0.35">
      <c r="E1438" s="61"/>
    </row>
    <row r="1439" spans="5:5" x14ac:dyDescent="0.35">
      <c r="E1439" s="61"/>
    </row>
    <row r="1440" spans="5:5" x14ac:dyDescent="0.35">
      <c r="E1440" s="61"/>
    </row>
    <row r="1441" spans="5:5" x14ac:dyDescent="0.35">
      <c r="E1441" s="61"/>
    </row>
    <row r="1442" spans="5:5" x14ac:dyDescent="0.35">
      <c r="E1442" s="61"/>
    </row>
    <row r="1443" spans="5:5" x14ac:dyDescent="0.35">
      <c r="E1443" s="61"/>
    </row>
    <row r="1444" spans="5:5" x14ac:dyDescent="0.35">
      <c r="E1444" s="61"/>
    </row>
    <row r="1445" spans="5:5" x14ac:dyDescent="0.35">
      <c r="E1445" s="61"/>
    </row>
    <row r="1446" spans="5:5" x14ac:dyDescent="0.35">
      <c r="E1446" s="61"/>
    </row>
    <row r="1447" spans="5:5" x14ac:dyDescent="0.35">
      <c r="E1447" s="61"/>
    </row>
    <row r="1448" spans="5:5" x14ac:dyDescent="0.35">
      <c r="E1448" s="61"/>
    </row>
    <row r="1449" spans="5:5" x14ac:dyDescent="0.35">
      <c r="E1449" s="61"/>
    </row>
    <row r="1450" spans="5:5" x14ac:dyDescent="0.35">
      <c r="E1450" s="61"/>
    </row>
    <row r="1451" spans="5:5" x14ac:dyDescent="0.35">
      <c r="E1451" s="61"/>
    </row>
    <row r="1452" spans="5:5" x14ac:dyDescent="0.35">
      <c r="E1452" s="61"/>
    </row>
    <row r="1453" spans="5:5" x14ac:dyDescent="0.35">
      <c r="E1453" s="61"/>
    </row>
    <row r="1454" spans="5:5" x14ac:dyDescent="0.35">
      <c r="E1454" s="61"/>
    </row>
    <row r="1455" spans="5:5" x14ac:dyDescent="0.35">
      <c r="E1455" s="61"/>
    </row>
    <row r="1456" spans="5:5" x14ac:dyDescent="0.35">
      <c r="E1456" s="61"/>
    </row>
    <row r="1457" spans="5:5" x14ac:dyDescent="0.35">
      <c r="E1457" s="61"/>
    </row>
    <row r="1458" spans="5:5" x14ac:dyDescent="0.35">
      <c r="E1458" s="61"/>
    </row>
    <row r="1459" spans="5:5" x14ac:dyDescent="0.35">
      <c r="E1459" s="61"/>
    </row>
    <row r="1460" spans="5:5" x14ac:dyDescent="0.35">
      <c r="E1460" s="61"/>
    </row>
    <row r="1461" spans="5:5" x14ac:dyDescent="0.35">
      <c r="E1461" s="61"/>
    </row>
    <row r="1462" spans="5:5" x14ac:dyDescent="0.35">
      <c r="E1462" s="61"/>
    </row>
    <row r="1463" spans="5:5" x14ac:dyDescent="0.35">
      <c r="E1463" s="61"/>
    </row>
    <row r="1464" spans="5:5" x14ac:dyDescent="0.35">
      <c r="E1464" s="61"/>
    </row>
    <row r="1465" spans="5:5" x14ac:dyDescent="0.35">
      <c r="E1465" s="61"/>
    </row>
    <row r="1466" spans="5:5" x14ac:dyDescent="0.35">
      <c r="E1466" s="61"/>
    </row>
    <row r="1467" spans="5:5" x14ac:dyDescent="0.35">
      <c r="E1467" s="61"/>
    </row>
    <row r="1468" spans="5:5" x14ac:dyDescent="0.35">
      <c r="E1468" s="61"/>
    </row>
    <row r="1469" spans="5:5" x14ac:dyDescent="0.35">
      <c r="E1469" s="61"/>
    </row>
    <row r="1470" spans="5:5" x14ac:dyDescent="0.35">
      <c r="E1470" s="61"/>
    </row>
    <row r="1471" spans="5:5" x14ac:dyDescent="0.35">
      <c r="E1471" s="61"/>
    </row>
    <row r="1472" spans="5:5" x14ac:dyDescent="0.35">
      <c r="E1472" s="61"/>
    </row>
    <row r="1473" spans="5:5" x14ac:dyDescent="0.35">
      <c r="E1473" s="61"/>
    </row>
    <row r="1474" spans="5:5" x14ac:dyDescent="0.35">
      <c r="E1474" s="61"/>
    </row>
    <row r="1475" spans="5:5" x14ac:dyDescent="0.35">
      <c r="E1475" s="61"/>
    </row>
    <row r="1476" spans="5:5" x14ac:dyDescent="0.35">
      <c r="E1476" s="61"/>
    </row>
    <row r="1477" spans="5:5" x14ac:dyDescent="0.35">
      <c r="E1477" s="61"/>
    </row>
    <row r="1478" spans="5:5" x14ac:dyDescent="0.35">
      <c r="E1478" s="61"/>
    </row>
    <row r="1479" spans="5:5" x14ac:dyDescent="0.35">
      <c r="E1479" s="61"/>
    </row>
    <row r="1480" spans="5:5" x14ac:dyDescent="0.35">
      <c r="E1480" s="61"/>
    </row>
    <row r="1481" spans="5:5" x14ac:dyDescent="0.35">
      <c r="E1481" s="61"/>
    </row>
    <row r="1482" spans="5:5" x14ac:dyDescent="0.35">
      <c r="E1482" s="61"/>
    </row>
    <row r="1483" spans="5:5" x14ac:dyDescent="0.35">
      <c r="E1483" s="61"/>
    </row>
    <row r="1484" spans="5:5" x14ac:dyDescent="0.35">
      <c r="E1484" s="61"/>
    </row>
    <row r="1485" spans="5:5" x14ac:dyDescent="0.35">
      <c r="E1485" s="61"/>
    </row>
    <row r="1486" spans="5:5" x14ac:dyDescent="0.35">
      <c r="E1486" s="61"/>
    </row>
    <row r="1487" spans="5:5" x14ac:dyDescent="0.35">
      <c r="E1487" s="61"/>
    </row>
    <row r="1488" spans="5:5" x14ac:dyDescent="0.35">
      <c r="E1488" s="61"/>
    </row>
    <row r="1489" spans="5:5" x14ac:dyDescent="0.35">
      <c r="E1489" s="61"/>
    </row>
    <row r="1490" spans="5:5" x14ac:dyDescent="0.35">
      <c r="E1490" s="61"/>
    </row>
    <row r="1491" spans="5:5" x14ac:dyDescent="0.35">
      <c r="E1491" s="61"/>
    </row>
    <row r="1492" spans="5:5" x14ac:dyDescent="0.35">
      <c r="E1492" s="61"/>
    </row>
    <row r="1493" spans="5:5" x14ac:dyDescent="0.35">
      <c r="E1493" s="61"/>
    </row>
    <row r="1494" spans="5:5" x14ac:dyDescent="0.35">
      <c r="E1494" s="61"/>
    </row>
    <row r="1495" spans="5:5" x14ac:dyDescent="0.35">
      <c r="E1495" s="61"/>
    </row>
    <row r="1496" spans="5:5" x14ac:dyDescent="0.35">
      <c r="E1496" s="61"/>
    </row>
    <row r="1497" spans="5:5" x14ac:dyDescent="0.35">
      <c r="E1497" s="61"/>
    </row>
    <row r="1498" spans="5:5" x14ac:dyDescent="0.35">
      <c r="E1498" s="61"/>
    </row>
    <row r="1499" spans="5:5" x14ac:dyDescent="0.35">
      <c r="E1499" s="61"/>
    </row>
    <row r="1500" spans="5:5" x14ac:dyDescent="0.35">
      <c r="E1500" s="61"/>
    </row>
    <row r="1501" spans="5:5" x14ac:dyDescent="0.35">
      <c r="E1501" s="61"/>
    </row>
    <row r="1502" spans="5:5" x14ac:dyDescent="0.35">
      <c r="E1502" s="61"/>
    </row>
    <row r="1503" spans="5:5" x14ac:dyDescent="0.35">
      <c r="E1503" s="61"/>
    </row>
    <row r="1504" spans="5:5" x14ac:dyDescent="0.35">
      <c r="E1504" s="61"/>
    </row>
    <row r="1505" spans="5:5" x14ac:dyDescent="0.35">
      <c r="E1505" s="61"/>
    </row>
    <row r="1506" spans="5:5" x14ac:dyDescent="0.35">
      <c r="E1506" s="61"/>
    </row>
    <row r="1507" spans="5:5" x14ac:dyDescent="0.35">
      <c r="E1507" s="61"/>
    </row>
    <row r="1508" spans="5:5" x14ac:dyDescent="0.35">
      <c r="E1508" s="61"/>
    </row>
    <row r="1509" spans="5:5" x14ac:dyDescent="0.35">
      <c r="E1509" s="61"/>
    </row>
    <row r="1510" spans="5:5" x14ac:dyDescent="0.35">
      <c r="E1510" s="61"/>
    </row>
    <row r="1511" spans="5:5" x14ac:dyDescent="0.35">
      <c r="E1511" s="61"/>
    </row>
    <row r="1512" spans="5:5" x14ac:dyDescent="0.35">
      <c r="E1512" s="61"/>
    </row>
    <row r="1513" spans="5:5" x14ac:dyDescent="0.35">
      <c r="E1513" s="61"/>
    </row>
    <row r="1514" spans="5:5" x14ac:dyDescent="0.35">
      <c r="E1514" s="61"/>
    </row>
    <row r="1515" spans="5:5" x14ac:dyDescent="0.35">
      <c r="E1515" s="61"/>
    </row>
    <row r="1516" spans="5:5" x14ac:dyDescent="0.35">
      <c r="E1516" s="61"/>
    </row>
    <row r="1517" spans="5:5" x14ac:dyDescent="0.35">
      <c r="E1517" s="61"/>
    </row>
    <row r="1518" spans="5:5" x14ac:dyDescent="0.35">
      <c r="E1518" s="61"/>
    </row>
    <row r="1519" spans="5:5" x14ac:dyDescent="0.35">
      <c r="E1519" s="61"/>
    </row>
    <row r="1520" spans="5:5" x14ac:dyDescent="0.35">
      <c r="E1520" s="61"/>
    </row>
    <row r="1521" spans="5:5" x14ac:dyDescent="0.35">
      <c r="E1521" s="61"/>
    </row>
    <row r="1522" spans="5:5" x14ac:dyDescent="0.35">
      <c r="E1522" s="61"/>
    </row>
    <row r="1523" spans="5:5" x14ac:dyDescent="0.35">
      <c r="E1523" s="61"/>
    </row>
    <row r="1524" spans="5:5" x14ac:dyDescent="0.35">
      <c r="E1524" s="61"/>
    </row>
    <row r="1525" spans="5:5" x14ac:dyDescent="0.35">
      <c r="E1525" s="61"/>
    </row>
    <row r="1526" spans="5:5" x14ac:dyDescent="0.35">
      <c r="E1526" s="61"/>
    </row>
    <row r="1527" spans="5:5" x14ac:dyDescent="0.35">
      <c r="E1527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1ADF-8473-4106-BC26-4DAA9A24D13D}">
  <dimension ref="A1:K1528"/>
  <sheetViews>
    <sheetView workbookViewId="0">
      <selection activeCell="E26" sqref="E26"/>
    </sheetView>
  </sheetViews>
  <sheetFormatPr defaultRowHeight="15.5" x14ac:dyDescent="0.35"/>
  <cols>
    <col min="2" max="2" width="22.6640625" style="17" customWidth="1"/>
    <col min="3" max="3" width="15.6640625" style="5" bestFit="1" customWidth="1"/>
    <col min="4" max="4" width="25.1640625" style="5" bestFit="1" customWidth="1"/>
    <col min="5" max="5" width="50.83203125" style="5" bestFit="1" customWidth="1"/>
    <col min="6" max="6" width="18" style="5" bestFit="1" customWidth="1"/>
    <col min="7" max="7" width="18" style="5" customWidth="1"/>
    <col min="8" max="8" width="22.5" style="5" customWidth="1"/>
    <col min="9" max="9" width="15.6640625" style="5" bestFit="1" customWidth="1"/>
    <col min="10" max="10" width="13.33203125" style="5" bestFit="1" customWidth="1"/>
    <col min="11" max="11" width="5.1640625" style="5" bestFit="1" customWidth="1"/>
  </cols>
  <sheetData>
    <row r="1" spans="1:11" x14ac:dyDescent="0.35">
      <c r="A1" t="s">
        <v>1378</v>
      </c>
      <c r="B1" s="11" t="s">
        <v>0</v>
      </c>
      <c r="C1" s="12" t="s">
        <v>1</v>
      </c>
      <c r="D1" s="12" t="s">
        <v>13</v>
      </c>
      <c r="E1" s="12" t="s">
        <v>14</v>
      </c>
      <c r="F1" s="12" t="s">
        <v>5</v>
      </c>
      <c r="G1" s="12" t="s">
        <v>6</v>
      </c>
      <c r="H1" s="12" t="s">
        <v>7</v>
      </c>
      <c r="I1" s="12" t="s">
        <v>11</v>
      </c>
      <c r="J1" s="12" t="s">
        <v>12</v>
      </c>
      <c r="K1" s="13" t="s">
        <v>15</v>
      </c>
    </row>
    <row r="2" spans="1:11" x14ac:dyDescent="0.35">
      <c r="A2" t="s">
        <v>1380</v>
      </c>
      <c r="B2" s="20" t="s">
        <v>29</v>
      </c>
      <c r="C2" s="21" t="s">
        <v>30</v>
      </c>
      <c r="D2" s="21">
        <v>1217.7</v>
      </c>
      <c r="E2" s="21"/>
      <c r="F2" s="22">
        <v>65.587765957446805</v>
      </c>
      <c r="G2" s="23" t="s">
        <v>27</v>
      </c>
      <c r="H2" s="22">
        <v>0.45223404255320077</v>
      </c>
      <c r="I2" s="21">
        <v>25</v>
      </c>
      <c r="J2" s="24">
        <v>-1.5</v>
      </c>
      <c r="K2" s="25">
        <v>0.12</v>
      </c>
    </row>
    <row r="3" spans="1:11" x14ac:dyDescent="0.35">
      <c r="A3" t="s">
        <v>1380</v>
      </c>
      <c r="B3" s="17" t="s">
        <v>29</v>
      </c>
      <c r="C3" s="5" t="s">
        <v>30</v>
      </c>
      <c r="D3" s="5">
        <v>1236</v>
      </c>
      <c r="F3" s="60">
        <v>65.75</v>
      </c>
      <c r="G3" s="61" t="s">
        <v>27</v>
      </c>
      <c r="H3" s="60">
        <v>0.29000000000000625</v>
      </c>
      <c r="I3" s="5">
        <v>24.8</v>
      </c>
      <c r="J3" s="62">
        <v>-1.6999999999999993</v>
      </c>
      <c r="K3" s="63">
        <v>0.08</v>
      </c>
    </row>
    <row r="4" spans="1:11" x14ac:dyDescent="0.35">
      <c r="A4" t="s">
        <v>1380</v>
      </c>
      <c r="B4" s="17" t="s">
        <v>29</v>
      </c>
      <c r="C4" s="5" t="s">
        <v>30</v>
      </c>
      <c r="D4" s="5">
        <v>1264.2</v>
      </c>
      <c r="E4" s="5" t="s">
        <v>49</v>
      </c>
      <c r="F4" s="5">
        <v>66</v>
      </c>
      <c r="G4" s="61" t="s">
        <v>27</v>
      </c>
      <c r="H4" s="5">
        <v>4.0000000000006253E-2</v>
      </c>
      <c r="I4" s="5">
        <v>25.2</v>
      </c>
      <c r="J4" s="62">
        <v>-1.3000000000000007</v>
      </c>
      <c r="K4" s="63">
        <v>7.0000000000000007E-2</v>
      </c>
    </row>
    <row r="5" spans="1:11" x14ac:dyDescent="0.35">
      <c r="A5" t="s">
        <v>1380</v>
      </c>
      <c r="B5" s="17" t="s">
        <v>29</v>
      </c>
      <c r="C5" s="5" t="s">
        <v>30</v>
      </c>
      <c r="D5" s="5">
        <v>1272.5</v>
      </c>
      <c r="F5" s="60">
        <v>66.011178451178452</v>
      </c>
      <c r="G5" s="61" t="s">
        <v>27</v>
      </c>
      <c r="H5" s="60">
        <v>2.8821548821554188E-2</v>
      </c>
      <c r="I5" s="5">
        <v>25.6</v>
      </c>
      <c r="J5" s="62">
        <v>-0.89999999999999858</v>
      </c>
      <c r="K5" s="63">
        <v>0.08</v>
      </c>
    </row>
    <row r="6" spans="1:11" x14ac:dyDescent="0.35">
      <c r="A6" t="s">
        <v>1380</v>
      </c>
      <c r="B6" s="17" t="s">
        <v>29</v>
      </c>
      <c r="C6" s="5" t="s">
        <v>30</v>
      </c>
      <c r="D6" s="5">
        <v>1280.9000000000001</v>
      </c>
      <c r="F6" s="60">
        <v>66.022491582491583</v>
      </c>
      <c r="G6" s="61" t="s">
        <v>27</v>
      </c>
      <c r="H6" s="60">
        <v>1.750841750842369E-2</v>
      </c>
      <c r="I6" s="5">
        <v>25.2</v>
      </c>
      <c r="J6" s="62">
        <v>-1.3000000000000007</v>
      </c>
      <c r="K6" s="63">
        <v>0.08</v>
      </c>
    </row>
    <row r="7" spans="1:11" x14ac:dyDescent="0.35">
      <c r="A7" t="s">
        <v>1380</v>
      </c>
      <c r="B7" s="17" t="s">
        <v>29</v>
      </c>
      <c r="C7" s="5" t="s">
        <v>30</v>
      </c>
      <c r="D7" s="5">
        <v>1282.4000000000001</v>
      </c>
      <c r="F7" s="60">
        <v>66.024511784511787</v>
      </c>
      <c r="G7" s="61" t="s">
        <v>27</v>
      </c>
      <c r="H7" s="60">
        <v>1.5488215488218771E-2</v>
      </c>
      <c r="I7" s="5">
        <v>25.5</v>
      </c>
      <c r="J7" s="62">
        <v>-1</v>
      </c>
      <c r="K7" s="63">
        <v>0.09</v>
      </c>
    </row>
    <row r="8" spans="1:11" x14ac:dyDescent="0.35">
      <c r="A8" t="s">
        <v>1380</v>
      </c>
      <c r="B8" s="17" t="s">
        <v>29</v>
      </c>
      <c r="C8" s="5" t="s">
        <v>30</v>
      </c>
      <c r="D8" s="5">
        <v>1284.7</v>
      </c>
      <c r="F8" s="60">
        <v>66.027609427609434</v>
      </c>
      <c r="G8" s="61" t="s">
        <v>27</v>
      </c>
      <c r="H8" s="60">
        <v>1.2390572390572174E-2</v>
      </c>
      <c r="I8" s="5">
        <v>25.2</v>
      </c>
      <c r="J8" s="62">
        <v>-1.3000000000000007</v>
      </c>
      <c r="K8" s="63">
        <v>7.0000000000000007E-2</v>
      </c>
    </row>
    <row r="9" spans="1:11" x14ac:dyDescent="0.35">
      <c r="A9" t="s">
        <v>1380</v>
      </c>
      <c r="B9" s="17" t="s">
        <v>29</v>
      </c>
      <c r="C9" s="5" t="s">
        <v>30</v>
      </c>
      <c r="D9" s="5">
        <v>1287</v>
      </c>
      <c r="F9" s="60">
        <v>66.030707070707081</v>
      </c>
      <c r="G9" s="61" t="s">
        <v>27</v>
      </c>
      <c r="H9" s="60">
        <v>9.292929292925578E-3</v>
      </c>
      <c r="I9" s="5">
        <v>24.7</v>
      </c>
      <c r="J9" s="62">
        <v>-1.8000000000000007</v>
      </c>
      <c r="K9" s="63">
        <v>0.09</v>
      </c>
    </row>
    <row r="10" spans="1:11" x14ac:dyDescent="0.35">
      <c r="A10" t="s">
        <v>1380</v>
      </c>
      <c r="B10" s="17" t="s">
        <v>29</v>
      </c>
      <c r="C10" s="5" t="s">
        <v>30</v>
      </c>
      <c r="D10" s="5">
        <v>1288.7</v>
      </c>
      <c r="F10" s="60">
        <v>66.032996632996642</v>
      </c>
      <c r="G10" s="61" t="s">
        <v>27</v>
      </c>
      <c r="H10" s="60">
        <v>7.0033670033637918E-3</v>
      </c>
      <c r="I10" s="5">
        <v>25.6</v>
      </c>
      <c r="J10" s="62">
        <v>-0.89999999999999858</v>
      </c>
      <c r="K10" s="63">
        <v>0.12</v>
      </c>
    </row>
    <row r="11" spans="1:11" x14ac:dyDescent="0.35">
      <c r="A11" t="s">
        <v>1380</v>
      </c>
      <c r="B11" s="17" t="s">
        <v>29</v>
      </c>
      <c r="C11" s="5" t="s">
        <v>30</v>
      </c>
      <c r="D11" s="5">
        <v>1290.0999999999999</v>
      </c>
      <c r="F11" s="60">
        <v>66.034882154882155</v>
      </c>
      <c r="G11" s="61" t="s">
        <v>27</v>
      </c>
      <c r="H11" s="60">
        <v>5.1178451178515161E-3</v>
      </c>
      <c r="I11" s="93">
        <v>22.8</v>
      </c>
      <c r="J11" s="94">
        <v>-3.6999999999999993</v>
      </c>
      <c r="K11" s="63">
        <v>0.13</v>
      </c>
    </row>
    <row r="12" spans="1:11" x14ac:dyDescent="0.35">
      <c r="A12" t="s">
        <v>1380</v>
      </c>
      <c r="B12" s="17" t="s">
        <v>29</v>
      </c>
      <c r="C12" s="5" t="s">
        <v>30</v>
      </c>
      <c r="D12" s="5">
        <v>1293.9000000000001</v>
      </c>
      <c r="E12" s="5" t="s">
        <v>75</v>
      </c>
      <c r="F12" s="18">
        <v>66.040000000000006</v>
      </c>
      <c r="G12" s="61" t="s">
        <v>27</v>
      </c>
      <c r="H12" s="18">
        <v>0</v>
      </c>
      <c r="I12" s="67">
        <v>26.5</v>
      </c>
      <c r="J12" s="95">
        <v>0</v>
      </c>
      <c r="K12" s="63">
        <v>0.09</v>
      </c>
    </row>
    <row r="13" spans="1:11" x14ac:dyDescent="0.35">
      <c r="A13" t="s">
        <v>1380</v>
      </c>
      <c r="B13" s="17" t="s">
        <v>29</v>
      </c>
      <c r="C13" s="5" t="s">
        <v>30</v>
      </c>
      <c r="D13" s="5">
        <v>1296.9000000000001</v>
      </c>
      <c r="F13" s="60">
        <v>66.043474903474916</v>
      </c>
      <c r="G13" s="61" t="s">
        <v>27</v>
      </c>
      <c r="H13" s="60">
        <v>-3.4749034749097518E-3</v>
      </c>
      <c r="I13" s="93">
        <v>26.1</v>
      </c>
      <c r="J13" s="94">
        <v>-0.39999999999999858</v>
      </c>
      <c r="K13" s="63">
        <v>0.09</v>
      </c>
    </row>
    <row r="14" spans="1:11" x14ac:dyDescent="0.35">
      <c r="A14" t="s">
        <v>1380</v>
      </c>
      <c r="B14" s="17" t="s">
        <v>29</v>
      </c>
      <c r="C14" s="5" t="s">
        <v>30</v>
      </c>
      <c r="D14" s="5">
        <v>1309.9000000000001</v>
      </c>
      <c r="F14" s="60">
        <v>66.058532818532825</v>
      </c>
      <c r="G14" s="61" t="s">
        <v>27</v>
      </c>
      <c r="H14" s="60">
        <v>-1.8532818532818851E-2</v>
      </c>
      <c r="I14" s="93">
        <v>26.9</v>
      </c>
      <c r="J14" s="94">
        <v>0.39999999999999858</v>
      </c>
      <c r="K14" s="63">
        <v>7.0000000000000007E-2</v>
      </c>
    </row>
    <row r="15" spans="1:11" x14ac:dyDescent="0.35">
      <c r="A15" t="s">
        <v>1380</v>
      </c>
      <c r="B15" s="17" t="s">
        <v>29</v>
      </c>
      <c r="C15" s="5" t="s">
        <v>30</v>
      </c>
      <c r="D15" s="5">
        <v>1321.3</v>
      </c>
      <c r="F15" s="60">
        <v>66.071737451737448</v>
      </c>
      <c r="G15" s="61" t="s">
        <v>27</v>
      </c>
      <c r="H15" s="60">
        <v>-3.1737451737441802E-2</v>
      </c>
      <c r="I15" s="93">
        <v>27.6</v>
      </c>
      <c r="J15" s="94">
        <v>1.1000000000000014</v>
      </c>
      <c r="K15" s="63">
        <v>0.08</v>
      </c>
    </row>
    <row r="16" spans="1:11" x14ac:dyDescent="0.35">
      <c r="A16" t="s">
        <v>1380</v>
      </c>
      <c r="B16" s="17" t="s">
        <v>29</v>
      </c>
      <c r="C16" s="5" t="s">
        <v>30</v>
      </c>
      <c r="D16" s="5">
        <v>1345.7</v>
      </c>
      <c r="E16" s="5" t="s">
        <v>86</v>
      </c>
      <c r="F16" s="18">
        <v>66.099999999999994</v>
      </c>
      <c r="G16" s="61" t="s">
        <v>27</v>
      </c>
      <c r="H16" s="18">
        <v>-5.9999999999988063E-2</v>
      </c>
      <c r="I16" s="67">
        <v>28.5</v>
      </c>
      <c r="J16" s="95">
        <v>2</v>
      </c>
      <c r="K16" s="63">
        <v>0.05</v>
      </c>
    </row>
    <row r="17" spans="1:11" x14ac:dyDescent="0.35">
      <c r="A17" t="s">
        <v>1380</v>
      </c>
      <c r="B17" s="17" t="s">
        <v>29</v>
      </c>
      <c r="C17" s="5" t="s">
        <v>30</v>
      </c>
      <c r="D17" s="5">
        <v>1370.1</v>
      </c>
      <c r="F17" s="60">
        <v>66.129309309309306</v>
      </c>
      <c r="G17" s="61" t="s">
        <v>27</v>
      </c>
      <c r="H17" s="60">
        <v>-8.9309309309300033E-2</v>
      </c>
      <c r="I17" s="93">
        <v>28.4</v>
      </c>
      <c r="J17" s="94">
        <v>1.8999999999999986</v>
      </c>
      <c r="K17" s="63">
        <v>7.0000000000000007E-2</v>
      </c>
    </row>
    <row r="18" spans="1:11" x14ac:dyDescent="0.35">
      <c r="A18" t="s">
        <v>1380</v>
      </c>
      <c r="B18" s="17" t="s">
        <v>29</v>
      </c>
      <c r="C18" s="5" t="s">
        <v>30</v>
      </c>
      <c r="D18" s="5">
        <v>1408.2</v>
      </c>
      <c r="F18" s="60">
        <v>66.175075075075071</v>
      </c>
      <c r="G18" s="61" t="s">
        <v>27</v>
      </c>
      <c r="H18" s="60">
        <v>-0.13507507507506489</v>
      </c>
      <c r="I18" s="93">
        <v>28.3</v>
      </c>
      <c r="J18" s="94">
        <v>1.8000000000000007</v>
      </c>
      <c r="K18" s="63">
        <v>0.06</v>
      </c>
    </row>
    <row r="19" spans="1:11" x14ac:dyDescent="0.35">
      <c r="A19" t="s">
        <v>1380</v>
      </c>
      <c r="B19" s="17" t="s">
        <v>29</v>
      </c>
      <c r="C19" s="5" t="s">
        <v>30</v>
      </c>
      <c r="D19" s="5">
        <v>1446.3</v>
      </c>
      <c r="F19" s="60">
        <v>66.220840840840836</v>
      </c>
      <c r="G19" s="61" t="s">
        <v>27</v>
      </c>
      <c r="H19" s="60">
        <v>-0.18084084084082974</v>
      </c>
      <c r="I19" s="93">
        <v>29.1</v>
      </c>
      <c r="J19" s="94">
        <v>2.6000000000000014</v>
      </c>
      <c r="K19" s="63">
        <v>7.0000000000000007E-2</v>
      </c>
    </row>
    <row r="20" spans="1:11" x14ac:dyDescent="0.35">
      <c r="A20" t="s">
        <v>1380</v>
      </c>
      <c r="B20" s="17" t="s">
        <v>29</v>
      </c>
      <c r="C20" s="5" t="s">
        <v>30</v>
      </c>
      <c r="D20" s="5">
        <v>1523.2</v>
      </c>
      <c r="F20" s="60">
        <v>66.313213213213217</v>
      </c>
      <c r="G20" s="61" t="s">
        <v>27</v>
      </c>
      <c r="H20" s="60">
        <v>-0.27321321321321079</v>
      </c>
      <c r="I20" s="5">
        <v>26</v>
      </c>
      <c r="J20" s="62">
        <v>-0.5</v>
      </c>
      <c r="K20" s="63">
        <v>7.0000000000000007E-2</v>
      </c>
    </row>
    <row r="21" spans="1:11" x14ac:dyDescent="0.35">
      <c r="A21" t="s">
        <v>1380</v>
      </c>
      <c r="B21" s="17" t="s">
        <v>29</v>
      </c>
      <c r="C21" s="5" t="s">
        <v>30</v>
      </c>
      <c r="D21" s="5">
        <v>1598.7</v>
      </c>
      <c r="F21" s="60">
        <v>66.40390390390391</v>
      </c>
      <c r="G21" s="61" t="s">
        <v>27</v>
      </c>
      <c r="H21" s="60">
        <v>-0.36390390390390337</v>
      </c>
      <c r="I21" s="5">
        <v>25.3</v>
      </c>
      <c r="J21" s="62">
        <v>-1.1999999999999993</v>
      </c>
      <c r="K21" s="63">
        <v>0.09</v>
      </c>
    </row>
    <row r="22" spans="1:11" x14ac:dyDescent="0.35">
      <c r="A22" t="s">
        <v>1380</v>
      </c>
      <c r="B22" s="17" t="s">
        <v>29</v>
      </c>
      <c r="C22" s="5" t="s">
        <v>30</v>
      </c>
      <c r="D22" s="5">
        <v>1678.7</v>
      </c>
      <c r="E22" s="5" t="s">
        <v>103</v>
      </c>
      <c r="F22" s="18">
        <v>66.5</v>
      </c>
      <c r="G22" s="61" t="s">
        <v>27</v>
      </c>
      <c r="H22" s="18">
        <v>-0.45999999999999375</v>
      </c>
      <c r="I22" s="5">
        <v>24.5</v>
      </c>
      <c r="J22" s="62">
        <v>-2</v>
      </c>
      <c r="K22" s="63">
        <v>7.0000000000000007E-2</v>
      </c>
    </row>
    <row r="23" spans="1:11" x14ac:dyDescent="0.35">
      <c r="A23" t="s">
        <v>1380</v>
      </c>
      <c r="B23" s="17" t="s">
        <v>29</v>
      </c>
      <c r="C23" s="5" t="s">
        <v>30</v>
      </c>
      <c r="D23" s="5">
        <v>1751.1</v>
      </c>
      <c r="F23" s="60">
        <v>66.581918986195973</v>
      </c>
      <c r="G23" s="61" t="s">
        <v>27</v>
      </c>
      <c r="H23" s="60">
        <v>-0.54191898619596657</v>
      </c>
      <c r="I23" s="5">
        <v>24.3</v>
      </c>
      <c r="J23" s="62">
        <v>-2.1999999999999993</v>
      </c>
      <c r="K23" s="63">
        <v>0.08</v>
      </c>
    </row>
    <row r="24" spans="1:11" x14ac:dyDescent="0.35">
      <c r="A24" t="s">
        <v>1380</v>
      </c>
      <c r="B24" s="17" t="s">
        <v>29</v>
      </c>
      <c r="C24" s="5" t="s">
        <v>30</v>
      </c>
      <c r="D24" s="5">
        <v>1826.5</v>
      </c>
      <c r="F24" s="60">
        <v>66.667232405521617</v>
      </c>
      <c r="G24" s="61" t="s">
        <v>27</v>
      </c>
      <c r="H24" s="60">
        <v>-0.6272324055216103</v>
      </c>
      <c r="I24" s="5">
        <v>24.1</v>
      </c>
      <c r="J24" s="62">
        <v>-2.3999999999999986</v>
      </c>
      <c r="K24" s="63">
        <v>7.0000000000000007E-2</v>
      </c>
    </row>
    <row r="25" spans="1:11" x14ac:dyDescent="0.35">
      <c r="A25" t="s">
        <v>1380</v>
      </c>
      <c r="B25" s="17" t="s">
        <v>29</v>
      </c>
      <c r="C25" s="5" t="s">
        <v>30</v>
      </c>
      <c r="D25" s="5">
        <v>1906.5</v>
      </c>
      <c r="F25" s="60">
        <v>66.757750622312741</v>
      </c>
      <c r="G25" s="61" t="s">
        <v>27</v>
      </c>
      <c r="H25" s="60">
        <v>-0.71775062231273523</v>
      </c>
      <c r="I25" s="5">
        <v>23.8</v>
      </c>
      <c r="J25" s="62">
        <v>-2.6999999999999993</v>
      </c>
      <c r="K25" s="63">
        <v>0.11</v>
      </c>
    </row>
    <row r="26" spans="1:11" x14ac:dyDescent="0.35">
      <c r="A26" t="s">
        <v>1380</v>
      </c>
      <c r="B26" s="17" t="s">
        <v>29</v>
      </c>
      <c r="C26" s="5" t="s">
        <v>30</v>
      </c>
      <c r="D26" s="5">
        <v>1980.4</v>
      </c>
      <c r="F26" s="60">
        <v>66.84136682507355</v>
      </c>
      <c r="G26" s="61" t="s">
        <v>27</v>
      </c>
      <c r="H26" s="60">
        <v>-0.80136682507354351</v>
      </c>
      <c r="I26" s="5">
        <v>24.7</v>
      </c>
      <c r="J26" s="62">
        <v>-1.8000000000000007</v>
      </c>
      <c r="K26" s="63">
        <v>0.09</v>
      </c>
    </row>
    <row r="27" spans="1:11" x14ac:dyDescent="0.35">
      <c r="A27" t="s">
        <v>1380</v>
      </c>
      <c r="B27" s="17" t="s">
        <v>29</v>
      </c>
      <c r="C27" s="5" t="s">
        <v>30</v>
      </c>
      <c r="D27" s="5">
        <v>2055.9</v>
      </c>
      <c r="F27" s="60">
        <v>66.926793392170168</v>
      </c>
      <c r="G27" s="61" t="s">
        <v>27</v>
      </c>
      <c r="H27" s="60">
        <v>-0.88679339217016206</v>
      </c>
      <c r="I27" s="5">
        <v>25.9</v>
      </c>
      <c r="J27" s="62">
        <v>-0.60000000000000142</v>
      </c>
      <c r="K27" s="63">
        <v>0.12</v>
      </c>
    </row>
    <row r="28" spans="1:11" x14ac:dyDescent="0.35">
      <c r="A28" t="s">
        <v>1380</v>
      </c>
      <c r="B28" s="17" t="s">
        <v>29</v>
      </c>
      <c r="C28" s="5" t="s">
        <v>30</v>
      </c>
      <c r="D28" s="5">
        <v>2120.6</v>
      </c>
      <c r="E28" s="5" t="s">
        <v>114</v>
      </c>
      <c r="F28" s="18">
        <v>67</v>
      </c>
      <c r="G28" s="61" t="s">
        <v>27</v>
      </c>
      <c r="H28" s="18">
        <v>-0.95999999999999375</v>
      </c>
      <c r="I28" s="5">
        <v>25.6</v>
      </c>
      <c r="J28" s="62">
        <v>-0.89999999999999858</v>
      </c>
      <c r="K28" s="63">
        <v>0.09</v>
      </c>
    </row>
    <row r="29" spans="1:11" x14ac:dyDescent="0.35">
      <c r="A29" t="s">
        <v>1380</v>
      </c>
      <c r="B29" s="17" t="s">
        <v>29</v>
      </c>
      <c r="C29" s="5" t="s">
        <v>116</v>
      </c>
      <c r="D29" s="5">
        <v>733</v>
      </c>
      <c r="E29" s="5" t="s">
        <v>117</v>
      </c>
      <c r="F29" s="18">
        <v>66</v>
      </c>
      <c r="G29" s="61" t="s">
        <v>27</v>
      </c>
      <c r="H29" s="18">
        <v>4.0000000000006253E-2</v>
      </c>
      <c r="I29" s="5">
        <v>23.9</v>
      </c>
      <c r="J29" s="62">
        <v>-4.4000000000000021</v>
      </c>
      <c r="K29" s="63">
        <v>0.12</v>
      </c>
    </row>
    <row r="30" spans="1:11" x14ac:dyDescent="0.35">
      <c r="A30" t="s">
        <v>1380</v>
      </c>
      <c r="B30" s="17" t="s">
        <v>29</v>
      </c>
      <c r="C30" s="5" t="s">
        <v>116</v>
      </c>
      <c r="D30" s="5">
        <v>738.4</v>
      </c>
      <c r="E30" s="5" t="s">
        <v>120</v>
      </c>
      <c r="F30" s="18">
        <v>66.037000000000006</v>
      </c>
      <c r="G30" s="61" t="s">
        <v>27</v>
      </c>
      <c r="H30" s="18">
        <v>3.0000000000001137E-3</v>
      </c>
      <c r="I30" s="5">
        <v>24</v>
      </c>
      <c r="J30" s="62">
        <v>-4.3000000000000007</v>
      </c>
      <c r="K30" s="63">
        <v>0.25</v>
      </c>
    </row>
    <row r="31" spans="1:11" x14ac:dyDescent="0.35">
      <c r="A31" t="s">
        <v>1380</v>
      </c>
      <c r="B31" s="17" t="s">
        <v>29</v>
      </c>
      <c r="C31" s="5" t="s">
        <v>116</v>
      </c>
      <c r="D31" s="5">
        <v>763.5</v>
      </c>
      <c r="F31" s="18">
        <v>66.040000000000006</v>
      </c>
      <c r="G31" s="61" t="s">
        <v>27</v>
      </c>
      <c r="H31" s="18">
        <v>0</v>
      </c>
      <c r="I31" s="5">
        <v>28.3</v>
      </c>
      <c r="J31" s="62">
        <v>0</v>
      </c>
      <c r="K31" s="63">
        <v>7.0000000000000007E-2</v>
      </c>
    </row>
    <row r="32" spans="1:11" x14ac:dyDescent="0.35">
      <c r="A32" t="s">
        <v>1380</v>
      </c>
      <c r="B32" s="17" t="s">
        <v>29</v>
      </c>
      <c r="C32" s="5" t="s">
        <v>116</v>
      </c>
      <c r="D32" s="5">
        <v>778.8</v>
      </c>
      <c r="E32" s="5" t="s">
        <v>125</v>
      </c>
      <c r="F32" s="18">
        <v>66.220840840840836</v>
      </c>
      <c r="G32" s="61" t="s">
        <v>27</v>
      </c>
      <c r="H32" s="18">
        <v>-0.18084084084082974</v>
      </c>
      <c r="I32" s="5">
        <v>28.9</v>
      </c>
      <c r="J32" s="62">
        <v>0.59999999999999787</v>
      </c>
      <c r="K32" s="63">
        <v>7.0000000000000007E-2</v>
      </c>
    </row>
    <row r="33" spans="1:11" x14ac:dyDescent="0.35">
      <c r="A33" t="s">
        <v>1380</v>
      </c>
      <c r="B33" s="17" t="s">
        <v>29</v>
      </c>
      <c r="C33" s="5" t="s">
        <v>116</v>
      </c>
      <c r="D33" s="5">
        <v>812.3</v>
      </c>
      <c r="F33" s="18">
        <v>66.373283122231129</v>
      </c>
      <c r="G33" s="61" t="s">
        <v>27</v>
      </c>
      <c r="H33" s="18">
        <v>-0.33328312223112277</v>
      </c>
      <c r="I33" s="5">
        <v>26.5</v>
      </c>
      <c r="J33" s="62">
        <v>-1.8000000000000007</v>
      </c>
      <c r="K33" s="63">
        <v>0.06</v>
      </c>
    </row>
    <row r="34" spans="1:11" x14ac:dyDescent="0.35">
      <c r="A34" t="s">
        <v>1380</v>
      </c>
      <c r="B34" s="17" t="s">
        <v>29</v>
      </c>
      <c r="C34" s="5" t="s">
        <v>116</v>
      </c>
      <c r="D34" s="5">
        <v>861.1</v>
      </c>
      <c r="F34" s="18">
        <v>66.595348296316089</v>
      </c>
      <c r="G34" s="61" t="s">
        <v>27</v>
      </c>
      <c r="H34" s="18">
        <v>-0.55534829631608318</v>
      </c>
      <c r="I34" s="5">
        <v>25.3</v>
      </c>
      <c r="J34" s="62">
        <v>-3</v>
      </c>
      <c r="K34" s="63">
        <v>0.08</v>
      </c>
    </row>
    <row r="35" spans="1:11" x14ac:dyDescent="0.35">
      <c r="A35" t="s">
        <v>1380</v>
      </c>
      <c r="B35" s="17" t="s">
        <v>29</v>
      </c>
      <c r="C35" s="5" t="s">
        <v>116</v>
      </c>
      <c r="D35" s="5">
        <v>885.4</v>
      </c>
      <c r="F35" s="18">
        <v>66.705925831772333</v>
      </c>
      <c r="G35" s="61" t="s">
        <v>27</v>
      </c>
      <c r="H35" s="18">
        <v>-0.66592583177232711</v>
      </c>
      <c r="I35" s="5">
        <v>25.1</v>
      </c>
      <c r="J35" s="62">
        <v>-3.1999999999999993</v>
      </c>
      <c r="K35" s="63">
        <v>0.09</v>
      </c>
    </row>
    <row r="36" spans="1:11" x14ac:dyDescent="0.35">
      <c r="A36" t="s">
        <v>1380</v>
      </c>
      <c r="B36" s="17" t="s">
        <v>29</v>
      </c>
      <c r="C36" s="5" t="s">
        <v>133</v>
      </c>
      <c r="D36" s="5">
        <v>1620</v>
      </c>
      <c r="E36" s="5" t="s">
        <v>75</v>
      </c>
      <c r="F36" s="18">
        <v>66.040000000000006</v>
      </c>
      <c r="G36" s="61" t="s">
        <v>27</v>
      </c>
      <c r="H36" s="18">
        <v>0</v>
      </c>
      <c r="J36" s="62"/>
      <c r="K36" s="63"/>
    </row>
    <row r="37" spans="1:11" x14ac:dyDescent="0.35">
      <c r="A37" t="s">
        <v>1380</v>
      </c>
      <c r="B37" s="17" t="s">
        <v>29</v>
      </c>
      <c r="C37" s="5" t="s">
        <v>133</v>
      </c>
      <c r="D37" s="5">
        <v>1629.2</v>
      </c>
      <c r="F37" s="18">
        <v>66.067274356323537</v>
      </c>
      <c r="G37" s="61" t="s">
        <v>27</v>
      </c>
      <c r="H37" s="18">
        <v>-2.7274356323530924E-2</v>
      </c>
      <c r="I37" s="5">
        <v>27.7</v>
      </c>
      <c r="J37" s="62">
        <v>0</v>
      </c>
      <c r="K37" s="63">
        <v>0.09</v>
      </c>
    </row>
    <row r="38" spans="1:11" x14ac:dyDescent="0.35">
      <c r="A38" t="s">
        <v>1380</v>
      </c>
      <c r="B38" s="17" t="s">
        <v>29</v>
      </c>
      <c r="C38" s="5" t="s">
        <v>133</v>
      </c>
      <c r="D38" s="5">
        <v>1641.3</v>
      </c>
      <c r="F38" s="18">
        <v>66.10314606409689</v>
      </c>
      <c r="G38" s="61" t="s">
        <v>27</v>
      </c>
      <c r="H38" s="18">
        <v>-6.3146064096883947E-2</v>
      </c>
      <c r="I38" s="5">
        <v>27.9</v>
      </c>
      <c r="J38" s="62">
        <v>0.19999999999999929</v>
      </c>
      <c r="K38" s="63">
        <v>0.1</v>
      </c>
    </row>
    <row r="39" spans="1:11" x14ac:dyDescent="0.35">
      <c r="A39" t="s">
        <v>1380</v>
      </c>
      <c r="B39" s="17" t="s">
        <v>29</v>
      </c>
      <c r="C39" s="5" t="s">
        <v>133</v>
      </c>
      <c r="D39" s="5">
        <v>1662.7</v>
      </c>
      <c r="F39" s="18">
        <v>66.166588588588581</v>
      </c>
      <c r="G39" s="61" t="s">
        <v>27</v>
      </c>
      <c r="H39" s="18">
        <v>-0.12658858858857513</v>
      </c>
      <c r="I39" s="5">
        <v>28.8</v>
      </c>
      <c r="J39" s="62">
        <v>1.1000000000000014</v>
      </c>
      <c r="K39" s="63">
        <v>0.1</v>
      </c>
    </row>
    <row r="40" spans="1:11" x14ac:dyDescent="0.35">
      <c r="A40" t="s">
        <v>1380</v>
      </c>
      <c r="B40" s="17" t="s">
        <v>29</v>
      </c>
      <c r="C40" s="5" t="s">
        <v>133</v>
      </c>
      <c r="D40" s="5">
        <v>1681</v>
      </c>
      <c r="E40" s="5" t="s">
        <v>125</v>
      </c>
      <c r="F40" s="18">
        <v>66.220840840840836</v>
      </c>
      <c r="G40" s="61" t="s">
        <v>27</v>
      </c>
      <c r="H40" s="18">
        <v>-0.18084084084082974</v>
      </c>
      <c r="I40" s="5">
        <v>28.5</v>
      </c>
      <c r="J40" s="62">
        <v>0.80000000000000071</v>
      </c>
      <c r="K40" s="63">
        <v>0.1</v>
      </c>
    </row>
    <row r="41" spans="1:11" x14ac:dyDescent="0.35">
      <c r="A41" t="s">
        <v>1380</v>
      </c>
      <c r="B41" s="17" t="s">
        <v>29</v>
      </c>
      <c r="C41" s="5" t="s">
        <v>133</v>
      </c>
      <c r="D41" s="5">
        <v>1717.5</v>
      </c>
      <c r="F41" s="18">
        <v>66.32904888495051</v>
      </c>
      <c r="G41" s="61" t="s">
        <v>27</v>
      </c>
      <c r="H41" s="18">
        <v>-0.28904888495050329</v>
      </c>
      <c r="I41" s="5">
        <v>27.4</v>
      </c>
      <c r="J41" s="62">
        <v>-0.30000000000000071</v>
      </c>
      <c r="K41" s="63">
        <v>0.09</v>
      </c>
    </row>
    <row r="42" spans="1:11" x14ac:dyDescent="0.35">
      <c r="A42" t="s">
        <v>1380</v>
      </c>
      <c r="B42" s="17" t="s">
        <v>29</v>
      </c>
      <c r="C42" s="5" t="s">
        <v>133</v>
      </c>
      <c r="D42" s="5">
        <v>1738.9</v>
      </c>
      <c r="F42" s="18">
        <v>66.392491409442215</v>
      </c>
      <c r="G42" s="61" t="s">
        <v>27</v>
      </c>
      <c r="H42" s="18">
        <v>-0.35249140944220869</v>
      </c>
      <c r="I42" s="5">
        <v>27</v>
      </c>
      <c r="J42" s="62">
        <v>-0.69999999999999929</v>
      </c>
      <c r="K42" s="63">
        <v>0.1</v>
      </c>
    </row>
    <row r="43" spans="1:11" x14ac:dyDescent="0.35">
      <c r="A43" t="s">
        <v>1380</v>
      </c>
      <c r="B43" s="17" t="s">
        <v>29</v>
      </c>
      <c r="C43" s="5" t="s">
        <v>133</v>
      </c>
      <c r="D43" s="5">
        <v>1784.6</v>
      </c>
      <c r="F43" s="18">
        <v>66.527973809875419</v>
      </c>
      <c r="G43" s="61" t="s">
        <v>27</v>
      </c>
      <c r="H43" s="18">
        <v>-0.48797380987541317</v>
      </c>
      <c r="I43" s="5">
        <v>25.4</v>
      </c>
      <c r="J43" s="62">
        <v>-2.3000000000000007</v>
      </c>
      <c r="K43" s="63">
        <v>0.12</v>
      </c>
    </row>
    <row r="44" spans="1:11" x14ac:dyDescent="0.35">
      <c r="A44" t="s">
        <v>1380</v>
      </c>
      <c r="B44" s="17" t="s">
        <v>29</v>
      </c>
      <c r="C44" s="5" t="s">
        <v>133</v>
      </c>
      <c r="D44" s="5">
        <v>1815.1</v>
      </c>
      <c r="F44" s="18">
        <v>66.618394230295834</v>
      </c>
      <c r="G44" s="61" t="s">
        <v>27</v>
      </c>
      <c r="H44" s="18">
        <v>-0.57839423029582804</v>
      </c>
      <c r="I44" s="5">
        <v>25.2</v>
      </c>
      <c r="J44" s="62">
        <v>-2.5</v>
      </c>
      <c r="K44" s="63">
        <v>0.12</v>
      </c>
    </row>
    <row r="45" spans="1:11" x14ac:dyDescent="0.35">
      <c r="A45" t="s">
        <v>1380</v>
      </c>
      <c r="B45" s="17" t="s">
        <v>29</v>
      </c>
      <c r="C45" s="5" t="s">
        <v>133</v>
      </c>
      <c r="D45" s="5">
        <v>1860.8</v>
      </c>
      <c r="F45" s="18">
        <v>66.753876630729053</v>
      </c>
      <c r="G45" s="61" t="s">
        <v>27</v>
      </c>
      <c r="H45" s="18">
        <v>-0.71387663072904672</v>
      </c>
      <c r="I45" s="5">
        <v>25.6</v>
      </c>
      <c r="J45" s="62">
        <v>-2.0999999999999979</v>
      </c>
      <c r="K45" s="63">
        <v>0.13</v>
      </c>
    </row>
    <row r="46" spans="1:11" x14ac:dyDescent="0.35">
      <c r="A46" t="s">
        <v>1380</v>
      </c>
      <c r="B46" s="17" t="s">
        <v>29</v>
      </c>
      <c r="C46" s="5" t="s">
        <v>133</v>
      </c>
      <c r="D46" s="5">
        <v>1891.3</v>
      </c>
      <c r="F46" s="18">
        <v>66.844297051149468</v>
      </c>
      <c r="G46" s="61" t="s">
        <v>27</v>
      </c>
      <c r="H46" s="18">
        <v>-0.80429705114946159</v>
      </c>
      <c r="I46" s="5">
        <v>25.1</v>
      </c>
      <c r="J46" s="62">
        <v>-2.5999999999999979</v>
      </c>
      <c r="K46" s="63">
        <v>0.12</v>
      </c>
    </row>
    <row r="47" spans="1:11" x14ac:dyDescent="0.35">
      <c r="A47" t="s">
        <v>1380</v>
      </c>
      <c r="F47" s="18"/>
      <c r="G47" s="61"/>
      <c r="H47" s="18"/>
      <c r="K47" s="63"/>
    </row>
    <row r="48" spans="1:11" x14ac:dyDescent="0.35">
      <c r="A48" t="s">
        <v>1380</v>
      </c>
      <c r="D48" s="101" t="s">
        <v>143</v>
      </c>
      <c r="G48" s="61"/>
      <c r="K48" s="63"/>
    </row>
    <row r="49" spans="1:11" x14ac:dyDescent="0.35">
      <c r="A49" t="s">
        <v>1380</v>
      </c>
      <c r="B49" s="17" t="s">
        <v>145</v>
      </c>
      <c r="C49" s="5" t="s">
        <v>146</v>
      </c>
      <c r="D49" s="5">
        <v>445</v>
      </c>
      <c r="F49" s="18">
        <v>65.664772727272734</v>
      </c>
      <c r="G49" s="61" t="s">
        <v>27</v>
      </c>
      <c r="H49" s="18">
        <v>0.37522727272727252</v>
      </c>
      <c r="I49" s="67">
        <v>31.844180227151163</v>
      </c>
      <c r="J49" s="67">
        <v>1.5243855408281917</v>
      </c>
      <c r="K49" s="141">
        <v>9.5721217468019412E-2</v>
      </c>
    </row>
    <row r="50" spans="1:11" x14ac:dyDescent="0.35">
      <c r="A50" t="s">
        <v>1380</v>
      </c>
      <c r="B50" s="17" t="s">
        <v>145</v>
      </c>
      <c r="C50" s="5" t="s">
        <v>146</v>
      </c>
      <c r="D50" s="5">
        <v>420</v>
      </c>
      <c r="F50" s="18">
        <v>65.693181818181813</v>
      </c>
      <c r="G50" s="61" t="s">
        <v>27</v>
      </c>
      <c r="H50" s="18">
        <v>0.34681818181819324</v>
      </c>
      <c r="I50" s="67">
        <v>28.40924828629597</v>
      </c>
      <c r="J50" s="67">
        <v>-1.9105464000270018</v>
      </c>
      <c r="K50" s="141">
        <v>0.21263868295925151</v>
      </c>
    </row>
    <row r="51" spans="1:11" x14ac:dyDescent="0.35">
      <c r="A51" t="s">
        <v>1380</v>
      </c>
      <c r="B51" s="17" t="s">
        <v>145</v>
      </c>
      <c r="C51" s="5" t="s">
        <v>146</v>
      </c>
      <c r="D51" s="5">
        <v>370</v>
      </c>
      <c r="E51" s="5" t="s">
        <v>149</v>
      </c>
      <c r="F51" s="18">
        <v>65.75</v>
      </c>
      <c r="G51" s="61" t="s">
        <v>27</v>
      </c>
      <c r="H51" s="18">
        <v>0.29000000000000625</v>
      </c>
      <c r="I51" s="67">
        <v>29.856607363029472</v>
      </c>
      <c r="J51" s="67">
        <v>-0.46318732329349999</v>
      </c>
      <c r="K51" s="141">
        <v>0.1376249175670877</v>
      </c>
    </row>
    <row r="52" spans="1:11" x14ac:dyDescent="0.35">
      <c r="A52" t="s">
        <v>1380</v>
      </c>
      <c r="B52" s="17" t="s">
        <v>145</v>
      </c>
      <c r="C52" s="5" t="s">
        <v>146</v>
      </c>
      <c r="D52" s="5">
        <v>300</v>
      </c>
      <c r="F52" s="18">
        <v>65.829545454545453</v>
      </c>
      <c r="G52" s="61" t="s">
        <v>27</v>
      </c>
      <c r="H52" s="18">
        <v>0.210454545454553</v>
      </c>
      <c r="I52" s="67">
        <v>29.538619653729668</v>
      </c>
      <c r="J52" s="67">
        <v>-0.78117503259330334</v>
      </c>
      <c r="K52" s="141">
        <v>0.29104477611940299</v>
      </c>
    </row>
    <row r="53" spans="1:11" x14ac:dyDescent="0.35">
      <c r="A53" t="s">
        <v>1380</v>
      </c>
      <c r="B53" s="17" t="s">
        <v>145</v>
      </c>
      <c r="C53" s="5" t="s">
        <v>146</v>
      </c>
      <c r="D53" s="5">
        <v>265</v>
      </c>
      <c r="F53" s="18">
        <v>65.869318181818187</v>
      </c>
      <c r="G53" s="61" t="s">
        <v>27</v>
      </c>
      <c r="H53" s="18">
        <v>0.17068181818181927</v>
      </c>
      <c r="I53" s="67">
        <v>31.671077899368097</v>
      </c>
      <c r="J53" s="67">
        <v>1.3512832130451251</v>
      </c>
      <c r="K53" s="141">
        <v>5.7260456388838449E-2</v>
      </c>
    </row>
    <row r="54" spans="1:11" x14ac:dyDescent="0.35">
      <c r="A54" t="s">
        <v>1380</v>
      </c>
      <c r="B54" s="17" t="s">
        <v>145</v>
      </c>
      <c r="C54" s="5" t="s">
        <v>146</v>
      </c>
      <c r="D54" s="5">
        <v>255</v>
      </c>
      <c r="F54" s="18">
        <v>65.880681818181813</v>
      </c>
      <c r="G54" s="61" t="s">
        <v>27</v>
      </c>
      <c r="H54" s="18">
        <v>0.15931818181819324</v>
      </c>
      <c r="I54" s="67">
        <v>30.475321923146453</v>
      </c>
      <c r="J54" s="67">
        <v>0.15552723682348102</v>
      </c>
      <c r="K54" s="141">
        <v>0.19656547071450475</v>
      </c>
    </row>
    <row r="55" spans="1:11" x14ac:dyDescent="0.35">
      <c r="A55" t="s">
        <v>1380</v>
      </c>
      <c r="B55" s="17" t="s">
        <v>145</v>
      </c>
      <c r="C55" s="5" t="s">
        <v>146</v>
      </c>
      <c r="D55" s="5">
        <v>250</v>
      </c>
      <c r="F55" s="18">
        <v>65.88636363636364</v>
      </c>
      <c r="G55" s="61" t="s">
        <v>27</v>
      </c>
      <c r="H55" s="18">
        <v>0.15363636363636601</v>
      </c>
      <c r="I55" s="67">
        <v>30.908385633677174</v>
      </c>
      <c r="J55" s="67">
        <v>0.58859094735420214</v>
      </c>
      <c r="K55" s="141">
        <v>0.28881313913851875</v>
      </c>
    </row>
    <row r="56" spans="1:11" x14ac:dyDescent="0.35">
      <c r="A56" t="s">
        <v>1380</v>
      </c>
      <c r="B56" s="17" t="s">
        <v>145</v>
      </c>
      <c r="C56" s="5" t="s">
        <v>146</v>
      </c>
      <c r="D56" s="5">
        <v>245</v>
      </c>
      <c r="E56" s="5" t="s">
        <v>157</v>
      </c>
      <c r="F56" s="18">
        <v>65.892045454545453</v>
      </c>
      <c r="G56" s="61" t="s">
        <v>27</v>
      </c>
      <c r="H56" s="18">
        <v>0.147954545454553</v>
      </c>
      <c r="I56" s="67"/>
      <c r="J56" s="67"/>
      <c r="K56" s="141"/>
    </row>
    <row r="57" spans="1:11" x14ac:dyDescent="0.35">
      <c r="A57" t="s">
        <v>1380</v>
      </c>
      <c r="B57" s="17" t="s">
        <v>145</v>
      </c>
      <c r="C57" s="5" t="s">
        <v>146</v>
      </c>
      <c r="D57" s="5">
        <v>230</v>
      </c>
      <c r="F57" s="18">
        <v>65.909090909090907</v>
      </c>
      <c r="G57" s="61" t="s">
        <v>27</v>
      </c>
      <c r="H57" s="18">
        <v>0.13090909090909975</v>
      </c>
      <c r="I57" s="67">
        <v>30.058253295375238</v>
      </c>
      <c r="J57" s="67">
        <v>-0.26154139094773399</v>
      </c>
      <c r="K57" s="141">
        <v>0.26570859120948287</v>
      </c>
    </row>
    <row r="58" spans="1:11" x14ac:dyDescent="0.35">
      <c r="A58" t="s">
        <v>1380</v>
      </c>
      <c r="B58" s="17" t="s">
        <v>145</v>
      </c>
      <c r="C58" s="5" t="s">
        <v>146</v>
      </c>
      <c r="D58" s="5">
        <v>225</v>
      </c>
      <c r="F58" s="18">
        <v>65.914772727272734</v>
      </c>
      <c r="G58" s="61" t="s">
        <v>27</v>
      </c>
      <c r="H58" s="18">
        <v>0.12522727272727252</v>
      </c>
      <c r="I58" s="67">
        <v>30.501779675685132</v>
      </c>
      <c r="J58" s="67">
        <v>0.18198498936216012</v>
      </c>
      <c r="K58" s="141">
        <v>0.22745754604161683</v>
      </c>
    </row>
    <row r="59" spans="1:11" x14ac:dyDescent="0.35">
      <c r="A59" t="s">
        <v>1380</v>
      </c>
      <c r="B59" s="17" t="s">
        <v>145</v>
      </c>
      <c r="C59" s="5" t="s">
        <v>146</v>
      </c>
      <c r="D59" s="5">
        <v>225</v>
      </c>
      <c r="F59" s="18">
        <v>65.914772727272734</v>
      </c>
      <c r="G59" s="61" t="s">
        <v>27</v>
      </c>
      <c r="H59" s="18">
        <v>0.12522727272727252</v>
      </c>
      <c r="I59" s="67">
        <v>30.637918791776499</v>
      </c>
      <c r="J59" s="67">
        <v>0.31812410545352776</v>
      </c>
      <c r="K59" s="141">
        <v>0.26278605436952851</v>
      </c>
    </row>
    <row r="60" spans="1:11" x14ac:dyDescent="0.35">
      <c r="A60" t="s">
        <v>1380</v>
      </c>
      <c r="B60" s="17" t="s">
        <v>145</v>
      </c>
      <c r="C60" s="5" t="s">
        <v>146</v>
      </c>
      <c r="D60" s="5">
        <v>215</v>
      </c>
      <c r="F60" s="18">
        <v>65.92613636363636</v>
      </c>
      <c r="G60" s="61" t="s">
        <v>27</v>
      </c>
      <c r="H60" s="18">
        <v>0.11386363636364649</v>
      </c>
      <c r="I60" s="67">
        <v>30.518898295287471</v>
      </c>
      <c r="J60" s="67">
        <v>0.1991036089644993</v>
      </c>
      <c r="K60" s="141">
        <v>0.28998426848453068</v>
      </c>
    </row>
    <row r="61" spans="1:11" x14ac:dyDescent="0.35">
      <c r="A61" t="s">
        <v>1380</v>
      </c>
      <c r="B61" s="17" t="s">
        <v>145</v>
      </c>
      <c r="C61" s="5" t="s">
        <v>146</v>
      </c>
      <c r="D61" s="5">
        <v>205</v>
      </c>
      <c r="F61" s="18">
        <v>65.9375</v>
      </c>
      <c r="G61" s="61" t="s">
        <v>27</v>
      </c>
      <c r="H61" s="18">
        <v>0.10250000000000625</v>
      </c>
      <c r="I61" s="67">
        <v>31.632791203991399</v>
      </c>
      <c r="J61" s="67">
        <v>1.3129965176684273</v>
      </c>
      <c r="K61" s="141">
        <v>0.19248140882339523</v>
      </c>
    </row>
    <row r="62" spans="1:11" x14ac:dyDescent="0.35">
      <c r="A62" t="s">
        <v>1380</v>
      </c>
      <c r="B62" s="17" t="s">
        <v>145</v>
      </c>
      <c r="C62" s="5" t="s">
        <v>146</v>
      </c>
      <c r="D62" s="5">
        <v>190</v>
      </c>
      <c r="F62" s="18">
        <v>65.954545454545453</v>
      </c>
      <c r="G62" s="61" t="s">
        <v>27</v>
      </c>
      <c r="H62" s="18">
        <v>8.5454545454552999E-2</v>
      </c>
      <c r="I62" s="67">
        <v>31.168964728073657</v>
      </c>
      <c r="J62" s="67">
        <v>0.84917004175068556</v>
      </c>
      <c r="K62" s="141">
        <v>0.23205253819876598</v>
      </c>
    </row>
    <row r="63" spans="1:11" x14ac:dyDescent="0.35">
      <c r="A63" t="s">
        <v>1380</v>
      </c>
      <c r="B63" s="17" t="s">
        <v>145</v>
      </c>
      <c r="C63" s="5" t="s">
        <v>146</v>
      </c>
      <c r="D63" s="5">
        <v>150</v>
      </c>
      <c r="E63" s="5" t="s">
        <v>165</v>
      </c>
      <c r="F63" s="18">
        <v>66</v>
      </c>
      <c r="G63" s="61" t="s">
        <v>27</v>
      </c>
      <c r="H63" s="18">
        <v>4.0000000000006253E-2</v>
      </c>
      <c r="I63" s="67"/>
      <c r="J63" s="67"/>
      <c r="K63" s="141"/>
    </row>
    <row r="64" spans="1:11" x14ac:dyDescent="0.35">
      <c r="A64" t="s">
        <v>1380</v>
      </c>
      <c r="B64" s="17" t="s">
        <v>145</v>
      </c>
      <c r="C64" s="5" t="s">
        <v>146</v>
      </c>
      <c r="D64" s="5">
        <v>145</v>
      </c>
      <c r="F64" s="18">
        <v>66.001785714285717</v>
      </c>
      <c r="G64" s="61" t="s">
        <v>27</v>
      </c>
      <c r="H64" s="18">
        <v>3.8214285714289531E-2</v>
      </c>
      <c r="I64" s="67">
        <v>32.127934383954404</v>
      </c>
      <c r="J64" s="67">
        <v>1.8081396976314323</v>
      </c>
      <c r="K64" s="141">
        <v>0.24579018104197961</v>
      </c>
    </row>
    <row r="65" spans="1:11" x14ac:dyDescent="0.35">
      <c r="A65" t="s">
        <v>1380</v>
      </c>
      <c r="B65" s="17" t="s">
        <v>145</v>
      </c>
      <c r="C65" s="5" t="s">
        <v>146</v>
      </c>
      <c r="D65" s="5">
        <v>140</v>
      </c>
      <c r="E65" s="5" t="s">
        <v>168</v>
      </c>
      <c r="F65" s="18">
        <v>66.003571428571433</v>
      </c>
      <c r="G65" s="61" t="s">
        <v>27</v>
      </c>
      <c r="H65" s="18">
        <v>3.6428571428572809E-2</v>
      </c>
      <c r="I65" s="67"/>
      <c r="J65" s="67"/>
      <c r="K65" s="141"/>
    </row>
    <row r="66" spans="1:11" x14ac:dyDescent="0.35">
      <c r="A66" t="s">
        <v>1380</v>
      </c>
      <c r="B66" s="17" t="s">
        <v>145</v>
      </c>
      <c r="C66" s="5" t="s">
        <v>146</v>
      </c>
      <c r="D66" s="5">
        <v>135</v>
      </c>
      <c r="E66" s="5" t="s">
        <v>170</v>
      </c>
      <c r="F66" s="18">
        <v>66.005357142857136</v>
      </c>
      <c r="G66" s="61" t="s">
        <v>27</v>
      </c>
      <c r="H66" s="18">
        <v>3.4642857142870298E-2</v>
      </c>
      <c r="I66" s="67"/>
      <c r="J66" s="67"/>
      <c r="K66" s="141"/>
    </row>
    <row r="67" spans="1:11" x14ac:dyDescent="0.35">
      <c r="A67" t="s">
        <v>1380</v>
      </c>
      <c r="B67" s="17" t="s">
        <v>145</v>
      </c>
      <c r="C67" s="5" t="s">
        <v>146</v>
      </c>
      <c r="D67" s="5">
        <v>125</v>
      </c>
      <c r="F67" s="18">
        <v>66.008928571428569</v>
      </c>
      <c r="G67" s="61" t="s">
        <v>27</v>
      </c>
      <c r="H67" s="18">
        <v>3.1071428571436854E-2</v>
      </c>
      <c r="I67" s="67">
        <v>30.675165662743769</v>
      </c>
      <c r="J67" s="67">
        <v>0.35537097642079729</v>
      </c>
      <c r="K67" s="141">
        <v>0.23497848376985603</v>
      </c>
    </row>
    <row r="68" spans="1:11" x14ac:dyDescent="0.35">
      <c r="A68" t="s">
        <v>1380</v>
      </c>
      <c r="B68" s="17" t="s">
        <v>145</v>
      </c>
      <c r="C68" s="5" t="s">
        <v>146</v>
      </c>
      <c r="D68" s="5">
        <v>125</v>
      </c>
      <c r="F68" s="18">
        <v>66.008928571428569</v>
      </c>
      <c r="G68" s="61" t="s">
        <v>27</v>
      </c>
      <c r="H68" s="18">
        <v>3.1071428571436854E-2</v>
      </c>
      <c r="I68" s="67">
        <v>30.88910708090841</v>
      </c>
      <c r="J68" s="67">
        <v>0.56931239458543814</v>
      </c>
      <c r="K68" s="141">
        <v>0.21662742256837531</v>
      </c>
    </row>
    <row r="69" spans="1:11" x14ac:dyDescent="0.35">
      <c r="A69" t="s">
        <v>1380</v>
      </c>
      <c r="B69" s="17" t="s">
        <v>145</v>
      </c>
      <c r="C69" s="5" t="s">
        <v>146</v>
      </c>
      <c r="D69" s="5">
        <v>123</v>
      </c>
      <c r="E69" s="5" t="s">
        <v>174</v>
      </c>
      <c r="F69" s="18">
        <v>66.00964285714285</v>
      </c>
      <c r="G69" s="61" t="s">
        <v>27</v>
      </c>
      <c r="H69" s="18">
        <v>3.035714285715585E-2</v>
      </c>
      <c r="I69" s="67"/>
      <c r="J69" s="67"/>
      <c r="K69" s="141"/>
    </row>
    <row r="70" spans="1:11" x14ac:dyDescent="0.35">
      <c r="A70" t="s">
        <v>1380</v>
      </c>
      <c r="B70" s="17" t="s">
        <v>145</v>
      </c>
      <c r="C70" s="5" t="s">
        <v>146</v>
      </c>
      <c r="D70" s="5">
        <v>115</v>
      </c>
      <c r="F70" s="18">
        <v>66.012500000000003</v>
      </c>
      <c r="G70" s="61" t="s">
        <v>27</v>
      </c>
      <c r="H70" s="18">
        <v>2.7500000000003411E-2</v>
      </c>
      <c r="I70" s="67">
        <v>30.816569535987966</v>
      </c>
      <c r="J70" s="67">
        <v>0.49677484966499463</v>
      </c>
      <c r="K70" s="141">
        <v>0.12077974276527331</v>
      </c>
    </row>
    <row r="71" spans="1:11" x14ac:dyDescent="0.35">
      <c r="A71" t="s">
        <v>1380</v>
      </c>
      <c r="B71" s="17" t="s">
        <v>145</v>
      </c>
      <c r="C71" s="5" t="s">
        <v>146</v>
      </c>
      <c r="D71" s="5">
        <v>95</v>
      </c>
      <c r="E71" s="5" t="s">
        <v>176</v>
      </c>
      <c r="F71" s="18">
        <v>66.019642857142856</v>
      </c>
      <c r="G71" s="61" t="s">
        <v>27</v>
      </c>
      <c r="H71" s="18">
        <v>2.0357142857150734E-2</v>
      </c>
      <c r="I71" s="67"/>
      <c r="J71" s="67"/>
      <c r="K71" s="141"/>
    </row>
    <row r="72" spans="1:11" x14ac:dyDescent="0.35">
      <c r="A72" t="s">
        <v>1380</v>
      </c>
      <c r="B72" s="17" t="s">
        <v>145</v>
      </c>
      <c r="C72" s="5" t="s">
        <v>146</v>
      </c>
      <c r="D72" s="5">
        <v>90</v>
      </c>
      <c r="E72" s="5" t="s">
        <v>177</v>
      </c>
      <c r="F72" s="18">
        <v>66.021428571428572</v>
      </c>
      <c r="G72" s="61" t="s">
        <v>27</v>
      </c>
      <c r="H72" s="18">
        <v>1.8571428571434012E-2</v>
      </c>
      <c r="I72" s="67">
        <v>30.787447781187844</v>
      </c>
      <c r="J72" s="67">
        <v>0.46765309486487183</v>
      </c>
      <c r="K72" s="141">
        <v>0.13338944480812992</v>
      </c>
    </row>
    <row r="73" spans="1:11" x14ac:dyDescent="0.35">
      <c r="A73" t="s">
        <v>1380</v>
      </c>
      <c r="B73" s="17" t="s">
        <v>145</v>
      </c>
      <c r="C73" s="5" t="s">
        <v>146</v>
      </c>
      <c r="D73" s="5">
        <v>80</v>
      </c>
      <c r="F73" s="18">
        <v>66.024999999999991</v>
      </c>
      <c r="G73" s="61" t="s">
        <v>27</v>
      </c>
      <c r="H73" s="18">
        <v>1.5000000000014779E-2</v>
      </c>
      <c r="I73" s="67">
        <v>31.395768355556914</v>
      </c>
      <c r="J73" s="67">
        <v>1.0759736692339423</v>
      </c>
      <c r="K73" s="141">
        <v>0.1471727575748476</v>
      </c>
    </row>
    <row r="74" spans="1:11" x14ac:dyDescent="0.35">
      <c r="A74" t="s">
        <v>1380</v>
      </c>
      <c r="B74" s="17" t="s">
        <v>145</v>
      </c>
      <c r="C74" s="5" t="s">
        <v>146</v>
      </c>
      <c r="D74" s="5">
        <v>75</v>
      </c>
      <c r="F74" s="18">
        <v>66.026785714285708</v>
      </c>
      <c r="G74" s="61" t="s">
        <v>27</v>
      </c>
      <c r="H74" s="18">
        <v>1.3214285714298057E-2</v>
      </c>
      <c r="I74" s="67">
        <v>31.785306010048689</v>
      </c>
      <c r="J74" s="67">
        <v>1.4655113237257176</v>
      </c>
      <c r="K74" s="141">
        <v>9.1156133941242182E-2</v>
      </c>
    </row>
    <row r="75" spans="1:11" x14ac:dyDescent="0.35">
      <c r="A75" t="s">
        <v>1380</v>
      </c>
      <c r="B75" s="17" t="s">
        <v>145</v>
      </c>
      <c r="C75" s="5" t="s">
        <v>146</v>
      </c>
      <c r="D75" s="5">
        <v>70</v>
      </c>
      <c r="F75" s="18">
        <v>66.028571428571425</v>
      </c>
      <c r="G75" s="61" t="s">
        <v>27</v>
      </c>
      <c r="H75" s="18">
        <v>1.1428571428581336E-2</v>
      </c>
      <c r="I75" s="67">
        <v>31.881091465708131</v>
      </c>
      <c r="J75" s="67">
        <v>1.5612967793851595</v>
      </c>
      <c r="K75" s="141">
        <v>0.14093336429068959</v>
      </c>
    </row>
    <row r="76" spans="1:11" x14ac:dyDescent="0.35">
      <c r="A76" t="s">
        <v>1380</v>
      </c>
      <c r="B76" s="17" t="s">
        <v>145</v>
      </c>
      <c r="C76" s="5" t="s">
        <v>146</v>
      </c>
      <c r="D76" s="5">
        <v>65</v>
      </c>
      <c r="F76" s="18">
        <v>66.030357142857142</v>
      </c>
      <c r="G76" s="61" t="s">
        <v>27</v>
      </c>
      <c r="H76" s="18">
        <v>9.6428571428646137E-3</v>
      </c>
      <c r="I76" s="67">
        <v>31.704535269422237</v>
      </c>
      <c r="J76" s="67">
        <v>1.3847405830992656</v>
      </c>
      <c r="K76" s="141">
        <v>9.6080689631103194E-2</v>
      </c>
    </row>
    <row r="77" spans="1:11" x14ac:dyDescent="0.35">
      <c r="A77" t="s">
        <v>1380</v>
      </c>
      <c r="B77" s="17" t="s">
        <v>145</v>
      </c>
      <c r="C77" s="5" t="s">
        <v>146</v>
      </c>
      <c r="D77" s="5">
        <v>58</v>
      </c>
      <c r="F77" s="18">
        <v>66.032857142857139</v>
      </c>
      <c r="G77" s="61" t="s">
        <v>27</v>
      </c>
      <c r="H77" s="18">
        <v>7.1428571428668874E-3</v>
      </c>
      <c r="I77" s="67">
        <v>31.429333027577808</v>
      </c>
      <c r="J77" s="67">
        <v>1.1095383412548365</v>
      </c>
      <c r="K77" s="141">
        <v>0.15604073020823778</v>
      </c>
    </row>
    <row r="78" spans="1:11" x14ac:dyDescent="0.35">
      <c r="A78" t="s">
        <v>1380</v>
      </c>
      <c r="B78" s="17" t="s">
        <v>145</v>
      </c>
      <c r="C78" s="5" t="s">
        <v>146</v>
      </c>
      <c r="D78" s="5">
        <v>48</v>
      </c>
      <c r="F78" s="18">
        <v>66.036428571428573</v>
      </c>
      <c r="G78" s="61" t="s">
        <v>27</v>
      </c>
      <c r="H78" s="18">
        <v>3.5714285714334437E-3</v>
      </c>
      <c r="I78" s="67">
        <v>30.766188772846888</v>
      </c>
      <c r="J78" s="67">
        <v>0.44639408652391666</v>
      </c>
      <c r="K78" s="141">
        <v>5.5972691978268617E-2</v>
      </c>
    </row>
    <row r="79" spans="1:11" x14ac:dyDescent="0.35">
      <c r="A79" t="s">
        <v>1380</v>
      </c>
      <c r="B79" s="17" t="s">
        <v>145</v>
      </c>
      <c r="C79" s="5" t="s">
        <v>146</v>
      </c>
      <c r="D79" s="5">
        <v>45</v>
      </c>
      <c r="E79" s="5" t="s">
        <v>185</v>
      </c>
      <c r="F79" s="18">
        <v>66.037499999999994</v>
      </c>
      <c r="G79" s="61" t="s">
        <v>27</v>
      </c>
      <c r="H79" s="18">
        <v>2.5000000000119371E-3</v>
      </c>
      <c r="I79" s="67"/>
      <c r="J79" s="67"/>
      <c r="K79" s="141"/>
    </row>
    <row r="80" spans="1:11" x14ac:dyDescent="0.35">
      <c r="A80" t="s">
        <v>1380</v>
      </c>
      <c r="B80" s="17" t="s">
        <v>145</v>
      </c>
      <c r="C80" s="5" t="s">
        <v>146</v>
      </c>
      <c r="D80" s="5">
        <v>43</v>
      </c>
      <c r="F80" s="18">
        <v>66.037749999999988</v>
      </c>
      <c r="G80" s="61" t="s">
        <v>27</v>
      </c>
      <c r="H80" s="18">
        <v>2.2500000000178488E-3</v>
      </c>
      <c r="I80" s="67">
        <v>29.633527306763973</v>
      </c>
      <c r="J80" s="67">
        <v>-0.68626737955899841</v>
      </c>
      <c r="K80" s="141">
        <v>0.12270231558844592</v>
      </c>
    </row>
    <row r="81" spans="1:11" x14ac:dyDescent="0.35">
      <c r="A81" t="s">
        <v>1380</v>
      </c>
      <c r="B81" s="17" t="s">
        <v>145</v>
      </c>
      <c r="C81" s="5" t="s">
        <v>146</v>
      </c>
      <c r="D81" s="5">
        <v>41.5</v>
      </c>
      <c r="F81" s="18">
        <v>66.037937499999998</v>
      </c>
      <c r="G81" s="61" t="s">
        <v>27</v>
      </c>
      <c r="H81" s="18">
        <v>2.0625000000080718E-3</v>
      </c>
      <c r="I81" s="67">
        <v>29.709213734888078</v>
      </c>
      <c r="J81" s="67">
        <v>-0.6105809514348941</v>
      </c>
      <c r="K81" s="141">
        <v>6.5960401637027294E-2</v>
      </c>
    </row>
    <row r="82" spans="1:11" x14ac:dyDescent="0.35">
      <c r="A82" t="s">
        <v>1380</v>
      </c>
      <c r="B82" s="17" t="s">
        <v>145</v>
      </c>
      <c r="C82" s="5" t="s">
        <v>146</v>
      </c>
      <c r="D82" s="5">
        <v>40.5</v>
      </c>
      <c r="F82" s="18">
        <v>66.038062499999995</v>
      </c>
      <c r="G82" s="61" t="s">
        <v>27</v>
      </c>
      <c r="H82" s="18">
        <v>1.9375000000110276E-3</v>
      </c>
      <c r="I82" s="67">
        <v>29.369301460655414</v>
      </c>
      <c r="J82" s="67">
        <v>-0.95049322566755734</v>
      </c>
      <c r="K82" s="141">
        <v>6.6113463649714127E-2</v>
      </c>
    </row>
    <row r="83" spans="1:11" x14ac:dyDescent="0.35">
      <c r="A83" t="s">
        <v>1380</v>
      </c>
      <c r="B83" s="17" t="s">
        <v>145</v>
      </c>
      <c r="C83" s="5" t="s">
        <v>146</v>
      </c>
      <c r="D83" s="5">
        <v>40</v>
      </c>
      <c r="F83" s="18">
        <v>66.038124999999994</v>
      </c>
      <c r="G83" s="61" t="s">
        <v>27</v>
      </c>
      <c r="H83" s="18">
        <v>1.8750000000125056E-3</v>
      </c>
      <c r="I83" s="67">
        <v>25.822362644548726</v>
      </c>
      <c r="J83" s="67">
        <v>-4.4974320417742462</v>
      </c>
      <c r="K83" s="141">
        <v>0.10407929851315288</v>
      </c>
    </row>
    <row r="84" spans="1:11" x14ac:dyDescent="0.35">
      <c r="A84" t="s">
        <v>1380</v>
      </c>
      <c r="B84" s="17" t="s">
        <v>145</v>
      </c>
      <c r="C84" s="5" t="s">
        <v>146</v>
      </c>
      <c r="D84" s="5">
        <v>39.5</v>
      </c>
      <c r="F84" s="18">
        <v>66.038187499999992</v>
      </c>
      <c r="G84" s="61" t="s">
        <v>27</v>
      </c>
      <c r="H84" s="18">
        <v>1.8125000000139835E-3</v>
      </c>
      <c r="I84" s="67">
        <v>28.673490915788335</v>
      </c>
      <c r="J84" s="67">
        <v>-1.6463037705346366</v>
      </c>
      <c r="K84" s="141">
        <v>0.24798295022073374</v>
      </c>
    </row>
    <row r="85" spans="1:11" x14ac:dyDescent="0.35">
      <c r="A85" t="s">
        <v>1380</v>
      </c>
      <c r="B85" s="17" t="s">
        <v>145</v>
      </c>
      <c r="C85" s="5" t="s">
        <v>146</v>
      </c>
      <c r="D85" s="5">
        <v>39</v>
      </c>
      <c r="F85" s="18">
        <v>66.038250000000005</v>
      </c>
      <c r="G85" s="61" t="s">
        <v>27</v>
      </c>
      <c r="H85" s="18">
        <v>1.7500000000012506E-3</v>
      </c>
      <c r="I85" s="67">
        <v>28.226446771726614</v>
      </c>
      <c r="J85" s="67">
        <v>-2.0933479145963574</v>
      </c>
      <c r="K85" s="141">
        <v>8.0978888772187799E-2</v>
      </c>
    </row>
    <row r="86" spans="1:11" x14ac:dyDescent="0.35">
      <c r="A86" t="s">
        <v>1380</v>
      </c>
      <c r="B86" s="17" t="s">
        <v>145</v>
      </c>
      <c r="C86" s="5" t="s">
        <v>146</v>
      </c>
      <c r="D86" s="5">
        <v>39</v>
      </c>
      <c r="F86" s="18">
        <v>66.038250000000005</v>
      </c>
      <c r="G86" s="61" t="s">
        <v>27</v>
      </c>
      <c r="H86" s="18">
        <v>1.7500000000012506E-3</v>
      </c>
      <c r="I86" s="67">
        <v>28.123261683896438</v>
      </c>
      <c r="J86" s="67">
        <v>-2.1965330024265342</v>
      </c>
      <c r="K86" s="141">
        <v>0.11039046408694508</v>
      </c>
    </row>
    <row r="87" spans="1:11" x14ac:dyDescent="0.35">
      <c r="A87" t="s">
        <v>1380</v>
      </c>
      <c r="B87" s="17" t="s">
        <v>145</v>
      </c>
      <c r="C87" s="5" t="s">
        <v>146</v>
      </c>
      <c r="D87" s="5">
        <v>37</v>
      </c>
      <c r="F87" s="18">
        <v>66.038499999999999</v>
      </c>
      <c r="G87" s="61" t="s">
        <v>27</v>
      </c>
      <c r="H87" s="18">
        <v>1.5000000000071623E-3</v>
      </c>
      <c r="I87" s="67">
        <v>29.401640498299678</v>
      </c>
      <c r="J87" s="67">
        <v>-0.91815418802329418</v>
      </c>
      <c r="K87" s="141">
        <v>9.9641193644001688E-2</v>
      </c>
    </row>
    <row r="88" spans="1:11" x14ac:dyDescent="0.35">
      <c r="A88" t="s">
        <v>1380</v>
      </c>
      <c r="B88" s="17" t="s">
        <v>145</v>
      </c>
      <c r="C88" s="5" t="s">
        <v>146</v>
      </c>
      <c r="D88" s="5">
        <v>36</v>
      </c>
      <c r="F88" s="18">
        <v>66.038624999999996</v>
      </c>
      <c r="G88" s="61" t="s">
        <v>27</v>
      </c>
      <c r="H88" s="18">
        <v>1.3750000000101181E-3</v>
      </c>
      <c r="I88" s="67">
        <v>29.186133686089754</v>
      </c>
      <c r="J88" s="67">
        <v>-1.1336610002332179</v>
      </c>
      <c r="K88" s="141">
        <v>0.1886012616924081</v>
      </c>
    </row>
    <row r="89" spans="1:11" x14ac:dyDescent="0.35">
      <c r="A89" t="s">
        <v>1380</v>
      </c>
      <c r="B89" s="17" t="s">
        <v>145</v>
      </c>
      <c r="C89" s="5" t="s">
        <v>146</v>
      </c>
      <c r="D89" s="5">
        <v>36</v>
      </c>
      <c r="F89" s="18">
        <v>66.038624999999996</v>
      </c>
      <c r="G89" s="61" t="s">
        <v>27</v>
      </c>
      <c r="H89" s="18">
        <v>1.3750000000101181E-3</v>
      </c>
      <c r="I89" s="67">
        <v>29.318508849981278</v>
      </c>
      <c r="J89" s="67">
        <v>-1.0012858363416939</v>
      </c>
      <c r="K89" s="141">
        <v>0.17352914944852393</v>
      </c>
    </row>
    <row r="90" spans="1:11" x14ac:dyDescent="0.35">
      <c r="A90" t="s">
        <v>1380</v>
      </c>
      <c r="B90" s="17" t="s">
        <v>145</v>
      </c>
      <c r="C90" s="5" t="s">
        <v>146</v>
      </c>
      <c r="D90" s="5">
        <v>35</v>
      </c>
      <c r="F90" s="18">
        <v>66.038749999999993</v>
      </c>
      <c r="G90" s="61" t="s">
        <v>27</v>
      </c>
      <c r="H90" s="18">
        <v>1.250000000013074E-3</v>
      </c>
      <c r="I90" s="67">
        <v>29.627320669312958</v>
      </c>
      <c r="J90" s="67">
        <v>-0.69247401701001365</v>
      </c>
      <c r="K90" s="141">
        <v>0.15451242401804624</v>
      </c>
    </row>
    <row r="91" spans="1:11" x14ac:dyDescent="0.35">
      <c r="A91" t="s">
        <v>1380</v>
      </c>
      <c r="B91" s="17" t="s">
        <v>145</v>
      </c>
      <c r="C91" s="5" t="s">
        <v>146</v>
      </c>
      <c r="D91" s="5">
        <v>34.85</v>
      </c>
      <c r="F91" s="18">
        <v>66.038768750000003</v>
      </c>
      <c r="G91" s="61" t="s">
        <v>27</v>
      </c>
      <c r="H91" s="18">
        <v>1.2312500000035698E-3</v>
      </c>
      <c r="I91" s="67">
        <v>29.195583172816761</v>
      </c>
      <c r="J91" s="67">
        <v>-1.1242115135062107</v>
      </c>
      <c r="K91" s="141">
        <v>8.2228872737637168E-2</v>
      </c>
    </row>
    <row r="92" spans="1:11" x14ac:dyDescent="0.35">
      <c r="A92" t="s">
        <v>1380</v>
      </c>
      <c r="B92" s="17" t="s">
        <v>145</v>
      </c>
      <c r="C92" s="5" t="s">
        <v>146</v>
      </c>
      <c r="D92" s="5">
        <v>34.049999999999997</v>
      </c>
      <c r="F92" s="18">
        <v>66.038868750000006</v>
      </c>
      <c r="G92" s="61" t="s">
        <v>27</v>
      </c>
      <c r="H92" s="18">
        <v>1.1312500000002501E-3</v>
      </c>
      <c r="I92" s="67">
        <v>29.309056815811143</v>
      </c>
      <c r="J92" s="67">
        <v>-1.0107378705118286</v>
      </c>
      <c r="K92" s="141">
        <v>0.14871507933335998</v>
      </c>
    </row>
    <row r="93" spans="1:11" x14ac:dyDescent="0.35">
      <c r="A93" t="s">
        <v>1380</v>
      </c>
      <c r="B93" s="17" t="s">
        <v>145</v>
      </c>
      <c r="C93" s="5" t="s">
        <v>146</v>
      </c>
      <c r="D93" s="5">
        <v>31.65</v>
      </c>
      <c r="F93" s="18">
        <v>66.039168750000002</v>
      </c>
      <c r="G93" s="61" t="s">
        <v>27</v>
      </c>
      <c r="H93" s="18">
        <v>8.31250000004502E-4</v>
      </c>
      <c r="I93" s="67">
        <v>28.735993753935887</v>
      </c>
      <c r="J93" s="67">
        <v>-1.583800932387085</v>
      </c>
      <c r="K93" s="141">
        <v>0.11861137897782063</v>
      </c>
    </row>
    <row r="94" spans="1:11" x14ac:dyDescent="0.35">
      <c r="A94" t="s">
        <v>1380</v>
      </c>
      <c r="B94" s="17" t="s">
        <v>145</v>
      </c>
      <c r="C94" s="5" t="s">
        <v>146</v>
      </c>
      <c r="D94" s="5">
        <v>30.85</v>
      </c>
      <c r="F94" s="18">
        <v>66.039268750000005</v>
      </c>
      <c r="G94" s="61" t="s">
        <v>27</v>
      </c>
      <c r="H94" s="18">
        <v>7.3125000000118234E-4</v>
      </c>
      <c r="I94" s="67">
        <v>28.206101573215008</v>
      </c>
      <c r="J94" s="67">
        <v>-2.1136931131079635</v>
      </c>
      <c r="K94" s="141">
        <v>0.13948794220758526</v>
      </c>
    </row>
    <row r="95" spans="1:11" x14ac:dyDescent="0.35">
      <c r="A95" t="s">
        <v>1380</v>
      </c>
      <c r="B95" s="17" t="s">
        <v>145</v>
      </c>
      <c r="C95" s="5" t="s">
        <v>146</v>
      </c>
      <c r="D95" s="5">
        <v>30.05</v>
      </c>
      <c r="F95" s="18">
        <v>66.039368750000008</v>
      </c>
      <c r="G95" s="61" t="s">
        <v>27</v>
      </c>
      <c r="H95" s="18">
        <v>6.3124999999786269E-4</v>
      </c>
      <c r="I95" s="67">
        <v>24.197077956596281</v>
      </c>
      <c r="J95" s="67">
        <v>-6.1227167297266902</v>
      </c>
      <c r="K95" s="141">
        <v>7.401946328516662E-2</v>
      </c>
    </row>
    <row r="96" spans="1:11" x14ac:dyDescent="0.35">
      <c r="A96" t="s">
        <v>1380</v>
      </c>
      <c r="B96" s="17" t="s">
        <v>145</v>
      </c>
      <c r="C96" s="5" t="s">
        <v>146</v>
      </c>
      <c r="D96" s="5">
        <v>30.05</v>
      </c>
      <c r="F96" s="18">
        <v>66.039368750000008</v>
      </c>
      <c r="G96" s="61" t="s">
        <v>27</v>
      </c>
      <c r="H96" s="18">
        <v>6.3124999999786269E-4</v>
      </c>
      <c r="I96" s="67">
        <v>23.102043854699524</v>
      </c>
      <c r="J96" s="67">
        <v>-7.217750831623448</v>
      </c>
      <c r="K96" s="141">
        <v>7.9234310637266783E-2</v>
      </c>
    </row>
    <row r="97" spans="1:11" x14ac:dyDescent="0.35">
      <c r="A97" t="s">
        <v>1380</v>
      </c>
      <c r="B97" s="17" t="s">
        <v>145</v>
      </c>
      <c r="C97" s="5" t="s">
        <v>146</v>
      </c>
      <c r="D97" s="5">
        <v>29.25</v>
      </c>
      <c r="F97" s="18">
        <v>66.039468749999997</v>
      </c>
      <c r="G97" s="61" t="s">
        <v>27</v>
      </c>
      <c r="H97" s="18">
        <v>5.3125000000875389E-4</v>
      </c>
      <c r="I97" s="67">
        <v>29.931458745043507</v>
      </c>
      <c r="J97" s="67">
        <v>-0.38833594127946469</v>
      </c>
      <c r="K97" s="141">
        <v>0.16783663050414804</v>
      </c>
    </row>
    <row r="98" spans="1:11" x14ac:dyDescent="0.35">
      <c r="A98" t="s">
        <v>1380</v>
      </c>
      <c r="B98" s="17" t="s">
        <v>145</v>
      </c>
      <c r="C98" s="5" t="s">
        <v>146</v>
      </c>
      <c r="D98" s="5">
        <v>28.45</v>
      </c>
      <c r="F98" s="18">
        <v>66.039568750000001</v>
      </c>
      <c r="G98" s="61" t="s">
        <v>27</v>
      </c>
      <c r="H98" s="18">
        <v>4.3125000000543423E-4</v>
      </c>
      <c r="I98" s="67">
        <v>29.601488229542952</v>
      </c>
      <c r="J98" s="67">
        <v>-0.71830645678002014</v>
      </c>
      <c r="K98" s="141">
        <v>0.15165088737317181</v>
      </c>
    </row>
    <row r="99" spans="1:11" x14ac:dyDescent="0.35">
      <c r="A99" t="s">
        <v>1380</v>
      </c>
      <c r="B99" s="17" t="s">
        <v>145</v>
      </c>
      <c r="C99" s="5" t="s">
        <v>146</v>
      </c>
      <c r="D99" s="5">
        <v>27.65</v>
      </c>
      <c r="F99" s="18">
        <v>66.039668750000004</v>
      </c>
      <c r="G99" s="61" t="s">
        <v>27</v>
      </c>
      <c r="H99" s="18">
        <v>3.3125000000211458E-4</v>
      </c>
      <c r="I99" s="67">
        <v>29.402722583792851</v>
      </c>
      <c r="J99" s="67">
        <v>-0.9170721025301205</v>
      </c>
      <c r="K99" s="141">
        <v>0.14953409258985356</v>
      </c>
    </row>
    <row r="100" spans="1:11" x14ac:dyDescent="0.35">
      <c r="A100" t="s">
        <v>1380</v>
      </c>
      <c r="B100" s="17" t="s">
        <v>145</v>
      </c>
      <c r="C100" s="5" t="s">
        <v>146</v>
      </c>
      <c r="D100" s="5">
        <v>26.05</v>
      </c>
      <c r="F100" s="18">
        <v>66.039868750000011</v>
      </c>
      <c r="G100" s="61" t="s">
        <v>27</v>
      </c>
      <c r="H100" s="18">
        <v>1.3124999999547526E-4</v>
      </c>
      <c r="I100" s="67">
        <v>30.319794686322972</v>
      </c>
      <c r="J100" s="67">
        <v>0</v>
      </c>
      <c r="K100" s="141">
        <v>0.11094647156880903</v>
      </c>
    </row>
    <row r="101" spans="1:11" x14ac:dyDescent="0.35">
      <c r="A101" t="s">
        <v>1380</v>
      </c>
      <c r="B101" s="17" t="s">
        <v>145</v>
      </c>
      <c r="C101" s="5" t="s">
        <v>146</v>
      </c>
      <c r="D101" s="5">
        <v>5</v>
      </c>
      <c r="E101" s="5" t="s">
        <v>187</v>
      </c>
      <c r="F101" s="18">
        <v>66.040000000000006</v>
      </c>
      <c r="G101" s="61" t="s">
        <v>27</v>
      </c>
      <c r="H101" s="18">
        <v>0</v>
      </c>
      <c r="I101" s="67">
        <v>28.361574514510465</v>
      </c>
      <c r="J101" s="67"/>
      <c r="K101" s="141">
        <v>0.26470588235294118</v>
      </c>
    </row>
    <row r="102" spans="1:11" x14ac:dyDescent="0.35">
      <c r="A102" t="s">
        <v>1380</v>
      </c>
      <c r="B102" s="17" t="s">
        <v>145</v>
      </c>
      <c r="C102" s="5" t="s">
        <v>146</v>
      </c>
      <c r="D102" s="5">
        <v>-1</v>
      </c>
      <c r="F102" s="18">
        <v>66.040600000000012</v>
      </c>
      <c r="G102" s="61" t="s">
        <v>27</v>
      </c>
      <c r="H102" s="18">
        <v>-6.0000000000570708E-4</v>
      </c>
      <c r="I102" s="67">
        <v>30.012730894172076</v>
      </c>
      <c r="J102" s="67">
        <v>-0.30706379215089541</v>
      </c>
      <c r="K102" s="141">
        <v>7.4163557995245183E-2</v>
      </c>
    </row>
    <row r="103" spans="1:11" x14ac:dyDescent="0.35">
      <c r="A103" t="s">
        <v>1380</v>
      </c>
      <c r="B103" s="17" t="s">
        <v>145</v>
      </c>
      <c r="C103" s="5" t="s">
        <v>146</v>
      </c>
      <c r="D103" s="5">
        <v>-7</v>
      </c>
      <c r="F103" s="18">
        <v>66.044200000000004</v>
      </c>
      <c r="G103" s="61" t="s">
        <v>27</v>
      </c>
      <c r="H103" s="18">
        <v>-4.199999999997317E-3</v>
      </c>
      <c r="I103" s="67">
        <v>29.972278251818004</v>
      </c>
      <c r="J103" s="67">
        <v>-0.34751643450496772</v>
      </c>
      <c r="K103" s="141">
        <v>0.12349134963975954</v>
      </c>
    </row>
    <row r="104" spans="1:11" x14ac:dyDescent="0.35">
      <c r="A104" t="s">
        <v>1380</v>
      </c>
      <c r="B104" s="17" t="s">
        <v>145</v>
      </c>
      <c r="C104" s="5" t="s">
        <v>146</v>
      </c>
      <c r="D104" s="5">
        <v>-15</v>
      </c>
      <c r="F104" s="18">
        <v>66.049000000000007</v>
      </c>
      <c r="G104" s="61" t="s">
        <v>27</v>
      </c>
      <c r="H104" s="18">
        <v>-9.0000000000003411E-3</v>
      </c>
      <c r="I104" s="67">
        <v>30.140670076959438</v>
      </c>
      <c r="J104" s="67">
        <v>-0.17912460936353369</v>
      </c>
      <c r="K104" s="141">
        <v>6.6469868422712533E-2</v>
      </c>
    </row>
    <row r="105" spans="1:11" x14ac:dyDescent="0.35">
      <c r="A105" t="s">
        <v>1380</v>
      </c>
      <c r="B105" s="17" t="s">
        <v>145</v>
      </c>
      <c r="C105" s="5" t="s">
        <v>146</v>
      </c>
      <c r="D105" s="5">
        <v>-27.5</v>
      </c>
      <c r="F105" s="18">
        <v>66.0565</v>
      </c>
      <c r="G105" s="61" t="s">
        <v>27</v>
      </c>
      <c r="H105" s="18">
        <v>-1.649999999999352E-2</v>
      </c>
      <c r="I105" s="67">
        <v>30.502661079516685</v>
      </c>
      <c r="J105" s="67">
        <v>0.1828663931937129</v>
      </c>
      <c r="K105" s="141">
        <v>8.1163859111791734E-2</v>
      </c>
    </row>
    <row r="106" spans="1:11" x14ac:dyDescent="0.35">
      <c r="A106" t="s">
        <v>1380</v>
      </c>
      <c r="B106" s="17" t="s">
        <v>145</v>
      </c>
      <c r="C106" s="5" t="s">
        <v>146</v>
      </c>
      <c r="D106" s="5">
        <v>-100</v>
      </c>
      <c r="E106" s="5" t="s">
        <v>189</v>
      </c>
      <c r="F106" s="18">
        <v>66.099999999999994</v>
      </c>
      <c r="G106" s="61" t="s">
        <v>27</v>
      </c>
      <c r="H106" s="18">
        <v>-5.9999999999988063E-2</v>
      </c>
      <c r="I106" s="67">
        <v>30.969943119339263</v>
      </c>
      <c r="J106" s="67">
        <v>0.65014843301629099</v>
      </c>
      <c r="K106" s="141">
        <v>6.7776456599286564E-2</v>
      </c>
    </row>
    <row r="107" spans="1:11" x14ac:dyDescent="0.35">
      <c r="A107" t="s">
        <v>1380</v>
      </c>
      <c r="B107" s="17" t="s">
        <v>145</v>
      </c>
      <c r="C107" s="5" t="s">
        <v>146</v>
      </c>
      <c r="D107" s="5">
        <v>-200</v>
      </c>
      <c r="F107" s="18">
        <v>66.159999999999982</v>
      </c>
      <c r="G107" s="61" t="s">
        <v>27</v>
      </c>
      <c r="H107" s="18">
        <v>-0.11999999999997613</v>
      </c>
      <c r="I107" s="67">
        <v>30.02444004539128</v>
      </c>
      <c r="J107" s="67">
        <v>-0.29535464093169139</v>
      </c>
      <c r="K107" s="141">
        <v>0.16681566243518683</v>
      </c>
    </row>
    <row r="108" spans="1:11" x14ac:dyDescent="0.35">
      <c r="A108" t="s">
        <v>1380</v>
      </c>
      <c r="B108" s="17" t="s">
        <v>145</v>
      </c>
      <c r="C108" s="5" t="s">
        <v>146</v>
      </c>
      <c r="D108" s="62">
        <v>-300</v>
      </c>
      <c r="F108" s="18">
        <v>66.21999999999997</v>
      </c>
      <c r="G108" s="61" t="s">
        <v>27</v>
      </c>
      <c r="H108" s="18">
        <v>-0.17999999999996419</v>
      </c>
      <c r="I108" s="67">
        <v>30.227056643229659</v>
      </c>
      <c r="J108" s="67">
        <v>-9.2738043093312683E-2</v>
      </c>
      <c r="K108" s="141">
        <v>0.13017031630170317</v>
      </c>
    </row>
    <row r="109" spans="1:11" x14ac:dyDescent="0.35">
      <c r="A109" t="s">
        <v>1380</v>
      </c>
      <c r="B109" s="17" t="s">
        <v>145</v>
      </c>
      <c r="C109" s="5" t="s">
        <v>146</v>
      </c>
      <c r="D109" s="5">
        <v>-400</v>
      </c>
      <c r="F109" s="18">
        <v>66.279999999999959</v>
      </c>
      <c r="G109" s="61" t="s">
        <v>27</v>
      </c>
      <c r="H109" s="18">
        <v>-0.23999999999995225</v>
      </c>
      <c r="I109" s="67">
        <v>30.174863876031935</v>
      </c>
      <c r="J109" s="67">
        <v>-0.14493081029103649</v>
      </c>
      <c r="K109" s="141">
        <v>0.11229184215641806</v>
      </c>
    </row>
    <row r="110" spans="1:11" x14ac:dyDescent="0.35">
      <c r="A110" t="s">
        <v>1380</v>
      </c>
      <c r="F110" s="18"/>
      <c r="G110" s="61"/>
      <c r="H110" s="18"/>
      <c r="I110" s="67"/>
      <c r="J110" s="67"/>
      <c r="K110" s="141"/>
    </row>
    <row r="111" spans="1:11" x14ac:dyDescent="0.35">
      <c r="A111" t="s">
        <v>1380</v>
      </c>
      <c r="D111" s="101" t="s">
        <v>143</v>
      </c>
      <c r="F111" s="18"/>
      <c r="G111" s="61"/>
      <c r="H111" s="18"/>
      <c r="I111" s="67"/>
      <c r="J111" s="67"/>
      <c r="K111" s="141"/>
    </row>
    <row r="112" spans="1:11" x14ac:dyDescent="0.35">
      <c r="A112" t="s">
        <v>1380</v>
      </c>
      <c r="B112" s="145" t="s">
        <v>193</v>
      </c>
      <c r="C112" s="5" t="s">
        <v>194</v>
      </c>
      <c r="D112" s="5">
        <v>950</v>
      </c>
      <c r="E112" s="146" t="s">
        <v>195</v>
      </c>
      <c r="F112" s="18">
        <v>63.9</v>
      </c>
      <c r="G112" s="61" t="s">
        <v>27</v>
      </c>
      <c r="H112" s="18">
        <v>2.1400000000000077</v>
      </c>
      <c r="I112" s="67"/>
      <c r="J112" s="67"/>
      <c r="K112" s="141"/>
    </row>
    <row r="113" spans="1:11" x14ac:dyDescent="0.35">
      <c r="A113" t="s">
        <v>1380</v>
      </c>
      <c r="B113" s="145" t="s">
        <v>193</v>
      </c>
      <c r="C113" s="5" t="s">
        <v>194</v>
      </c>
      <c r="D113" s="5">
        <v>450</v>
      </c>
      <c r="F113" s="18">
        <v>64.881432360742707</v>
      </c>
      <c r="G113" s="61" t="s">
        <v>27</v>
      </c>
      <c r="H113" s="18">
        <v>1.1585676392572992</v>
      </c>
      <c r="I113" s="67">
        <v>27.108682238178375</v>
      </c>
      <c r="J113" s="67">
        <v>0.90868223817837546</v>
      </c>
      <c r="K113" s="141">
        <v>0.13537604456824512</v>
      </c>
    </row>
    <row r="114" spans="1:11" x14ac:dyDescent="0.35">
      <c r="A114" t="s">
        <v>1380</v>
      </c>
      <c r="B114" s="145" t="s">
        <v>193</v>
      </c>
      <c r="C114" s="5" t="s">
        <v>194</v>
      </c>
      <c r="D114" s="5">
        <v>250</v>
      </c>
      <c r="F114" s="18">
        <v>65.274005305039793</v>
      </c>
      <c r="G114" s="61" t="s">
        <v>27</v>
      </c>
      <c r="H114" s="18">
        <v>0.765994694960213</v>
      </c>
      <c r="I114" s="67">
        <v>26.729203249102397</v>
      </c>
      <c r="J114" s="67">
        <v>0.52920324910239813</v>
      </c>
      <c r="K114" s="141">
        <v>0.12478401322214709</v>
      </c>
    </row>
    <row r="115" spans="1:11" x14ac:dyDescent="0.35">
      <c r="A115" t="s">
        <v>1380</v>
      </c>
      <c r="B115" s="145" t="s">
        <v>193</v>
      </c>
      <c r="C115" s="5" t="s">
        <v>194</v>
      </c>
      <c r="D115" s="5">
        <v>150</v>
      </c>
      <c r="F115" s="18">
        <v>65.470291777188322</v>
      </c>
      <c r="G115" s="61" t="s">
        <v>27</v>
      </c>
      <c r="H115" s="18">
        <v>0.5697082228116841</v>
      </c>
      <c r="I115" s="67">
        <v>30.465710436968259</v>
      </c>
      <c r="J115" s="67">
        <v>4.2657104369682592</v>
      </c>
      <c r="K115" s="141">
        <v>0.18461216809533765</v>
      </c>
    </row>
    <row r="116" spans="1:11" x14ac:dyDescent="0.35">
      <c r="A116" t="s">
        <v>1380</v>
      </c>
      <c r="B116" s="145" t="s">
        <v>193</v>
      </c>
      <c r="C116" s="5" t="s">
        <v>194</v>
      </c>
      <c r="D116" s="5">
        <v>100</v>
      </c>
      <c r="F116" s="18">
        <v>65.568435013262601</v>
      </c>
      <c r="G116" s="61" t="s">
        <v>27</v>
      </c>
      <c r="H116" s="18">
        <v>0.47156498673740543</v>
      </c>
      <c r="I116" s="67">
        <v>24.875213689334213</v>
      </c>
      <c r="J116" s="67">
        <v>-1.324786310665786</v>
      </c>
      <c r="K116" s="141">
        <v>0.14911822027855684</v>
      </c>
    </row>
    <row r="117" spans="1:11" x14ac:dyDescent="0.35">
      <c r="A117" t="s">
        <v>1380</v>
      </c>
      <c r="B117" s="145" t="s">
        <v>193</v>
      </c>
      <c r="C117" s="5" t="s">
        <v>194</v>
      </c>
      <c r="D117" s="5">
        <v>75</v>
      </c>
      <c r="F117" s="18">
        <v>65.617506631299733</v>
      </c>
      <c r="G117" s="61" t="s">
        <v>27</v>
      </c>
      <c r="H117" s="18">
        <v>0.42249336870027321</v>
      </c>
      <c r="I117" s="67">
        <v>25.917643030983164</v>
      </c>
      <c r="J117" s="67">
        <v>-0.28235696901683482</v>
      </c>
      <c r="K117" s="141">
        <v>0.16765538012229625</v>
      </c>
    </row>
    <row r="118" spans="1:11" x14ac:dyDescent="0.35">
      <c r="A118" t="s">
        <v>1380</v>
      </c>
      <c r="B118" s="145" t="s">
        <v>193</v>
      </c>
      <c r="C118" s="5" t="s">
        <v>194</v>
      </c>
      <c r="D118" s="5">
        <v>50</v>
      </c>
      <c r="E118" s="74"/>
      <c r="F118" s="18">
        <v>65.666578249336865</v>
      </c>
      <c r="G118" s="61" t="s">
        <v>27</v>
      </c>
      <c r="H118" s="18">
        <v>0.37342175066314098</v>
      </c>
      <c r="I118" s="67">
        <v>24.351032919789429</v>
      </c>
      <c r="J118" s="67">
        <v>-1.8489670802105707</v>
      </c>
      <c r="K118" s="141">
        <v>0.14231459014663994</v>
      </c>
    </row>
    <row r="119" spans="1:11" x14ac:dyDescent="0.35">
      <c r="A119" t="s">
        <v>1380</v>
      </c>
      <c r="B119" s="145" t="s">
        <v>193</v>
      </c>
      <c r="C119" s="5" t="s">
        <v>194</v>
      </c>
      <c r="D119" s="5">
        <v>12.5</v>
      </c>
      <c r="E119" s="6" t="s">
        <v>200</v>
      </c>
      <c r="F119" s="18">
        <v>65.740185676392571</v>
      </c>
      <c r="G119" s="61" t="s">
        <v>27</v>
      </c>
      <c r="H119" s="18">
        <v>0.29981432360743554</v>
      </c>
      <c r="I119" s="67">
        <v>27.531023905263964</v>
      </c>
      <c r="J119" s="67">
        <v>1.3310239052639652</v>
      </c>
      <c r="K119" s="141">
        <v>0.14482375026072447</v>
      </c>
    </row>
    <row r="120" spans="1:11" x14ac:dyDescent="0.35">
      <c r="A120" t="s">
        <v>1380</v>
      </c>
      <c r="B120" s="145" t="s">
        <v>193</v>
      </c>
      <c r="C120" s="5" t="s">
        <v>194</v>
      </c>
      <c r="D120" s="5">
        <v>7.5</v>
      </c>
      <c r="E120" s="74"/>
      <c r="F120" s="18">
        <v>65.75</v>
      </c>
      <c r="G120" s="61" t="s">
        <v>27</v>
      </c>
      <c r="H120" s="18">
        <v>0.29000000000000625</v>
      </c>
      <c r="I120" s="67">
        <v>25.881729410652181</v>
      </c>
      <c r="J120" s="67">
        <v>-0.3182705893478186</v>
      </c>
      <c r="K120" s="141">
        <v>0.15490378200180532</v>
      </c>
    </row>
    <row r="121" spans="1:11" x14ac:dyDescent="0.35">
      <c r="A121" t="s">
        <v>1380</v>
      </c>
      <c r="B121" s="145" t="s">
        <v>193</v>
      </c>
      <c r="C121" s="5" t="s">
        <v>194</v>
      </c>
      <c r="D121" s="5">
        <v>0.25</v>
      </c>
      <c r="E121" s="74"/>
      <c r="F121" s="18">
        <v>66.039666666666676</v>
      </c>
      <c r="G121" s="61" t="s">
        <v>27</v>
      </c>
      <c r="H121" s="18">
        <v>3.33333333330188E-4</v>
      </c>
      <c r="I121" s="67">
        <v>31.622139701390964</v>
      </c>
      <c r="J121" s="67">
        <v>5.4221397013909645</v>
      </c>
      <c r="K121" s="141">
        <v>0.11360163015792155</v>
      </c>
    </row>
    <row r="122" spans="1:11" x14ac:dyDescent="0.35">
      <c r="A122" t="s">
        <v>1380</v>
      </c>
      <c r="B122" s="145" t="s">
        <v>193</v>
      </c>
      <c r="C122" s="5" t="s">
        <v>194</v>
      </c>
      <c r="D122" s="5">
        <v>0</v>
      </c>
      <c r="E122" s="74" t="s">
        <v>204</v>
      </c>
      <c r="F122" s="18">
        <v>66.040000000000006</v>
      </c>
      <c r="G122" s="61" t="s">
        <v>27</v>
      </c>
      <c r="H122" s="18">
        <v>0</v>
      </c>
      <c r="I122" s="67"/>
      <c r="J122" s="67"/>
      <c r="K122" s="141"/>
    </row>
    <row r="123" spans="1:11" x14ac:dyDescent="0.35">
      <c r="A123" t="s">
        <v>1380</v>
      </c>
      <c r="B123" s="145" t="s">
        <v>193</v>
      </c>
      <c r="C123" s="5" t="s">
        <v>194</v>
      </c>
      <c r="D123" s="5">
        <v>-11</v>
      </c>
      <c r="E123" s="74"/>
      <c r="F123" s="18">
        <v>66.065384615384616</v>
      </c>
      <c r="G123" s="61" t="s">
        <v>27</v>
      </c>
      <c r="H123" s="18">
        <v>-2.5384615384609788E-2</v>
      </c>
      <c r="I123" s="67">
        <v>18.779002029078818</v>
      </c>
      <c r="J123" s="67">
        <v>-7.4209979709211815</v>
      </c>
      <c r="K123" s="141">
        <v>6.7114687417101429E-2</v>
      </c>
    </row>
    <row r="124" spans="1:11" x14ac:dyDescent="0.35">
      <c r="A124" t="s">
        <v>1380</v>
      </c>
      <c r="B124" s="145" t="s">
        <v>193</v>
      </c>
      <c r="C124" s="5" t="s">
        <v>194</v>
      </c>
      <c r="D124" s="5">
        <v>-20</v>
      </c>
      <c r="E124" s="74"/>
      <c r="F124" s="18">
        <v>66.086153846153849</v>
      </c>
      <c r="G124" s="61" t="s">
        <v>27</v>
      </c>
      <c r="H124" s="18">
        <v>-4.6153846153842437E-2</v>
      </c>
      <c r="I124" s="67">
        <v>26.512055041200021</v>
      </c>
      <c r="J124" s="67">
        <v>0.31205504120002203</v>
      </c>
      <c r="K124" s="141">
        <v>0.12478401322214709</v>
      </c>
    </row>
    <row r="125" spans="1:11" x14ac:dyDescent="0.35">
      <c r="A125" t="s">
        <v>1380</v>
      </c>
      <c r="B125" s="145" t="s">
        <v>193</v>
      </c>
      <c r="C125" s="5" t="s">
        <v>194</v>
      </c>
      <c r="D125" s="5">
        <v>-25</v>
      </c>
      <c r="E125" s="74"/>
      <c r="F125" s="18">
        <v>66.097692307692299</v>
      </c>
      <c r="G125" s="61" t="s">
        <v>27</v>
      </c>
      <c r="H125" s="18">
        <v>-5.7692307692292388E-2</v>
      </c>
      <c r="I125" s="67">
        <v>26.629108653687581</v>
      </c>
      <c r="J125" s="67">
        <v>0.42910865368758166</v>
      </c>
      <c r="K125" s="141">
        <v>0.13407134071340712</v>
      </c>
    </row>
    <row r="126" spans="1:11" x14ac:dyDescent="0.35">
      <c r="A126" t="s">
        <v>1380</v>
      </c>
      <c r="B126" s="145" t="s">
        <v>193</v>
      </c>
      <c r="C126" s="5" t="s">
        <v>194</v>
      </c>
      <c r="D126" s="5">
        <v>-26</v>
      </c>
      <c r="E126" s="75" t="s">
        <v>209</v>
      </c>
      <c r="F126" s="18">
        <v>66.099999999999994</v>
      </c>
      <c r="G126" s="61" t="s">
        <v>27</v>
      </c>
      <c r="H126" s="18">
        <v>-5.9999999999988063E-2</v>
      </c>
      <c r="I126" s="67"/>
      <c r="J126" s="67"/>
      <c r="K126" s="141"/>
    </row>
    <row r="127" spans="1:11" x14ac:dyDescent="0.35">
      <c r="A127" t="s">
        <v>1380</v>
      </c>
      <c r="B127" s="145" t="s">
        <v>193</v>
      </c>
      <c r="C127" s="5" t="s">
        <v>194</v>
      </c>
      <c r="D127" s="5">
        <v>-50</v>
      </c>
      <c r="E127" s="74"/>
      <c r="F127" s="18">
        <v>66.110480349344968</v>
      </c>
      <c r="G127" s="61" t="s">
        <v>27</v>
      </c>
      <c r="H127" s="18">
        <v>-7.0480349344961724E-2</v>
      </c>
      <c r="I127" s="67">
        <v>27.155494303224756</v>
      </c>
      <c r="J127" s="67">
        <v>0.95549430322475715</v>
      </c>
      <c r="K127" s="141">
        <v>0.1313437139561707</v>
      </c>
    </row>
    <row r="128" spans="1:11" x14ac:dyDescent="0.35">
      <c r="A128" t="s">
        <v>1380</v>
      </c>
      <c r="B128" s="145" t="s">
        <v>193</v>
      </c>
      <c r="C128" s="5" t="s">
        <v>194</v>
      </c>
      <c r="D128" s="5">
        <v>-80</v>
      </c>
      <c r="F128" s="18">
        <v>66.123580786026196</v>
      </c>
      <c r="G128" s="61" t="s">
        <v>27</v>
      </c>
      <c r="H128" s="18">
        <v>-8.3580786026189458E-2</v>
      </c>
      <c r="I128" s="67">
        <v>27.631636169310305</v>
      </c>
      <c r="J128" s="67">
        <v>1.4316361693103055</v>
      </c>
      <c r="K128" s="141">
        <v>0.14482375026072447</v>
      </c>
    </row>
    <row r="129" spans="1:11" x14ac:dyDescent="0.35">
      <c r="A129" t="s">
        <v>1380</v>
      </c>
      <c r="B129" s="145" t="s">
        <v>193</v>
      </c>
      <c r="C129" s="5" t="s">
        <v>194</v>
      </c>
      <c r="D129" s="5">
        <v>-100</v>
      </c>
      <c r="F129" s="18">
        <v>66.132314410480348</v>
      </c>
      <c r="G129" s="61" t="s">
        <v>27</v>
      </c>
      <c r="H129" s="18">
        <v>-9.231441048034128E-2</v>
      </c>
      <c r="I129" s="67">
        <v>28.933085948721498</v>
      </c>
      <c r="J129" s="67">
        <v>2.7330859487214987</v>
      </c>
      <c r="K129" s="141">
        <v>0.1341920220805678</v>
      </c>
    </row>
    <row r="130" spans="1:11" x14ac:dyDescent="0.35">
      <c r="A130" t="s">
        <v>1380</v>
      </c>
      <c r="B130" s="145" t="s">
        <v>193</v>
      </c>
      <c r="C130" s="5" t="s">
        <v>194</v>
      </c>
      <c r="D130" s="5">
        <v>-125</v>
      </c>
      <c r="F130" s="18">
        <v>66.14323144104803</v>
      </c>
      <c r="G130" s="61" t="s">
        <v>27</v>
      </c>
      <c r="H130" s="18">
        <v>-0.10323144104802395</v>
      </c>
      <c r="I130" s="67">
        <v>29.101357240550961</v>
      </c>
      <c r="J130" s="67">
        <v>2.9013572405509613</v>
      </c>
      <c r="K130" s="141">
        <v>0.13609521076558276</v>
      </c>
    </row>
    <row r="131" spans="1:11" x14ac:dyDescent="0.35">
      <c r="A131" t="s">
        <v>1380</v>
      </c>
      <c r="B131" s="145" t="s">
        <v>193</v>
      </c>
      <c r="C131" s="5" t="s">
        <v>194</v>
      </c>
      <c r="D131" s="5">
        <v>-200</v>
      </c>
      <c r="F131" s="18">
        <v>66.175982532751092</v>
      </c>
      <c r="G131" s="61" t="s">
        <v>27</v>
      </c>
      <c r="H131" s="18">
        <v>-0.13598253275108618</v>
      </c>
      <c r="I131" s="67">
        <v>26.668522751020255</v>
      </c>
      <c r="J131" s="67">
        <v>0.46852275102025587</v>
      </c>
      <c r="K131" s="141">
        <v>0.12798581412329196</v>
      </c>
    </row>
    <row r="132" spans="1:11" x14ac:dyDescent="0.35">
      <c r="A132" t="s">
        <v>1380</v>
      </c>
      <c r="B132" s="145" t="s">
        <v>193</v>
      </c>
      <c r="C132" s="5" t="s">
        <v>194</v>
      </c>
      <c r="D132" s="5">
        <v>-300</v>
      </c>
      <c r="F132" s="18">
        <v>66.219650655021823</v>
      </c>
      <c r="G132" s="61" t="s">
        <v>27</v>
      </c>
      <c r="H132" s="18">
        <v>-0.17965065502181687</v>
      </c>
      <c r="I132" s="67">
        <v>27.888860473602335</v>
      </c>
      <c r="J132" s="67">
        <v>1.688860473602336</v>
      </c>
      <c r="K132" s="141">
        <v>0.12546779594248572</v>
      </c>
    </row>
    <row r="133" spans="1:11" x14ac:dyDescent="0.35">
      <c r="A133" t="s">
        <v>1380</v>
      </c>
      <c r="B133" s="145" t="s">
        <v>193</v>
      </c>
      <c r="C133" s="5" t="s">
        <v>194</v>
      </c>
      <c r="D133" s="5">
        <v>-400</v>
      </c>
      <c r="F133" s="18">
        <v>66.263318777292568</v>
      </c>
      <c r="G133" s="61" t="s">
        <v>27</v>
      </c>
      <c r="H133" s="18">
        <v>-0.22331877729256178</v>
      </c>
      <c r="I133" s="67">
        <v>28.900223014048599</v>
      </c>
      <c r="J133" s="67">
        <v>2.7002230140485999</v>
      </c>
      <c r="K133" s="141">
        <v>0.15</v>
      </c>
    </row>
    <row r="134" spans="1:11" x14ac:dyDescent="0.35">
      <c r="A134" t="s">
        <v>1380</v>
      </c>
      <c r="B134" s="145" t="s">
        <v>193</v>
      </c>
      <c r="C134" s="5" t="s">
        <v>194</v>
      </c>
      <c r="D134" s="5">
        <v>-500</v>
      </c>
      <c r="F134" s="18">
        <v>66.306986899563313</v>
      </c>
      <c r="G134" s="61" t="s">
        <v>27</v>
      </c>
      <c r="H134" s="18">
        <v>-0.26698689956330668</v>
      </c>
      <c r="I134" s="67">
        <v>27.354314169949134</v>
      </c>
      <c r="J134" s="67">
        <v>1.154314169949135</v>
      </c>
      <c r="K134" s="141">
        <v>0.13628628886711699</v>
      </c>
    </row>
    <row r="135" spans="1:11" x14ac:dyDescent="0.35">
      <c r="A135" t="s">
        <v>1380</v>
      </c>
      <c r="B135" s="145" t="s">
        <v>193</v>
      </c>
      <c r="C135" s="5" t="s">
        <v>194</v>
      </c>
      <c r="D135" s="5">
        <v>-700</v>
      </c>
      <c r="F135" s="18">
        <v>66.394323144104803</v>
      </c>
      <c r="G135" s="61" t="s">
        <v>27</v>
      </c>
      <c r="H135" s="18">
        <v>-0.35432314410479648</v>
      </c>
      <c r="I135" s="67">
        <v>26.804233337452409</v>
      </c>
      <c r="J135" s="67">
        <v>0.60423333745240981</v>
      </c>
      <c r="K135" s="141">
        <v>0.13</v>
      </c>
    </row>
    <row r="136" spans="1:11" x14ac:dyDescent="0.35">
      <c r="A136" t="s">
        <v>1380</v>
      </c>
      <c r="B136" s="145" t="s">
        <v>193</v>
      </c>
      <c r="C136" s="5" t="s">
        <v>194</v>
      </c>
      <c r="D136" s="5">
        <v>-900</v>
      </c>
      <c r="F136" s="18">
        <v>66.481659388646293</v>
      </c>
      <c r="G136" s="61" t="s">
        <v>27</v>
      </c>
      <c r="H136" s="18">
        <v>-0.44165938864628629</v>
      </c>
      <c r="I136" s="67">
        <v>26.668522751020255</v>
      </c>
      <c r="J136" s="67">
        <v>0.46852275102025587</v>
      </c>
      <c r="K136" s="141">
        <v>0.10402405977349979</v>
      </c>
    </row>
    <row r="137" spans="1:11" x14ac:dyDescent="0.35">
      <c r="A137" t="s">
        <v>1380</v>
      </c>
      <c r="B137" s="145" t="s">
        <v>193</v>
      </c>
      <c r="C137" s="5" t="s">
        <v>194</v>
      </c>
      <c r="D137" s="5">
        <v>-1000</v>
      </c>
      <c r="F137" s="18">
        <v>66.525327510917037</v>
      </c>
      <c r="G137" s="61" t="s">
        <v>27</v>
      </c>
      <c r="H137" s="18">
        <v>-0.48532751091703119</v>
      </c>
      <c r="I137" s="67">
        <v>25.881729410652181</v>
      </c>
      <c r="J137" s="67">
        <v>-0.3182705893478186</v>
      </c>
      <c r="K137" s="141">
        <v>0.15867250318214274</v>
      </c>
    </row>
    <row r="138" spans="1:11" x14ac:dyDescent="0.35">
      <c r="A138" t="s">
        <v>1380</v>
      </c>
      <c r="B138" s="145" t="s">
        <v>193</v>
      </c>
      <c r="C138" s="5" t="s">
        <v>194</v>
      </c>
      <c r="D138" s="5">
        <v>-1200</v>
      </c>
      <c r="F138" s="18">
        <v>66.612663755458513</v>
      </c>
      <c r="G138" s="61" t="s">
        <v>27</v>
      </c>
      <c r="H138" s="18">
        <v>-0.57266375545850678</v>
      </c>
      <c r="I138" s="67">
        <v>28.740588563365115</v>
      </c>
      <c r="J138" s="67">
        <v>2.540588563365116</v>
      </c>
      <c r="K138" s="141">
        <v>0.15</v>
      </c>
    </row>
    <row r="139" spans="1:11" x14ac:dyDescent="0.35">
      <c r="A139" t="s">
        <v>1380</v>
      </c>
      <c r="B139" s="145" t="s">
        <v>193</v>
      </c>
      <c r="C139" s="5" t="s">
        <v>194</v>
      </c>
      <c r="D139" s="5">
        <v>-1300</v>
      </c>
      <c r="F139" s="18">
        <v>66.656331877729258</v>
      </c>
      <c r="G139" s="61" t="s">
        <v>27</v>
      </c>
      <c r="H139" s="18">
        <v>-0.61633187772925169</v>
      </c>
      <c r="I139" s="67">
        <v>30.22382853370441</v>
      </c>
      <c r="J139" s="67">
        <v>4.0238285337044104</v>
      </c>
      <c r="K139" s="141">
        <v>0.18402647213657217</v>
      </c>
    </row>
    <row r="140" spans="1:11" x14ac:dyDescent="0.35">
      <c r="A140" t="s">
        <v>1380</v>
      </c>
      <c r="B140" s="145" t="s">
        <v>193</v>
      </c>
      <c r="C140" s="5" t="s">
        <v>194</v>
      </c>
      <c r="D140" s="5">
        <v>-1400</v>
      </c>
      <c r="E140" s="147" t="s">
        <v>218</v>
      </c>
      <c r="F140" s="18">
        <v>66.7</v>
      </c>
      <c r="G140" s="61" t="s">
        <v>27</v>
      </c>
      <c r="H140" s="18">
        <v>-0.65999999999999659</v>
      </c>
      <c r="I140" s="67"/>
      <c r="J140" s="67"/>
      <c r="K140" s="141"/>
    </row>
    <row r="141" spans="1:11" x14ac:dyDescent="0.35">
      <c r="A141" t="s">
        <v>1380</v>
      </c>
      <c r="B141" s="145" t="s">
        <v>193</v>
      </c>
      <c r="C141" s="5" t="s">
        <v>194</v>
      </c>
      <c r="D141" s="5">
        <v>-1500</v>
      </c>
      <c r="F141" s="18">
        <v>66.743668122270748</v>
      </c>
      <c r="G141" s="61" t="s">
        <v>27</v>
      </c>
      <c r="H141" s="18">
        <v>-0.70366812227074149</v>
      </c>
      <c r="I141" s="67">
        <v>29.13630813840749</v>
      </c>
      <c r="J141" s="67">
        <v>2.9363081384074903</v>
      </c>
      <c r="K141" s="141">
        <v>0.18318905333705668</v>
      </c>
    </row>
    <row r="142" spans="1:11" x14ac:dyDescent="0.35">
      <c r="A142" t="s">
        <v>1380</v>
      </c>
      <c r="B142" s="145"/>
      <c r="F142" s="18"/>
      <c r="G142" s="61"/>
      <c r="H142" s="18"/>
      <c r="I142" s="67"/>
      <c r="J142" s="67"/>
      <c r="K142" s="141"/>
    </row>
    <row r="143" spans="1:11" x14ac:dyDescent="0.35">
      <c r="A143" t="s">
        <v>1380</v>
      </c>
      <c r="D143" s="101" t="s">
        <v>220</v>
      </c>
      <c r="G143" s="61"/>
      <c r="K143" s="63"/>
    </row>
    <row r="144" spans="1:11" x14ac:dyDescent="0.35">
      <c r="A144" t="s">
        <v>1380</v>
      </c>
      <c r="B144" s="17" t="s">
        <v>41</v>
      </c>
      <c r="C144" s="5" t="s">
        <v>42</v>
      </c>
      <c r="D144" s="80">
        <v>-18</v>
      </c>
      <c r="F144" s="5">
        <v>66.066289999999995</v>
      </c>
      <c r="G144" s="61" t="s">
        <v>27</v>
      </c>
      <c r="H144" s="18">
        <v>-4.4289999999989504E-2</v>
      </c>
      <c r="I144" s="67">
        <v>29.80838919</v>
      </c>
      <c r="J144" s="67">
        <v>1.9835552071999949</v>
      </c>
      <c r="K144" s="63"/>
    </row>
    <row r="145" spans="1:11" x14ac:dyDescent="0.35">
      <c r="A145" t="s">
        <v>1380</v>
      </c>
      <c r="B145" s="17" t="s">
        <v>41</v>
      </c>
      <c r="C145" s="5" t="s">
        <v>42</v>
      </c>
      <c r="D145" s="80">
        <v>-25</v>
      </c>
      <c r="F145" s="5">
        <v>66.077161000000004</v>
      </c>
      <c r="G145" s="61" t="s">
        <v>27</v>
      </c>
      <c r="H145" s="18">
        <v>-5.5160999999998239E-2</v>
      </c>
      <c r="I145" s="67">
        <v>27.486715185000001</v>
      </c>
      <c r="J145" s="67">
        <v>-0.33811879780000353</v>
      </c>
      <c r="K145" s="63"/>
    </row>
    <row r="146" spans="1:11" x14ac:dyDescent="0.35">
      <c r="A146" t="s">
        <v>1380</v>
      </c>
      <c r="B146" s="17" t="s">
        <v>41</v>
      </c>
      <c r="C146" s="5" t="s">
        <v>42</v>
      </c>
      <c r="D146" s="80">
        <v>-32</v>
      </c>
      <c r="F146" s="5">
        <v>66.088031999999998</v>
      </c>
      <c r="G146" s="61" t="s">
        <v>27</v>
      </c>
      <c r="H146" s="18">
        <v>-6.6031999999992763E-2</v>
      </c>
      <c r="I146" s="67">
        <v>27.795150005</v>
      </c>
      <c r="J146" s="67">
        <v>-2.9683977800004868E-2</v>
      </c>
      <c r="K146" s="63"/>
    </row>
    <row r="147" spans="1:11" x14ac:dyDescent="0.35">
      <c r="A147" t="s">
        <v>1380</v>
      </c>
      <c r="B147" s="17" t="s">
        <v>41</v>
      </c>
      <c r="C147" s="5" t="s">
        <v>42</v>
      </c>
      <c r="D147" s="80">
        <v>-36</v>
      </c>
      <c r="F147" s="5">
        <v>66.094244000000003</v>
      </c>
      <c r="G147" s="61" t="s">
        <v>27</v>
      </c>
      <c r="H147" s="18">
        <v>-7.2243999999997754E-2</v>
      </c>
      <c r="I147" s="67">
        <v>28.683026914999999</v>
      </c>
      <c r="J147" s="67">
        <v>0.85819293219999437</v>
      </c>
      <c r="K147" s="63"/>
    </row>
    <row r="148" spans="1:11" x14ac:dyDescent="0.35">
      <c r="A148" t="s">
        <v>1380</v>
      </c>
      <c r="B148" s="17" t="s">
        <v>41</v>
      </c>
      <c r="C148" s="5" t="s">
        <v>42</v>
      </c>
      <c r="D148" s="80">
        <v>-42</v>
      </c>
      <c r="F148" s="5">
        <v>66.103561999999997</v>
      </c>
      <c r="G148" s="61" t="s">
        <v>27</v>
      </c>
      <c r="H148" s="18">
        <v>-8.1561999999991031E-2</v>
      </c>
      <c r="I148" s="67">
        <v>28.221575394999999</v>
      </c>
      <c r="J148" s="67">
        <v>0.3967414121999937</v>
      </c>
      <c r="K148" s="63"/>
    </row>
    <row r="149" spans="1:11" x14ac:dyDescent="0.35">
      <c r="A149" t="s">
        <v>1380</v>
      </c>
      <c r="B149" s="17" t="s">
        <v>41</v>
      </c>
      <c r="C149" s="5" t="s">
        <v>42</v>
      </c>
      <c r="D149" s="80">
        <v>-49</v>
      </c>
      <c r="F149" s="5">
        <v>66.114433000000005</v>
      </c>
      <c r="G149" s="61" t="s">
        <v>27</v>
      </c>
      <c r="H149" s="18">
        <v>-9.2432999999999765E-2</v>
      </c>
      <c r="I149" s="67">
        <v>28.15836131</v>
      </c>
      <c r="J149" s="67">
        <v>0.33352732719999523</v>
      </c>
      <c r="K149" s="63"/>
    </row>
    <row r="150" spans="1:11" x14ac:dyDescent="0.35">
      <c r="A150" t="s">
        <v>1380</v>
      </c>
      <c r="B150" s="17" t="s">
        <v>41</v>
      </c>
      <c r="C150" s="5" t="s">
        <v>42</v>
      </c>
      <c r="D150" s="80">
        <v>-56.000000000000007</v>
      </c>
      <c r="F150" s="5">
        <v>66.125304</v>
      </c>
      <c r="G150" s="61" t="s">
        <v>27</v>
      </c>
      <c r="H150" s="18">
        <v>-0.10330399999999429</v>
      </c>
      <c r="I150" s="67">
        <v>29.285775155</v>
      </c>
      <c r="J150" s="67">
        <v>1.4609411721999948</v>
      </c>
      <c r="K150" s="63"/>
    </row>
    <row r="151" spans="1:11" x14ac:dyDescent="0.35">
      <c r="A151" t="s">
        <v>1380</v>
      </c>
      <c r="B151" s="17" t="s">
        <v>41</v>
      </c>
      <c r="C151" s="5" t="s">
        <v>42</v>
      </c>
      <c r="D151" s="80">
        <v>-62</v>
      </c>
      <c r="F151" s="5">
        <v>66.134621999999993</v>
      </c>
      <c r="G151" s="61" t="s">
        <v>27</v>
      </c>
      <c r="H151" s="18">
        <v>-0.11262199999998757</v>
      </c>
      <c r="I151" s="67">
        <v>28.892629710000001</v>
      </c>
      <c r="J151" s="67">
        <v>1.0677957271999965</v>
      </c>
      <c r="K151" s="63"/>
    </row>
    <row r="152" spans="1:11" x14ac:dyDescent="0.35">
      <c r="A152" t="s">
        <v>1380</v>
      </c>
      <c r="B152" s="17" t="s">
        <v>41</v>
      </c>
      <c r="C152" s="5" t="s">
        <v>42</v>
      </c>
      <c r="D152" s="80">
        <v>-70</v>
      </c>
      <c r="F152" s="5">
        <v>66.147045999999989</v>
      </c>
      <c r="G152" s="61" t="s">
        <v>27</v>
      </c>
      <c r="H152" s="18">
        <v>-0.12504599999998334</v>
      </c>
      <c r="I152" s="67">
        <v>29.365634855</v>
      </c>
      <c r="J152" s="67">
        <v>1.5408008721999948</v>
      </c>
      <c r="K152" s="63"/>
    </row>
    <row r="153" spans="1:11" x14ac:dyDescent="0.35">
      <c r="A153" t="s">
        <v>1380</v>
      </c>
      <c r="B153" s="17" t="s">
        <v>41</v>
      </c>
      <c r="C153" s="5" t="s">
        <v>42</v>
      </c>
      <c r="D153" s="80">
        <v>-75</v>
      </c>
      <c r="F153" s="5">
        <v>66.154810999999995</v>
      </c>
      <c r="G153" s="61" t="s">
        <v>27</v>
      </c>
      <c r="H153" s="18">
        <v>-0.13281099999998958</v>
      </c>
      <c r="I153" s="67">
        <v>29.265285649999999</v>
      </c>
      <c r="J153" s="67">
        <v>1.4404516671999943</v>
      </c>
      <c r="K153" s="63"/>
    </row>
    <row r="154" spans="1:11" x14ac:dyDescent="0.35">
      <c r="A154" t="s">
        <v>1380</v>
      </c>
      <c r="B154" s="17" t="s">
        <v>41</v>
      </c>
      <c r="C154" s="5" t="s">
        <v>42</v>
      </c>
      <c r="D154" s="80">
        <v>-82</v>
      </c>
      <c r="F154" s="5">
        <v>66.16568199999999</v>
      </c>
      <c r="G154" s="61" t="s">
        <v>27</v>
      </c>
      <c r="H154" s="18">
        <v>-0.1436819999999841</v>
      </c>
      <c r="I154" s="67">
        <v>28.09614689</v>
      </c>
      <c r="J154" s="67">
        <v>0.27131290719999512</v>
      </c>
      <c r="K154" s="63"/>
    </row>
    <row r="155" spans="1:11" x14ac:dyDescent="0.35">
      <c r="A155" t="s">
        <v>1380</v>
      </c>
      <c r="B155" s="17" t="s">
        <v>41</v>
      </c>
      <c r="C155" s="5" t="s">
        <v>42</v>
      </c>
      <c r="D155" s="80">
        <v>-89</v>
      </c>
      <c r="F155" s="5">
        <v>66.176552999999998</v>
      </c>
      <c r="G155" s="61" t="s">
        <v>27</v>
      </c>
      <c r="H155" s="18">
        <v>-0.15455299999999284</v>
      </c>
      <c r="I155" s="67">
        <v>27.834879704999999</v>
      </c>
      <c r="J155" s="67">
        <v>1.0045722199993889E-2</v>
      </c>
      <c r="K155" s="63"/>
    </row>
    <row r="156" spans="1:11" x14ac:dyDescent="0.35">
      <c r="A156" t="s">
        <v>1380</v>
      </c>
      <c r="B156" s="17" t="s">
        <v>41</v>
      </c>
      <c r="C156" s="5" t="s">
        <v>42</v>
      </c>
      <c r="D156" s="80">
        <v>-97</v>
      </c>
      <c r="F156" s="5">
        <v>66.188977000000008</v>
      </c>
      <c r="G156" s="61" t="s">
        <v>27</v>
      </c>
      <c r="H156" s="18">
        <v>-0.16697700000000282</v>
      </c>
      <c r="I156" s="67">
        <v>28.053454599999998</v>
      </c>
      <c r="J156" s="67">
        <v>0.2286206171999936</v>
      </c>
      <c r="K156" s="63"/>
    </row>
    <row r="157" spans="1:11" x14ac:dyDescent="0.35">
      <c r="A157" t="s">
        <v>1380</v>
      </c>
      <c r="B157" s="17" t="s">
        <v>41</v>
      </c>
      <c r="C157" s="5" t="s">
        <v>42</v>
      </c>
      <c r="D157" s="80">
        <v>-112.99999999999999</v>
      </c>
      <c r="F157" s="5">
        <v>66.213825</v>
      </c>
      <c r="G157" s="61" t="s">
        <v>27</v>
      </c>
      <c r="H157" s="18">
        <v>-0.19182499999999436</v>
      </c>
      <c r="I157" s="67">
        <v>28.458214885</v>
      </c>
      <c r="J157" s="67">
        <v>0.63338090219999543</v>
      </c>
      <c r="K157" s="63"/>
    </row>
    <row r="158" spans="1:11" x14ac:dyDescent="0.35">
      <c r="A158" t="s">
        <v>1380</v>
      </c>
      <c r="B158" s="17" t="s">
        <v>41</v>
      </c>
      <c r="C158" s="5" t="s">
        <v>42</v>
      </c>
      <c r="D158" s="80">
        <v>-126</v>
      </c>
      <c r="F158" s="5">
        <v>66.234014000000002</v>
      </c>
      <c r="G158" s="61" t="s">
        <v>27</v>
      </c>
      <c r="H158" s="18">
        <v>-0.21201399999999637</v>
      </c>
      <c r="I158" s="67">
        <v>30.511270544999999</v>
      </c>
      <c r="J158" s="67">
        <v>2.6864365621999937</v>
      </c>
      <c r="K158" s="63"/>
    </row>
    <row r="159" spans="1:11" x14ac:dyDescent="0.35">
      <c r="A159" t="s">
        <v>1380</v>
      </c>
      <c r="B159" s="17" t="s">
        <v>41</v>
      </c>
      <c r="C159" s="5" t="s">
        <v>42</v>
      </c>
      <c r="D159" s="80">
        <v>-142</v>
      </c>
      <c r="F159" s="5">
        <v>66.258861999999993</v>
      </c>
      <c r="G159" s="61" t="s">
        <v>27</v>
      </c>
      <c r="H159" s="18">
        <v>-0.23686199999998792</v>
      </c>
      <c r="I159" s="67">
        <v>29.894253474999999</v>
      </c>
      <c r="J159" s="67">
        <v>2.0694194921999944</v>
      </c>
      <c r="K159" s="63"/>
    </row>
    <row r="160" spans="1:11" x14ac:dyDescent="0.35">
      <c r="A160" t="s">
        <v>1380</v>
      </c>
      <c r="B160" s="17" t="s">
        <v>41</v>
      </c>
      <c r="C160" s="5" t="s">
        <v>42</v>
      </c>
      <c r="D160" s="80">
        <v>-189</v>
      </c>
      <c r="F160" s="5">
        <v>66.331852999999995</v>
      </c>
      <c r="G160" s="61" t="s">
        <v>27</v>
      </c>
      <c r="H160" s="18">
        <v>-0.30985299999998972</v>
      </c>
      <c r="I160" s="67">
        <v>26.61537676</v>
      </c>
      <c r="J160" s="67">
        <v>-1.2094572228000047</v>
      </c>
      <c r="K160" s="63"/>
    </row>
    <row r="161" spans="1:11" x14ac:dyDescent="0.35">
      <c r="A161" t="s">
        <v>1380</v>
      </c>
      <c r="B161" s="17" t="s">
        <v>41</v>
      </c>
      <c r="C161" s="5" t="s">
        <v>42</v>
      </c>
      <c r="D161" s="80">
        <v>-204</v>
      </c>
      <c r="F161" s="5">
        <v>66.355148</v>
      </c>
      <c r="G161" s="61" t="s">
        <v>27</v>
      </c>
      <c r="H161" s="18">
        <v>-0.33314799999999423</v>
      </c>
      <c r="I161" s="67">
        <v>26.5787911</v>
      </c>
      <c r="J161" s="67">
        <v>-1.2460428828000047</v>
      </c>
      <c r="K161" s="63"/>
    </row>
    <row r="162" spans="1:11" x14ac:dyDescent="0.35">
      <c r="A162" t="s">
        <v>1380</v>
      </c>
      <c r="B162" s="17" t="s">
        <v>41</v>
      </c>
      <c r="C162" s="5" t="s">
        <v>42</v>
      </c>
      <c r="D162" s="80">
        <v>-219</v>
      </c>
      <c r="F162" s="5">
        <v>66.37844299999999</v>
      </c>
      <c r="G162" s="61" t="s">
        <v>27</v>
      </c>
      <c r="H162" s="18">
        <v>-0.35644299999998452</v>
      </c>
      <c r="I162" s="67">
        <v>26.455375045</v>
      </c>
      <c r="J162" s="67">
        <v>-1.3694589378000046</v>
      </c>
      <c r="K162" s="63"/>
    </row>
    <row r="163" spans="1:11" x14ac:dyDescent="0.35">
      <c r="A163" t="s">
        <v>1380</v>
      </c>
      <c r="B163" s="17" t="s">
        <v>41</v>
      </c>
      <c r="C163" s="5" t="s">
        <v>42</v>
      </c>
      <c r="D163" s="80">
        <v>-234</v>
      </c>
      <c r="F163" s="5">
        <v>66.401737999999995</v>
      </c>
      <c r="G163" s="61" t="s">
        <v>27</v>
      </c>
      <c r="H163" s="18">
        <v>-0.37973799999998903</v>
      </c>
      <c r="I163" s="67">
        <v>26.399925114999998</v>
      </c>
      <c r="J163" s="67">
        <v>-1.4249088678000064</v>
      </c>
      <c r="K163" s="63"/>
    </row>
    <row r="164" spans="1:11" x14ac:dyDescent="0.35">
      <c r="A164" t="s">
        <v>1380</v>
      </c>
      <c r="B164" s="17" t="s">
        <v>41</v>
      </c>
      <c r="C164" s="5" t="s">
        <v>42</v>
      </c>
      <c r="D164" s="80">
        <v>-250</v>
      </c>
      <c r="F164" s="5">
        <v>66.426586</v>
      </c>
      <c r="G164" s="61" t="s">
        <v>27</v>
      </c>
      <c r="H164" s="18">
        <v>-0.40458599999999478</v>
      </c>
      <c r="I164" s="67">
        <v>25.814311194999998</v>
      </c>
      <c r="J164" s="67">
        <v>-2.0105227878000065</v>
      </c>
      <c r="K164" s="63"/>
    </row>
    <row r="165" spans="1:11" x14ac:dyDescent="0.35">
      <c r="A165" t="s">
        <v>1380</v>
      </c>
      <c r="B165" s="17" t="s">
        <v>41</v>
      </c>
      <c r="C165" s="5" t="s">
        <v>42</v>
      </c>
      <c r="D165" s="80">
        <v>-265</v>
      </c>
      <c r="F165" s="5">
        <v>66.449880999999991</v>
      </c>
      <c r="G165" s="61" t="s">
        <v>27</v>
      </c>
      <c r="H165" s="18">
        <v>-0.42788099999998508</v>
      </c>
      <c r="I165" s="67">
        <v>26.064463849999999</v>
      </c>
      <c r="J165" s="67">
        <v>-1.7603701328000056</v>
      </c>
      <c r="K165" s="63"/>
    </row>
    <row r="166" spans="1:11" x14ac:dyDescent="0.35">
      <c r="A166" t="s">
        <v>1380</v>
      </c>
      <c r="B166" s="17" t="s">
        <v>41</v>
      </c>
      <c r="C166" s="5" t="s">
        <v>42</v>
      </c>
      <c r="D166" s="80">
        <v>-280</v>
      </c>
      <c r="F166" s="5">
        <v>66.473175999999995</v>
      </c>
      <c r="G166" s="61" t="s">
        <v>27</v>
      </c>
      <c r="H166" s="18">
        <v>-0.45117599999998959</v>
      </c>
      <c r="I166" s="67">
        <v>25.866111364999998</v>
      </c>
      <c r="J166" s="67">
        <v>-1.9587226178000066</v>
      </c>
      <c r="K166" s="63"/>
    </row>
    <row r="167" spans="1:11" x14ac:dyDescent="0.35">
      <c r="A167" t="s">
        <v>1380</v>
      </c>
      <c r="B167" s="17" t="s">
        <v>41</v>
      </c>
      <c r="C167" s="5" t="s">
        <v>42</v>
      </c>
      <c r="D167" s="80">
        <v>-295</v>
      </c>
      <c r="F167" s="5">
        <v>66.496471</v>
      </c>
      <c r="G167" s="61" t="s">
        <v>27</v>
      </c>
      <c r="H167" s="18">
        <v>-0.47447099999999409</v>
      </c>
      <c r="I167" s="67">
        <v>25.868543044999999</v>
      </c>
      <c r="J167" s="67">
        <v>-1.9562909378000057</v>
      </c>
      <c r="K167" s="63"/>
    </row>
    <row r="168" spans="1:11" x14ac:dyDescent="0.35">
      <c r="A168" t="s">
        <v>1380</v>
      </c>
      <c r="B168" s="102" t="s">
        <v>41</v>
      </c>
      <c r="C168" s="9" t="s">
        <v>42</v>
      </c>
      <c r="D168" s="129">
        <v>-311</v>
      </c>
      <c r="E168" s="9"/>
      <c r="F168" s="9">
        <v>66.521319000000005</v>
      </c>
      <c r="G168" s="104" t="s">
        <v>27</v>
      </c>
      <c r="H168" s="113">
        <v>-0.49931899999999985</v>
      </c>
      <c r="I168" s="105">
        <v>26.147188624999998</v>
      </c>
      <c r="J168" s="105">
        <v>-1.6776453578000066</v>
      </c>
      <c r="K168" s="148"/>
    </row>
    <row r="169" spans="1:11" x14ac:dyDescent="0.35">
      <c r="G169" s="60"/>
      <c r="K169" s="63"/>
    </row>
    <row r="170" spans="1:11" x14ac:dyDescent="0.35">
      <c r="G170" s="60"/>
      <c r="K170" s="63"/>
    </row>
    <row r="171" spans="1:11" x14ac:dyDescent="0.35">
      <c r="G171" s="60"/>
      <c r="K171" s="63"/>
    </row>
    <row r="172" spans="1:11" x14ac:dyDescent="0.35">
      <c r="G172" s="60"/>
      <c r="K172" s="63"/>
    </row>
    <row r="173" spans="1:11" x14ac:dyDescent="0.35">
      <c r="G173" s="60"/>
      <c r="K173" s="63"/>
    </row>
    <row r="174" spans="1:11" x14ac:dyDescent="0.35">
      <c r="G174" s="60"/>
      <c r="K174" s="63"/>
    </row>
    <row r="175" spans="1:11" x14ac:dyDescent="0.35">
      <c r="G175" s="60"/>
      <c r="K175" s="63"/>
    </row>
    <row r="176" spans="1:11" x14ac:dyDescent="0.35">
      <c r="G176" s="60"/>
      <c r="K176" s="63"/>
    </row>
    <row r="177" spans="7:11" x14ac:dyDescent="0.35">
      <c r="G177" s="60"/>
      <c r="K177" s="63"/>
    </row>
    <row r="178" spans="7:11" x14ac:dyDescent="0.35">
      <c r="G178" s="60"/>
      <c r="K178" s="63"/>
    </row>
    <row r="179" spans="7:11" x14ac:dyDescent="0.35">
      <c r="G179" s="60"/>
      <c r="K179" s="63"/>
    </row>
    <row r="180" spans="7:11" x14ac:dyDescent="0.35">
      <c r="G180" s="60"/>
      <c r="K180" s="63"/>
    </row>
    <row r="181" spans="7:11" x14ac:dyDescent="0.35">
      <c r="G181" s="60"/>
      <c r="K181" s="63"/>
    </row>
    <row r="182" spans="7:11" x14ac:dyDescent="0.35">
      <c r="G182" s="60"/>
      <c r="K182" s="63"/>
    </row>
    <row r="183" spans="7:11" x14ac:dyDescent="0.35">
      <c r="G183" s="60"/>
      <c r="K183" s="63"/>
    </row>
    <row r="184" spans="7:11" x14ac:dyDescent="0.35">
      <c r="G184" s="60"/>
      <c r="K184" s="63"/>
    </row>
    <row r="185" spans="7:11" x14ac:dyDescent="0.35">
      <c r="G185" s="60"/>
      <c r="K185" s="63"/>
    </row>
    <row r="186" spans="7:11" x14ac:dyDescent="0.35">
      <c r="G186" s="60"/>
      <c r="K186" s="63"/>
    </row>
    <row r="187" spans="7:11" x14ac:dyDescent="0.35">
      <c r="G187" s="60"/>
      <c r="K187" s="63"/>
    </row>
    <row r="188" spans="7:11" x14ac:dyDescent="0.35">
      <c r="G188" s="60"/>
      <c r="K188" s="63"/>
    </row>
    <row r="189" spans="7:11" x14ac:dyDescent="0.35">
      <c r="G189" s="60"/>
      <c r="K189" s="63"/>
    </row>
    <row r="190" spans="7:11" x14ac:dyDescent="0.35">
      <c r="G190" s="60"/>
      <c r="K190" s="63"/>
    </row>
    <row r="191" spans="7:11" x14ac:dyDescent="0.35">
      <c r="G191" s="60"/>
      <c r="K191" s="63"/>
    </row>
    <row r="192" spans="7:11" x14ac:dyDescent="0.35">
      <c r="G192" s="60"/>
      <c r="K192" s="63"/>
    </row>
    <row r="193" spans="7:11" x14ac:dyDescent="0.35">
      <c r="G193" s="60"/>
      <c r="K193" s="63"/>
    </row>
    <row r="194" spans="7:11" x14ac:dyDescent="0.35">
      <c r="G194" s="60"/>
      <c r="K194" s="63"/>
    </row>
    <row r="195" spans="7:11" x14ac:dyDescent="0.35">
      <c r="G195" s="60"/>
      <c r="K195" s="63"/>
    </row>
    <row r="196" spans="7:11" x14ac:dyDescent="0.35">
      <c r="G196" s="60"/>
      <c r="K196" s="63"/>
    </row>
    <row r="197" spans="7:11" x14ac:dyDescent="0.35">
      <c r="G197" s="60"/>
      <c r="K197" s="63"/>
    </row>
    <row r="198" spans="7:11" x14ac:dyDescent="0.35">
      <c r="G198" s="60"/>
      <c r="K198" s="63"/>
    </row>
    <row r="199" spans="7:11" x14ac:dyDescent="0.35">
      <c r="G199" s="60"/>
      <c r="K199" s="63"/>
    </row>
    <row r="200" spans="7:11" x14ac:dyDescent="0.35">
      <c r="G200" s="60"/>
      <c r="K200" s="63"/>
    </row>
    <row r="201" spans="7:11" x14ac:dyDescent="0.35">
      <c r="G201" s="60"/>
      <c r="K201" s="63"/>
    </row>
    <row r="202" spans="7:11" x14ac:dyDescent="0.35">
      <c r="G202" s="60"/>
      <c r="K202" s="63"/>
    </row>
    <row r="203" spans="7:11" x14ac:dyDescent="0.35">
      <c r="G203" s="60"/>
      <c r="K203" s="63"/>
    </row>
    <row r="204" spans="7:11" x14ac:dyDescent="0.35">
      <c r="G204" s="60"/>
      <c r="K204" s="63"/>
    </row>
    <row r="205" spans="7:11" x14ac:dyDescent="0.35">
      <c r="G205" s="60"/>
      <c r="K205" s="63"/>
    </row>
    <row r="206" spans="7:11" x14ac:dyDescent="0.35">
      <c r="G206" s="60"/>
      <c r="K206" s="63"/>
    </row>
    <row r="207" spans="7:11" x14ac:dyDescent="0.35">
      <c r="G207" s="60"/>
      <c r="K207" s="63"/>
    </row>
    <row r="208" spans="7:11" x14ac:dyDescent="0.35">
      <c r="G208" s="60"/>
      <c r="K208" s="63"/>
    </row>
    <row r="209" spans="7:11" x14ac:dyDescent="0.35">
      <c r="G209" s="60"/>
      <c r="K209" s="63"/>
    </row>
    <row r="210" spans="7:11" x14ac:dyDescent="0.35">
      <c r="G210" s="60"/>
      <c r="K210" s="63"/>
    </row>
    <row r="211" spans="7:11" x14ac:dyDescent="0.35">
      <c r="G211" s="60"/>
      <c r="K211" s="63"/>
    </row>
    <row r="212" spans="7:11" x14ac:dyDescent="0.35">
      <c r="G212" s="60"/>
      <c r="K212" s="63"/>
    </row>
    <row r="213" spans="7:11" x14ac:dyDescent="0.35">
      <c r="G213" s="60"/>
      <c r="K213" s="63"/>
    </row>
    <row r="214" spans="7:11" x14ac:dyDescent="0.35">
      <c r="G214" s="60"/>
      <c r="K214" s="63"/>
    </row>
    <row r="215" spans="7:11" x14ac:dyDescent="0.35">
      <c r="G215" s="60"/>
      <c r="K215" s="63"/>
    </row>
    <row r="216" spans="7:11" x14ac:dyDescent="0.35">
      <c r="G216" s="60"/>
      <c r="K216" s="63"/>
    </row>
    <row r="217" spans="7:11" x14ac:dyDescent="0.35">
      <c r="G217" s="60"/>
      <c r="K217" s="63"/>
    </row>
    <row r="218" spans="7:11" x14ac:dyDescent="0.35">
      <c r="G218" s="60"/>
      <c r="K218" s="63"/>
    </row>
    <row r="219" spans="7:11" x14ac:dyDescent="0.35">
      <c r="G219" s="60"/>
      <c r="K219" s="63"/>
    </row>
    <row r="220" spans="7:11" x14ac:dyDescent="0.35">
      <c r="G220" s="60"/>
      <c r="K220" s="63"/>
    </row>
    <row r="221" spans="7:11" x14ac:dyDescent="0.35">
      <c r="G221" s="60"/>
      <c r="K221" s="63"/>
    </row>
    <row r="222" spans="7:11" x14ac:dyDescent="0.35">
      <c r="G222" s="60"/>
      <c r="K222" s="63"/>
    </row>
    <row r="223" spans="7:11" x14ac:dyDescent="0.35">
      <c r="G223" s="60"/>
      <c r="K223" s="63"/>
    </row>
    <row r="224" spans="7:11" x14ac:dyDescent="0.35">
      <c r="G224" s="60"/>
      <c r="K224" s="63"/>
    </row>
    <row r="225" spans="7:11" x14ac:dyDescent="0.35">
      <c r="G225" s="60"/>
      <c r="K225" s="63"/>
    </row>
    <row r="226" spans="7:11" x14ac:dyDescent="0.35">
      <c r="G226" s="60"/>
      <c r="K226" s="63"/>
    </row>
    <row r="227" spans="7:11" x14ac:dyDescent="0.35">
      <c r="G227" s="60"/>
      <c r="K227" s="63"/>
    </row>
    <row r="228" spans="7:11" x14ac:dyDescent="0.35">
      <c r="G228" s="60"/>
      <c r="K228" s="63"/>
    </row>
    <row r="229" spans="7:11" x14ac:dyDescent="0.35">
      <c r="G229" s="60"/>
      <c r="K229" s="63"/>
    </row>
    <row r="230" spans="7:11" x14ac:dyDescent="0.35">
      <c r="G230" s="60"/>
      <c r="K230" s="63"/>
    </row>
    <row r="231" spans="7:11" x14ac:dyDescent="0.35">
      <c r="G231" s="60"/>
      <c r="K231" s="63"/>
    </row>
    <row r="232" spans="7:11" x14ac:dyDescent="0.35">
      <c r="G232" s="60"/>
      <c r="K232" s="63"/>
    </row>
    <row r="233" spans="7:11" x14ac:dyDescent="0.35">
      <c r="G233" s="60"/>
      <c r="K233" s="63"/>
    </row>
    <row r="234" spans="7:11" x14ac:dyDescent="0.35">
      <c r="G234" s="60"/>
      <c r="K234" s="63"/>
    </row>
    <row r="235" spans="7:11" x14ac:dyDescent="0.35">
      <c r="G235" s="60"/>
      <c r="K235" s="63"/>
    </row>
    <row r="236" spans="7:11" x14ac:dyDescent="0.35">
      <c r="G236" s="60"/>
      <c r="K236" s="63"/>
    </row>
    <row r="237" spans="7:11" x14ac:dyDescent="0.35">
      <c r="G237" s="60"/>
      <c r="K237" s="63"/>
    </row>
    <row r="238" spans="7:11" x14ac:dyDescent="0.35">
      <c r="G238" s="60"/>
      <c r="K238" s="63"/>
    </row>
    <row r="239" spans="7:11" x14ac:dyDescent="0.35">
      <c r="G239" s="60"/>
      <c r="K239" s="63"/>
    </row>
    <row r="240" spans="7:11" x14ac:dyDescent="0.35">
      <c r="G240" s="60"/>
      <c r="K240" s="63"/>
    </row>
    <row r="241" spans="7:11" x14ac:dyDescent="0.35">
      <c r="G241" s="60"/>
      <c r="K241" s="63"/>
    </row>
    <row r="242" spans="7:11" x14ac:dyDescent="0.35">
      <c r="G242" s="60"/>
      <c r="K242" s="63"/>
    </row>
    <row r="243" spans="7:11" x14ac:dyDescent="0.35">
      <c r="G243" s="60"/>
      <c r="K243" s="63"/>
    </row>
    <row r="244" spans="7:11" x14ac:dyDescent="0.35">
      <c r="G244" s="60"/>
      <c r="K244" s="63"/>
    </row>
    <row r="245" spans="7:11" x14ac:dyDescent="0.35">
      <c r="G245" s="60"/>
      <c r="K245" s="63"/>
    </row>
    <row r="246" spans="7:11" x14ac:dyDescent="0.35">
      <c r="G246" s="60"/>
      <c r="K246" s="63"/>
    </row>
    <row r="247" spans="7:11" x14ac:dyDescent="0.35">
      <c r="G247" s="60"/>
      <c r="K247" s="63"/>
    </row>
    <row r="248" spans="7:11" x14ac:dyDescent="0.35">
      <c r="G248" s="60"/>
      <c r="K248" s="63"/>
    </row>
    <row r="249" spans="7:11" x14ac:dyDescent="0.35">
      <c r="G249" s="60"/>
      <c r="K249" s="63"/>
    </row>
    <row r="250" spans="7:11" x14ac:dyDescent="0.35">
      <c r="G250" s="60"/>
      <c r="K250" s="63"/>
    </row>
    <row r="251" spans="7:11" x14ac:dyDescent="0.35">
      <c r="G251" s="60"/>
      <c r="K251" s="63"/>
    </row>
    <row r="252" spans="7:11" x14ac:dyDescent="0.35">
      <c r="G252" s="60"/>
      <c r="K252" s="63"/>
    </row>
    <row r="253" spans="7:11" x14ac:dyDescent="0.35">
      <c r="G253" s="60"/>
      <c r="K253" s="63"/>
    </row>
    <row r="254" spans="7:11" x14ac:dyDescent="0.35">
      <c r="G254" s="60"/>
      <c r="K254" s="63"/>
    </row>
    <row r="255" spans="7:11" x14ac:dyDescent="0.35">
      <c r="G255" s="60"/>
      <c r="K255" s="63"/>
    </row>
    <row r="256" spans="7:11" x14ac:dyDescent="0.35">
      <c r="G256" s="60"/>
      <c r="K256" s="63"/>
    </row>
    <row r="257" spans="7:11" x14ac:dyDescent="0.35">
      <c r="G257" s="60"/>
      <c r="K257" s="63"/>
    </row>
    <row r="258" spans="7:11" x14ac:dyDescent="0.35">
      <c r="G258" s="60"/>
      <c r="K258" s="63"/>
    </row>
    <row r="259" spans="7:11" x14ac:dyDescent="0.35">
      <c r="G259" s="60"/>
      <c r="K259" s="63"/>
    </row>
    <row r="260" spans="7:11" x14ac:dyDescent="0.35">
      <c r="G260" s="60"/>
      <c r="K260" s="63"/>
    </row>
    <row r="261" spans="7:11" x14ac:dyDescent="0.35">
      <c r="G261" s="60"/>
      <c r="K261" s="63"/>
    </row>
    <row r="262" spans="7:11" x14ac:dyDescent="0.35">
      <c r="G262" s="60"/>
      <c r="K262" s="63"/>
    </row>
    <row r="263" spans="7:11" x14ac:dyDescent="0.35">
      <c r="G263" s="60"/>
      <c r="K263" s="63"/>
    </row>
    <row r="264" spans="7:11" x14ac:dyDescent="0.35">
      <c r="G264" s="60"/>
      <c r="K264" s="63"/>
    </row>
    <row r="265" spans="7:11" x14ac:dyDescent="0.35">
      <c r="G265" s="60"/>
      <c r="K265" s="63"/>
    </row>
    <row r="266" spans="7:11" x14ac:dyDescent="0.35">
      <c r="G266" s="60"/>
      <c r="K266" s="63"/>
    </row>
    <row r="267" spans="7:11" x14ac:dyDescent="0.35">
      <c r="G267" s="60"/>
      <c r="K267" s="63"/>
    </row>
    <row r="268" spans="7:11" x14ac:dyDescent="0.35">
      <c r="G268" s="60"/>
      <c r="K268" s="63"/>
    </row>
    <row r="269" spans="7:11" x14ac:dyDescent="0.35">
      <c r="G269" s="60"/>
      <c r="K269" s="63"/>
    </row>
    <row r="270" spans="7:11" x14ac:dyDescent="0.35">
      <c r="G270" s="60"/>
      <c r="K270" s="63"/>
    </row>
    <row r="271" spans="7:11" x14ac:dyDescent="0.35">
      <c r="G271" s="60"/>
      <c r="K271" s="63"/>
    </row>
    <row r="272" spans="7:11" x14ac:dyDescent="0.35">
      <c r="G272" s="60"/>
      <c r="K272" s="63"/>
    </row>
    <row r="273" spans="7:11" x14ac:dyDescent="0.35">
      <c r="G273" s="60"/>
      <c r="K273" s="63"/>
    </row>
    <row r="274" spans="7:11" x14ac:dyDescent="0.35">
      <c r="G274" s="60"/>
      <c r="K274" s="63"/>
    </row>
    <row r="275" spans="7:11" x14ac:dyDescent="0.35">
      <c r="G275" s="60"/>
      <c r="K275" s="63"/>
    </row>
    <row r="276" spans="7:11" x14ac:dyDescent="0.35">
      <c r="G276" s="60"/>
      <c r="K276" s="63"/>
    </row>
    <row r="277" spans="7:11" x14ac:dyDescent="0.35">
      <c r="G277" s="60"/>
      <c r="K277" s="63"/>
    </row>
    <row r="278" spans="7:11" x14ac:dyDescent="0.35">
      <c r="G278" s="60"/>
      <c r="K278" s="63"/>
    </row>
    <row r="279" spans="7:11" x14ac:dyDescent="0.35">
      <c r="G279" s="60"/>
      <c r="K279" s="63"/>
    </row>
    <row r="280" spans="7:11" x14ac:dyDescent="0.35">
      <c r="G280" s="60"/>
      <c r="K280" s="63"/>
    </row>
    <row r="281" spans="7:11" x14ac:dyDescent="0.35">
      <c r="G281" s="60"/>
      <c r="K281" s="63"/>
    </row>
    <row r="282" spans="7:11" x14ac:dyDescent="0.35">
      <c r="G282" s="60"/>
      <c r="K282" s="63"/>
    </row>
    <row r="283" spans="7:11" x14ac:dyDescent="0.35">
      <c r="G283" s="60"/>
      <c r="K283" s="63"/>
    </row>
    <row r="284" spans="7:11" x14ac:dyDescent="0.35">
      <c r="G284" s="60"/>
      <c r="K284" s="63"/>
    </row>
    <row r="285" spans="7:11" x14ac:dyDescent="0.35">
      <c r="G285" s="60"/>
      <c r="K285" s="63"/>
    </row>
    <row r="286" spans="7:11" x14ac:dyDescent="0.35">
      <c r="G286" s="60"/>
      <c r="K286" s="63"/>
    </row>
    <row r="287" spans="7:11" x14ac:dyDescent="0.35">
      <c r="G287" s="60"/>
      <c r="K287" s="63"/>
    </row>
    <row r="288" spans="7:11" x14ac:dyDescent="0.35">
      <c r="G288" s="60"/>
      <c r="K288" s="63"/>
    </row>
    <row r="289" spans="7:11" x14ac:dyDescent="0.35">
      <c r="G289" s="60"/>
      <c r="K289" s="63"/>
    </row>
    <row r="290" spans="7:11" x14ac:dyDescent="0.35">
      <c r="G290" s="60"/>
      <c r="K290" s="63"/>
    </row>
    <row r="291" spans="7:11" x14ac:dyDescent="0.35">
      <c r="G291" s="60"/>
      <c r="K291" s="63"/>
    </row>
    <row r="292" spans="7:11" x14ac:dyDescent="0.35">
      <c r="G292" s="60"/>
      <c r="K292" s="63"/>
    </row>
    <row r="293" spans="7:11" x14ac:dyDescent="0.35">
      <c r="G293" s="60"/>
      <c r="K293" s="63"/>
    </row>
    <row r="294" spans="7:11" x14ac:dyDescent="0.35">
      <c r="G294" s="60"/>
      <c r="K294" s="63"/>
    </row>
    <row r="295" spans="7:11" x14ac:dyDescent="0.35">
      <c r="G295" s="60"/>
      <c r="K295" s="63"/>
    </row>
    <row r="296" spans="7:11" x14ac:dyDescent="0.35">
      <c r="G296" s="60"/>
      <c r="K296" s="63"/>
    </row>
    <row r="297" spans="7:11" x14ac:dyDescent="0.35">
      <c r="G297" s="60"/>
      <c r="K297" s="63"/>
    </row>
    <row r="298" spans="7:11" x14ac:dyDescent="0.35">
      <c r="G298" s="60"/>
      <c r="K298" s="63"/>
    </row>
    <row r="299" spans="7:11" x14ac:dyDescent="0.35">
      <c r="G299" s="60"/>
      <c r="K299" s="63"/>
    </row>
    <row r="300" spans="7:11" x14ac:dyDescent="0.35">
      <c r="G300" s="60"/>
      <c r="K300" s="63"/>
    </row>
    <row r="301" spans="7:11" x14ac:dyDescent="0.35">
      <c r="G301" s="60"/>
      <c r="K301" s="63"/>
    </row>
    <row r="302" spans="7:11" x14ac:dyDescent="0.35">
      <c r="G302" s="60"/>
      <c r="K302" s="63"/>
    </row>
    <row r="303" spans="7:11" x14ac:dyDescent="0.35">
      <c r="G303" s="60"/>
      <c r="K303" s="63"/>
    </row>
    <row r="304" spans="7:11" x14ac:dyDescent="0.35">
      <c r="G304" s="60"/>
      <c r="K304" s="63"/>
    </row>
    <row r="305" spans="7:11" x14ac:dyDescent="0.35">
      <c r="G305" s="60"/>
      <c r="K305" s="63"/>
    </row>
    <row r="306" spans="7:11" x14ac:dyDescent="0.35">
      <c r="G306" s="60"/>
      <c r="K306" s="63"/>
    </row>
    <row r="307" spans="7:11" x14ac:dyDescent="0.35">
      <c r="G307" s="60"/>
      <c r="K307" s="63"/>
    </row>
    <row r="308" spans="7:11" x14ac:dyDescent="0.35">
      <c r="G308" s="60"/>
      <c r="K308" s="63"/>
    </row>
    <row r="309" spans="7:11" x14ac:dyDescent="0.35">
      <c r="G309" s="60"/>
      <c r="K309" s="63"/>
    </row>
    <row r="310" spans="7:11" x14ac:dyDescent="0.35">
      <c r="G310" s="60"/>
      <c r="K310" s="63"/>
    </row>
    <row r="311" spans="7:11" x14ac:dyDescent="0.35">
      <c r="G311" s="60"/>
      <c r="K311" s="63"/>
    </row>
    <row r="312" spans="7:11" x14ac:dyDescent="0.35">
      <c r="G312" s="60"/>
      <c r="K312" s="63"/>
    </row>
    <row r="313" spans="7:11" x14ac:dyDescent="0.35">
      <c r="G313" s="60"/>
      <c r="K313" s="63"/>
    </row>
    <row r="314" spans="7:11" x14ac:dyDescent="0.35">
      <c r="G314" s="60"/>
      <c r="K314" s="63"/>
    </row>
    <row r="315" spans="7:11" x14ac:dyDescent="0.35">
      <c r="G315" s="60"/>
      <c r="K315" s="63"/>
    </row>
    <row r="316" spans="7:11" x14ac:dyDescent="0.35">
      <c r="G316" s="60"/>
      <c r="K316" s="63"/>
    </row>
    <row r="317" spans="7:11" x14ac:dyDescent="0.35">
      <c r="G317" s="60"/>
      <c r="K317" s="63"/>
    </row>
    <row r="318" spans="7:11" x14ac:dyDescent="0.35">
      <c r="G318" s="60"/>
      <c r="K318" s="63"/>
    </row>
    <row r="319" spans="7:11" x14ac:dyDescent="0.35">
      <c r="G319" s="60"/>
      <c r="K319" s="63"/>
    </row>
    <row r="320" spans="7:11" x14ac:dyDescent="0.35">
      <c r="G320" s="60"/>
      <c r="K320" s="63"/>
    </row>
    <row r="321" spans="7:11" x14ac:dyDescent="0.35">
      <c r="G321" s="60"/>
      <c r="K321" s="63"/>
    </row>
    <row r="322" spans="7:11" x14ac:dyDescent="0.35">
      <c r="G322" s="60"/>
      <c r="K322" s="63"/>
    </row>
    <row r="323" spans="7:11" x14ac:dyDescent="0.35">
      <c r="G323" s="60"/>
      <c r="K323" s="63"/>
    </row>
    <row r="324" spans="7:11" x14ac:dyDescent="0.35">
      <c r="G324" s="60"/>
      <c r="K324" s="63"/>
    </row>
    <row r="325" spans="7:11" x14ac:dyDescent="0.35">
      <c r="G325" s="60"/>
      <c r="K325" s="63"/>
    </row>
    <row r="326" spans="7:11" x14ac:dyDescent="0.35">
      <c r="G326" s="60"/>
      <c r="K326" s="63"/>
    </row>
    <row r="327" spans="7:11" x14ac:dyDescent="0.35">
      <c r="G327" s="60"/>
      <c r="K327" s="63"/>
    </row>
    <row r="328" spans="7:11" x14ac:dyDescent="0.35">
      <c r="G328" s="60"/>
      <c r="K328" s="63"/>
    </row>
    <row r="329" spans="7:11" x14ac:dyDescent="0.35">
      <c r="G329" s="60"/>
      <c r="K329" s="63"/>
    </row>
    <row r="330" spans="7:11" x14ac:dyDescent="0.35">
      <c r="G330" s="60"/>
      <c r="K330" s="63"/>
    </row>
    <row r="331" spans="7:11" x14ac:dyDescent="0.35">
      <c r="G331" s="60"/>
      <c r="K331" s="63"/>
    </row>
    <row r="332" spans="7:11" x14ac:dyDescent="0.35">
      <c r="G332" s="60"/>
      <c r="K332" s="63"/>
    </row>
    <row r="333" spans="7:11" x14ac:dyDescent="0.35">
      <c r="G333" s="60"/>
      <c r="K333" s="63"/>
    </row>
    <row r="334" spans="7:11" x14ac:dyDescent="0.35">
      <c r="G334" s="60"/>
      <c r="K334" s="63"/>
    </row>
    <row r="335" spans="7:11" x14ac:dyDescent="0.35">
      <c r="G335" s="60"/>
      <c r="K335" s="63"/>
    </row>
    <row r="336" spans="7:11" x14ac:dyDescent="0.35">
      <c r="G336" s="60"/>
      <c r="K336" s="63"/>
    </row>
    <row r="337" spans="7:11" x14ac:dyDescent="0.35">
      <c r="G337" s="60"/>
      <c r="K337" s="63"/>
    </row>
    <row r="338" spans="7:11" x14ac:dyDescent="0.35">
      <c r="G338" s="60"/>
      <c r="K338" s="63"/>
    </row>
    <row r="339" spans="7:11" x14ac:dyDescent="0.35">
      <c r="G339" s="60"/>
      <c r="K339" s="63"/>
    </row>
    <row r="340" spans="7:11" x14ac:dyDescent="0.35">
      <c r="G340" s="60"/>
      <c r="K340" s="63"/>
    </row>
    <row r="341" spans="7:11" x14ac:dyDescent="0.35">
      <c r="G341" s="60"/>
      <c r="K341" s="63"/>
    </row>
    <row r="342" spans="7:11" x14ac:dyDescent="0.35">
      <c r="G342" s="60"/>
      <c r="K342" s="63"/>
    </row>
    <row r="343" spans="7:11" x14ac:dyDescent="0.35">
      <c r="G343" s="60"/>
      <c r="K343" s="63"/>
    </row>
    <row r="344" spans="7:11" x14ac:dyDescent="0.35">
      <c r="G344" s="60"/>
      <c r="K344" s="63"/>
    </row>
    <row r="345" spans="7:11" x14ac:dyDescent="0.35">
      <c r="G345" s="60"/>
      <c r="K345" s="63"/>
    </row>
    <row r="346" spans="7:11" x14ac:dyDescent="0.35">
      <c r="G346" s="60"/>
      <c r="K346" s="63"/>
    </row>
    <row r="347" spans="7:11" x14ac:dyDescent="0.35">
      <c r="G347" s="60"/>
      <c r="K347" s="63"/>
    </row>
    <row r="348" spans="7:11" x14ac:dyDescent="0.35">
      <c r="G348" s="60"/>
      <c r="K348" s="63"/>
    </row>
    <row r="349" spans="7:11" x14ac:dyDescent="0.35">
      <c r="G349" s="60"/>
      <c r="K349" s="63"/>
    </row>
    <row r="350" spans="7:11" x14ac:dyDescent="0.35">
      <c r="G350" s="60"/>
      <c r="K350" s="63"/>
    </row>
    <row r="351" spans="7:11" x14ac:dyDescent="0.35">
      <c r="G351" s="60"/>
      <c r="K351" s="63"/>
    </row>
    <row r="352" spans="7:11" x14ac:dyDescent="0.35">
      <c r="G352" s="60"/>
      <c r="K352" s="63"/>
    </row>
    <row r="353" spans="7:11" x14ac:dyDescent="0.35">
      <c r="G353" s="60"/>
      <c r="K353" s="63"/>
    </row>
    <row r="354" spans="7:11" x14ac:dyDescent="0.35">
      <c r="G354" s="60"/>
      <c r="K354" s="63"/>
    </row>
    <row r="355" spans="7:11" x14ac:dyDescent="0.35">
      <c r="G355" s="60"/>
      <c r="K355" s="63"/>
    </row>
    <row r="356" spans="7:11" x14ac:dyDescent="0.35">
      <c r="G356" s="60"/>
      <c r="K356" s="63"/>
    </row>
    <row r="357" spans="7:11" x14ac:dyDescent="0.35">
      <c r="G357" s="60"/>
      <c r="K357" s="63"/>
    </row>
    <row r="358" spans="7:11" x14ac:dyDescent="0.35">
      <c r="G358" s="60"/>
      <c r="K358" s="63"/>
    </row>
    <row r="359" spans="7:11" x14ac:dyDescent="0.35">
      <c r="G359" s="60"/>
      <c r="K359" s="63"/>
    </row>
    <row r="360" spans="7:11" x14ac:dyDescent="0.35">
      <c r="G360" s="60"/>
      <c r="K360" s="63"/>
    </row>
    <row r="361" spans="7:11" x14ac:dyDescent="0.35">
      <c r="G361" s="60"/>
      <c r="K361" s="63"/>
    </row>
    <row r="362" spans="7:11" x14ac:dyDescent="0.35">
      <c r="G362" s="60"/>
      <c r="K362" s="63"/>
    </row>
    <row r="363" spans="7:11" x14ac:dyDescent="0.35">
      <c r="G363" s="60"/>
      <c r="K363" s="63"/>
    </row>
    <row r="364" spans="7:11" x14ac:dyDescent="0.35">
      <c r="G364" s="60"/>
      <c r="K364" s="63"/>
    </row>
    <row r="365" spans="7:11" x14ac:dyDescent="0.35">
      <c r="G365" s="60"/>
      <c r="K365" s="63"/>
    </row>
    <row r="366" spans="7:11" x14ac:dyDescent="0.35">
      <c r="G366" s="60"/>
      <c r="K366" s="63"/>
    </row>
    <row r="367" spans="7:11" x14ac:dyDescent="0.35">
      <c r="G367" s="60"/>
      <c r="K367" s="63"/>
    </row>
    <row r="368" spans="7:11" x14ac:dyDescent="0.35">
      <c r="G368" s="60"/>
      <c r="K368" s="63"/>
    </row>
    <row r="369" spans="2:11" x14ac:dyDescent="0.35">
      <c r="G369" s="60"/>
      <c r="K369" s="63"/>
    </row>
    <row r="370" spans="2:11" x14ac:dyDescent="0.35">
      <c r="G370" s="60"/>
      <c r="K370" s="63"/>
    </row>
    <row r="371" spans="2:11" x14ac:dyDescent="0.35">
      <c r="G371" s="60"/>
      <c r="K371" s="63"/>
    </row>
    <row r="372" spans="2:11" x14ac:dyDescent="0.35">
      <c r="G372" s="60"/>
      <c r="K372" s="63"/>
    </row>
    <row r="373" spans="2:11" x14ac:dyDescent="0.35">
      <c r="G373" s="60"/>
      <c r="K373" s="63"/>
    </row>
    <row r="374" spans="2:11" x14ac:dyDescent="0.35">
      <c r="G374" s="60"/>
      <c r="K374" s="63"/>
    </row>
    <row r="375" spans="2:11" x14ac:dyDescent="0.35">
      <c r="G375" s="60"/>
      <c r="K375" s="63"/>
    </row>
    <row r="376" spans="2:11" x14ac:dyDescent="0.35">
      <c r="G376" s="60"/>
      <c r="K376" s="63"/>
    </row>
    <row r="377" spans="2:11" x14ac:dyDescent="0.35">
      <c r="G377" s="60"/>
      <c r="K377" s="63"/>
    </row>
    <row r="378" spans="2:11" x14ac:dyDescent="0.35">
      <c r="G378" s="60"/>
      <c r="K378" s="63"/>
    </row>
    <row r="379" spans="2:11" x14ac:dyDescent="0.35">
      <c r="G379" s="60"/>
      <c r="K379" s="63"/>
    </row>
    <row r="380" spans="2:11" x14ac:dyDescent="0.35">
      <c r="G380" s="60"/>
      <c r="K380" s="63"/>
    </row>
    <row r="381" spans="2:11" x14ac:dyDescent="0.35">
      <c r="B381" s="142"/>
      <c r="C381" s="59"/>
      <c r="G381" s="60"/>
      <c r="K381" s="63"/>
    </row>
    <row r="382" spans="2:11" x14ac:dyDescent="0.35">
      <c r="B382" s="142"/>
      <c r="C382" s="59"/>
      <c r="G382" s="60"/>
      <c r="K382" s="63"/>
    </row>
    <row r="383" spans="2:11" x14ac:dyDescent="0.35">
      <c r="B383" s="142"/>
      <c r="C383" s="59"/>
      <c r="G383" s="60"/>
      <c r="K383" s="63"/>
    </row>
    <row r="384" spans="2:11" x14ac:dyDescent="0.35">
      <c r="B384" s="142"/>
      <c r="C384" s="59"/>
      <c r="G384" s="60"/>
      <c r="K384" s="63"/>
    </row>
    <row r="385" spans="2:11" x14ac:dyDescent="0.35">
      <c r="B385" s="142"/>
      <c r="C385" s="59"/>
      <c r="G385" s="60"/>
      <c r="K385" s="63"/>
    </row>
    <row r="386" spans="2:11" x14ac:dyDescent="0.35">
      <c r="B386" s="142"/>
      <c r="C386" s="59"/>
      <c r="G386" s="60"/>
      <c r="K386" s="63"/>
    </row>
    <row r="387" spans="2:11" x14ac:dyDescent="0.35">
      <c r="B387" s="142"/>
      <c r="C387" s="59"/>
      <c r="G387" s="60"/>
      <c r="K387" s="63"/>
    </row>
    <row r="388" spans="2:11" x14ac:dyDescent="0.35">
      <c r="B388" s="142"/>
      <c r="C388" s="59"/>
      <c r="G388" s="60"/>
      <c r="K388" s="63"/>
    </row>
    <row r="389" spans="2:11" x14ac:dyDescent="0.35">
      <c r="B389" s="142"/>
      <c r="C389" s="59"/>
      <c r="G389" s="60"/>
      <c r="K389" s="63"/>
    </row>
    <row r="390" spans="2:11" x14ac:dyDescent="0.35">
      <c r="B390" s="142"/>
      <c r="C390" s="59"/>
      <c r="G390" s="60"/>
      <c r="K390" s="63"/>
    </row>
    <row r="391" spans="2:11" x14ac:dyDescent="0.35">
      <c r="B391" s="142"/>
      <c r="C391" s="59"/>
      <c r="G391" s="60"/>
      <c r="K391" s="63"/>
    </row>
    <row r="392" spans="2:11" x14ac:dyDescent="0.35">
      <c r="B392" s="142"/>
      <c r="C392" s="59"/>
      <c r="G392" s="60"/>
      <c r="K392" s="63"/>
    </row>
    <row r="393" spans="2:11" x14ac:dyDescent="0.35">
      <c r="B393" s="142"/>
      <c r="C393" s="59"/>
      <c r="G393" s="60"/>
      <c r="K393" s="63"/>
    </row>
    <row r="394" spans="2:11" x14ac:dyDescent="0.35">
      <c r="B394" s="142"/>
      <c r="C394" s="59"/>
      <c r="G394" s="60"/>
      <c r="K394" s="63"/>
    </row>
    <row r="395" spans="2:11" x14ac:dyDescent="0.35">
      <c r="B395" s="142"/>
      <c r="C395" s="59"/>
      <c r="G395" s="60"/>
      <c r="K395" s="63"/>
    </row>
    <row r="396" spans="2:11" x14ac:dyDescent="0.35">
      <c r="B396" s="142"/>
      <c r="C396" s="59"/>
      <c r="G396" s="60"/>
      <c r="K396" s="63"/>
    </row>
    <row r="397" spans="2:11" x14ac:dyDescent="0.35">
      <c r="B397" s="142"/>
      <c r="C397" s="59"/>
      <c r="G397" s="60"/>
      <c r="K397" s="63"/>
    </row>
    <row r="398" spans="2:11" x14ac:dyDescent="0.35">
      <c r="B398" s="142"/>
      <c r="C398" s="59"/>
      <c r="G398" s="60"/>
      <c r="K398" s="63"/>
    </row>
    <row r="399" spans="2:11" x14ac:dyDescent="0.35">
      <c r="B399" s="142"/>
      <c r="C399" s="59"/>
      <c r="G399" s="60"/>
      <c r="K399" s="63"/>
    </row>
    <row r="400" spans="2:11" x14ac:dyDescent="0.35">
      <c r="B400" s="142"/>
      <c r="C400" s="59"/>
      <c r="G400" s="60"/>
      <c r="K400" s="63"/>
    </row>
    <row r="401" spans="2:11" x14ac:dyDescent="0.35">
      <c r="B401" s="142"/>
      <c r="C401" s="59"/>
      <c r="G401" s="60"/>
      <c r="K401" s="63"/>
    </row>
    <row r="402" spans="2:11" x14ac:dyDescent="0.35">
      <c r="B402" s="142"/>
      <c r="C402" s="59"/>
      <c r="G402" s="60"/>
      <c r="K402" s="63"/>
    </row>
    <row r="403" spans="2:11" x14ac:dyDescent="0.35">
      <c r="B403" s="142"/>
      <c r="C403" s="59"/>
      <c r="G403" s="60"/>
      <c r="K403" s="63"/>
    </row>
    <row r="404" spans="2:11" x14ac:dyDescent="0.35">
      <c r="G404" s="60"/>
      <c r="K404" s="63"/>
    </row>
    <row r="405" spans="2:11" x14ac:dyDescent="0.35">
      <c r="G405" s="60"/>
      <c r="K405" s="63"/>
    </row>
    <row r="406" spans="2:11" x14ac:dyDescent="0.35">
      <c r="G406" s="60"/>
      <c r="K406" s="63"/>
    </row>
    <row r="407" spans="2:11" x14ac:dyDescent="0.35">
      <c r="G407" s="60"/>
      <c r="K407" s="63"/>
    </row>
    <row r="408" spans="2:11" x14ac:dyDescent="0.35">
      <c r="G408" s="60"/>
      <c r="K408" s="63"/>
    </row>
    <row r="409" spans="2:11" x14ac:dyDescent="0.35">
      <c r="G409" s="60"/>
      <c r="K409" s="63"/>
    </row>
    <row r="410" spans="2:11" x14ac:dyDescent="0.35">
      <c r="G410" s="60"/>
      <c r="K410" s="63"/>
    </row>
    <row r="411" spans="2:11" x14ac:dyDescent="0.35">
      <c r="G411" s="60"/>
      <c r="K411" s="63"/>
    </row>
    <row r="412" spans="2:11" x14ac:dyDescent="0.35">
      <c r="G412" s="60"/>
      <c r="K412" s="63"/>
    </row>
    <row r="413" spans="2:11" x14ac:dyDescent="0.35">
      <c r="G413" s="60"/>
      <c r="K413" s="63"/>
    </row>
    <row r="414" spans="2:11" x14ac:dyDescent="0.35">
      <c r="G414" s="60"/>
      <c r="K414" s="63"/>
    </row>
    <row r="415" spans="2:11" x14ac:dyDescent="0.35">
      <c r="G415" s="60"/>
      <c r="K415" s="63"/>
    </row>
    <row r="416" spans="2:11" x14ac:dyDescent="0.35">
      <c r="G416" s="60"/>
      <c r="K416" s="63"/>
    </row>
    <row r="417" spans="7:11" x14ac:dyDescent="0.35">
      <c r="G417" s="60"/>
      <c r="K417" s="63"/>
    </row>
    <row r="418" spans="7:11" x14ac:dyDescent="0.35">
      <c r="G418" s="60"/>
      <c r="K418" s="63"/>
    </row>
    <row r="419" spans="7:11" x14ac:dyDescent="0.35">
      <c r="G419" s="60"/>
      <c r="K419" s="63"/>
    </row>
    <row r="420" spans="7:11" x14ac:dyDescent="0.35">
      <c r="G420" s="60"/>
      <c r="K420" s="63"/>
    </row>
    <row r="421" spans="7:11" x14ac:dyDescent="0.35">
      <c r="G421" s="60"/>
      <c r="K421" s="63"/>
    </row>
    <row r="422" spans="7:11" x14ac:dyDescent="0.35">
      <c r="G422" s="60"/>
      <c r="K422" s="63"/>
    </row>
    <row r="423" spans="7:11" x14ac:dyDescent="0.35">
      <c r="G423" s="60"/>
      <c r="K423" s="63"/>
    </row>
    <row r="424" spans="7:11" x14ac:dyDescent="0.35">
      <c r="G424" s="60"/>
      <c r="K424" s="63"/>
    </row>
    <row r="425" spans="7:11" x14ac:dyDescent="0.35">
      <c r="G425" s="60"/>
      <c r="K425" s="63"/>
    </row>
    <row r="426" spans="7:11" x14ac:dyDescent="0.35">
      <c r="G426" s="60"/>
      <c r="K426" s="63"/>
    </row>
    <row r="427" spans="7:11" x14ac:dyDescent="0.35">
      <c r="G427" s="60"/>
      <c r="K427" s="63"/>
    </row>
    <row r="428" spans="7:11" x14ac:dyDescent="0.35">
      <c r="G428" s="60"/>
      <c r="K428" s="63"/>
    </row>
    <row r="429" spans="7:11" x14ac:dyDescent="0.35">
      <c r="G429" s="60"/>
      <c r="K429" s="63"/>
    </row>
    <row r="430" spans="7:11" x14ac:dyDescent="0.35">
      <c r="G430" s="60"/>
      <c r="K430" s="63"/>
    </row>
    <row r="431" spans="7:11" x14ac:dyDescent="0.35">
      <c r="G431" s="60"/>
      <c r="K431" s="63"/>
    </row>
    <row r="432" spans="7:11" x14ac:dyDescent="0.35">
      <c r="G432" s="60"/>
      <c r="K432" s="63"/>
    </row>
    <row r="433" spans="7:11" x14ac:dyDescent="0.35">
      <c r="G433" s="60"/>
      <c r="K433" s="63"/>
    </row>
    <row r="434" spans="7:11" x14ac:dyDescent="0.35">
      <c r="G434" s="60"/>
      <c r="K434" s="63"/>
    </row>
    <row r="435" spans="7:11" x14ac:dyDescent="0.35">
      <c r="G435" s="60"/>
      <c r="K435" s="63"/>
    </row>
    <row r="436" spans="7:11" x14ac:dyDescent="0.35">
      <c r="G436" s="60"/>
      <c r="K436" s="63"/>
    </row>
    <row r="437" spans="7:11" x14ac:dyDescent="0.35">
      <c r="G437" s="60"/>
      <c r="K437" s="63"/>
    </row>
    <row r="438" spans="7:11" x14ac:dyDescent="0.35">
      <c r="G438" s="60"/>
      <c r="K438" s="63"/>
    </row>
    <row r="439" spans="7:11" x14ac:dyDescent="0.35">
      <c r="G439" s="60"/>
      <c r="K439" s="63"/>
    </row>
    <row r="440" spans="7:11" x14ac:dyDescent="0.35">
      <c r="G440" s="60"/>
      <c r="K440" s="63"/>
    </row>
    <row r="441" spans="7:11" x14ac:dyDescent="0.35">
      <c r="G441" s="60"/>
      <c r="K441" s="63"/>
    </row>
    <row r="442" spans="7:11" x14ac:dyDescent="0.35">
      <c r="G442" s="60"/>
      <c r="K442" s="63"/>
    </row>
    <row r="443" spans="7:11" x14ac:dyDescent="0.35">
      <c r="G443" s="60"/>
      <c r="K443" s="63"/>
    </row>
    <row r="444" spans="7:11" x14ac:dyDescent="0.35">
      <c r="G444" s="60"/>
      <c r="K444" s="63"/>
    </row>
    <row r="445" spans="7:11" x14ac:dyDescent="0.35">
      <c r="G445" s="60"/>
      <c r="K445" s="63"/>
    </row>
    <row r="446" spans="7:11" x14ac:dyDescent="0.35">
      <c r="G446" s="60"/>
      <c r="K446" s="63"/>
    </row>
    <row r="447" spans="7:11" x14ac:dyDescent="0.35">
      <c r="G447" s="60"/>
      <c r="K447" s="63"/>
    </row>
    <row r="448" spans="7:11" x14ac:dyDescent="0.35">
      <c r="G448" s="60"/>
      <c r="K448" s="63"/>
    </row>
    <row r="449" spans="3:11" x14ac:dyDescent="0.35">
      <c r="G449" s="60"/>
      <c r="K449" s="63"/>
    </row>
    <row r="450" spans="3:11" x14ac:dyDescent="0.35">
      <c r="G450" s="60"/>
      <c r="K450" s="63"/>
    </row>
    <row r="451" spans="3:11" x14ac:dyDescent="0.35">
      <c r="G451" s="60"/>
      <c r="K451" s="151"/>
    </row>
    <row r="452" spans="3:11" x14ac:dyDescent="0.35">
      <c r="F452" s="70"/>
      <c r="G452" s="60"/>
      <c r="H452" s="70"/>
      <c r="I452" s="70"/>
      <c r="J452" s="70"/>
      <c r="K452" s="151"/>
    </row>
    <row r="453" spans="3:11" x14ac:dyDescent="0.35">
      <c r="F453" s="70"/>
      <c r="G453" s="60"/>
      <c r="H453" s="70"/>
      <c r="I453" s="70"/>
      <c r="J453" s="70"/>
      <c r="K453" s="151"/>
    </row>
    <row r="454" spans="3:11" x14ac:dyDescent="0.35">
      <c r="F454" s="70"/>
      <c r="G454" s="60"/>
      <c r="H454" s="70"/>
      <c r="I454" s="70"/>
      <c r="J454" s="70"/>
      <c r="K454" s="151"/>
    </row>
    <row r="455" spans="3:11" x14ac:dyDescent="0.35">
      <c r="F455" s="70"/>
      <c r="G455" s="60"/>
      <c r="H455" s="70"/>
      <c r="I455" s="70"/>
      <c r="J455" s="70"/>
      <c r="K455" s="151"/>
    </row>
    <row r="456" spans="3:11" x14ac:dyDescent="0.35">
      <c r="C456" s="70"/>
      <c r="F456" s="70"/>
      <c r="G456" s="60"/>
      <c r="H456" s="70"/>
      <c r="I456" s="70"/>
      <c r="J456" s="70"/>
      <c r="K456" s="63"/>
    </row>
    <row r="457" spans="3:11" x14ac:dyDescent="0.35">
      <c r="C457" s="70"/>
      <c r="G457" s="60"/>
      <c r="K457" s="63"/>
    </row>
    <row r="458" spans="3:11" x14ac:dyDescent="0.35">
      <c r="C458" s="70"/>
      <c r="G458" s="60"/>
      <c r="K458" s="63"/>
    </row>
    <row r="459" spans="3:11" x14ac:dyDescent="0.35">
      <c r="C459" s="70"/>
      <c r="G459" s="60"/>
      <c r="K459" s="63"/>
    </row>
    <row r="460" spans="3:11" x14ac:dyDescent="0.35">
      <c r="C460" s="70"/>
      <c r="G460" s="60"/>
      <c r="K460" s="63"/>
    </row>
    <row r="461" spans="3:11" x14ac:dyDescent="0.35">
      <c r="G461" s="60"/>
      <c r="K461" s="63"/>
    </row>
    <row r="462" spans="3:11" x14ac:dyDescent="0.35">
      <c r="G462" s="60"/>
      <c r="K462" s="63"/>
    </row>
    <row r="463" spans="3:11" x14ac:dyDescent="0.35">
      <c r="G463" s="60"/>
      <c r="K463" s="63"/>
    </row>
    <row r="464" spans="3:11" x14ac:dyDescent="0.35">
      <c r="G464" s="60"/>
      <c r="K464" s="63"/>
    </row>
    <row r="465" spans="2:11" x14ac:dyDescent="0.35">
      <c r="G465" s="60"/>
      <c r="K465" s="63"/>
    </row>
    <row r="466" spans="2:11" x14ac:dyDescent="0.35">
      <c r="G466" s="60"/>
      <c r="K466" s="63"/>
    </row>
    <row r="467" spans="2:11" x14ac:dyDescent="0.35">
      <c r="G467" s="60"/>
      <c r="K467" s="63"/>
    </row>
    <row r="468" spans="2:11" x14ac:dyDescent="0.35">
      <c r="G468" s="60"/>
      <c r="K468" s="63"/>
    </row>
    <row r="469" spans="2:11" x14ac:dyDescent="0.35">
      <c r="B469" s="150"/>
      <c r="G469" s="60"/>
      <c r="K469" s="63"/>
    </row>
    <row r="470" spans="2:11" x14ac:dyDescent="0.35">
      <c r="B470" s="150"/>
      <c r="G470" s="60"/>
      <c r="K470" s="63"/>
    </row>
    <row r="471" spans="2:11" x14ac:dyDescent="0.35">
      <c r="B471" s="150"/>
      <c r="G471" s="60"/>
      <c r="K471" s="63"/>
    </row>
    <row r="472" spans="2:11" x14ac:dyDescent="0.35">
      <c r="B472" s="150"/>
      <c r="G472" s="60"/>
      <c r="K472" s="63"/>
    </row>
    <row r="473" spans="2:11" x14ac:dyDescent="0.35">
      <c r="B473" s="150"/>
      <c r="G473" s="60"/>
      <c r="K473" s="63"/>
    </row>
    <row r="474" spans="2:11" x14ac:dyDescent="0.35">
      <c r="G474" s="60"/>
      <c r="K474" s="63"/>
    </row>
    <row r="475" spans="2:11" x14ac:dyDescent="0.35">
      <c r="G475" s="60"/>
      <c r="K475" s="63"/>
    </row>
    <row r="476" spans="2:11" x14ac:dyDescent="0.35">
      <c r="G476" s="60"/>
      <c r="K476" s="63"/>
    </row>
    <row r="477" spans="2:11" x14ac:dyDescent="0.35">
      <c r="G477" s="60"/>
      <c r="K477" s="63"/>
    </row>
    <row r="478" spans="2:11" x14ac:dyDescent="0.35">
      <c r="G478" s="60"/>
      <c r="K478" s="63"/>
    </row>
    <row r="479" spans="2:11" x14ac:dyDescent="0.35">
      <c r="G479" s="60"/>
      <c r="K479" s="63"/>
    </row>
    <row r="480" spans="2:11" x14ac:dyDescent="0.35">
      <c r="G480" s="60"/>
      <c r="K480" s="63"/>
    </row>
    <row r="481" spans="7:11" x14ac:dyDescent="0.35">
      <c r="G481" s="60"/>
      <c r="K481" s="63"/>
    </row>
    <row r="482" spans="7:11" x14ac:dyDescent="0.35">
      <c r="G482" s="60"/>
      <c r="K482" s="63"/>
    </row>
    <row r="483" spans="7:11" x14ac:dyDescent="0.35">
      <c r="G483" s="60"/>
      <c r="K483" s="63"/>
    </row>
    <row r="484" spans="7:11" x14ac:dyDescent="0.35">
      <c r="G484" s="60"/>
      <c r="K484" s="63"/>
    </row>
    <row r="485" spans="7:11" x14ac:dyDescent="0.35">
      <c r="G485" s="60"/>
      <c r="K485" s="63"/>
    </row>
    <row r="486" spans="7:11" x14ac:dyDescent="0.35">
      <c r="G486" s="60"/>
      <c r="K486" s="63"/>
    </row>
    <row r="487" spans="7:11" x14ac:dyDescent="0.35">
      <c r="G487" s="60"/>
      <c r="K487" s="63"/>
    </row>
    <row r="488" spans="7:11" x14ac:dyDescent="0.35">
      <c r="G488" s="60"/>
      <c r="K488" s="63"/>
    </row>
    <row r="489" spans="7:11" x14ac:dyDescent="0.35">
      <c r="G489" s="60"/>
      <c r="K489" s="63"/>
    </row>
    <row r="490" spans="7:11" x14ac:dyDescent="0.35">
      <c r="G490" s="60"/>
      <c r="K490" s="63"/>
    </row>
    <row r="491" spans="7:11" x14ac:dyDescent="0.35">
      <c r="G491" s="60"/>
      <c r="K491" s="63"/>
    </row>
    <row r="492" spans="7:11" x14ac:dyDescent="0.35">
      <c r="G492" s="60"/>
      <c r="K492" s="63"/>
    </row>
    <row r="493" spans="7:11" x14ac:dyDescent="0.35">
      <c r="G493" s="60"/>
      <c r="K493" s="63"/>
    </row>
    <row r="494" spans="7:11" x14ac:dyDescent="0.35">
      <c r="G494" s="60"/>
      <c r="K494" s="63"/>
    </row>
    <row r="495" spans="7:11" x14ac:dyDescent="0.35">
      <c r="G495" s="60"/>
      <c r="K495" s="63"/>
    </row>
    <row r="496" spans="7:11" x14ac:dyDescent="0.35">
      <c r="G496" s="60"/>
      <c r="K496" s="63"/>
    </row>
    <row r="497" spans="2:11" x14ac:dyDescent="0.35">
      <c r="G497" s="60"/>
      <c r="K497" s="63"/>
    </row>
    <row r="498" spans="2:11" x14ac:dyDescent="0.35">
      <c r="G498" s="60"/>
      <c r="K498" s="63"/>
    </row>
    <row r="499" spans="2:11" x14ac:dyDescent="0.35">
      <c r="G499" s="60"/>
      <c r="K499" s="63"/>
    </row>
    <row r="500" spans="2:11" x14ac:dyDescent="0.35">
      <c r="C500"/>
      <c r="D500" s="154"/>
      <c r="G500" s="60"/>
      <c r="K500" s="63"/>
    </row>
    <row r="501" spans="2:11" x14ac:dyDescent="0.35">
      <c r="C501"/>
      <c r="D501" s="154"/>
      <c r="G501" s="60"/>
      <c r="K501" s="63"/>
    </row>
    <row r="502" spans="2:11" x14ac:dyDescent="0.35">
      <c r="C502"/>
      <c r="D502" s="154"/>
      <c r="G502" s="60"/>
      <c r="K502" s="63"/>
    </row>
    <row r="503" spans="2:11" x14ac:dyDescent="0.35">
      <c r="C503"/>
      <c r="D503" s="154"/>
      <c r="G503" s="60"/>
      <c r="K503" s="63"/>
    </row>
    <row r="504" spans="2:11" x14ac:dyDescent="0.35">
      <c r="C504"/>
      <c r="D504" s="154"/>
      <c r="G504" s="60"/>
      <c r="K504" s="63"/>
    </row>
    <row r="505" spans="2:11" x14ac:dyDescent="0.35">
      <c r="C505"/>
      <c r="D505" s="154"/>
      <c r="G505" s="60"/>
      <c r="K505" s="63"/>
    </row>
    <row r="506" spans="2:11" x14ac:dyDescent="0.35">
      <c r="B506" s="142"/>
      <c r="C506"/>
      <c r="D506" s="154"/>
      <c r="G506" s="60"/>
      <c r="K506" s="63"/>
    </row>
    <row r="507" spans="2:11" x14ac:dyDescent="0.35">
      <c r="B507" s="142"/>
      <c r="C507"/>
      <c r="D507" s="154"/>
      <c r="G507" s="60"/>
      <c r="K507" s="63"/>
    </row>
    <row r="508" spans="2:11" x14ac:dyDescent="0.35">
      <c r="B508" s="142"/>
      <c r="C508"/>
      <c r="D508" s="154"/>
      <c r="G508" s="60"/>
      <c r="K508" s="63"/>
    </row>
    <row r="509" spans="2:11" x14ac:dyDescent="0.35">
      <c r="B509" s="142"/>
      <c r="C509"/>
      <c r="D509" s="154"/>
      <c r="G509" s="60"/>
      <c r="K509" s="63"/>
    </row>
    <row r="510" spans="2:11" x14ac:dyDescent="0.35">
      <c r="B510" s="142"/>
      <c r="C510"/>
      <c r="D510" s="154"/>
      <c r="G510" s="60"/>
      <c r="K510" s="63"/>
    </row>
    <row r="511" spans="2:11" x14ac:dyDescent="0.35">
      <c r="B511" s="142"/>
      <c r="C511"/>
      <c r="D511" s="154"/>
      <c r="G511" s="60"/>
      <c r="K511" s="63"/>
    </row>
    <row r="512" spans="2:11" x14ac:dyDescent="0.35">
      <c r="B512" s="142"/>
      <c r="C512"/>
      <c r="D512" s="154"/>
      <c r="G512" s="60"/>
      <c r="K512" s="63"/>
    </row>
    <row r="513" spans="2:11" x14ac:dyDescent="0.35">
      <c r="B513" s="142"/>
      <c r="C513"/>
      <c r="D513" s="154"/>
      <c r="G513" s="60"/>
      <c r="K513" s="63"/>
    </row>
    <row r="514" spans="2:11" x14ac:dyDescent="0.35">
      <c r="B514" s="142"/>
      <c r="C514"/>
      <c r="D514" s="154"/>
      <c r="G514" s="60"/>
      <c r="K514" s="63"/>
    </row>
    <row r="515" spans="2:11" x14ac:dyDescent="0.35">
      <c r="B515" s="142"/>
      <c r="C515"/>
      <c r="D515" s="154"/>
      <c r="G515" s="60"/>
      <c r="K515" s="63"/>
    </row>
    <row r="516" spans="2:11" x14ac:dyDescent="0.35">
      <c r="B516" s="142"/>
      <c r="C516"/>
      <c r="D516" s="154"/>
      <c r="G516" s="60"/>
      <c r="K516" s="63"/>
    </row>
    <row r="517" spans="2:11" x14ac:dyDescent="0.35">
      <c r="B517" s="142"/>
      <c r="C517"/>
      <c r="D517" s="154"/>
      <c r="G517" s="60"/>
      <c r="K517" s="63"/>
    </row>
    <row r="518" spans="2:11" x14ac:dyDescent="0.35">
      <c r="B518" s="142"/>
      <c r="C518"/>
      <c r="D518" s="154"/>
      <c r="G518" s="60"/>
      <c r="K518" s="63"/>
    </row>
    <row r="519" spans="2:11" x14ac:dyDescent="0.35">
      <c r="B519" s="142"/>
      <c r="C519"/>
      <c r="D519" s="154"/>
      <c r="G519" s="60"/>
      <c r="K519" s="63"/>
    </row>
    <row r="520" spans="2:11" x14ac:dyDescent="0.35">
      <c r="B520" s="142"/>
      <c r="C520"/>
      <c r="D520" s="154"/>
      <c r="G520" s="60"/>
      <c r="K520" s="63"/>
    </row>
    <row r="521" spans="2:11" x14ac:dyDescent="0.35">
      <c r="B521" s="142"/>
      <c r="C521"/>
      <c r="D521" s="154"/>
      <c r="G521" s="60"/>
      <c r="K521" s="63"/>
    </row>
    <row r="522" spans="2:11" x14ac:dyDescent="0.35">
      <c r="B522" s="142"/>
      <c r="C522"/>
      <c r="D522" s="154"/>
      <c r="G522" s="60"/>
      <c r="K522" s="63"/>
    </row>
    <row r="523" spans="2:11" x14ac:dyDescent="0.35">
      <c r="B523" s="142"/>
      <c r="C523"/>
      <c r="D523" s="154"/>
      <c r="G523" s="60"/>
      <c r="K523" s="63"/>
    </row>
    <row r="524" spans="2:11" x14ac:dyDescent="0.35">
      <c r="B524" s="142"/>
      <c r="C524"/>
      <c r="D524" s="154"/>
      <c r="G524" s="60"/>
      <c r="K524" s="63"/>
    </row>
    <row r="525" spans="2:11" x14ac:dyDescent="0.35">
      <c r="B525" s="142"/>
      <c r="C525"/>
      <c r="D525" s="154"/>
      <c r="G525" s="60"/>
      <c r="K525" s="63"/>
    </row>
    <row r="526" spans="2:11" x14ac:dyDescent="0.35">
      <c r="B526" s="142"/>
      <c r="C526"/>
      <c r="D526" s="154"/>
      <c r="G526" s="60"/>
      <c r="K526" s="63"/>
    </row>
    <row r="527" spans="2:11" x14ac:dyDescent="0.35">
      <c r="B527" s="142"/>
      <c r="C527"/>
      <c r="D527" s="154"/>
      <c r="G527" s="60"/>
      <c r="K527" s="63"/>
    </row>
    <row r="528" spans="2:11" x14ac:dyDescent="0.35">
      <c r="B528" s="142"/>
      <c r="C528"/>
      <c r="D528" s="154"/>
      <c r="G528" s="60"/>
      <c r="K528" s="63"/>
    </row>
    <row r="529" spans="2:11" x14ac:dyDescent="0.35">
      <c r="B529" s="142"/>
      <c r="C529"/>
      <c r="D529" s="154"/>
      <c r="G529" s="60"/>
      <c r="K529" s="63"/>
    </row>
    <row r="530" spans="2:11" x14ac:dyDescent="0.35">
      <c r="B530" s="142"/>
      <c r="C530"/>
      <c r="D530" s="154"/>
      <c r="G530" s="60"/>
      <c r="K530" s="63"/>
    </row>
    <row r="531" spans="2:11" x14ac:dyDescent="0.35">
      <c r="B531" s="142"/>
      <c r="C531"/>
      <c r="D531" s="154"/>
      <c r="G531" s="60"/>
      <c r="K531" s="63"/>
    </row>
    <row r="532" spans="2:11" x14ac:dyDescent="0.35">
      <c r="B532" s="142"/>
      <c r="C532"/>
      <c r="D532" s="154"/>
      <c r="G532" s="60"/>
      <c r="K532" s="63"/>
    </row>
    <row r="533" spans="2:11" x14ac:dyDescent="0.35">
      <c r="B533" s="142"/>
      <c r="C533"/>
      <c r="D533" s="154"/>
      <c r="G533" s="60"/>
      <c r="K533" s="63"/>
    </row>
    <row r="534" spans="2:11" x14ac:dyDescent="0.35">
      <c r="B534" s="142"/>
      <c r="C534"/>
      <c r="D534" s="154"/>
      <c r="G534" s="60"/>
      <c r="K534" s="63"/>
    </row>
    <row r="535" spans="2:11" x14ac:dyDescent="0.35">
      <c r="B535" s="142"/>
      <c r="C535"/>
      <c r="D535" s="154"/>
      <c r="G535" s="60"/>
      <c r="K535" s="63"/>
    </row>
    <row r="536" spans="2:11" x14ac:dyDescent="0.35">
      <c r="B536" s="142"/>
      <c r="C536"/>
      <c r="D536" s="154"/>
      <c r="G536" s="60"/>
      <c r="K536" s="63"/>
    </row>
    <row r="537" spans="2:11" x14ac:dyDescent="0.35">
      <c r="B537" s="142"/>
      <c r="C537"/>
      <c r="D537" s="154"/>
      <c r="G537" s="60"/>
      <c r="K537" s="63"/>
    </row>
    <row r="538" spans="2:11" x14ac:dyDescent="0.35">
      <c r="B538" s="142"/>
      <c r="C538"/>
      <c r="D538" s="154"/>
      <c r="G538" s="60"/>
      <c r="K538" s="63"/>
    </row>
    <row r="539" spans="2:11" x14ac:dyDescent="0.35">
      <c r="B539" s="142"/>
      <c r="C539"/>
      <c r="D539" s="154"/>
      <c r="G539" s="60"/>
      <c r="K539" s="63"/>
    </row>
    <row r="540" spans="2:11" x14ac:dyDescent="0.35">
      <c r="B540" s="142"/>
      <c r="C540"/>
      <c r="D540" s="154"/>
      <c r="G540" s="60"/>
      <c r="K540" s="63"/>
    </row>
    <row r="541" spans="2:11" x14ac:dyDescent="0.35">
      <c r="B541" s="142"/>
      <c r="C541"/>
      <c r="D541" s="154"/>
      <c r="G541" s="60"/>
      <c r="K541" s="63"/>
    </row>
    <row r="542" spans="2:11" x14ac:dyDescent="0.35">
      <c r="B542" s="142"/>
      <c r="C542"/>
      <c r="D542" s="154"/>
      <c r="G542" s="60"/>
      <c r="K542" s="63"/>
    </row>
    <row r="543" spans="2:11" x14ac:dyDescent="0.35">
      <c r="B543" s="142"/>
      <c r="C543"/>
      <c r="D543" s="154"/>
      <c r="G543" s="60"/>
      <c r="K543" s="63"/>
    </row>
    <row r="544" spans="2:11" x14ac:dyDescent="0.35">
      <c r="B544" s="142"/>
      <c r="C544"/>
      <c r="D544" s="154"/>
      <c r="G544" s="60"/>
      <c r="K544" s="63"/>
    </row>
    <row r="545" spans="2:11" x14ac:dyDescent="0.35">
      <c r="B545" s="142"/>
      <c r="C545"/>
      <c r="D545" s="154"/>
      <c r="G545" s="60"/>
      <c r="K545" s="63"/>
    </row>
    <row r="546" spans="2:11" x14ac:dyDescent="0.35">
      <c r="B546" s="142"/>
      <c r="C546"/>
      <c r="D546" s="154"/>
      <c r="G546" s="60"/>
      <c r="K546" s="63"/>
    </row>
    <row r="547" spans="2:11" x14ac:dyDescent="0.35">
      <c r="B547" s="142"/>
      <c r="C547"/>
      <c r="D547" s="154"/>
      <c r="G547" s="60"/>
      <c r="K547" s="63"/>
    </row>
    <row r="548" spans="2:11" x14ac:dyDescent="0.35">
      <c r="B548" s="142"/>
      <c r="C548"/>
      <c r="D548" s="154"/>
      <c r="G548" s="60"/>
      <c r="K548" s="63"/>
    </row>
    <row r="549" spans="2:11" x14ac:dyDescent="0.35">
      <c r="B549" s="142"/>
      <c r="C549"/>
      <c r="D549" s="154"/>
      <c r="G549" s="60"/>
      <c r="K549" s="63"/>
    </row>
    <row r="550" spans="2:11" x14ac:dyDescent="0.35">
      <c r="B550" s="142"/>
      <c r="C550"/>
      <c r="D550" s="154"/>
      <c r="G550" s="60"/>
      <c r="K550" s="63"/>
    </row>
    <row r="551" spans="2:11" x14ac:dyDescent="0.35">
      <c r="B551" s="142"/>
      <c r="C551"/>
      <c r="D551" s="154"/>
      <c r="G551" s="60"/>
      <c r="K551" s="63"/>
    </row>
    <row r="552" spans="2:11" x14ac:dyDescent="0.35">
      <c r="B552" s="142"/>
      <c r="C552"/>
      <c r="D552" s="154"/>
      <c r="G552" s="60"/>
      <c r="K552" s="63"/>
    </row>
    <row r="553" spans="2:11" x14ac:dyDescent="0.35">
      <c r="B553" s="142"/>
      <c r="C553"/>
      <c r="D553" s="154"/>
      <c r="G553" s="60"/>
      <c r="K553" s="63"/>
    </row>
    <row r="554" spans="2:11" x14ac:dyDescent="0.35">
      <c r="B554" s="142"/>
      <c r="C554"/>
      <c r="D554" s="154"/>
      <c r="G554" s="60"/>
      <c r="K554" s="63"/>
    </row>
    <row r="555" spans="2:11" x14ac:dyDescent="0.35">
      <c r="B555" s="142"/>
      <c r="C555"/>
      <c r="D555" s="154"/>
      <c r="G555" s="60"/>
      <c r="K555" s="63"/>
    </row>
    <row r="556" spans="2:11" x14ac:dyDescent="0.35">
      <c r="B556" s="142"/>
      <c r="C556"/>
      <c r="D556" s="154"/>
      <c r="G556" s="60"/>
      <c r="K556" s="63"/>
    </row>
    <row r="557" spans="2:11" x14ac:dyDescent="0.35">
      <c r="B557" s="142"/>
      <c r="C557"/>
      <c r="D557" s="154"/>
      <c r="G557" s="60"/>
      <c r="K557" s="63"/>
    </row>
    <row r="558" spans="2:11" x14ac:dyDescent="0.35">
      <c r="B558" s="142"/>
      <c r="C558"/>
      <c r="D558" s="154"/>
      <c r="G558" s="60"/>
      <c r="K558" s="63"/>
    </row>
    <row r="559" spans="2:11" x14ac:dyDescent="0.35">
      <c r="B559" s="142"/>
      <c r="C559"/>
      <c r="D559" s="154"/>
      <c r="G559" s="60"/>
      <c r="K559" s="63"/>
    </row>
    <row r="560" spans="2:11" x14ac:dyDescent="0.35">
      <c r="B560" s="142"/>
      <c r="C560"/>
      <c r="D560" s="154"/>
      <c r="G560" s="60"/>
      <c r="K560" s="63"/>
    </row>
    <row r="561" spans="2:11" x14ac:dyDescent="0.35">
      <c r="B561" s="142"/>
      <c r="C561"/>
      <c r="D561" s="154"/>
      <c r="G561" s="60"/>
      <c r="K561" s="63"/>
    </row>
    <row r="562" spans="2:11" x14ac:dyDescent="0.35">
      <c r="B562" s="142"/>
      <c r="C562"/>
      <c r="D562" s="154"/>
      <c r="G562" s="60"/>
      <c r="K562" s="63"/>
    </row>
    <row r="563" spans="2:11" x14ac:dyDescent="0.35">
      <c r="B563" s="142"/>
      <c r="C563"/>
      <c r="D563" s="154"/>
      <c r="G563" s="60"/>
      <c r="K563" s="63"/>
    </row>
    <row r="564" spans="2:11" x14ac:dyDescent="0.35">
      <c r="B564" s="142"/>
      <c r="C564"/>
      <c r="D564" s="154"/>
      <c r="G564" s="60"/>
      <c r="K564" s="63"/>
    </row>
    <row r="565" spans="2:11" x14ac:dyDescent="0.35">
      <c r="B565" s="142"/>
      <c r="C565"/>
      <c r="D565" s="154"/>
      <c r="G565" s="60"/>
      <c r="K565" s="63"/>
    </row>
    <row r="566" spans="2:11" x14ac:dyDescent="0.35">
      <c r="B566" s="142"/>
      <c r="C566"/>
      <c r="D566" s="154"/>
      <c r="G566" s="60"/>
      <c r="K566" s="63"/>
    </row>
    <row r="567" spans="2:11" x14ac:dyDescent="0.35">
      <c r="B567" s="142"/>
      <c r="C567"/>
      <c r="D567" s="154"/>
      <c r="G567" s="60"/>
      <c r="K567" s="63"/>
    </row>
    <row r="568" spans="2:11" x14ac:dyDescent="0.35">
      <c r="B568" s="142"/>
      <c r="C568"/>
      <c r="D568" s="154"/>
      <c r="G568" s="60"/>
      <c r="K568" s="63"/>
    </row>
    <row r="569" spans="2:11" x14ac:dyDescent="0.35">
      <c r="B569" s="142"/>
      <c r="C569"/>
      <c r="D569" s="154"/>
      <c r="G569" s="60"/>
      <c r="K569" s="63"/>
    </row>
    <row r="570" spans="2:11" x14ac:dyDescent="0.35">
      <c r="B570" s="142"/>
      <c r="C570"/>
      <c r="D570" s="154"/>
      <c r="G570" s="60"/>
      <c r="K570" s="63"/>
    </row>
    <row r="571" spans="2:11" x14ac:dyDescent="0.35">
      <c r="B571" s="142"/>
      <c r="C571"/>
      <c r="D571" s="154"/>
      <c r="G571" s="60"/>
      <c r="K571" s="63"/>
    </row>
    <row r="572" spans="2:11" x14ac:dyDescent="0.35">
      <c r="B572" s="142"/>
      <c r="C572" s="59"/>
      <c r="G572" s="60"/>
      <c r="K572" s="63"/>
    </row>
    <row r="573" spans="2:11" x14ac:dyDescent="0.35">
      <c r="B573" s="142"/>
      <c r="C573" s="59"/>
      <c r="G573" s="60"/>
      <c r="K573" s="63"/>
    </row>
    <row r="574" spans="2:11" x14ac:dyDescent="0.35">
      <c r="B574" s="142"/>
      <c r="C574" s="59"/>
      <c r="G574" s="60"/>
      <c r="K574" s="63"/>
    </row>
    <row r="575" spans="2:11" x14ac:dyDescent="0.35">
      <c r="B575" s="142"/>
      <c r="C575" s="59"/>
      <c r="G575" s="60"/>
      <c r="K575" s="63"/>
    </row>
    <row r="576" spans="2:11" x14ac:dyDescent="0.35">
      <c r="B576" s="142"/>
      <c r="C576" s="59"/>
      <c r="G576" s="60"/>
      <c r="K576" s="63"/>
    </row>
    <row r="577" spans="2:11" x14ac:dyDescent="0.35">
      <c r="B577" s="155"/>
      <c r="G577" s="60"/>
      <c r="K577" s="63"/>
    </row>
    <row r="578" spans="2:11" x14ac:dyDescent="0.35">
      <c r="B578" s="155"/>
      <c r="G578" s="60"/>
      <c r="K578" s="63"/>
    </row>
    <row r="579" spans="2:11" x14ac:dyDescent="0.35">
      <c r="B579" s="155"/>
      <c r="G579" s="60"/>
      <c r="K579" s="63"/>
    </row>
    <row r="580" spans="2:11" x14ac:dyDescent="0.35">
      <c r="B580" s="155"/>
      <c r="G580" s="60"/>
      <c r="K580" s="63"/>
    </row>
    <row r="581" spans="2:11" x14ac:dyDescent="0.35">
      <c r="B581" s="155"/>
      <c r="G581" s="60"/>
      <c r="K581" s="63"/>
    </row>
    <row r="582" spans="2:11" x14ac:dyDescent="0.35">
      <c r="B582" s="155"/>
      <c r="G582" s="60"/>
      <c r="K582" s="63"/>
    </row>
    <row r="583" spans="2:11" x14ac:dyDescent="0.35">
      <c r="B583" s="155"/>
      <c r="G583" s="60"/>
      <c r="K583" s="63"/>
    </row>
    <row r="584" spans="2:11" x14ac:dyDescent="0.35">
      <c r="B584" s="155"/>
      <c r="G584" s="60"/>
      <c r="K584" s="63"/>
    </row>
    <row r="585" spans="2:11" x14ac:dyDescent="0.35">
      <c r="B585" s="155"/>
      <c r="G585" s="60"/>
      <c r="K585" s="63"/>
    </row>
    <row r="586" spans="2:11" x14ac:dyDescent="0.35">
      <c r="B586" s="155"/>
      <c r="G586" s="60"/>
      <c r="K586" s="63"/>
    </row>
    <row r="587" spans="2:11" x14ac:dyDescent="0.35">
      <c r="B587" s="155"/>
      <c r="G587" s="60"/>
      <c r="K587" s="63"/>
    </row>
    <row r="588" spans="2:11" x14ac:dyDescent="0.35">
      <c r="B588" s="155"/>
      <c r="G588" s="60"/>
      <c r="K588" s="63"/>
    </row>
    <row r="589" spans="2:11" x14ac:dyDescent="0.35">
      <c r="B589" s="155"/>
      <c r="G589" s="60"/>
      <c r="K589" s="63"/>
    </row>
    <row r="590" spans="2:11" x14ac:dyDescent="0.35">
      <c r="B590" s="155"/>
      <c r="G590" s="60"/>
      <c r="K590" s="63"/>
    </row>
    <row r="591" spans="2:11" x14ac:dyDescent="0.35">
      <c r="B591" s="155"/>
      <c r="G591" s="60"/>
      <c r="K591" s="63"/>
    </row>
    <row r="592" spans="2:11" x14ac:dyDescent="0.35">
      <c r="B592" s="155"/>
      <c r="G592" s="60"/>
      <c r="K592" s="63"/>
    </row>
    <row r="593" spans="2:11" x14ac:dyDescent="0.35">
      <c r="B593" s="155"/>
      <c r="G593" s="60"/>
      <c r="K593" s="63"/>
    </row>
    <row r="594" spans="2:11" x14ac:dyDescent="0.35">
      <c r="B594" s="155"/>
      <c r="G594" s="60"/>
      <c r="K594" s="63"/>
    </row>
    <row r="595" spans="2:11" x14ac:dyDescent="0.35">
      <c r="B595" s="155"/>
      <c r="G595" s="60"/>
      <c r="K595" s="63"/>
    </row>
    <row r="596" spans="2:11" x14ac:dyDescent="0.35">
      <c r="B596" s="155"/>
      <c r="G596" s="60"/>
      <c r="K596" s="63"/>
    </row>
    <row r="597" spans="2:11" x14ac:dyDescent="0.35">
      <c r="B597" s="155"/>
      <c r="G597" s="60"/>
      <c r="K597" s="63"/>
    </row>
    <row r="598" spans="2:11" x14ac:dyDescent="0.35">
      <c r="B598" s="155"/>
      <c r="G598" s="60"/>
      <c r="K598" s="63"/>
    </row>
    <row r="599" spans="2:11" x14ac:dyDescent="0.35">
      <c r="B599" s="155"/>
      <c r="G599" s="60"/>
      <c r="K599" s="63"/>
    </row>
    <row r="600" spans="2:11" x14ac:dyDescent="0.35">
      <c r="B600" s="155"/>
      <c r="G600" s="60"/>
      <c r="K600" s="63"/>
    </row>
    <row r="601" spans="2:11" x14ac:dyDescent="0.35">
      <c r="B601" s="155"/>
      <c r="G601" s="60"/>
      <c r="K601" s="63"/>
    </row>
    <row r="602" spans="2:11" x14ac:dyDescent="0.35">
      <c r="B602" s="155"/>
      <c r="G602" s="60"/>
      <c r="K602" s="63"/>
    </row>
    <row r="603" spans="2:11" x14ac:dyDescent="0.35">
      <c r="B603" s="155"/>
      <c r="G603" s="60"/>
      <c r="K603" s="63"/>
    </row>
    <row r="604" spans="2:11" x14ac:dyDescent="0.35">
      <c r="B604" s="155"/>
      <c r="G604" s="60"/>
      <c r="K604" s="63"/>
    </row>
    <row r="605" spans="2:11" x14ac:dyDescent="0.35">
      <c r="B605" s="155"/>
      <c r="G605" s="60"/>
      <c r="K605" s="63"/>
    </row>
    <row r="606" spans="2:11" x14ac:dyDescent="0.35">
      <c r="B606" s="155"/>
      <c r="G606" s="60"/>
      <c r="K606" s="63"/>
    </row>
    <row r="607" spans="2:11" x14ac:dyDescent="0.35">
      <c r="B607" s="155"/>
      <c r="G607" s="60"/>
      <c r="K607" s="63"/>
    </row>
    <row r="608" spans="2:11" x14ac:dyDescent="0.35">
      <c r="B608" s="155"/>
      <c r="G608" s="60"/>
      <c r="K608" s="63"/>
    </row>
    <row r="609" spans="2:11" x14ac:dyDescent="0.35">
      <c r="B609" s="155"/>
      <c r="G609" s="60"/>
      <c r="K609" s="63"/>
    </row>
    <row r="610" spans="2:11" x14ac:dyDescent="0.35">
      <c r="B610" s="155"/>
      <c r="G610" s="60"/>
      <c r="K610" s="63"/>
    </row>
    <row r="611" spans="2:11" x14ac:dyDescent="0.35">
      <c r="B611" s="155"/>
      <c r="G611" s="60"/>
      <c r="K611" s="63"/>
    </row>
    <row r="612" spans="2:11" x14ac:dyDescent="0.35">
      <c r="B612" s="155"/>
      <c r="G612" s="60"/>
      <c r="K612" s="63"/>
    </row>
    <row r="613" spans="2:11" x14ac:dyDescent="0.35">
      <c r="B613" s="155"/>
      <c r="G613" s="60"/>
      <c r="K613" s="63"/>
    </row>
    <row r="614" spans="2:11" x14ac:dyDescent="0.35">
      <c r="B614" s="155"/>
      <c r="G614" s="60"/>
      <c r="K614" s="63"/>
    </row>
    <row r="615" spans="2:11" x14ac:dyDescent="0.35">
      <c r="B615" s="155"/>
      <c r="G615" s="60"/>
      <c r="K615" s="63"/>
    </row>
    <row r="616" spans="2:11" x14ac:dyDescent="0.35">
      <c r="B616" s="155"/>
      <c r="G616" s="60"/>
      <c r="K616" s="63"/>
    </row>
    <row r="617" spans="2:11" x14ac:dyDescent="0.35">
      <c r="B617" s="155"/>
      <c r="G617" s="60"/>
      <c r="K617" s="63"/>
    </row>
    <row r="618" spans="2:11" x14ac:dyDescent="0.35">
      <c r="B618" s="155"/>
      <c r="G618" s="60"/>
      <c r="K618" s="63"/>
    </row>
    <row r="619" spans="2:11" x14ac:dyDescent="0.35">
      <c r="B619" s="155"/>
      <c r="G619" s="60"/>
      <c r="K619" s="63"/>
    </row>
    <row r="620" spans="2:11" x14ac:dyDescent="0.35">
      <c r="B620" s="155"/>
      <c r="G620" s="60"/>
      <c r="K620" s="63"/>
    </row>
    <row r="621" spans="2:11" x14ac:dyDescent="0.35">
      <c r="B621" s="155"/>
      <c r="G621" s="60"/>
      <c r="K621" s="63"/>
    </row>
    <row r="622" spans="2:11" x14ac:dyDescent="0.35">
      <c r="B622" s="155"/>
      <c r="G622" s="60"/>
      <c r="K622" s="63"/>
    </row>
    <row r="623" spans="2:11" x14ac:dyDescent="0.35">
      <c r="B623" s="155"/>
      <c r="G623" s="60"/>
      <c r="K623" s="63"/>
    </row>
    <row r="624" spans="2:11" x14ac:dyDescent="0.35">
      <c r="B624" s="155"/>
      <c r="G624" s="60"/>
      <c r="K624" s="63"/>
    </row>
    <row r="625" spans="2:11" x14ac:dyDescent="0.35">
      <c r="B625" s="155"/>
      <c r="G625" s="60"/>
      <c r="K625" s="63"/>
    </row>
    <row r="626" spans="2:11" x14ac:dyDescent="0.35">
      <c r="B626" s="155"/>
      <c r="G626" s="60"/>
      <c r="K626" s="63"/>
    </row>
    <row r="627" spans="2:11" x14ac:dyDescent="0.35">
      <c r="B627" s="155"/>
      <c r="G627" s="60"/>
      <c r="K627" s="63"/>
    </row>
    <row r="628" spans="2:11" x14ac:dyDescent="0.35">
      <c r="B628" s="155"/>
      <c r="G628" s="60"/>
      <c r="K628" s="63"/>
    </row>
    <row r="629" spans="2:11" x14ac:dyDescent="0.35">
      <c r="B629" s="155"/>
      <c r="G629" s="60"/>
      <c r="K629" s="63"/>
    </row>
    <row r="630" spans="2:11" x14ac:dyDescent="0.35">
      <c r="B630" s="155"/>
      <c r="G630" s="60"/>
      <c r="K630" s="63"/>
    </row>
    <row r="631" spans="2:11" x14ac:dyDescent="0.35">
      <c r="B631" s="155"/>
      <c r="G631" s="60"/>
      <c r="K631" s="63"/>
    </row>
    <row r="632" spans="2:11" x14ac:dyDescent="0.35">
      <c r="B632" s="155"/>
      <c r="G632" s="60"/>
      <c r="K632" s="63"/>
    </row>
    <row r="633" spans="2:11" x14ac:dyDescent="0.35">
      <c r="B633" s="155"/>
      <c r="G633" s="60"/>
      <c r="K633" s="63"/>
    </row>
    <row r="634" spans="2:11" x14ac:dyDescent="0.35">
      <c r="B634" s="155"/>
      <c r="G634" s="60"/>
      <c r="K634" s="63"/>
    </row>
    <row r="635" spans="2:11" x14ac:dyDescent="0.35">
      <c r="B635" s="155"/>
      <c r="G635" s="60"/>
      <c r="K635" s="63"/>
    </row>
    <row r="636" spans="2:11" x14ac:dyDescent="0.35">
      <c r="B636" s="155"/>
      <c r="G636" s="60"/>
      <c r="K636" s="63"/>
    </row>
    <row r="637" spans="2:11" x14ac:dyDescent="0.35">
      <c r="B637" s="155"/>
      <c r="G637" s="60"/>
      <c r="K637" s="63"/>
    </row>
    <row r="638" spans="2:11" x14ac:dyDescent="0.35">
      <c r="B638" s="155"/>
      <c r="G638" s="60"/>
      <c r="K638" s="63"/>
    </row>
    <row r="639" spans="2:11" x14ac:dyDescent="0.35">
      <c r="B639" s="155"/>
      <c r="G639" s="60"/>
      <c r="K639" s="63"/>
    </row>
    <row r="640" spans="2:11" x14ac:dyDescent="0.35">
      <c r="B640" s="155"/>
      <c r="G640" s="60"/>
      <c r="K640" s="63"/>
    </row>
    <row r="641" spans="2:11" x14ac:dyDescent="0.35">
      <c r="B641" s="155"/>
      <c r="G641" s="60"/>
      <c r="K641" s="63"/>
    </row>
    <row r="642" spans="2:11" x14ac:dyDescent="0.35">
      <c r="B642" s="155"/>
      <c r="G642" s="60"/>
      <c r="K642" s="63"/>
    </row>
    <row r="643" spans="2:11" x14ac:dyDescent="0.35">
      <c r="B643" s="155"/>
      <c r="G643" s="60"/>
      <c r="K643" s="63"/>
    </row>
    <row r="644" spans="2:11" x14ac:dyDescent="0.35">
      <c r="B644" s="155"/>
      <c r="G644" s="60"/>
      <c r="K644" s="63"/>
    </row>
    <row r="645" spans="2:11" x14ac:dyDescent="0.35">
      <c r="B645" s="155"/>
      <c r="G645" s="60"/>
      <c r="K645" s="63"/>
    </row>
    <row r="646" spans="2:11" x14ac:dyDescent="0.35">
      <c r="B646" s="155"/>
      <c r="G646" s="60"/>
      <c r="K646" s="63"/>
    </row>
    <row r="647" spans="2:11" x14ac:dyDescent="0.35">
      <c r="B647" s="155"/>
      <c r="G647" s="60"/>
      <c r="K647" s="63"/>
    </row>
    <row r="648" spans="2:11" x14ac:dyDescent="0.35">
      <c r="B648" s="155"/>
      <c r="G648" s="60"/>
      <c r="K648" s="63"/>
    </row>
    <row r="649" spans="2:11" x14ac:dyDescent="0.35">
      <c r="B649" s="155"/>
      <c r="G649" s="60"/>
      <c r="K649" s="63"/>
    </row>
    <row r="650" spans="2:11" x14ac:dyDescent="0.35">
      <c r="B650" s="155"/>
      <c r="G650" s="60"/>
      <c r="K650" s="63"/>
    </row>
    <row r="651" spans="2:11" x14ac:dyDescent="0.35">
      <c r="B651" s="155"/>
      <c r="G651" s="60"/>
      <c r="K651" s="63"/>
    </row>
    <row r="652" spans="2:11" x14ac:dyDescent="0.35">
      <c r="B652" s="155"/>
      <c r="G652" s="60"/>
      <c r="K652" s="63"/>
    </row>
    <row r="653" spans="2:11" x14ac:dyDescent="0.35">
      <c r="B653" s="155"/>
      <c r="G653" s="60"/>
      <c r="K653" s="63"/>
    </row>
    <row r="654" spans="2:11" x14ac:dyDescent="0.35">
      <c r="B654" s="155"/>
      <c r="G654" s="60"/>
      <c r="K654" s="63"/>
    </row>
    <row r="655" spans="2:11" x14ac:dyDescent="0.35">
      <c r="B655" s="155"/>
      <c r="G655" s="60"/>
      <c r="K655" s="63"/>
    </row>
    <row r="656" spans="2:11" x14ac:dyDescent="0.35">
      <c r="B656" s="155"/>
      <c r="G656" s="60"/>
      <c r="K656" s="63"/>
    </row>
    <row r="657" spans="2:11" x14ac:dyDescent="0.35">
      <c r="B657" s="155"/>
      <c r="G657" s="60"/>
      <c r="K657" s="63"/>
    </row>
    <row r="658" spans="2:11" x14ac:dyDescent="0.35">
      <c r="B658" s="155"/>
      <c r="G658" s="60"/>
      <c r="K658" s="63"/>
    </row>
    <row r="659" spans="2:11" x14ac:dyDescent="0.35">
      <c r="B659" s="155"/>
      <c r="G659" s="60"/>
      <c r="K659" s="63"/>
    </row>
    <row r="660" spans="2:11" x14ac:dyDescent="0.35">
      <c r="B660" s="155"/>
      <c r="G660" s="60"/>
      <c r="K660" s="63"/>
    </row>
    <row r="661" spans="2:11" x14ac:dyDescent="0.35">
      <c r="B661" s="155"/>
      <c r="G661" s="60"/>
      <c r="K661" s="63"/>
    </row>
    <row r="662" spans="2:11" x14ac:dyDescent="0.35">
      <c r="B662" s="155"/>
      <c r="G662" s="60"/>
      <c r="K662" s="63"/>
    </row>
    <row r="663" spans="2:11" x14ac:dyDescent="0.35">
      <c r="B663" s="155"/>
      <c r="G663" s="60"/>
      <c r="K663" s="63"/>
    </row>
    <row r="664" spans="2:11" x14ac:dyDescent="0.35">
      <c r="B664" s="155"/>
      <c r="G664" s="60"/>
      <c r="K664" s="63"/>
    </row>
    <row r="665" spans="2:11" x14ac:dyDescent="0.35">
      <c r="B665" s="155"/>
      <c r="G665" s="60"/>
      <c r="K665" s="63"/>
    </row>
    <row r="666" spans="2:11" x14ac:dyDescent="0.35">
      <c r="B666" s="155"/>
      <c r="G666" s="60"/>
      <c r="K666" s="63"/>
    </row>
    <row r="667" spans="2:11" x14ac:dyDescent="0.35">
      <c r="B667" s="155"/>
      <c r="G667" s="60"/>
      <c r="K667" s="63"/>
    </row>
    <row r="668" spans="2:11" x14ac:dyDescent="0.35">
      <c r="B668" s="155"/>
      <c r="G668" s="60"/>
      <c r="K668" s="63"/>
    </row>
    <row r="669" spans="2:11" x14ac:dyDescent="0.35">
      <c r="B669" s="155"/>
      <c r="G669" s="60"/>
      <c r="K669" s="63"/>
    </row>
    <row r="670" spans="2:11" x14ac:dyDescent="0.35">
      <c r="B670" s="155"/>
      <c r="G670" s="60"/>
      <c r="K670" s="63"/>
    </row>
    <row r="671" spans="2:11" x14ac:dyDescent="0.35">
      <c r="B671" s="155"/>
      <c r="G671" s="60"/>
      <c r="K671" s="63"/>
    </row>
    <row r="672" spans="2:11" x14ac:dyDescent="0.35">
      <c r="B672" s="155"/>
      <c r="G672" s="60"/>
      <c r="K672" s="63"/>
    </row>
    <row r="673" spans="2:11" x14ac:dyDescent="0.35">
      <c r="B673" s="155"/>
      <c r="G673" s="60"/>
      <c r="K673" s="63"/>
    </row>
    <row r="674" spans="2:11" x14ac:dyDescent="0.35">
      <c r="B674" s="155"/>
      <c r="G674" s="60"/>
      <c r="K674" s="63"/>
    </row>
    <row r="675" spans="2:11" x14ac:dyDescent="0.35">
      <c r="B675" s="155"/>
      <c r="G675" s="60"/>
      <c r="K675" s="63"/>
    </row>
    <row r="676" spans="2:11" x14ac:dyDescent="0.35">
      <c r="B676" s="155"/>
      <c r="G676" s="60"/>
      <c r="K676" s="63"/>
    </row>
    <row r="677" spans="2:11" x14ac:dyDescent="0.35">
      <c r="B677" s="155"/>
      <c r="G677" s="60"/>
      <c r="K677" s="63"/>
    </row>
    <row r="678" spans="2:11" x14ac:dyDescent="0.35">
      <c r="B678" s="155"/>
      <c r="G678" s="60"/>
      <c r="K678" s="63"/>
    </row>
    <row r="679" spans="2:11" x14ac:dyDescent="0.35">
      <c r="B679" s="155"/>
      <c r="G679" s="60"/>
      <c r="K679" s="63"/>
    </row>
    <row r="680" spans="2:11" x14ac:dyDescent="0.35">
      <c r="B680" s="155"/>
      <c r="G680" s="60"/>
      <c r="K680" s="63"/>
    </row>
    <row r="681" spans="2:11" x14ac:dyDescent="0.35">
      <c r="B681" s="155"/>
      <c r="G681" s="60"/>
      <c r="K681" s="63"/>
    </row>
    <row r="682" spans="2:11" x14ac:dyDescent="0.35">
      <c r="B682" s="155"/>
      <c r="G682" s="60"/>
      <c r="K682" s="63"/>
    </row>
    <row r="683" spans="2:11" x14ac:dyDescent="0.35">
      <c r="B683" s="155"/>
      <c r="G683" s="60"/>
      <c r="K683" s="63"/>
    </row>
    <row r="684" spans="2:11" x14ac:dyDescent="0.35">
      <c r="B684" s="155"/>
      <c r="G684" s="60"/>
      <c r="K684" s="63"/>
    </row>
    <row r="685" spans="2:11" x14ac:dyDescent="0.35">
      <c r="B685" s="155"/>
      <c r="G685" s="60"/>
      <c r="K685" s="63"/>
    </row>
    <row r="686" spans="2:11" x14ac:dyDescent="0.35">
      <c r="B686" s="155"/>
      <c r="G686" s="60"/>
      <c r="K686" s="63"/>
    </row>
    <row r="687" spans="2:11" x14ac:dyDescent="0.35">
      <c r="B687" s="155"/>
      <c r="G687" s="60"/>
      <c r="K687" s="63"/>
    </row>
    <row r="688" spans="2:11" x14ac:dyDescent="0.35">
      <c r="B688" s="155"/>
      <c r="G688" s="60"/>
      <c r="K688" s="63"/>
    </row>
    <row r="689" spans="2:11" x14ac:dyDescent="0.35">
      <c r="B689" s="155"/>
      <c r="G689" s="60"/>
      <c r="K689" s="63"/>
    </row>
    <row r="690" spans="2:11" x14ac:dyDescent="0.35">
      <c r="B690" s="155"/>
      <c r="G690" s="60"/>
      <c r="K690" s="63"/>
    </row>
    <row r="691" spans="2:11" x14ac:dyDescent="0.35">
      <c r="B691" s="155"/>
      <c r="G691" s="60"/>
      <c r="K691" s="63"/>
    </row>
    <row r="692" spans="2:11" x14ac:dyDescent="0.35">
      <c r="B692" s="155"/>
      <c r="G692" s="60"/>
      <c r="K692" s="63"/>
    </row>
    <row r="693" spans="2:11" x14ac:dyDescent="0.35">
      <c r="B693" s="155"/>
      <c r="G693" s="60"/>
      <c r="K693" s="63"/>
    </row>
    <row r="694" spans="2:11" x14ac:dyDescent="0.35">
      <c r="B694" s="159"/>
      <c r="C694" s="9"/>
      <c r="D694" s="9"/>
      <c r="E694" s="9"/>
      <c r="F694" s="9"/>
      <c r="G694" s="60"/>
      <c r="H694" s="9"/>
      <c r="I694" s="9"/>
      <c r="J694" s="9"/>
      <c r="K694" s="148"/>
    </row>
    <row r="695" spans="2:11" x14ac:dyDescent="0.35">
      <c r="B695" s="155"/>
      <c r="G695" s="60"/>
    </row>
    <row r="696" spans="2:11" x14ac:dyDescent="0.35">
      <c r="B696" s="155"/>
      <c r="G696" s="60"/>
    </row>
    <row r="697" spans="2:11" x14ac:dyDescent="0.35">
      <c r="B697" s="155"/>
      <c r="G697" s="60"/>
    </row>
    <row r="698" spans="2:11" x14ac:dyDescent="0.35">
      <c r="B698" s="155"/>
      <c r="G698" s="60"/>
    </row>
    <row r="699" spans="2:11" x14ac:dyDescent="0.35">
      <c r="B699" s="155"/>
      <c r="G699" s="60"/>
    </row>
    <row r="700" spans="2:11" x14ac:dyDescent="0.35">
      <c r="B700" s="155"/>
      <c r="G700" s="60"/>
    </row>
    <row r="701" spans="2:11" x14ac:dyDescent="0.35">
      <c r="B701" s="155"/>
      <c r="G701" s="60"/>
    </row>
    <row r="702" spans="2:11" x14ac:dyDescent="0.35">
      <c r="B702" s="155"/>
      <c r="G702" s="60"/>
    </row>
    <row r="703" spans="2:11" x14ac:dyDescent="0.35">
      <c r="B703" s="155"/>
      <c r="G703" s="60"/>
    </row>
    <row r="704" spans="2:11" x14ac:dyDescent="0.35">
      <c r="B704" s="155"/>
      <c r="G704" s="60"/>
    </row>
    <row r="705" spans="2:7" x14ac:dyDescent="0.35">
      <c r="B705" s="155"/>
      <c r="G705" s="60"/>
    </row>
    <row r="706" spans="2:7" x14ac:dyDescent="0.35">
      <c r="B706" s="155"/>
      <c r="G706" s="60"/>
    </row>
    <row r="707" spans="2:7" x14ac:dyDescent="0.35">
      <c r="B707" s="155"/>
      <c r="G707" s="60"/>
    </row>
    <row r="708" spans="2:7" x14ac:dyDescent="0.35">
      <c r="B708" s="155"/>
      <c r="G708" s="60"/>
    </row>
    <row r="709" spans="2:7" x14ac:dyDescent="0.35">
      <c r="B709" s="155"/>
      <c r="G709" s="60"/>
    </row>
    <row r="710" spans="2:7" x14ac:dyDescent="0.35">
      <c r="B710" s="155"/>
      <c r="G710" s="60"/>
    </row>
    <row r="711" spans="2:7" x14ac:dyDescent="0.35">
      <c r="B711" s="155"/>
      <c r="G711" s="60"/>
    </row>
    <row r="712" spans="2:7" x14ac:dyDescent="0.35">
      <c r="B712" s="155"/>
      <c r="G712" s="60"/>
    </row>
    <row r="713" spans="2:7" x14ac:dyDescent="0.35">
      <c r="B713" s="155"/>
      <c r="G713" s="60"/>
    </row>
    <row r="714" spans="2:7" x14ac:dyDescent="0.35">
      <c r="B714" s="155"/>
      <c r="G714" s="60"/>
    </row>
    <row r="715" spans="2:7" x14ac:dyDescent="0.35">
      <c r="B715" s="155"/>
      <c r="G715" s="60"/>
    </row>
    <row r="716" spans="2:7" x14ac:dyDescent="0.35">
      <c r="B716" s="155"/>
      <c r="G716" s="60"/>
    </row>
    <row r="717" spans="2:7" x14ac:dyDescent="0.35">
      <c r="B717" s="155"/>
      <c r="G717" s="60"/>
    </row>
    <row r="718" spans="2:7" x14ac:dyDescent="0.35">
      <c r="B718" s="155"/>
      <c r="G718" s="60"/>
    </row>
    <row r="719" spans="2:7" x14ac:dyDescent="0.35">
      <c r="B719" s="155"/>
      <c r="G719" s="60"/>
    </row>
    <row r="720" spans="2:7" x14ac:dyDescent="0.35">
      <c r="B720" s="155"/>
      <c r="G720" s="60"/>
    </row>
    <row r="721" spans="2:7" x14ac:dyDescent="0.35">
      <c r="B721" s="155"/>
      <c r="G721" s="60"/>
    </row>
    <row r="722" spans="2:7" x14ac:dyDescent="0.35">
      <c r="B722" s="155"/>
      <c r="G722" s="60"/>
    </row>
    <row r="723" spans="2:7" x14ac:dyDescent="0.35">
      <c r="B723" s="155"/>
      <c r="G723" s="60"/>
    </row>
    <row r="724" spans="2:7" x14ac:dyDescent="0.35">
      <c r="B724" s="155"/>
      <c r="G724" s="60"/>
    </row>
    <row r="725" spans="2:7" x14ac:dyDescent="0.35">
      <c r="B725" s="155"/>
      <c r="G725" s="60"/>
    </row>
    <row r="726" spans="2:7" x14ac:dyDescent="0.35">
      <c r="B726" s="155"/>
      <c r="G726" s="60"/>
    </row>
    <row r="727" spans="2:7" x14ac:dyDescent="0.35">
      <c r="B727" s="155"/>
      <c r="G727" s="60"/>
    </row>
    <row r="728" spans="2:7" x14ac:dyDescent="0.35">
      <c r="B728" s="155"/>
      <c r="G728" s="60"/>
    </row>
    <row r="729" spans="2:7" x14ac:dyDescent="0.35">
      <c r="B729" s="155"/>
      <c r="G729" s="60"/>
    </row>
    <row r="730" spans="2:7" x14ac:dyDescent="0.35">
      <c r="G730" s="60"/>
    </row>
    <row r="731" spans="2:7" x14ac:dyDescent="0.35">
      <c r="G731" s="60"/>
    </row>
    <row r="732" spans="2:7" x14ac:dyDescent="0.35">
      <c r="G732" s="60"/>
    </row>
    <row r="733" spans="2:7" x14ac:dyDescent="0.35">
      <c r="G733" s="60"/>
    </row>
    <row r="734" spans="2:7" x14ac:dyDescent="0.35">
      <c r="G734" s="60"/>
    </row>
    <row r="735" spans="2:7" x14ac:dyDescent="0.35">
      <c r="G735" s="60"/>
    </row>
    <row r="736" spans="2:7" x14ac:dyDescent="0.35">
      <c r="G736" s="60"/>
    </row>
    <row r="737" spans="7:7" x14ac:dyDescent="0.35">
      <c r="G737" s="60"/>
    </row>
    <row r="738" spans="7:7" x14ac:dyDescent="0.35">
      <c r="G738" s="60"/>
    </row>
    <row r="739" spans="7:7" x14ac:dyDescent="0.35">
      <c r="G739" s="60"/>
    </row>
    <row r="740" spans="7:7" x14ac:dyDescent="0.35">
      <c r="G740" s="60"/>
    </row>
    <row r="741" spans="7:7" x14ac:dyDescent="0.35">
      <c r="G741" s="60"/>
    </row>
    <row r="742" spans="7:7" x14ac:dyDescent="0.35">
      <c r="G742" s="60"/>
    </row>
    <row r="743" spans="7:7" x14ac:dyDescent="0.35">
      <c r="G743" s="60"/>
    </row>
    <row r="744" spans="7:7" x14ac:dyDescent="0.35">
      <c r="G744" s="60"/>
    </row>
    <row r="745" spans="7:7" x14ac:dyDescent="0.35">
      <c r="G745" s="60"/>
    </row>
    <row r="746" spans="7:7" x14ac:dyDescent="0.35">
      <c r="G746" s="60"/>
    </row>
    <row r="747" spans="7:7" x14ac:dyDescent="0.35">
      <c r="G747" s="60"/>
    </row>
    <row r="748" spans="7:7" x14ac:dyDescent="0.35">
      <c r="G748" s="60"/>
    </row>
    <row r="749" spans="7:7" x14ac:dyDescent="0.35">
      <c r="G749" s="60"/>
    </row>
    <row r="750" spans="7:7" x14ac:dyDescent="0.35">
      <c r="G750" s="60"/>
    </row>
    <row r="751" spans="7:7" x14ac:dyDescent="0.35">
      <c r="G751" s="60"/>
    </row>
    <row r="752" spans="7:7" x14ac:dyDescent="0.35">
      <c r="G752" s="60"/>
    </row>
    <row r="753" spans="7:7" x14ac:dyDescent="0.35">
      <c r="G753" s="60"/>
    </row>
    <row r="754" spans="7:7" x14ac:dyDescent="0.35">
      <c r="G754" s="60"/>
    </row>
    <row r="755" spans="7:7" x14ac:dyDescent="0.35">
      <c r="G755" s="60"/>
    </row>
    <row r="756" spans="7:7" x14ac:dyDescent="0.35">
      <c r="G756" s="60"/>
    </row>
    <row r="757" spans="7:7" x14ac:dyDescent="0.35">
      <c r="G757" s="60"/>
    </row>
    <row r="758" spans="7:7" x14ac:dyDescent="0.35">
      <c r="G758" s="60"/>
    </row>
    <row r="759" spans="7:7" x14ac:dyDescent="0.35">
      <c r="G759" s="60"/>
    </row>
    <row r="760" spans="7:7" x14ac:dyDescent="0.35">
      <c r="G760" s="60"/>
    </row>
    <row r="761" spans="7:7" x14ac:dyDescent="0.35">
      <c r="G761" s="60"/>
    </row>
    <row r="762" spans="7:7" x14ac:dyDescent="0.35">
      <c r="G762" s="60"/>
    </row>
    <row r="763" spans="7:7" x14ac:dyDescent="0.35">
      <c r="G763" s="60"/>
    </row>
    <row r="764" spans="7:7" x14ac:dyDescent="0.35">
      <c r="G764" s="60"/>
    </row>
    <row r="765" spans="7:7" x14ac:dyDescent="0.35">
      <c r="G765" s="60"/>
    </row>
    <row r="766" spans="7:7" x14ac:dyDescent="0.35">
      <c r="G766" s="60"/>
    </row>
    <row r="767" spans="7:7" x14ac:dyDescent="0.35">
      <c r="G767" s="60"/>
    </row>
    <row r="768" spans="7:7" x14ac:dyDescent="0.35">
      <c r="G768" s="60"/>
    </row>
    <row r="769" spans="7:7" x14ac:dyDescent="0.35">
      <c r="G769" s="60"/>
    </row>
    <row r="770" spans="7:7" x14ac:dyDescent="0.35">
      <c r="G770" s="60"/>
    </row>
    <row r="771" spans="7:7" x14ac:dyDescent="0.35">
      <c r="G771" s="60"/>
    </row>
    <row r="772" spans="7:7" x14ac:dyDescent="0.35">
      <c r="G772" s="60"/>
    </row>
    <row r="773" spans="7:7" x14ac:dyDescent="0.35">
      <c r="G773" s="60"/>
    </row>
    <row r="774" spans="7:7" x14ac:dyDescent="0.35">
      <c r="G774" s="60"/>
    </row>
    <row r="775" spans="7:7" x14ac:dyDescent="0.35">
      <c r="G775" s="60"/>
    </row>
    <row r="776" spans="7:7" x14ac:dyDescent="0.35">
      <c r="G776" s="60"/>
    </row>
    <row r="777" spans="7:7" x14ac:dyDescent="0.35">
      <c r="G777" s="60"/>
    </row>
    <row r="778" spans="7:7" x14ac:dyDescent="0.35">
      <c r="G778" s="60"/>
    </row>
    <row r="779" spans="7:7" x14ac:dyDescent="0.35">
      <c r="G779" s="60"/>
    </row>
    <row r="780" spans="7:7" x14ac:dyDescent="0.35">
      <c r="G780" s="60"/>
    </row>
    <row r="781" spans="7:7" x14ac:dyDescent="0.35">
      <c r="G781" s="60"/>
    </row>
    <row r="782" spans="7:7" x14ac:dyDescent="0.35">
      <c r="G782" s="60"/>
    </row>
    <row r="783" spans="7:7" x14ac:dyDescent="0.35">
      <c r="G783" s="60"/>
    </row>
    <row r="784" spans="7:7" x14ac:dyDescent="0.35">
      <c r="G784" s="60"/>
    </row>
    <row r="785" spans="7:7" x14ac:dyDescent="0.35">
      <c r="G785" s="60"/>
    </row>
    <row r="786" spans="7:7" x14ac:dyDescent="0.35">
      <c r="G786" s="60"/>
    </row>
    <row r="787" spans="7:7" x14ac:dyDescent="0.35">
      <c r="G787" s="60"/>
    </row>
    <row r="788" spans="7:7" x14ac:dyDescent="0.35">
      <c r="G788" s="60"/>
    </row>
    <row r="789" spans="7:7" x14ac:dyDescent="0.35">
      <c r="G789" s="60"/>
    </row>
    <row r="790" spans="7:7" x14ac:dyDescent="0.35">
      <c r="G790" s="60"/>
    </row>
    <row r="791" spans="7:7" x14ac:dyDescent="0.35">
      <c r="G791" s="60"/>
    </row>
    <row r="792" spans="7:7" x14ac:dyDescent="0.35">
      <c r="G792" s="60"/>
    </row>
    <row r="793" spans="7:7" x14ac:dyDescent="0.35">
      <c r="G793" s="60"/>
    </row>
    <row r="794" spans="7:7" x14ac:dyDescent="0.35">
      <c r="G794" s="60"/>
    </row>
    <row r="795" spans="7:7" x14ac:dyDescent="0.35">
      <c r="G795" s="60"/>
    </row>
    <row r="796" spans="7:7" x14ac:dyDescent="0.35">
      <c r="G796" s="60"/>
    </row>
    <row r="797" spans="7:7" x14ac:dyDescent="0.35">
      <c r="G797" s="60"/>
    </row>
    <row r="798" spans="7:7" x14ac:dyDescent="0.35">
      <c r="G798" s="60"/>
    </row>
    <row r="799" spans="7:7" x14ac:dyDescent="0.35">
      <c r="G799" s="60"/>
    </row>
    <row r="800" spans="7:7" x14ac:dyDescent="0.35">
      <c r="G800" s="60"/>
    </row>
    <row r="801" spans="7:7" x14ac:dyDescent="0.35">
      <c r="G801" s="60"/>
    </row>
    <row r="802" spans="7:7" x14ac:dyDescent="0.35">
      <c r="G802" s="60"/>
    </row>
    <row r="803" spans="7:7" x14ac:dyDescent="0.35">
      <c r="G803" s="60"/>
    </row>
    <row r="804" spans="7:7" x14ac:dyDescent="0.35">
      <c r="G804" s="60"/>
    </row>
    <row r="805" spans="7:7" x14ac:dyDescent="0.35">
      <c r="G805" s="60"/>
    </row>
    <row r="806" spans="7:7" x14ac:dyDescent="0.35">
      <c r="G806" s="60"/>
    </row>
    <row r="807" spans="7:7" x14ac:dyDescent="0.35">
      <c r="G807" s="60"/>
    </row>
    <row r="808" spans="7:7" x14ac:dyDescent="0.35">
      <c r="G808" s="60"/>
    </row>
    <row r="809" spans="7:7" x14ac:dyDescent="0.35">
      <c r="G809" s="60"/>
    </row>
    <row r="810" spans="7:7" x14ac:dyDescent="0.35">
      <c r="G810" s="60"/>
    </row>
    <row r="811" spans="7:7" x14ac:dyDescent="0.35">
      <c r="G811" s="60"/>
    </row>
    <row r="812" spans="7:7" x14ac:dyDescent="0.35">
      <c r="G812" s="60"/>
    </row>
    <row r="813" spans="7:7" x14ac:dyDescent="0.35">
      <c r="G813" s="60"/>
    </row>
    <row r="814" spans="7:7" x14ac:dyDescent="0.35">
      <c r="G814" s="60"/>
    </row>
    <row r="815" spans="7:7" x14ac:dyDescent="0.35">
      <c r="G815" s="60"/>
    </row>
    <row r="816" spans="7:7" x14ac:dyDescent="0.35">
      <c r="G816" s="60"/>
    </row>
    <row r="817" spans="7:7" x14ac:dyDescent="0.35">
      <c r="G817" s="60"/>
    </row>
    <row r="818" spans="7:7" x14ac:dyDescent="0.35">
      <c r="G818" s="60"/>
    </row>
    <row r="819" spans="7:7" x14ac:dyDescent="0.35">
      <c r="G819" s="60"/>
    </row>
    <row r="820" spans="7:7" x14ac:dyDescent="0.35">
      <c r="G820" s="60"/>
    </row>
    <row r="821" spans="7:7" x14ac:dyDescent="0.35">
      <c r="G821" s="60"/>
    </row>
    <row r="822" spans="7:7" x14ac:dyDescent="0.35">
      <c r="G822" s="60"/>
    </row>
    <row r="823" spans="7:7" x14ac:dyDescent="0.35">
      <c r="G823" s="60"/>
    </row>
    <row r="824" spans="7:7" x14ac:dyDescent="0.35">
      <c r="G824" s="60"/>
    </row>
    <row r="825" spans="7:7" x14ac:dyDescent="0.35">
      <c r="G825" s="60"/>
    </row>
    <row r="826" spans="7:7" x14ac:dyDescent="0.35">
      <c r="G826" s="60"/>
    </row>
    <row r="827" spans="7:7" x14ac:dyDescent="0.35">
      <c r="G827" s="60"/>
    </row>
    <row r="828" spans="7:7" x14ac:dyDescent="0.35">
      <c r="G828" s="60"/>
    </row>
    <row r="829" spans="7:7" x14ac:dyDescent="0.35">
      <c r="G829" s="60"/>
    </row>
    <row r="830" spans="7:7" x14ac:dyDescent="0.35">
      <c r="G830" s="60"/>
    </row>
    <row r="831" spans="7:7" x14ac:dyDescent="0.35">
      <c r="G831" s="60"/>
    </row>
    <row r="832" spans="7:7" x14ac:dyDescent="0.35">
      <c r="G832" s="60"/>
    </row>
    <row r="833" spans="7:7" x14ac:dyDescent="0.35">
      <c r="G833" s="60"/>
    </row>
    <row r="834" spans="7:7" x14ac:dyDescent="0.35">
      <c r="G834" s="60"/>
    </row>
    <row r="835" spans="7:7" x14ac:dyDescent="0.35">
      <c r="G835" s="60"/>
    </row>
    <row r="836" spans="7:7" x14ac:dyDescent="0.35">
      <c r="G836" s="60"/>
    </row>
    <row r="837" spans="7:7" x14ac:dyDescent="0.35">
      <c r="G837" s="60"/>
    </row>
    <row r="838" spans="7:7" x14ac:dyDescent="0.35">
      <c r="G838" s="60"/>
    </row>
    <row r="839" spans="7:7" x14ac:dyDescent="0.35">
      <c r="G839" s="60"/>
    </row>
    <row r="840" spans="7:7" x14ac:dyDescent="0.35">
      <c r="G840" s="60"/>
    </row>
    <row r="841" spans="7:7" x14ac:dyDescent="0.35">
      <c r="G841" s="60"/>
    </row>
    <row r="842" spans="7:7" x14ac:dyDescent="0.35">
      <c r="G842" s="60"/>
    </row>
    <row r="843" spans="7:7" x14ac:dyDescent="0.35">
      <c r="G843" s="60"/>
    </row>
    <row r="844" spans="7:7" x14ac:dyDescent="0.35">
      <c r="G844" s="60"/>
    </row>
    <row r="845" spans="7:7" x14ac:dyDescent="0.35">
      <c r="G845" s="60"/>
    </row>
    <row r="846" spans="7:7" x14ac:dyDescent="0.35">
      <c r="G846" s="60"/>
    </row>
    <row r="847" spans="7:7" x14ac:dyDescent="0.35">
      <c r="G847" s="60"/>
    </row>
    <row r="848" spans="7:7" x14ac:dyDescent="0.35">
      <c r="G848" s="60"/>
    </row>
    <row r="849" spans="7:7" x14ac:dyDescent="0.35">
      <c r="G849" s="60"/>
    </row>
    <row r="850" spans="7:7" x14ac:dyDescent="0.35">
      <c r="G850" s="60"/>
    </row>
    <row r="851" spans="7:7" x14ac:dyDescent="0.35">
      <c r="G851" s="60"/>
    </row>
    <row r="852" spans="7:7" x14ac:dyDescent="0.35">
      <c r="G852" s="60"/>
    </row>
    <row r="853" spans="7:7" x14ac:dyDescent="0.35">
      <c r="G853" s="60"/>
    </row>
    <row r="854" spans="7:7" x14ac:dyDescent="0.35">
      <c r="G854" s="60"/>
    </row>
    <row r="855" spans="7:7" x14ac:dyDescent="0.35">
      <c r="G855" s="60"/>
    </row>
    <row r="856" spans="7:7" x14ac:dyDescent="0.35">
      <c r="G856" s="60"/>
    </row>
    <row r="857" spans="7:7" x14ac:dyDescent="0.35">
      <c r="G857" s="60"/>
    </row>
    <row r="858" spans="7:7" x14ac:dyDescent="0.35">
      <c r="G858" s="60"/>
    </row>
    <row r="859" spans="7:7" x14ac:dyDescent="0.35">
      <c r="G859" s="60"/>
    </row>
    <row r="860" spans="7:7" x14ac:dyDescent="0.35">
      <c r="G860" s="60"/>
    </row>
    <row r="861" spans="7:7" x14ac:dyDescent="0.35">
      <c r="G861" s="60"/>
    </row>
    <row r="862" spans="7:7" x14ac:dyDescent="0.35">
      <c r="G862" s="60"/>
    </row>
    <row r="863" spans="7:7" x14ac:dyDescent="0.35">
      <c r="G863" s="60"/>
    </row>
    <row r="864" spans="7:7" x14ac:dyDescent="0.35">
      <c r="G864" s="60"/>
    </row>
    <row r="865" spans="7:7" x14ac:dyDescent="0.35">
      <c r="G865" s="60"/>
    </row>
    <row r="866" spans="7:7" x14ac:dyDescent="0.35">
      <c r="G866" s="60"/>
    </row>
    <row r="867" spans="7:7" x14ac:dyDescent="0.35">
      <c r="G867" s="60"/>
    </row>
    <row r="868" spans="7:7" x14ac:dyDescent="0.35">
      <c r="G868" s="60"/>
    </row>
    <row r="869" spans="7:7" x14ac:dyDescent="0.35">
      <c r="G869" s="60"/>
    </row>
    <row r="870" spans="7:7" x14ac:dyDescent="0.35">
      <c r="G870" s="60"/>
    </row>
    <row r="871" spans="7:7" x14ac:dyDescent="0.35">
      <c r="G871" s="60"/>
    </row>
    <row r="872" spans="7:7" x14ac:dyDescent="0.35">
      <c r="G872" s="60"/>
    </row>
    <row r="873" spans="7:7" x14ac:dyDescent="0.35">
      <c r="G873" s="60"/>
    </row>
    <row r="874" spans="7:7" x14ac:dyDescent="0.35">
      <c r="G874" s="60"/>
    </row>
    <row r="875" spans="7:7" x14ac:dyDescent="0.35">
      <c r="G875" s="60"/>
    </row>
    <row r="876" spans="7:7" x14ac:dyDescent="0.35">
      <c r="G876" s="60"/>
    </row>
    <row r="877" spans="7:7" x14ac:dyDescent="0.35">
      <c r="G877" s="60"/>
    </row>
    <row r="878" spans="7:7" x14ac:dyDescent="0.35">
      <c r="G878" s="60"/>
    </row>
    <row r="879" spans="7:7" x14ac:dyDescent="0.35">
      <c r="G879" s="60"/>
    </row>
    <row r="880" spans="7:7" x14ac:dyDescent="0.35">
      <c r="G880" s="60"/>
    </row>
    <row r="881" spans="7:7" x14ac:dyDescent="0.35">
      <c r="G881" s="60"/>
    </row>
    <row r="882" spans="7:7" x14ac:dyDescent="0.35">
      <c r="G882" s="60"/>
    </row>
    <row r="883" spans="7:7" x14ac:dyDescent="0.35">
      <c r="G883" s="60"/>
    </row>
    <row r="884" spans="7:7" x14ac:dyDescent="0.35">
      <c r="G884" s="60"/>
    </row>
    <row r="885" spans="7:7" x14ac:dyDescent="0.35">
      <c r="G885" s="60"/>
    </row>
    <row r="886" spans="7:7" x14ac:dyDescent="0.35">
      <c r="G886" s="60"/>
    </row>
    <row r="887" spans="7:7" x14ac:dyDescent="0.35">
      <c r="G887" s="60"/>
    </row>
    <row r="888" spans="7:7" x14ac:dyDescent="0.35">
      <c r="G888" s="60"/>
    </row>
    <row r="889" spans="7:7" x14ac:dyDescent="0.35">
      <c r="G889" s="60"/>
    </row>
    <row r="890" spans="7:7" x14ac:dyDescent="0.35">
      <c r="G890" s="60"/>
    </row>
    <row r="891" spans="7:7" x14ac:dyDescent="0.35">
      <c r="G891" s="60"/>
    </row>
    <row r="892" spans="7:7" x14ac:dyDescent="0.35">
      <c r="G892" s="60"/>
    </row>
    <row r="893" spans="7:7" x14ac:dyDescent="0.35">
      <c r="G893" s="60"/>
    </row>
    <row r="894" spans="7:7" x14ac:dyDescent="0.35">
      <c r="G894" s="60"/>
    </row>
    <row r="895" spans="7:7" x14ac:dyDescent="0.35">
      <c r="G895" s="60"/>
    </row>
    <row r="896" spans="7:7" x14ac:dyDescent="0.35">
      <c r="G896" s="60"/>
    </row>
    <row r="897" spans="7:7" x14ac:dyDescent="0.35">
      <c r="G897" s="60"/>
    </row>
    <row r="898" spans="7:7" x14ac:dyDescent="0.35">
      <c r="G898" s="60"/>
    </row>
    <row r="899" spans="7:7" x14ac:dyDescent="0.35">
      <c r="G899" s="60"/>
    </row>
    <row r="900" spans="7:7" x14ac:dyDescent="0.35">
      <c r="G900" s="60"/>
    </row>
    <row r="901" spans="7:7" x14ac:dyDescent="0.35">
      <c r="G901" s="60"/>
    </row>
    <row r="902" spans="7:7" x14ac:dyDescent="0.35">
      <c r="G902" s="60"/>
    </row>
    <row r="903" spans="7:7" x14ac:dyDescent="0.35">
      <c r="G903" s="60"/>
    </row>
    <row r="904" spans="7:7" x14ac:dyDescent="0.35">
      <c r="G904" s="60"/>
    </row>
    <row r="905" spans="7:7" x14ac:dyDescent="0.35">
      <c r="G905" s="60"/>
    </row>
    <row r="906" spans="7:7" x14ac:dyDescent="0.35">
      <c r="G906" s="60"/>
    </row>
    <row r="907" spans="7:7" x14ac:dyDescent="0.35">
      <c r="G907" s="60"/>
    </row>
    <row r="908" spans="7:7" x14ac:dyDescent="0.35">
      <c r="G908" s="60"/>
    </row>
    <row r="909" spans="7:7" x14ac:dyDescent="0.35">
      <c r="G909" s="60"/>
    </row>
    <row r="910" spans="7:7" x14ac:dyDescent="0.35">
      <c r="G910" s="60"/>
    </row>
    <row r="911" spans="7:7" x14ac:dyDescent="0.35">
      <c r="G911" s="60"/>
    </row>
    <row r="912" spans="7:7" x14ac:dyDescent="0.35">
      <c r="G912" s="60"/>
    </row>
    <row r="913" spans="7:7" x14ac:dyDescent="0.35">
      <c r="G913" s="60"/>
    </row>
    <row r="914" spans="7:7" x14ac:dyDescent="0.35">
      <c r="G914" s="60"/>
    </row>
    <row r="915" spans="7:7" x14ac:dyDescent="0.35">
      <c r="G915" s="60"/>
    </row>
    <row r="916" spans="7:7" x14ac:dyDescent="0.35">
      <c r="G916" s="60"/>
    </row>
    <row r="917" spans="7:7" x14ac:dyDescent="0.35">
      <c r="G917" s="60"/>
    </row>
    <row r="918" spans="7:7" x14ac:dyDescent="0.35">
      <c r="G918" s="60"/>
    </row>
    <row r="919" spans="7:7" x14ac:dyDescent="0.35">
      <c r="G919" s="60"/>
    </row>
    <row r="920" spans="7:7" x14ac:dyDescent="0.35">
      <c r="G920" s="60"/>
    </row>
    <row r="921" spans="7:7" x14ac:dyDescent="0.35">
      <c r="G921" s="60"/>
    </row>
    <row r="922" spans="7:7" x14ac:dyDescent="0.35">
      <c r="G922" s="60"/>
    </row>
    <row r="923" spans="7:7" x14ac:dyDescent="0.35">
      <c r="G923" s="60"/>
    </row>
    <row r="924" spans="7:7" x14ac:dyDescent="0.35">
      <c r="G924" s="60"/>
    </row>
    <row r="925" spans="7:7" x14ac:dyDescent="0.35">
      <c r="G925" s="60"/>
    </row>
    <row r="926" spans="7:7" x14ac:dyDescent="0.35">
      <c r="G926" s="60"/>
    </row>
    <row r="927" spans="7:7" x14ac:dyDescent="0.35">
      <c r="G927" s="60"/>
    </row>
    <row r="928" spans="7:7" x14ac:dyDescent="0.35">
      <c r="G928" s="60"/>
    </row>
    <row r="929" spans="7:7" x14ac:dyDescent="0.35">
      <c r="G929" s="60"/>
    </row>
    <row r="930" spans="7:7" x14ac:dyDescent="0.35">
      <c r="G930" s="60"/>
    </row>
    <row r="931" spans="7:7" x14ac:dyDescent="0.35">
      <c r="G931" s="60"/>
    </row>
    <row r="932" spans="7:7" x14ac:dyDescent="0.35">
      <c r="G932" s="60"/>
    </row>
    <row r="933" spans="7:7" x14ac:dyDescent="0.35">
      <c r="G933" s="60"/>
    </row>
    <row r="934" spans="7:7" x14ac:dyDescent="0.35">
      <c r="G934" s="60"/>
    </row>
    <row r="935" spans="7:7" x14ac:dyDescent="0.35">
      <c r="G935" s="60"/>
    </row>
    <row r="936" spans="7:7" x14ac:dyDescent="0.35">
      <c r="G936" s="60"/>
    </row>
    <row r="937" spans="7:7" x14ac:dyDescent="0.35">
      <c r="G937" s="60"/>
    </row>
    <row r="938" spans="7:7" x14ac:dyDescent="0.35">
      <c r="G938" s="60"/>
    </row>
    <row r="939" spans="7:7" x14ac:dyDescent="0.35">
      <c r="G939" s="60"/>
    </row>
    <row r="940" spans="7:7" x14ac:dyDescent="0.35">
      <c r="G940" s="60"/>
    </row>
    <row r="941" spans="7:7" x14ac:dyDescent="0.35">
      <c r="G941" s="60"/>
    </row>
    <row r="942" spans="7:7" x14ac:dyDescent="0.35">
      <c r="G942" s="60"/>
    </row>
    <row r="943" spans="7:7" x14ac:dyDescent="0.35">
      <c r="G943" s="60"/>
    </row>
    <row r="944" spans="7:7" x14ac:dyDescent="0.35">
      <c r="G944" s="60"/>
    </row>
    <row r="945" spans="7:7" x14ac:dyDescent="0.35">
      <c r="G945" s="60"/>
    </row>
    <row r="946" spans="7:7" x14ac:dyDescent="0.35">
      <c r="G946" s="60"/>
    </row>
    <row r="947" spans="7:7" x14ac:dyDescent="0.35">
      <c r="G947" s="60"/>
    </row>
    <row r="948" spans="7:7" x14ac:dyDescent="0.35">
      <c r="G948" s="60"/>
    </row>
    <row r="949" spans="7:7" x14ac:dyDescent="0.35">
      <c r="G949" s="60"/>
    </row>
    <row r="950" spans="7:7" x14ac:dyDescent="0.35">
      <c r="G950" s="60"/>
    </row>
    <row r="951" spans="7:7" x14ac:dyDescent="0.35">
      <c r="G951" s="60"/>
    </row>
    <row r="952" spans="7:7" x14ac:dyDescent="0.35">
      <c r="G952" s="60"/>
    </row>
    <row r="953" spans="7:7" x14ac:dyDescent="0.35">
      <c r="G953" s="60"/>
    </row>
    <row r="954" spans="7:7" x14ac:dyDescent="0.35">
      <c r="G954" s="60"/>
    </row>
    <row r="955" spans="7:7" x14ac:dyDescent="0.35">
      <c r="G955" s="60"/>
    </row>
    <row r="956" spans="7:7" x14ac:dyDescent="0.35">
      <c r="G956" s="60"/>
    </row>
    <row r="957" spans="7:7" x14ac:dyDescent="0.35">
      <c r="G957" s="60"/>
    </row>
    <row r="958" spans="7:7" x14ac:dyDescent="0.35">
      <c r="G958" s="60"/>
    </row>
    <row r="959" spans="7:7" x14ac:dyDescent="0.35">
      <c r="G959" s="60"/>
    </row>
    <row r="960" spans="7:7" x14ac:dyDescent="0.35">
      <c r="G960" s="60"/>
    </row>
    <row r="961" spans="7:7" x14ac:dyDescent="0.35">
      <c r="G961" s="60"/>
    </row>
    <row r="962" spans="7:7" x14ac:dyDescent="0.35">
      <c r="G962" s="60"/>
    </row>
    <row r="963" spans="7:7" x14ac:dyDescent="0.35">
      <c r="G963" s="60"/>
    </row>
    <row r="964" spans="7:7" x14ac:dyDescent="0.35">
      <c r="G964" s="60"/>
    </row>
    <row r="965" spans="7:7" x14ac:dyDescent="0.35">
      <c r="G965" s="60"/>
    </row>
    <row r="966" spans="7:7" x14ac:dyDescent="0.35">
      <c r="G966" s="60"/>
    </row>
    <row r="967" spans="7:7" x14ac:dyDescent="0.35">
      <c r="G967" s="60"/>
    </row>
    <row r="968" spans="7:7" x14ac:dyDescent="0.35">
      <c r="G968" s="60"/>
    </row>
    <row r="969" spans="7:7" x14ac:dyDescent="0.35">
      <c r="G969" s="60"/>
    </row>
    <row r="970" spans="7:7" x14ac:dyDescent="0.35">
      <c r="G970" s="60"/>
    </row>
    <row r="971" spans="7:7" x14ac:dyDescent="0.35">
      <c r="G971" s="60"/>
    </row>
    <row r="972" spans="7:7" x14ac:dyDescent="0.35">
      <c r="G972" s="60"/>
    </row>
    <row r="973" spans="7:7" x14ac:dyDescent="0.35">
      <c r="G973" s="60"/>
    </row>
    <row r="974" spans="7:7" x14ac:dyDescent="0.35">
      <c r="G974" s="60"/>
    </row>
    <row r="975" spans="7:7" x14ac:dyDescent="0.35">
      <c r="G975" s="60"/>
    </row>
    <row r="976" spans="7:7" x14ac:dyDescent="0.35">
      <c r="G976" s="60"/>
    </row>
    <row r="977" spans="7:7" x14ac:dyDescent="0.35">
      <c r="G977" s="60"/>
    </row>
    <row r="978" spans="7:7" x14ac:dyDescent="0.35">
      <c r="G978" s="60"/>
    </row>
    <row r="979" spans="7:7" x14ac:dyDescent="0.35">
      <c r="G979" s="60"/>
    </row>
    <row r="980" spans="7:7" x14ac:dyDescent="0.35">
      <c r="G980" s="60"/>
    </row>
    <row r="981" spans="7:7" x14ac:dyDescent="0.35">
      <c r="G981" s="60"/>
    </row>
    <row r="982" spans="7:7" x14ac:dyDescent="0.35">
      <c r="G982" s="60"/>
    </row>
    <row r="983" spans="7:7" x14ac:dyDescent="0.35">
      <c r="G983" s="60"/>
    </row>
    <row r="984" spans="7:7" x14ac:dyDescent="0.35">
      <c r="G984" s="60"/>
    </row>
    <row r="985" spans="7:7" x14ac:dyDescent="0.35">
      <c r="G985" s="60"/>
    </row>
    <row r="986" spans="7:7" x14ac:dyDescent="0.35">
      <c r="G986" s="60"/>
    </row>
    <row r="987" spans="7:7" x14ac:dyDescent="0.35">
      <c r="G987" s="60"/>
    </row>
    <row r="988" spans="7:7" x14ac:dyDescent="0.35">
      <c r="G988" s="60"/>
    </row>
    <row r="989" spans="7:7" x14ac:dyDescent="0.35">
      <c r="G989" s="60"/>
    </row>
    <row r="990" spans="7:7" x14ac:dyDescent="0.35">
      <c r="G990" s="60"/>
    </row>
    <row r="991" spans="7:7" x14ac:dyDescent="0.35">
      <c r="G991" s="60"/>
    </row>
    <row r="992" spans="7:7" x14ac:dyDescent="0.35">
      <c r="G992" s="60"/>
    </row>
    <row r="993" spans="7:7" x14ac:dyDescent="0.35">
      <c r="G993" s="60"/>
    </row>
    <row r="994" spans="7:7" x14ac:dyDescent="0.35">
      <c r="G994" s="60"/>
    </row>
    <row r="995" spans="7:7" x14ac:dyDescent="0.35">
      <c r="G995" s="60"/>
    </row>
    <row r="996" spans="7:7" x14ac:dyDescent="0.35">
      <c r="G996" s="60"/>
    </row>
    <row r="997" spans="7:7" x14ac:dyDescent="0.35">
      <c r="G997" s="60"/>
    </row>
    <row r="998" spans="7:7" x14ac:dyDescent="0.35">
      <c r="G998" s="60"/>
    </row>
    <row r="999" spans="7:7" x14ac:dyDescent="0.35">
      <c r="G999" s="60"/>
    </row>
    <row r="1000" spans="7:7" x14ac:dyDescent="0.35">
      <c r="G1000" s="60"/>
    </row>
    <row r="1001" spans="7:7" x14ac:dyDescent="0.35">
      <c r="G1001" s="60"/>
    </row>
    <row r="1002" spans="7:7" x14ac:dyDescent="0.35">
      <c r="G1002" s="60"/>
    </row>
    <row r="1003" spans="7:7" x14ac:dyDescent="0.35">
      <c r="G1003" s="60"/>
    </row>
    <row r="1004" spans="7:7" x14ac:dyDescent="0.35">
      <c r="G1004" s="60"/>
    </row>
    <row r="1005" spans="7:7" x14ac:dyDescent="0.35">
      <c r="G1005" s="60"/>
    </row>
    <row r="1006" spans="7:7" x14ac:dyDescent="0.35">
      <c r="G1006" s="60"/>
    </row>
    <row r="1007" spans="7:7" x14ac:dyDescent="0.35">
      <c r="G1007" s="60"/>
    </row>
    <row r="1008" spans="7:7" x14ac:dyDescent="0.35">
      <c r="G1008" s="60"/>
    </row>
    <row r="1009" spans="7:7" x14ac:dyDescent="0.35">
      <c r="G1009" s="60"/>
    </row>
    <row r="1010" spans="7:7" x14ac:dyDescent="0.35">
      <c r="G1010" s="60"/>
    </row>
    <row r="1011" spans="7:7" x14ac:dyDescent="0.35">
      <c r="G1011" s="60"/>
    </row>
    <row r="1012" spans="7:7" x14ac:dyDescent="0.35">
      <c r="G1012" s="60"/>
    </row>
    <row r="1013" spans="7:7" x14ac:dyDescent="0.35">
      <c r="G1013" s="60"/>
    </row>
    <row r="1014" spans="7:7" x14ac:dyDescent="0.35">
      <c r="G1014" s="60"/>
    </row>
    <row r="1015" spans="7:7" x14ac:dyDescent="0.35">
      <c r="G1015" s="60"/>
    </row>
    <row r="1016" spans="7:7" x14ac:dyDescent="0.35">
      <c r="G1016" s="60"/>
    </row>
    <row r="1017" spans="7:7" x14ac:dyDescent="0.35">
      <c r="G1017" s="60"/>
    </row>
    <row r="1018" spans="7:7" x14ac:dyDescent="0.35">
      <c r="G1018" s="60"/>
    </row>
    <row r="1019" spans="7:7" x14ac:dyDescent="0.35">
      <c r="G1019" s="60"/>
    </row>
    <row r="1020" spans="7:7" x14ac:dyDescent="0.35">
      <c r="G1020" s="60"/>
    </row>
    <row r="1021" spans="7:7" x14ac:dyDescent="0.35">
      <c r="G1021" s="60"/>
    </row>
    <row r="1022" spans="7:7" x14ac:dyDescent="0.35">
      <c r="G1022" s="60"/>
    </row>
    <row r="1023" spans="7:7" x14ac:dyDescent="0.35">
      <c r="G1023" s="60"/>
    </row>
    <row r="1024" spans="7:7" x14ac:dyDescent="0.35">
      <c r="G1024" s="60"/>
    </row>
    <row r="1025" spans="7:7" x14ac:dyDescent="0.35">
      <c r="G1025" s="60"/>
    </row>
    <row r="1026" spans="7:7" x14ac:dyDescent="0.35">
      <c r="G1026" s="60"/>
    </row>
    <row r="1027" spans="7:7" x14ac:dyDescent="0.35">
      <c r="G1027" s="60"/>
    </row>
    <row r="1028" spans="7:7" x14ac:dyDescent="0.35">
      <c r="G1028" s="60"/>
    </row>
    <row r="1029" spans="7:7" x14ac:dyDescent="0.35">
      <c r="G1029" s="60"/>
    </row>
    <row r="1030" spans="7:7" x14ac:dyDescent="0.35">
      <c r="G1030" s="60"/>
    </row>
    <row r="1031" spans="7:7" x14ac:dyDescent="0.35">
      <c r="G1031" s="60"/>
    </row>
    <row r="1032" spans="7:7" x14ac:dyDescent="0.35">
      <c r="G1032" s="60"/>
    </row>
    <row r="1033" spans="7:7" x14ac:dyDescent="0.35">
      <c r="G1033" s="60"/>
    </row>
    <row r="1034" spans="7:7" x14ac:dyDescent="0.35">
      <c r="G1034" s="60"/>
    </row>
    <row r="1035" spans="7:7" x14ac:dyDescent="0.35">
      <c r="G1035" s="60"/>
    </row>
    <row r="1036" spans="7:7" x14ac:dyDescent="0.35">
      <c r="G1036" s="60"/>
    </row>
    <row r="1037" spans="7:7" x14ac:dyDescent="0.35">
      <c r="G1037" s="60"/>
    </row>
    <row r="1038" spans="7:7" x14ac:dyDescent="0.35">
      <c r="G1038" s="60"/>
    </row>
    <row r="1039" spans="7:7" x14ac:dyDescent="0.35">
      <c r="G1039" s="60"/>
    </row>
    <row r="1040" spans="7:7" x14ac:dyDescent="0.35">
      <c r="G1040" s="60"/>
    </row>
    <row r="1041" spans="7:7" x14ac:dyDescent="0.35">
      <c r="G1041" s="60"/>
    </row>
    <row r="1042" spans="7:7" x14ac:dyDescent="0.35">
      <c r="G1042" s="60"/>
    </row>
    <row r="1043" spans="7:7" x14ac:dyDescent="0.35">
      <c r="G1043" s="60"/>
    </row>
    <row r="1044" spans="7:7" x14ac:dyDescent="0.35">
      <c r="G1044" s="60"/>
    </row>
    <row r="1045" spans="7:7" x14ac:dyDescent="0.35">
      <c r="G1045" s="60"/>
    </row>
    <row r="1046" spans="7:7" x14ac:dyDescent="0.35">
      <c r="G1046" s="60"/>
    </row>
    <row r="1047" spans="7:7" x14ac:dyDescent="0.35">
      <c r="G1047" s="60"/>
    </row>
    <row r="1048" spans="7:7" x14ac:dyDescent="0.35">
      <c r="G1048" s="60"/>
    </row>
    <row r="1049" spans="7:7" x14ac:dyDescent="0.35">
      <c r="G1049" s="60"/>
    </row>
    <row r="1050" spans="7:7" x14ac:dyDescent="0.35">
      <c r="G1050" s="60"/>
    </row>
    <row r="1051" spans="7:7" x14ac:dyDescent="0.35">
      <c r="G1051" s="60"/>
    </row>
    <row r="1052" spans="7:7" x14ac:dyDescent="0.35">
      <c r="G1052" s="60"/>
    </row>
    <row r="1053" spans="7:7" x14ac:dyDescent="0.35">
      <c r="G1053" s="60"/>
    </row>
    <row r="1054" spans="7:7" x14ac:dyDescent="0.35">
      <c r="G1054" s="60"/>
    </row>
    <row r="1055" spans="7:7" x14ac:dyDescent="0.35">
      <c r="G1055" s="60"/>
    </row>
    <row r="1056" spans="7:7" x14ac:dyDescent="0.35">
      <c r="G1056" s="60"/>
    </row>
    <row r="1057" spans="7:7" x14ac:dyDescent="0.35">
      <c r="G1057" s="60"/>
    </row>
    <row r="1058" spans="7:7" x14ac:dyDescent="0.35">
      <c r="G1058" s="60"/>
    </row>
    <row r="1059" spans="7:7" x14ac:dyDescent="0.35">
      <c r="G1059" s="60"/>
    </row>
    <row r="1060" spans="7:7" x14ac:dyDescent="0.35">
      <c r="G1060" s="60"/>
    </row>
    <row r="1061" spans="7:7" x14ac:dyDescent="0.35">
      <c r="G1061" s="60"/>
    </row>
    <row r="1062" spans="7:7" x14ac:dyDescent="0.35">
      <c r="G1062" s="60"/>
    </row>
    <row r="1063" spans="7:7" x14ac:dyDescent="0.35">
      <c r="G1063" s="60"/>
    </row>
    <row r="1064" spans="7:7" x14ac:dyDescent="0.35">
      <c r="G1064" s="60"/>
    </row>
    <row r="1065" spans="7:7" x14ac:dyDescent="0.35">
      <c r="G1065" s="60"/>
    </row>
    <row r="1066" spans="7:7" x14ac:dyDescent="0.35">
      <c r="G1066" s="60"/>
    </row>
    <row r="1067" spans="7:7" x14ac:dyDescent="0.35">
      <c r="G1067" s="60"/>
    </row>
    <row r="1068" spans="7:7" x14ac:dyDescent="0.35">
      <c r="G1068" s="60"/>
    </row>
    <row r="1069" spans="7:7" x14ac:dyDescent="0.35">
      <c r="G1069" s="60"/>
    </row>
    <row r="1070" spans="7:7" x14ac:dyDescent="0.35">
      <c r="G1070" s="60"/>
    </row>
    <row r="1071" spans="7:7" x14ac:dyDescent="0.35">
      <c r="G1071" s="60"/>
    </row>
    <row r="1072" spans="7:7" x14ac:dyDescent="0.35">
      <c r="G1072" s="60"/>
    </row>
    <row r="1073" spans="7:7" x14ac:dyDescent="0.35">
      <c r="G1073" s="60"/>
    </row>
    <row r="1074" spans="7:7" x14ac:dyDescent="0.35">
      <c r="G1074" s="60"/>
    </row>
    <row r="1075" spans="7:7" x14ac:dyDescent="0.35">
      <c r="G1075" s="60"/>
    </row>
    <row r="1076" spans="7:7" x14ac:dyDescent="0.35">
      <c r="G1076" s="60"/>
    </row>
    <row r="1077" spans="7:7" x14ac:dyDescent="0.35">
      <c r="G1077" s="60"/>
    </row>
    <row r="1078" spans="7:7" x14ac:dyDescent="0.35">
      <c r="G1078" s="60"/>
    </row>
    <row r="1079" spans="7:7" x14ac:dyDescent="0.35">
      <c r="G1079" s="60"/>
    </row>
    <row r="1080" spans="7:7" x14ac:dyDescent="0.35">
      <c r="G1080" s="60"/>
    </row>
    <row r="1081" spans="7:7" x14ac:dyDescent="0.35">
      <c r="G1081" s="60"/>
    </row>
    <row r="1082" spans="7:7" x14ac:dyDescent="0.35">
      <c r="G1082" s="60"/>
    </row>
    <row r="1083" spans="7:7" x14ac:dyDescent="0.35">
      <c r="G1083" s="60"/>
    </row>
    <row r="1084" spans="7:7" x14ac:dyDescent="0.35">
      <c r="G1084" s="60"/>
    </row>
    <row r="1085" spans="7:7" x14ac:dyDescent="0.35">
      <c r="G1085" s="60"/>
    </row>
    <row r="1086" spans="7:7" x14ac:dyDescent="0.35">
      <c r="G1086" s="60"/>
    </row>
    <row r="1087" spans="7:7" x14ac:dyDescent="0.35">
      <c r="G1087" s="60"/>
    </row>
    <row r="1088" spans="7:7" x14ac:dyDescent="0.35">
      <c r="G1088" s="60"/>
    </row>
    <row r="1089" spans="7:7" x14ac:dyDescent="0.35">
      <c r="G1089" s="60"/>
    </row>
    <row r="1090" spans="7:7" x14ac:dyDescent="0.35">
      <c r="G1090" s="60"/>
    </row>
    <row r="1091" spans="7:7" x14ac:dyDescent="0.35">
      <c r="G1091" s="60"/>
    </row>
    <row r="1092" spans="7:7" x14ac:dyDescent="0.35">
      <c r="G1092" s="60"/>
    </row>
    <row r="1093" spans="7:7" x14ac:dyDescent="0.35">
      <c r="G1093" s="60"/>
    </row>
    <row r="1094" spans="7:7" x14ac:dyDescent="0.35">
      <c r="G1094" s="60"/>
    </row>
    <row r="1095" spans="7:7" x14ac:dyDescent="0.35">
      <c r="G1095" s="60"/>
    </row>
    <row r="1096" spans="7:7" x14ac:dyDescent="0.35">
      <c r="G1096" s="60"/>
    </row>
    <row r="1097" spans="7:7" x14ac:dyDescent="0.35">
      <c r="G1097" s="60"/>
    </row>
    <row r="1098" spans="7:7" x14ac:dyDescent="0.35">
      <c r="G1098" s="60"/>
    </row>
    <row r="1099" spans="7:7" x14ac:dyDescent="0.35">
      <c r="G1099" s="60"/>
    </row>
    <row r="1100" spans="7:7" x14ac:dyDescent="0.35">
      <c r="G1100" s="60"/>
    </row>
    <row r="1101" spans="7:7" x14ac:dyDescent="0.35">
      <c r="G1101" s="60"/>
    </row>
    <row r="1102" spans="7:7" x14ac:dyDescent="0.35">
      <c r="G1102" s="60"/>
    </row>
    <row r="1103" spans="7:7" x14ac:dyDescent="0.35">
      <c r="G1103" s="60"/>
    </row>
    <row r="1104" spans="7:7" x14ac:dyDescent="0.35">
      <c r="G1104" s="60"/>
    </row>
    <row r="1105" spans="7:7" x14ac:dyDescent="0.35">
      <c r="G1105" s="60"/>
    </row>
    <row r="1106" spans="7:7" x14ac:dyDescent="0.35">
      <c r="G1106" s="60"/>
    </row>
    <row r="1107" spans="7:7" x14ac:dyDescent="0.35">
      <c r="G1107" s="60"/>
    </row>
    <row r="1108" spans="7:7" x14ac:dyDescent="0.35">
      <c r="G1108" s="60"/>
    </row>
    <row r="1109" spans="7:7" x14ac:dyDescent="0.35">
      <c r="G1109" s="60"/>
    </row>
    <row r="1110" spans="7:7" x14ac:dyDescent="0.35">
      <c r="G1110" s="60"/>
    </row>
    <row r="1111" spans="7:7" x14ac:dyDescent="0.35">
      <c r="G1111" s="60"/>
    </row>
    <row r="1112" spans="7:7" x14ac:dyDescent="0.35">
      <c r="G1112" s="60"/>
    </row>
    <row r="1113" spans="7:7" x14ac:dyDescent="0.35">
      <c r="G1113" s="60"/>
    </row>
    <row r="1114" spans="7:7" x14ac:dyDescent="0.35">
      <c r="G1114" s="60"/>
    </row>
    <row r="1115" spans="7:7" x14ac:dyDescent="0.35">
      <c r="G1115" s="60"/>
    </row>
    <row r="1116" spans="7:7" x14ac:dyDescent="0.35">
      <c r="G1116" s="60"/>
    </row>
    <row r="1117" spans="7:7" x14ac:dyDescent="0.35">
      <c r="G1117" s="60"/>
    </row>
    <row r="1118" spans="7:7" x14ac:dyDescent="0.35">
      <c r="G1118" s="60"/>
    </row>
    <row r="1119" spans="7:7" x14ac:dyDescent="0.35">
      <c r="G1119" s="60"/>
    </row>
    <row r="1120" spans="7:7" x14ac:dyDescent="0.35">
      <c r="G1120" s="60"/>
    </row>
    <row r="1121" spans="7:7" x14ac:dyDescent="0.35">
      <c r="G1121" s="60"/>
    </row>
    <row r="1122" spans="7:7" x14ac:dyDescent="0.35">
      <c r="G1122" s="60"/>
    </row>
    <row r="1123" spans="7:7" x14ac:dyDescent="0.35">
      <c r="G1123" s="60"/>
    </row>
    <row r="1124" spans="7:7" x14ac:dyDescent="0.35">
      <c r="G1124" s="60"/>
    </row>
    <row r="1125" spans="7:7" x14ac:dyDescent="0.35">
      <c r="G1125" s="60"/>
    </row>
    <row r="1126" spans="7:7" x14ac:dyDescent="0.35">
      <c r="G1126" s="60"/>
    </row>
    <row r="1127" spans="7:7" x14ac:dyDescent="0.35">
      <c r="G1127" s="60"/>
    </row>
    <row r="1128" spans="7:7" x14ac:dyDescent="0.35">
      <c r="G1128" s="60"/>
    </row>
    <row r="1129" spans="7:7" x14ac:dyDescent="0.35">
      <c r="G1129" s="60"/>
    </row>
    <row r="1130" spans="7:7" x14ac:dyDescent="0.35">
      <c r="G1130" s="60"/>
    </row>
    <row r="1131" spans="7:7" x14ac:dyDescent="0.35">
      <c r="G1131" s="60"/>
    </row>
    <row r="1132" spans="7:7" x14ac:dyDescent="0.35">
      <c r="G1132" s="60"/>
    </row>
    <row r="1133" spans="7:7" x14ac:dyDescent="0.35">
      <c r="G1133" s="60"/>
    </row>
    <row r="1134" spans="7:7" x14ac:dyDescent="0.35">
      <c r="G1134" s="60"/>
    </row>
    <row r="1135" spans="7:7" x14ac:dyDescent="0.35">
      <c r="G1135" s="60"/>
    </row>
    <row r="1136" spans="7:7" x14ac:dyDescent="0.35">
      <c r="G1136" s="60"/>
    </row>
    <row r="1137" spans="7:7" x14ac:dyDescent="0.35">
      <c r="G1137" s="60"/>
    </row>
    <row r="1138" spans="7:7" x14ac:dyDescent="0.35">
      <c r="G1138" s="60"/>
    </row>
    <row r="1139" spans="7:7" x14ac:dyDescent="0.35">
      <c r="G1139" s="60"/>
    </row>
    <row r="1140" spans="7:7" x14ac:dyDescent="0.35">
      <c r="G1140" s="60"/>
    </row>
    <row r="1141" spans="7:7" x14ac:dyDescent="0.35">
      <c r="G1141" s="60"/>
    </row>
    <row r="1142" spans="7:7" x14ac:dyDescent="0.35">
      <c r="G1142" s="60"/>
    </row>
    <row r="1143" spans="7:7" x14ac:dyDescent="0.35">
      <c r="G1143" s="60"/>
    </row>
    <row r="1144" spans="7:7" x14ac:dyDescent="0.35">
      <c r="G1144" s="60"/>
    </row>
    <row r="1145" spans="7:7" x14ac:dyDescent="0.35">
      <c r="G1145" s="60"/>
    </row>
    <row r="1146" spans="7:7" x14ac:dyDescent="0.35">
      <c r="G1146" s="60"/>
    </row>
    <row r="1147" spans="7:7" x14ac:dyDescent="0.35">
      <c r="G1147" s="60"/>
    </row>
    <row r="1148" spans="7:7" x14ac:dyDescent="0.35">
      <c r="G1148" s="60"/>
    </row>
    <row r="1149" spans="7:7" x14ac:dyDescent="0.35">
      <c r="G1149" s="60"/>
    </row>
    <row r="1150" spans="7:7" x14ac:dyDescent="0.35">
      <c r="G1150" s="60"/>
    </row>
    <row r="1151" spans="7:7" x14ac:dyDescent="0.35">
      <c r="G1151" s="60"/>
    </row>
    <row r="1152" spans="7:7" x14ac:dyDescent="0.35">
      <c r="G1152" s="60"/>
    </row>
    <row r="1153" spans="7:7" x14ac:dyDescent="0.35">
      <c r="G1153" s="60"/>
    </row>
    <row r="1154" spans="7:7" x14ac:dyDescent="0.35">
      <c r="G1154" s="60"/>
    </row>
    <row r="1155" spans="7:7" x14ac:dyDescent="0.35">
      <c r="G1155" s="60"/>
    </row>
    <row r="1156" spans="7:7" x14ac:dyDescent="0.35">
      <c r="G1156" s="60"/>
    </row>
    <row r="1157" spans="7:7" x14ac:dyDescent="0.35">
      <c r="G1157" s="60"/>
    </row>
    <row r="1158" spans="7:7" x14ac:dyDescent="0.35">
      <c r="G1158" s="60"/>
    </row>
    <row r="1159" spans="7:7" x14ac:dyDescent="0.35">
      <c r="G1159" s="60"/>
    </row>
    <row r="1160" spans="7:7" x14ac:dyDescent="0.35">
      <c r="G1160" s="60"/>
    </row>
    <row r="1161" spans="7:7" x14ac:dyDescent="0.35">
      <c r="G1161" s="60"/>
    </row>
    <row r="1162" spans="7:7" x14ac:dyDescent="0.35">
      <c r="G1162" s="60"/>
    </row>
    <row r="1163" spans="7:7" x14ac:dyDescent="0.35">
      <c r="G1163" s="60"/>
    </row>
    <row r="1164" spans="7:7" x14ac:dyDescent="0.35">
      <c r="G1164" s="60"/>
    </row>
    <row r="1165" spans="7:7" x14ac:dyDescent="0.35">
      <c r="G1165" s="60"/>
    </row>
    <row r="1166" spans="7:7" x14ac:dyDescent="0.35">
      <c r="G1166" s="60"/>
    </row>
    <row r="1167" spans="7:7" x14ac:dyDescent="0.35">
      <c r="G1167" s="60"/>
    </row>
    <row r="1168" spans="7:7" x14ac:dyDescent="0.35">
      <c r="G1168" s="60"/>
    </row>
    <row r="1169" spans="7:7" x14ac:dyDescent="0.35">
      <c r="G1169" s="60"/>
    </row>
    <row r="1170" spans="7:7" x14ac:dyDescent="0.35">
      <c r="G1170" s="60"/>
    </row>
    <row r="1171" spans="7:7" x14ac:dyDescent="0.35">
      <c r="G1171" s="60"/>
    </row>
    <row r="1172" spans="7:7" x14ac:dyDescent="0.35">
      <c r="G1172" s="60"/>
    </row>
    <row r="1173" spans="7:7" x14ac:dyDescent="0.35">
      <c r="G1173" s="60"/>
    </row>
    <row r="1174" spans="7:7" x14ac:dyDescent="0.35">
      <c r="G1174" s="60"/>
    </row>
    <row r="1175" spans="7:7" x14ac:dyDescent="0.35">
      <c r="G1175" s="60"/>
    </row>
    <row r="1176" spans="7:7" x14ac:dyDescent="0.35">
      <c r="G1176" s="60"/>
    </row>
    <row r="1177" spans="7:7" x14ac:dyDescent="0.35">
      <c r="G1177" s="60"/>
    </row>
    <row r="1178" spans="7:7" x14ac:dyDescent="0.35">
      <c r="G1178" s="60"/>
    </row>
    <row r="1179" spans="7:7" x14ac:dyDescent="0.35">
      <c r="G1179" s="60"/>
    </row>
    <row r="1180" spans="7:7" x14ac:dyDescent="0.35">
      <c r="G1180" s="60"/>
    </row>
    <row r="1181" spans="7:7" x14ac:dyDescent="0.35">
      <c r="G1181" s="60"/>
    </row>
    <row r="1182" spans="7:7" x14ac:dyDescent="0.35">
      <c r="G1182" s="60"/>
    </row>
    <row r="1183" spans="7:7" x14ac:dyDescent="0.35">
      <c r="G1183" s="60"/>
    </row>
    <row r="1184" spans="7:7" x14ac:dyDescent="0.35">
      <c r="G1184" s="60"/>
    </row>
    <row r="1185" spans="7:7" x14ac:dyDescent="0.35">
      <c r="G1185" s="60"/>
    </row>
    <row r="1186" spans="7:7" x14ac:dyDescent="0.35">
      <c r="G1186" s="60"/>
    </row>
    <row r="1187" spans="7:7" x14ac:dyDescent="0.35">
      <c r="G1187" s="60"/>
    </row>
    <row r="1188" spans="7:7" x14ac:dyDescent="0.35">
      <c r="G1188" s="60"/>
    </row>
    <row r="1189" spans="7:7" x14ac:dyDescent="0.35">
      <c r="G1189" s="60"/>
    </row>
    <row r="1190" spans="7:7" x14ac:dyDescent="0.35">
      <c r="G1190" s="60"/>
    </row>
    <row r="1191" spans="7:7" x14ac:dyDescent="0.35">
      <c r="G1191" s="60"/>
    </row>
    <row r="1192" spans="7:7" x14ac:dyDescent="0.35">
      <c r="G1192" s="60"/>
    </row>
    <row r="1193" spans="7:7" x14ac:dyDescent="0.35">
      <c r="G1193" s="60"/>
    </row>
    <row r="1194" spans="7:7" x14ac:dyDescent="0.35">
      <c r="G1194" s="60"/>
    </row>
    <row r="1195" spans="7:7" x14ac:dyDescent="0.35">
      <c r="G1195" s="60"/>
    </row>
    <row r="1196" spans="7:7" x14ac:dyDescent="0.35">
      <c r="G1196" s="60"/>
    </row>
    <row r="1197" spans="7:7" x14ac:dyDescent="0.35">
      <c r="G1197" s="60"/>
    </row>
    <row r="1198" spans="7:7" x14ac:dyDescent="0.35">
      <c r="G1198" s="60"/>
    </row>
    <row r="1199" spans="7:7" x14ac:dyDescent="0.35">
      <c r="G1199" s="60"/>
    </row>
    <row r="1200" spans="7:7" x14ac:dyDescent="0.35">
      <c r="G1200" s="60"/>
    </row>
    <row r="1201" spans="7:7" x14ac:dyDescent="0.35">
      <c r="G1201" s="60"/>
    </row>
    <row r="1202" spans="7:7" x14ac:dyDescent="0.35">
      <c r="G1202" s="60"/>
    </row>
    <row r="1203" spans="7:7" x14ac:dyDescent="0.35">
      <c r="G1203" s="60"/>
    </row>
    <row r="1204" spans="7:7" x14ac:dyDescent="0.35">
      <c r="G1204" s="60"/>
    </row>
    <row r="1205" spans="7:7" x14ac:dyDescent="0.35">
      <c r="G1205" s="60"/>
    </row>
    <row r="1206" spans="7:7" x14ac:dyDescent="0.35">
      <c r="G1206" s="60"/>
    </row>
    <row r="1207" spans="7:7" x14ac:dyDescent="0.35">
      <c r="G1207" s="60"/>
    </row>
    <row r="1208" spans="7:7" x14ac:dyDescent="0.35">
      <c r="G1208" s="60"/>
    </row>
    <row r="1209" spans="7:7" x14ac:dyDescent="0.35">
      <c r="G1209" s="60"/>
    </row>
    <row r="1210" spans="7:7" x14ac:dyDescent="0.35">
      <c r="G1210" s="60"/>
    </row>
    <row r="1211" spans="7:7" x14ac:dyDescent="0.35">
      <c r="G1211" s="60"/>
    </row>
    <row r="1212" spans="7:7" x14ac:dyDescent="0.35">
      <c r="G1212" s="60"/>
    </row>
    <row r="1213" spans="7:7" x14ac:dyDescent="0.35">
      <c r="G1213" s="60"/>
    </row>
    <row r="1214" spans="7:7" x14ac:dyDescent="0.35">
      <c r="G1214" s="60"/>
    </row>
    <row r="1215" spans="7:7" x14ac:dyDescent="0.35">
      <c r="G1215" s="60"/>
    </row>
    <row r="1216" spans="7:7" x14ac:dyDescent="0.35">
      <c r="G1216" s="60"/>
    </row>
    <row r="1217" spans="7:7" x14ac:dyDescent="0.35">
      <c r="G1217" s="60"/>
    </row>
    <row r="1218" spans="7:7" x14ac:dyDescent="0.35">
      <c r="G1218" s="60"/>
    </row>
    <row r="1219" spans="7:7" x14ac:dyDescent="0.35">
      <c r="G1219" s="60"/>
    </row>
    <row r="1220" spans="7:7" x14ac:dyDescent="0.35">
      <c r="G1220" s="60"/>
    </row>
    <row r="1221" spans="7:7" x14ac:dyDescent="0.35">
      <c r="G1221" s="60"/>
    </row>
    <row r="1222" spans="7:7" x14ac:dyDescent="0.35">
      <c r="G1222" s="60"/>
    </row>
    <row r="1223" spans="7:7" x14ac:dyDescent="0.35">
      <c r="G1223" s="60"/>
    </row>
    <row r="1224" spans="7:7" x14ac:dyDescent="0.35">
      <c r="G1224" s="60"/>
    </row>
    <row r="1225" spans="7:7" x14ac:dyDescent="0.35">
      <c r="G1225" s="60"/>
    </row>
    <row r="1226" spans="7:7" x14ac:dyDescent="0.35">
      <c r="G1226" s="60"/>
    </row>
    <row r="1227" spans="7:7" x14ac:dyDescent="0.35">
      <c r="G1227" s="60"/>
    </row>
    <row r="1228" spans="7:7" x14ac:dyDescent="0.35">
      <c r="G1228" s="60"/>
    </row>
    <row r="1229" spans="7:7" x14ac:dyDescent="0.35">
      <c r="G1229" s="60"/>
    </row>
    <row r="1230" spans="7:7" x14ac:dyDescent="0.35">
      <c r="G1230" s="60"/>
    </row>
    <row r="1231" spans="7:7" x14ac:dyDescent="0.35">
      <c r="G1231" s="60"/>
    </row>
    <row r="1232" spans="7:7" x14ac:dyDescent="0.35">
      <c r="G1232" s="60"/>
    </row>
    <row r="1233" spans="7:7" x14ac:dyDescent="0.35">
      <c r="G1233" s="60"/>
    </row>
    <row r="1234" spans="7:7" x14ac:dyDescent="0.35">
      <c r="G1234" s="60"/>
    </row>
    <row r="1235" spans="7:7" x14ac:dyDescent="0.35">
      <c r="G1235" s="60"/>
    </row>
    <row r="1236" spans="7:7" x14ac:dyDescent="0.35">
      <c r="G1236" s="60"/>
    </row>
    <row r="1237" spans="7:7" x14ac:dyDescent="0.35">
      <c r="G1237" s="60"/>
    </row>
    <row r="1238" spans="7:7" x14ac:dyDescent="0.35">
      <c r="G1238" s="60"/>
    </row>
    <row r="1239" spans="7:7" x14ac:dyDescent="0.35">
      <c r="G1239" s="60"/>
    </row>
    <row r="1240" spans="7:7" x14ac:dyDescent="0.35">
      <c r="G1240" s="60"/>
    </row>
    <row r="1241" spans="7:7" x14ac:dyDescent="0.35">
      <c r="G1241" s="60"/>
    </row>
    <row r="1242" spans="7:7" x14ac:dyDescent="0.35">
      <c r="G1242" s="60"/>
    </row>
    <row r="1243" spans="7:7" x14ac:dyDescent="0.35">
      <c r="G1243" s="60"/>
    </row>
    <row r="1244" spans="7:7" x14ac:dyDescent="0.35">
      <c r="G1244" s="60"/>
    </row>
    <row r="1245" spans="7:7" x14ac:dyDescent="0.35">
      <c r="G1245" s="60"/>
    </row>
    <row r="1246" spans="7:7" x14ac:dyDescent="0.35">
      <c r="G1246" s="60"/>
    </row>
    <row r="1247" spans="7:7" x14ac:dyDescent="0.35">
      <c r="G1247" s="60"/>
    </row>
    <row r="1248" spans="7:7" x14ac:dyDescent="0.35">
      <c r="G1248" s="60"/>
    </row>
    <row r="1249" spans="7:7" x14ac:dyDescent="0.35">
      <c r="G1249" s="60"/>
    </row>
    <row r="1250" spans="7:7" x14ac:dyDescent="0.35">
      <c r="G1250" s="60"/>
    </row>
    <row r="1251" spans="7:7" x14ac:dyDescent="0.35">
      <c r="G1251" s="60"/>
    </row>
    <row r="1252" spans="7:7" x14ac:dyDescent="0.35">
      <c r="G1252" s="60"/>
    </row>
    <row r="1253" spans="7:7" x14ac:dyDescent="0.35">
      <c r="G1253" s="60"/>
    </row>
    <row r="1254" spans="7:7" x14ac:dyDescent="0.35">
      <c r="G1254" s="60"/>
    </row>
    <row r="1255" spans="7:7" x14ac:dyDescent="0.35">
      <c r="G1255" s="60"/>
    </row>
    <row r="1256" spans="7:7" x14ac:dyDescent="0.35">
      <c r="G1256" s="60"/>
    </row>
    <row r="1257" spans="7:7" x14ac:dyDescent="0.35">
      <c r="G1257" s="60"/>
    </row>
    <row r="1258" spans="7:7" x14ac:dyDescent="0.35">
      <c r="G1258" s="60"/>
    </row>
    <row r="1259" spans="7:7" x14ac:dyDescent="0.35">
      <c r="G1259" s="60"/>
    </row>
    <row r="1260" spans="7:7" x14ac:dyDescent="0.35">
      <c r="G1260" s="60"/>
    </row>
    <row r="1261" spans="7:7" x14ac:dyDescent="0.35">
      <c r="G1261" s="60"/>
    </row>
    <row r="1262" spans="7:7" x14ac:dyDescent="0.35">
      <c r="G1262" s="60"/>
    </row>
    <row r="1263" spans="7:7" x14ac:dyDescent="0.35">
      <c r="G1263" s="60"/>
    </row>
    <row r="1264" spans="7:7" x14ac:dyDescent="0.35">
      <c r="G1264" s="60"/>
    </row>
    <row r="1265" spans="7:7" x14ac:dyDescent="0.35">
      <c r="G1265" s="60"/>
    </row>
    <row r="1266" spans="7:7" x14ac:dyDescent="0.35">
      <c r="G1266" s="60"/>
    </row>
    <row r="1267" spans="7:7" x14ac:dyDescent="0.35">
      <c r="G1267" s="60"/>
    </row>
    <row r="1268" spans="7:7" x14ac:dyDescent="0.35">
      <c r="G1268" s="60"/>
    </row>
    <row r="1269" spans="7:7" x14ac:dyDescent="0.35">
      <c r="G1269" s="60"/>
    </row>
    <row r="1270" spans="7:7" x14ac:dyDescent="0.35">
      <c r="G1270" s="60"/>
    </row>
    <row r="1271" spans="7:7" x14ac:dyDescent="0.35">
      <c r="G1271" s="60"/>
    </row>
    <row r="1272" spans="7:7" x14ac:dyDescent="0.35">
      <c r="G1272" s="60"/>
    </row>
    <row r="1273" spans="7:7" x14ac:dyDescent="0.35">
      <c r="G1273" s="60"/>
    </row>
    <row r="1274" spans="7:7" x14ac:dyDescent="0.35">
      <c r="G1274" s="60"/>
    </row>
    <row r="1275" spans="7:7" x14ac:dyDescent="0.35">
      <c r="G1275" s="60"/>
    </row>
    <row r="1276" spans="7:7" x14ac:dyDescent="0.35">
      <c r="G1276" s="60"/>
    </row>
    <row r="1277" spans="7:7" x14ac:dyDescent="0.35">
      <c r="G1277" s="60"/>
    </row>
    <row r="1278" spans="7:7" x14ac:dyDescent="0.35">
      <c r="G1278" s="60"/>
    </row>
    <row r="1279" spans="7:7" x14ac:dyDescent="0.35">
      <c r="G1279" s="60"/>
    </row>
    <row r="1280" spans="7:7" x14ac:dyDescent="0.35">
      <c r="G1280" s="60"/>
    </row>
    <row r="1281" spans="7:7" x14ac:dyDescent="0.35">
      <c r="G1281" s="60"/>
    </row>
    <row r="1282" spans="7:7" x14ac:dyDescent="0.35">
      <c r="G1282" s="60"/>
    </row>
    <row r="1283" spans="7:7" x14ac:dyDescent="0.35">
      <c r="G1283" s="60"/>
    </row>
    <row r="1284" spans="7:7" x14ac:dyDescent="0.35">
      <c r="G1284" s="60"/>
    </row>
    <row r="1285" spans="7:7" x14ac:dyDescent="0.35">
      <c r="G1285" s="60"/>
    </row>
    <row r="1286" spans="7:7" x14ac:dyDescent="0.35">
      <c r="G1286" s="60"/>
    </row>
    <row r="1287" spans="7:7" x14ac:dyDescent="0.35">
      <c r="G1287" s="60"/>
    </row>
    <row r="1288" spans="7:7" x14ac:dyDescent="0.35">
      <c r="G1288" s="60"/>
    </row>
    <row r="1289" spans="7:7" x14ac:dyDescent="0.35">
      <c r="G1289" s="60"/>
    </row>
    <row r="1290" spans="7:7" x14ac:dyDescent="0.35">
      <c r="G1290" s="60"/>
    </row>
    <row r="1291" spans="7:7" x14ac:dyDescent="0.35">
      <c r="G1291" s="60"/>
    </row>
    <row r="1292" spans="7:7" x14ac:dyDescent="0.35">
      <c r="G1292" s="60"/>
    </row>
    <row r="1293" spans="7:7" x14ac:dyDescent="0.35">
      <c r="G1293" s="60"/>
    </row>
    <row r="1294" spans="7:7" x14ac:dyDescent="0.35">
      <c r="G1294" s="60"/>
    </row>
    <row r="1295" spans="7:7" x14ac:dyDescent="0.35">
      <c r="G1295" s="60"/>
    </row>
    <row r="1296" spans="7:7" x14ac:dyDescent="0.35">
      <c r="G1296" s="60"/>
    </row>
    <row r="1297" spans="7:7" x14ac:dyDescent="0.35">
      <c r="G1297" s="60"/>
    </row>
    <row r="1298" spans="7:7" x14ac:dyDescent="0.35">
      <c r="G1298" s="60"/>
    </row>
    <row r="1299" spans="7:7" x14ac:dyDescent="0.35">
      <c r="G1299" s="60"/>
    </row>
    <row r="1300" spans="7:7" x14ac:dyDescent="0.35">
      <c r="G1300" s="60"/>
    </row>
    <row r="1301" spans="7:7" x14ac:dyDescent="0.35">
      <c r="G1301" s="60"/>
    </row>
    <row r="1302" spans="7:7" x14ac:dyDescent="0.35">
      <c r="G1302" s="60"/>
    </row>
    <row r="1303" spans="7:7" x14ac:dyDescent="0.35">
      <c r="G1303" s="60"/>
    </row>
    <row r="1304" spans="7:7" x14ac:dyDescent="0.35">
      <c r="G1304" s="60"/>
    </row>
    <row r="1305" spans="7:7" x14ac:dyDescent="0.35">
      <c r="G1305" s="60"/>
    </row>
    <row r="1306" spans="7:7" x14ac:dyDescent="0.35">
      <c r="G1306" s="60"/>
    </row>
    <row r="1307" spans="7:7" x14ac:dyDescent="0.35">
      <c r="G1307" s="60"/>
    </row>
    <row r="1308" spans="7:7" x14ac:dyDescent="0.35">
      <c r="G1308" s="60"/>
    </row>
    <row r="1309" spans="7:7" x14ac:dyDescent="0.35">
      <c r="G1309" s="60"/>
    </row>
    <row r="1310" spans="7:7" x14ac:dyDescent="0.35">
      <c r="G1310" s="60"/>
    </row>
    <row r="1311" spans="7:7" x14ac:dyDescent="0.35">
      <c r="G1311" s="60"/>
    </row>
    <row r="1312" spans="7:7" x14ac:dyDescent="0.35">
      <c r="G1312" s="60"/>
    </row>
    <row r="1313" spans="7:7" x14ac:dyDescent="0.35">
      <c r="G1313" s="60"/>
    </row>
    <row r="1314" spans="7:7" x14ac:dyDescent="0.35">
      <c r="G1314" s="60"/>
    </row>
    <row r="1315" spans="7:7" x14ac:dyDescent="0.35">
      <c r="G1315" s="60"/>
    </row>
    <row r="1316" spans="7:7" x14ac:dyDescent="0.35">
      <c r="G1316" s="60"/>
    </row>
    <row r="1317" spans="7:7" x14ac:dyDescent="0.35">
      <c r="G1317" s="60"/>
    </row>
    <row r="1318" spans="7:7" x14ac:dyDescent="0.35">
      <c r="G1318" s="60"/>
    </row>
    <row r="1319" spans="7:7" x14ac:dyDescent="0.35">
      <c r="G1319" s="60"/>
    </row>
    <row r="1320" spans="7:7" x14ac:dyDescent="0.35">
      <c r="G1320" s="60"/>
    </row>
    <row r="1321" spans="7:7" x14ac:dyDescent="0.35">
      <c r="G1321" s="60"/>
    </row>
    <row r="1322" spans="7:7" x14ac:dyDescent="0.35">
      <c r="G1322" s="60"/>
    </row>
    <row r="1323" spans="7:7" x14ac:dyDescent="0.35">
      <c r="G1323" s="60"/>
    </row>
    <row r="1324" spans="7:7" x14ac:dyDescent="0.35">
      <c r="G1324" s="60"/>
    </row>
    <row r="1325" spans="7:7" x14ac:dyDescent="0.35">
      <c r="G1325" s="60"/>
    </row>
    <row r="1326" spans="7:7" x14ac:dyDescent="0.35">
      <c r="G1326" s="60"/>
    </row>
    <row r="1327" spans="7:7" x14ac:dyDescent="0.35">
      <c r="G1327" s="60"/>
    </row>
    <row r="1328" spans="7:7" x14ac:dyDescent="0.35">
      <c r="G1328" s="60"/>
    </row>
    <row r="1329" spans="7:7" x14ac:dyDescent="0.35">
      <c r="G1329" s="60"/>
    </row>
    <row r="1330" spans="7:7" x14ac:dyDescent="0.35">
      <c r="G1330" s="60"/>
    </row>
    <row r="1331" spans="7:7" x14ac:dyDescent="0.35">
      <c r="G1331" s="60"/>
    </row>
    <row r="1332" spans="7:7" x14ac:dyDescent="0.35">
      <c r="G1332" s="60"/>
    </row>
    <row r="1333" spans="7:7" x14ac:dyDescent="0.35">
      <c r="G1333" s="60"/>
    </row>
    <row r="1334" spans="7:7" x14ac:dyDescent="0.35">
      <c r="G1334" s="60"/>
    </row>
    <row r="1335" spans="7:7" x14ac:dyDescent="0.35">
      <c r="G1335" s="60"/>
    </row>
    <row r="1336" spans="7:7" x14ac:dyDescent="0.35">
      <c r="G1336" s="60"/>
    </row>
    <row r="1337" spans="7:7" x14ac:dyDescent="0.35">
      <c r="G1337" s="60"/>
    </row>
    <row r="1338" spans="7:7" x14ac:dyDescent="0.35">
      <c r="G1338" s="60"/>
    </row>
    <row r="1339" spans="7:7" x14ac:dyDescent="0.35">
      <c r="G1339" s="60"/>
    </row>
    <row r="1340" spans="7:7" x14ac:dyDescent="0.35">
      <c r="G1340" s="60"/>
    </row>
    <row r="1341" spans="7:7" x14ac:dyDescent="0.35">
      <c r="G1341" s="60"/>
    </row>
    <row r="1342" spans="7:7" x14ac:dyDescent="0.35">
      <c r="G1342" s="60"/>
    </row>
    <row r="1343" spans="7:7" x14ac:dyDescent="0.35">
      <c r="G1343" s="60"/>
    </row>
    <row r="1344" spans="7:7" x14ac:dyDescent="0.35">
      <c r="G1344" s="60"/>
    </row>
    <row r="1345" spans="7:7" x14ac:dyDescent="0.35">
      <c r="G1345" s="60"/>
    </row>
    <row r="1346" spans="7:7" x14ac:dyDescent="0.35">
      <c r="G1346" s="60"/>
    </row>
    <row r="1347" spans="7:7" x14ac:dyDescent="0.35">
      <c r="G1347" s="60"/>
    </row>
    <row r="1348" spans="7:7" x14ac:dyDescent="0.35">
      <c r="G1348" s="60"/>
    </row>
    <row r="1349" spans="7:7" x14ac:dyDescent="0.35">
      <c r="G1349" s="60"/>
    </row>
    <row r="1350" spans="7:7" x14ac:dyDescent="0.35">
      <c r="G1350" s="60"/>
    </row>
    <row r="1351" spans="7:7" x14ac:dyDescent="0.35">
      <c r="G1351" s="60"/>
    </row>
    <row r="1352" spans="7:7" x14ac:dyDescent="0.35">
      <c r="G1352" s="60"/>
    </row>
    <row r="1353" spans="7:7" x14ac:dyDescent="0.35">
      <c r="G1353" s="60"/>
    </row>
    <row r="1354" spans="7:7" x14ac:dyDescent="0.35">
      <c r="G1354" s="60"/>
    </row>
    <row r="1355" spans="7:7" x14ac:dyDescent="0.35">
      <c r="G1355" s="60"/>
    </row>
    <row r="1356" spans="7:7" x14ac:dyDescent="0.35">
      <c r="G1356" s="60"/>
    </row>
    <row r="1357" spans="7:7" x14ac:dyDescent="0.35">
      <c r="G1357" s="60"/>
    </row>
    <row r="1358" spans="7:7" x14ac:dyDescent="0.35">
      <c r="G1358" s="60"/>
    </row>
    <row r="1359" spans="7:7" x14ac:dyDescent="0.35">
      <c r="G1359" s="60"/>
    </row>
    <row r="1360" spans="7:7" x14ac:dyDescent="0.35">
      <c r="G1360" s="60"/>
    </row>
    <row r="1361" spans="7:7" x14ac:dyDescent="0.35">
      <c r="G1361" s="60"/>
    </row>
    <row r="1362" spans="7:7" x14ac:dyDescent="0.35">
      <c r="G1362" s="60"/>
    </row>
    <row r="1363" spans="7:7" x14ac:dyDescent="0.35">
      <c r="G1363" s="60"/>
    </row>
    <row r="1364" spans="7:7" x14ac:dyDescent="0.35">
      <c r="G1364" s="60"/>
    </row>
    <row r="1365" spans="7:7" x14ac:dyDescent="0.35">
      <c r="G1365" s="60"/>
    </row>
    <row r="1366" spans="7:7" x14ac:dyDescent="0.35">
      <c r="G1366" s="60"/>
    </row>
    <row r="1367" spans="7:7" x14ac:dyDescent="0.35">
      <c r="G1367" s="60"/>
    </row>
    <row r="1368" spans="7:7" x14ac:dyDescent="0.35">
      <c r="G1368" s="60"/>
    </row>
    <row r="1369" spans="7:7" x14ac:dyDescent="0.35">
      <c r="G1369" s="60"/>
    </row>
    <row r="1370" spans="7:7" x14ac:dyDescent="0.35">
      <c r="G1370" s="60"/>
    </row>
    <row r="1371" spans="7:7" x14ac:dyDescent="0.35">
      <c r="G1371" s="60"/>
    </row>
    <row r="1372" spans="7:7" x14ac:dyDescent="0.35">
      <c r="G1372" s="60"/>
    </row>
    <row r="1373" spans="7:7" x14ac:dyDescent="0.35">
      <c r="G1373" s="60"/>
    </row>
    <row r="1374" spans="7:7" x14ac:dyDescent="0.35">
      <c r="G1374" s="60"/>
    </row>
    <row r="1375" spans="7:7" x14ac:dyDescent="0.35">
      <c r="G1375" s="60"/>
    </row>
    <row r="1376" spans="7:7" x14ac:dyDescent="0.35">
      <c r="G1376" s="60"/>
    </row>
    <row r="1377" spans="7:7" x14ac:dyDescent="0.35">
      <c r="G1377" s="60"/>
    </row>
    <row r="1378" spans="7:7" x14ac:dyDescent="0.35">
      <c r="G1378" s="60"/>
    </row>
    <row r="1379" spans="7:7" x14ac:dyDescent="0.35">
      <c r="G1379" s="60"/>
    </row>
    <row r="1380" spans="7:7" x14ac:dyDescent="0.35">
      <c r="G1380" s="60"/>
    </row>
    <row r="1381" spans="7:7" x14ac:dyDescent="0.35">
      <c r="G1381" s="60"/>
    </row>
    <row r="1382" spans="7:7" x14ac:dyDescent="0.35">
      <c r="G1382" s="60"/>
    </row>
    <row r="1383" spans="7:7" x14ac:dyDescent="0.35">
      <c r="G1383" s="60"/>
    </row>
    <row r="1384" spans="7:7" x14ac:dyDescent="0.35">
      <c r="G1384" s="60"/>
    </row>
    <row r="1385" spans="7:7" x14ac:dyDescent="0.35">
      <c r="G1385" s="60"/>
    </row>
    <row r="1386" spans="7:7" x14ac:dyDescent="0.35">
      <c r="G1386" s="60"/>
    </row>
    <row r="1387" spans="7:7" x14ac:dyDescent="0.35">
      <c r="G1387" s="60"/>
    </row>
    <row r="1388" spans="7:7" x14ac:dyDescent="0.35">
      <c r="G1388" s="60"/>
    </row>
    <row r="1389" spans="7:7" x14ac:dyDescent="0.35">
      <c r="G1389" s="60"/>
    </row>
    <row r="1390" spans="7:7" x14ac:dyDescent="0.35">
      <c r="G1390" s="60"/>
    </row>
    <row r="1391" spans="7:7" x14ac:dyDescent="0.35">
      <c r="G1391" s="60"/>
    </row>
    <row r="1392" spans="7:7" x14ac:dyDescent="0.35">
      <c r="G1392" s="60"/>
    </row>
    <row r="1393" spans="7:7" x14ac:dyDescent="0.35">
      <c r="G1393" s="60"/>
    </row>
    <row r="1394" spans="7:7" x14ac:dyDescent="0.35">
      <c r="G1394" s="60"/>
    </row>
    <row r="1395" spans="7:7" x14ac:dyDescent="0.35">
      <c r="G1395" s="60"/>
    </row>
    <row r="1396" spans="7:7" x14ac:dyDescent="0.35">
      <c r="G1396" s="60"/>
    </row>
    <row r="1397" spans="7:7" x14ac:dyDescent="0.35">
      <c r="G1397" s="60"/>
    </row>
    <row r="1398" spans="7:7" x14ac:dyDescent="0.35">
      <c r="G1398" s="60"/>
    </row>
    <row r="1399" spans="7:7" x14ac:dyDescent="0.35">
      <c r="G1399" s="60"/>
    </row>
    <row r="1400" spans="7:7" x14ac:dyDescent="0.35">
      <c r="G1400" s="60"/>
    </row>
    <row r="1401" spans="7:7" x14ac:dyDescent="0.35">
      <c r="G1401" s="60"/>
    </row>
    <row r="1402" spans="7:7" x14ac:dyDescent="0.35">
      <c r="G1402" s="60"/>
    </row>
    <row r="1403" spans="7:7" x14ac:dyDescent="0.35">
      <c r="G1403" s="60"/>
    </row>
    <row r="1404" spans="7:7" x14ac:dyDescent="0.35">
      <c r="G1404" s="60"/>
    </row>
    <row r="1405" spans="7:7" x14ac:dyDescent="0.35">
      <c r="G1405" s="60"/>
    </row>
    <row r="1406" spans="7:7" x14ac:dyDescent="0.35">
      <c r="G1406" s="60"/>
    </row>
    <row r="1407" spans="7:7" x14ac:dyDescent="0.35">
      <c r="G1407" s="60"/>
    </row>
    <row r="1408" spans="7:7" x14ac:dyDescent="0.35">
      <c r="G1408" s="60"/>
    </row>
    <row r="1409" spans="7:7" x14ac:dyDescent="0.35">
      <c r="G1409" s="60"/>
    </row>
    <row r="1410" spans="7:7" x14ac:dyDescent="0.35">
      <c r="G1410" s="60"/>
    </row>
    <row r="1411" spans="7:7" x14ac:dyDescent="0.35">
      <c r="G1411" s="60"/>
    </row>
    <row r="1412" spans="7:7" x14ac:dyDescent="0.35">
      <c r="G1412" s="60"/>
    </row>
    <row r="1413" spans="7:7" x14ac:dyDescent="0.35">
      <c r="G1413" s="60"/>
    </row>
    <row r="1414" spans="7:7" x14ac:dyDescent="0.35">
      <c r="G1414" s="60"/>
    </row>
    <row r="1415" spans="7:7" x14ac:dyDescent="0.35">
      <c r="G1415" s="60"/>
    </row>
    <row r="1416" spans="7:7" x14ac:dyDescent="0.35">
      <c r="G1416" s="60"/>
    </row>
    <row r="1417" spans="7:7" x14ac:dyDescent="0.35">
      <c r="G1417" s="60"/>
    </row>
    <row r="1418" spans="7:7" x14ac:dyDescent="0.35">
      <c r="G1418" s="60"/>
    </row>
    <row r="1419" spans="7:7" x14ac:dyDescent="0.35">
      <c r="G1419" s="60"/>
    </row>
    <row r="1420" spans="7:7" x14ac:dyDescent="0.35">
      <c r="G1420" s="60"/>
    </row>
    <row r="1421" spans="7:7" x14ac:dyDescent="0.35">
      <c r="G1421" s="60"/>
    </row>
    <row r="1422" spans="7:7" x14ac:dyDescent="0.35">
      <c r="G1422" s="60"/>
    </row>
    <row r="1423" spans="7:7" x14ac:dyDescent="0.35">
      <c r="G1423" s="60"/>
    </row>
    <row r="1424" spans="7:7" x14ac:dyDescent="0.35">
      <c r="G1424" s="60"/>
    </row>
    <row r="1425" spans="7:7" x14ac:dyDescent="0.35">
      <c r="G1425" s="60"/>
    </row>
    <row r="1426" spans="7:7" x14ac:dyDescent="0.35">
      <c r="G1426" s="60"/>
    </row>
    <row r="1427" spans="7:7" x14ac:dyDescent="0.35">
      <c r="G1427" s="60"/>
    </row>
    <row r="1428" spans="7:7" x14ac:dyDescent="0.35">
      <c r="G1428" s="60"/>
    </row>
    <row r="1429" spans="7:7" x14ac:dyDescent="0.35">
      <c r="G1429" s="60"/>
    </row>
    <row r="1430" spans="7:7" x14ac:dyDescent="0.35">
      <c r="G1430" s="60"/>
    </row>
    <row r="1431" spans="7:7" x14ac:dyDescent="0.35">
      <c r="G1431" s="60"/>
    </row>
    <row r="1432" spans="7:7" x14ac:dyDescent="0.35">
      <c r="G1432" s="60"/>
    </row>
    <row r="1433" spans="7:7" x14ac:dyDescent="0.35">
      <c r="G1433" s="60"/>
    </row>
    <row r="1434" spans="7:7" x14ac:dyDescent="0.35">
      <c r="G1434" s="60"/>
    </row>
    <row r="1435" spans="7:7" x14ac:dyDescent="0.35">
      <c r="G1435" s="60"/>
    </row>
    <row r="1436" spans="7:7" x14ac:dyDescent="0.35">
      <c r="G1436" s="60"/>
    </row>
    <row r="1437" spans="7:7" x14ac:dyDescent="0.35">
      <c r="G1437" s="60"/>
    </row>
    <row r="1438" spans="7:7" x14ac:dyDescent="0.35">
      <c r="G1438" s="60"/>
    </row>
    <row r="1439" spans="7:7" x14ac:dyDescent="0.35">
      <c r="G1439" s="60"/>
    </row>
    <row r="1440" spans="7:7" x14ac:dyDescent="0.35">
      <c r="G1440" s="60"/>
    </row>
    <row r="1441" spans="7:7" x14ac:dyDescent="0.35">
      <c r="G1441" s="60"/>
    </row>
    <row r="1442" spans="7:7" x14ac:dyDescent="0.35">
      <c r="G1442" s="60"/>
    </row>
    <row r="1443" spans="7:7" x14ac:dyDescent="0.35">
      <c r="G1443" s="60"/>
    </row>
    <row r="1444" spans="7:7" x14ac:dyDescent="0.35">
      <c r="G1444" s="60"/>
    </row>
    <row r="1445" spans="7:7" x14ac:dyDescent="0.35">
      <c r="G1445" s="60"/>
    </row>
    <row r="1446" spans="7:7" x14ac:dyDescent="0.35">
      <c r="G1446" s="60"/>
    </row>
    <row r="1447" spans="7:7" x14ac:dyDescent="0.35">
      <c r="G1447" s="60"/>
    </row>
    <row r="1448" spans="7:7" x14ac:dyDescent="0.35">
      <c r="G1448" s="60"/>
    </row>
    <row r="1449" spans="7:7" x14ac:dyDescent="0.35">
      <c r="G1449" s="60"/>
    </row>
    <row r="1450" spans="7:7" x14ac:dyDescent="0.35">
      <c r="G1450" s="60"/>
    </row>
    <row r="1451" spans="7:7" x14ac:dyDescent="0.35">
      <c r="G1451" s="60"/>
    </row>
    <row r="1452" spans="7:7" x14ac:dyDescent="0.35">
      <c r="G1452" s="60"/>
    </row>
    <row r="1453" spans="7:7" x14ac:dyDescent="0.35">
      <c r="G1453" s="60"/>
    </row>
    <row r="1454" spans="7:7" x14ac:dyDescent="0.35">
      <c r="G1454" s="60"/>
    </row>
    <row r="1455" spans="7:7" x14ac:dyDescent="0.35">
      <c r="G1455" s="60"/>
    </row>
    <row r="1456" spans="7:7" x14ac:dyDescent="0.35">
      <c r="G1456" s="60"/>
    </row>
    <row r="1457" spans="7:7" x14ac:dyDescent="0.35">
      <c r="G1457" s="60"/>
    </row>
    <row r="1458" spans="7:7" x14ac:dyDescent="0.35">
      <c r="G1458" s="60"/>
    </row>
    <row r="1459" spans="7:7" x14ac:dyDescent="0.35">
      <c r="G1459" s="60"/>
    </row>
    <row r="1460" spans="7:7" x14ac:dyDescent="0.35">
      <c r="G1460" s="60"/>
    </row>
    <row r="1461" spans="7:7" x14ac:dyDescent="0.35">
      <c r="G1461" s="60"/>
    </row>
    <row r="1462" spans="7:7" x14ac:dyDescent="0.35">
      <c r="G1462" s="60"/>
    </row>
    <row r="1463" spans="7:7" x14ac:dyDescent="0.35">
      <c r="G1463" s="60"/>
    </row>
    <row r="1464" spans="7:7" x14ac:dyDescent="0.35">
      <c r="G1464" s="60"/>
    </row>
    <row r="1465" spans="7:7" x14ac:dyDescent="0.35">
      <c r="G1465" s="60"/>
    </row>
    <row r="1466" spans="7:7" x14ac:dyDescent="0.35">
      <c r="G1466" s="60"/>
    </row>
    <row r="1467" spans="7:7" x14ac:dyDescent="0.35">
      <c r="G1467" s="60"/>
    </row>
    <row r="1468" spans="7:7" x14ac:dyDescent="0.35">
      <c r="G1468" s="60"/>
    </row>
    <row r="1469" spans="7:7" x14ac:dyDescent="0.35">
      <c r="G1469" s="60"/>
    </row>
    <row r="1470" spans="7:7" x14ac:dyDescent="0.35">
      <c r="G1470" s="60"/>
    </row>
    <row r="1471" spans="7:7" x14ac:dyDescent="0.35">
      <c r="G1471" s="60"/>
    </row>
    <row r="1472" spans="7:7" x14ac:dyDescent="0.35">
      <c r="G1472" s="60"/>
    </row>
    <row r="1473" spans="7:7" x14ac:dyDescent="0.35">
      <c r="G1473" s="60"/>
    </row>
    <row r="1474" spans="7:7" x14ac:dyDescent="0.35">
      <c r="G1474" s="60"/>
    </row>
    <row r="1475" spans="7:7" x14ac:dyDescent="0.35">
      <c r="G1475" s="60"/>
    </row>
    <row r="1476" spans="7:7" x14ac:dyDescent="0.35">
      <c r="G1476" s="60"/>
    </row>
    <row r="1477" spans="7:7" x14ac:dyDescent="0.35">
      <c r="G1477" s="60"/>
    </row>
    <row r="1478" spans="7:7" x14ac:dyDescent="0.35">
      <c r="G1478" s="60"/>
    </row>
    <row r="1479" spans="7:7" x14ac:dyDescent="0.35">
      <c r="G1479" s="60"/>
    </row>
    <row r="1480" spans="7:7" x14ac:dyDescent="0.35">
      <c r="G1480" s="60"/>
    </row>
    <row r="1481" spans="7:7" x14ac:dyDescent="0.35">
      <c r="G1481" s="60"/>
    </row>
    <row r="1482" spans="7:7" x14ac:dyDescent="0.35">
      <c r="G1482" s="60"/>
    </row>
    <row r="1483" spans="7:7" x14ac:dyDescent="0.35">
      <c r="G1483" s="60"/>
    </row>
    <row r="1484" spans="7:7" x14ac:dyDescent="0.35">
      <c r="G1484" s="60"/>
    </row>
    <row r="1485" spans="7:7" x14ac:dyDescent="0.35">
      <c r="G1485" s="60"/>
    </row>
    <row r="1486" spans="7:7" x14ac:dyDescent="0.35">
      <c r="G1486" s="60"/>
    </row>
    <row r="1487" spans="7:7" x14ac:dyDescent="0.35">
      <c r="G1487" s="60"/>
    </row>
    <row r="1488" spans="7:7" x14ac:dyDescent="0.35">
      <c r="G1488" s="60"/>
    </row>
    <row r="1489" spans="7:7" x14ac:dyDescent="0.35">
      <c r="G1489" s="60"/>
    </row>
    <row r="1490" spans="7:7" x14ac:dyDescent="0.35">
      <c r="G1490" s="60"/>
    </row>
    <row r="1491" spans="7:7" x14ac:dyDescent="0.35">
      <c r="G1491" s="60"/>
    </row>
    <row r="1492" spans="7:7" x14ac:dyDescent="0.35">
      <c r="G1492" s="60"/>
    </row>
    <row r="1493" spans="7:7" x14ac:dyDescent="0.35">
      <c r="G1493" s="60"/>
    </row>
    <row r="1494" spans="7:7" x14ac:dyDescent="0.35">
      <c r="G1494" s="60"/>
    </row>
    <row r="1495" spans="7:7" x14ac:dyDescent="0.35">
      <c r="G1495" s="60"/>
    </row>
    <row r="1496" spans="7:7" x14ac:dyDescent="0.35">
      <c r="G1496" s="60"/>
    </row>
    <row r="1497" spans="7:7" x14ac:dyDescent="0.35">
      <c r="G1497" s="60"/>
    </row>
    <row r="1498" spans="7:7" x14ac:dyDescent="0.35">
      <c r="G1498" s="60"/>
    </row>
    <row r="1499" spans="7:7" x14ac:dyDescent="0.35">
      <c r="G1499" s="60"/>
    </row>
    <row r="1500" spans="7:7" x14ac:dyDescent="0.35">
      <c r="G1500" s="60"/>
    </row>
    <row r="1501" spans="7:7" x14ac:dyDescent="0.35">
      <c r="G1501" s="60"/>
    </row>
    <row r="1502" spans="7:7" x14ac:dyDescent="0.35">
      <c r="G1502" s="60"/>
    </row>
    <row r="1503" spans="7:7" x14ac:dyDescent="0.35">
      <c r="G1503" s="60"/>
    </row>
    <row r="1504" spans="7:7" x14ac:dyDescent="0.35">
      <c r="G1504" s="60"/>
    </row>
    <row r="1505" spans="7:7" x14ac:dyDescent="0.35">
      <c r="G1505" s="60"/>
    </row>
    <row r="1506" spans="7:7" x14ac:dyDescent="0.35">
      <c r="G1506" s="60"/>
    </row>
    <row r="1507" spans="7:7" x14ac:dyDescent="0.35">
      <c r="G1507" s="60"/>
    </row>
    <row r="1508" spans="7:7" x14ac:dyDescent="0.35">
      <c r="G1508" s="60"/>
    </row>
    <row r="1509" spans="7:7" x14ac:dyDescent="0.35">
      <c r="G1509" s="60"/>
    </row>
    <row r="1510" spans="7:7" x14ac:dyDescent="0.35">
      <c r="G1510" s="60"/>
    </row>
    <row r="1511" spans="7:7" x14ac:dyDescent="0.35">
      <c r="G1511" s="60"/>
    </row>
    <row r="1512" spans="7:7" x14ac:dyDescent="0.35">
      <c r="G1512" s="60"/>
    </row>
    <row r="1513" spans="7:7" x14ac:dyDescent="0.35">
      <c r="G1513" s="60"/>
    </row>
    <row r="1514" spans="7:7" x14ac:dyDescent="0.35">
      <c r="G1514" s="60"/>
    </row>
    <row r="1515" spans="7:7" x14ac:dyDescent="0.35">
      <c r="G1515" s="60"/>
    </row>
    <row r="1516" spans="7:7" x14ac:dyDescent="0.35">
      <c r="G1516" s="60"/>
    </row>
    <row r="1517" spans="7:7" x14ac:dyDescent="0.35">
      <c r="G1517" s="60"/>
    </row>
    <row r="1518" spans="7:7" x14ac:dyDescent="0.35">
      <c r="G1518" s="60"/>
    </row>
    <row r="1519" spans="7:7" x14ac:dyDescent="0.35">
      <c r="G1519" s="60"/>
    </row>
    <row r="1520" spans="7:7" x14ac:dyDescent="0.35">
      <c r="G1520" s="60"/>
    </row>
    <row r="1521" spans="7:7" x14ac:dyDescent="0.35">
      <c r="G1521" s="60"/>
    </row>
    <row r="1522" spans="7:7" x14ac:dyDescent="0.35">
      <c r="G1522" s="60"/>
    </row>
    <row r="1523" spans="7:7" x14ac:dyDescent="0.35">
      <c r="G1523" s="60"/>
    </row>
    <row r="1524" spans="7:7" x14ac:dyDescent="0.35">
      <c r="G1524" s="60"/>
    </row>
    <row r="1525" spans="7:7" x14ac:dyDescent="0.35">
      <c r="G1525" s="60"/>
    </row>
    <row r="1526" spans="7:7" x14ac:dyDescent="0.35">
      <c r="G1526" s="60"/>
    </row>
    <row r="1527" spans="7:7" x14ac:dyDescent="0.35">
      <c r="G1527" s="60"/>
    </row>
    <row r="1528" spans="7:7" x14ac:dyDescent="0.35">
      <c r="G1528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d18O_foram</vt:lpstr>
      <vt:lpstr>d18O_bulk</vt:lpstr>
      <vt:lpstr>d18O_shell</vt:lpstr>
      <vt:lpstr>clumped</vt:lpstr>
      <vt:lpstr>d18O_paleosol</vt:lpstr>
      <vt:lpstr>TEX86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Nolan</dc:creator>
  <cp:lastModifiedBy>Rhiannon Nolan</cp:lastModifiedBy>
  <dcterms:created xsi:type="dcterms:W3CDTF">2026-04-01T19:07:46Z</dcterms:created>
  <dcterms:modified xsi:type="dcterms:W3CDTF">2026-04-01T22:18:14Z</dcterms:modified>
</cp:coreProperties>
</file>