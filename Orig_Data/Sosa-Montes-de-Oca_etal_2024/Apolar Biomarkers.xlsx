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k19006/Library/CloudStorage/OneDrive-UniversityofBristol/Desktop/CLAUDIA 04-2022/PAPERS WORKING ON/Apolar fraction USA KPg/LAB/"/>
    </mc:Choice>
  </mc:AlternateContent>
  <xr:revisionPtr revIDLastSave="0" documentId="13_ncr:1_{7E6B6CC8-8717-C248-B874-4C33B7F5DE88}" xr6:coauthVersionLast="47" xr6:coauthVersionMax="47" xr10:uidLastSave="{00000000-0000-0000-0000-000000000000}"/>
  <bookViews>
    <workbookView xWindow="0" yWindow="760" windowWidth="34560" windowHeight="20100" activeTab="2" xr2:uid="{00000000-000D-0000-FFFF-FFFF00000000}"/>
  </bookViews>
  <sheets>
    <sheet name="n-Alkanes" sheetId="2" r:id="rId1"/>
    <sheet name="Hopanes" sheetId="8" r:id="rId2"/>
    <sheet name="Steranes" sheetId="5" r:id="rId3"/>
  </sheets>
  <definedNames>
    <definedName name="_xlnm.Print_Area" localSheetId="0">'n-Alkanes'!$A$1:$EL$66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E30" i="2" l="1"/>
  <c r="DE31" i="2"/>
  <c r="DE36" i="2"/>
  <c r="DE37" i="2"/>
  <c r="DE38" i="2"/>
  <c r="DE39" i="2"/>
  <c r="DE41" i="2"/>
  <c r="DE43" i="2"/>
  <c r="BG45" i="5"/>
  <c r="BG55" i="5"/>
  <c r="BG57" i="5"/>
  <c r="BF6" i="5"/>
  <c r="BG6" i="5" s="1"/>
  <c r="BF15" i="5"/>
  <c r="BG15" i="5" s="1"/>
  <c r="BF16" i="5"/>
  <c r="BG16" i="5" s="1"/>
  <c r="BF26" i="5"/>
  <c r="BG26" i="5" s="1"/>
  <c r="BF45" i="5"/>
  <c r="BF55" i="5"/>
  <c r="BF57" i="5"/>
  <c r="BF61" i="5"/>
  <c r="BG61" i="5" s="1"/>
  <c r="BF64" i="5"/>
  <c r="BG64" i="5" s="1"/>
  <c r="AY8" i="5"/>
  <c r="AZ8" i="5" s="1"/>
  <c r="AY18" i="5"/>
  <c r="AZ18" i="5" s="1"/>
  <c r="AY28" i="5"/>
  <c r="AZ28" i="5" s="1"/>
  <c r="AT47" i="8"/>
  <c r="BQ36" i="5"/>
  <c r="BP36" i="5"/>
  <c r="BO36" i="5"/>
  <c r="BN36" i="5"/>
  <c r="BM36" i="5"/>
  <c r="AQ36" i="5"/>
  <c r="BR36" i="5" s="1"/>
  <c r="Z36" i="5"/>
  <c r="P36" i="5"/>
  <c r="L36" i="5"/>
  <c r="BD36" i="5" s="1"/>
  <c r="BE36" i="5" s="1"/>
  <c r="BF36" i="5" s="1"/>
  <c r="BG36" i="5" s="1"/>
  <c r="AU47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23" i="8"/>
  <c r="BB24" i="8"/>
  <c r="BB25" i="8"/>
  <c r="BB26" i="8"/>
  <c r="BB27" i="8"/>
  <c r="BB28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R34" i="8"/>
  <c r="AS34" i="8" s="1"/>
  <c r="AU34" i="8" s="1"/>
  <c r="AP26" i="8"/>
  <c r="AP27" i="8"/>
  <c r="BC27" i="8" s="1"/>
  <c r="AP28" i="8"/>
  <c r="BC28" i="8" s="1"/>
  <c r="K43" i="8"/>
  <c r="O43" i="8"/>
  <c r="AO43" i="8"/>
  <c r="AP43" i="8"/>
  <c r="AV43" i="8"/>
  <c r="AW43" i="8"/>
  <c r="AX43" i="8"/>
  <c r="AY43" i="8"/>
  <c r="AZ43" i="8"/>
  <c r="BA43" i="8"/>
  <c r="BB43" i="8"/>
  <c r="AP12" i="8"/>
  <c r="BC12" i="8" s="1"/>
  <c r="AP13" i="8"/>
  <c r="BC13" i="8" s="1"/>
  <c r="K36" i="8"/>
  <c r="O36" i="8"/>
  <c r="AO36" i="8"/>
  <c r="AP36" i="8"/>
  <c r="BC36" i="8" s="1"/>
  <c r="AV36" i="8"/>
  <c r="AW36" i="8"/>
  <c r="AX36" i="8"/>
  <c r="AY36" i="8"/>
  <c r="AZ36" i="8"/>
  <c r="BA36" i="8"/>
  <c r="BB36" i="8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6" i="2"/>
  <c r="DJ37" i="2"/>
  <c r="DJ38" i="2"/>
  <c r="DJ39" i="2"/>
  <c r="DJ41" i="2"/>
  <c r="DJ43" i="2"/>
  <c r="DJ44" i="2"/>
  <c r="DJ46" i="2"/>
  <c r="DJ47" i="2"/>
  <c r="DJ48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6" i="2"/>
  <c r="DI37" i="2"/>
  <c r="DI38" i="2"/>
  <c r="DI39" i="2"/>
  <c r="DI41" i="2"/>
  <c r="DI43" i="2"/>
  <c r="DI44" i="2"/>
  <c r="DI46" i="2"/>
  <c r="DI47" i="2"/>
  <c r="DI48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H6" i="2"/>
  <c r="DH8" i="2"/>
  <c r="DH9" i="2"/>
  <c r="DH10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8" i="2"/>
  <c r="DH39" i="2"/>
  <c r="DH41" i="2"/>
  <c r="DH43" i="2"/>
  <c r="DH44" i="2"/>
  <c r="DH46" i="2"/>
  <c r="DH47" i="2"/>
  <c r="DH48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G63" i="2"/>
  <c r="DG6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31" i="2"/>
  <c r="DF32" i="2"/>
  <c r="DF34" i="2"/>
  <c r="DF35" i="2"/>
  <c r="DF36" i="2"/>
  <c r="DF37" i="2"/>
  <c r="DF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51" i="2"/>
  <c r="DF52" i="2"/>
  <c r="DF53" i="2"/>
  <c r="DF54" i="2"/>
  <c r="DF55" i="2"/>
  <c r="DF56" i="2"/>
  <c r="DF57" i="2"/>
  <c r="DF58" i="2"/>
  <c r="DF59" i="2"/>
  <c r="DF60" i="2"/>
  <c r="DF61" i="2"/>
  <c r="DF62" i="2"/>
  <c r="DF63" i="2"/>
  <c r="DF64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44" i="2"/>
  <c r="DE45" i="2"/>
  <c r="DE46" i="2"/>
  <c r="DE47" i="2"/>
  <c r="DE48" i="2"/>
  <c r="DE49" i="2"/>
  <c r="DE50" i="2"/>
  <c r="DE51" i="2"/>
  <c r="DE52" i="2"/>
  <c r="DE53" i="2"/>
  <c r="DE54" i="2"/>
  <c r="DE55" i="2"/>
  <c r="DE56" i="2"/>
  <c r="DE57" i="2"/>
  <c r="DE58" i="2"/>
  <c r="DE59" i="2"/>
  <c r="DE60" i="2"/>
  <c r="DE61" i="2"/>
  <c r="DE62" i="2"/>
  <c r="DE63" i="2"/>
  <c r="DE6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P29" i="2"/>
  <c r="CO5" i="2"/>
  <c r="CP5" i="2" s="1"/>
  <c r="CO6" i="2"/>
  <c r="CP6" i="2" s="1"/>
  <c r="CO7" i="2"/>
  <c r="CP7" i="2" s="1"/>
  <c r="CO8" i="2"/>
  <c r="CP8" i="2" s="1"/>
  <c r="CO9" i="2"/>
  <c r="CP9" i="2" s="1"/>
  <c r="CO10" i="2"/>
  <c r="CP10" i="2" s="1"/>
  <c r="CO11" i="2"/>
  <c r="CP11" i="2" s="1"/>
  <c r="CO12" i="2"/>
  <c r="CP12" i="2" s="1"/>
  <c r="CO13" i="2"/>
  <c r="CP13" i="2" s="1"/>
  <c r="CO14" i="2"/>
  <c r="CP14" i="2" s="1"/>
  <c r="CO15" i="2"/>
  <c r="CP15" i="2" s="1"/>
  <c r="CO16" i="2"/>
  <c r="CP16" i="2" s="1"/>
  <c r="CO17" i="2"/>
  <c r="CP17" i="2" s="1"/>
  <c r="CO18" i="2"/>
  <c r="CP18" i="2" s="1"/>
  <c r="CO19" i="2"/>
  <c r="CP19" i="2" s="1"/>
  <c r="CO20" i="2"/>
  <c r="CP20" i="2" s="1"/>
  <c r="CO21" i="2"/>
  <c r="CP21" i="2" s="1"/>
  <c r="CO22" i="2"/>
  <c r="CP22" i="2" s="1"/>
  <c r="CO23" i="2"/>
  <c r="CP23" i="2" s="1"/>
  <c r="CO24" i="2"/>
  <c r="CP24" i="2" s="1"/>
  <c r="CO25" i="2"/>
  <c r="CP25" i="2" s="1"/>
  <c r="CO26" i="2"/>
  <c r="CP26" i="2" s="1"/>
  <c r="CO27" i="2"/>
  <c r="CP27" i="2" s="1"/>
  <c r="CO28" i="2"/>
  <c r="CP28" i="2" s="1"/>
  <c r="CO29" i="2"/>
  <c r="CO30" i="2"/>
  <c r="CP30" i="2" s="1"/>
  <c r="CO31" i="2"/>
  <c r="CP31" i="2" s="1"/>
  <c r="CO32" i="2"/>
  <c r="CP32" i="2" s="1"/>
  <c r="CO34" i="2"/>
  <c r="CP34" i="2" s="1"/>
  <c r="CO35" i="2"/>
  <c r="CP35" i="2" s="1"/>
  <c r="CO36" i="2"/>
  <c r="CP36" i="2" s="1"/>
  <c r="CO37" i="2"/>
  <c r="CP37" i="2" s="1"/>
  <c r="CO38" i="2"/>
  <c r="CP38" i="2" s="1"/>
  <c r="CO39" i="2"/>
  <c r="CP39" i="2" s="1"/>
  <c r="CO40" i="2"/>
  <c r="CP40" i="2" s="1"/>
  <c r="CO41" i="2"/>
  <c r="CP41" i="2" s="1"/>
  <c r="CO42" i="2"/>
  <c r="CP42" i="2" s="1"/>
  <c r="CO43" i="2"/>
  <c r="CP43" i="2" s="1"/>
  <c r="CO44" i="2"/>
  <c r="CP44" i="2" s="1"/>
  <c r="CO45" i="2"/>
  <c r="CP45" i="2" s="1"/>
  <c r="CO46" i="2"/>
  <c r="CP46" i="2" s="1"/>
  <c r="CO47" i="2"/>
  <c r="CP47" i="2" s="1"/>
  <c r="CO48" i="2"/>
  <c r="CP48" i="2" s="1"/>
  <c r="CO49" i="2"/>
  <c r="CP49" i="2" s="1"/>
  <c r="CO50" i="2"/>
  <c r="CP50" i="2" s="1"/>
  <c r="CO51" i="2"/>
  <c r="CP51" i="2" s="1"/>
  <c r="CO52" i="2"/>
  <c r="CP52" i="2" s="1"/>
  <c r="CO53" i="2"/>
  <c r="CP53" i="2" s="1"/>
  <c r="CO54" i="2"/>
  <c r="CP54" i="2" s="1"/>
  <c r="CO55" i="2"/>
  <c r="CP55" i="2" s="1"/>
  <c r="CO56" i="2"/>
  <c r="CP56" i="2" s="1"/>
  <c r="CO57" i="2"/>
  <c r="CP57" i="2" s="1"/>
  <c r="CO58" i="2"/>
  <c r="CP58" i="2" s="1"/>
  <c r="CO59" i="2"/>
  <c r="CP59" i="2" s="1"/>
  <c r="CO60" i="2"/>
  <c r="CP60" i="2" s="1"/>
  <c r="CO61" i="2"/>
  <c r="CP61" i="2" s="1"/>
  <c r="CO62" i="2"/>
  <c r="CP62" i="2" s="1"/>
  <c r="CO63" i="2"/>
  <c r="CP63" i="2" s="1"/>
  <c r="CO64" i="2"/>
  <c r="CP64" i="2" s="1"/>
  <c r="CG5" i="2"/>
  <c r="CY5" i="2" s="1"/>
  <c r="CG6" i="2"/>
  <c r="CG7" i="2"/>
  <c r="CG8" i="2"/>
  <c r="CG9" i="2"/>
  <c r="CG10" i="2"/>
  <c r="CY10" i="2" s="1"/>
  <c r="CG11" i="2"/>
  <c r="CY11" i="2" s="1"/>
  <c r="CG12" i="2"/>
  <c r="CY12" i="2" s="1"/>
  <c r="CG13" i="2"/>
  <c r="CG14" i="2"/>
  <c r="CG15" i="2"/>
  <c r="CY15" i="2" s="1"/>
  <c r="CG16" i="2"/>
  <c r="CG17" i="2"/>
  <c r="CG18" i="2"/>
  <c r="CG19" i="2"/>
  <c r="CG20" i="2"/>
  <c r="CY20" i="2" s="1"/>
  <c r="CG21" i="2"/>
  <c r="CY21" i="2" s="1"/>
  <c r="CG22" i="2"/>
  <c r="CY22" i="2" s="1"/>
  <c r="CG23" i="2"/>
  <c r="CG24" i="2"/>
  <c r="CG25" i="2"/>
  <c r="CY25" i="2" s="1"/>
  <c r="CG26" i="2"/>
  <c r="CG27" i="2"/>
  <c r="CG28" i="2"/>
  <c r="CG29" i="2"/>
  <c r="CG30" i="2"/>
  <c r="CG31" i="2"/>
  <c r="CY31" i="2" s="1"/>
  <c r="CG32" i="2"/>
  <c r="CY32" i="2" s="1"/>
  <c r="CG34" i="2"/>
  <c r="CG35" i="2"/>
  <c r="CG36" i="2"/>
  <c r="CY36" i="2" s="1"/>
  <c r="CG37" i="2"/>
  <c r="CG38" i="2"/>
  <c r="CG39" i="2"/>
  <c r="CG40" i="2"/>
  <c r="CY40" i="2" s="1"/>
  <c r="CG41" i="2"/>
  <c r="CG42" i="2"/>
  <c r="CG43" i="2"/>
  <c r="CY43" i="2" s="1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Y56" i="2" s="1"/>
  <c r="CG57" i="2"/>
  <c r="CG58" i="2"/>
  <c r="CG59" i="2"/>
  <c r="CG60" i="2"/>
  <c r="CG61" i="2"/>
  <c r="CG62" i="2"/>
  <c r="CG63" i="2"/>
  <c r="CG64" i="2"/>
  <c r="CA5" i="2"/>
  <c r="CA6" i="2"/>
  <c r="CA7" i="2"/>
  <c r="CA8" i="2"/>
  <c r="CA9" i="2"/>
  <c r="DB9" i="2" s="1"/>
  <c r="CA10" i="2"/>
  <c r="DB10" i="2" s="1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DB23" i="2" s="1"/>
  <c r="CA24" i="2"/>
  <c r="CA25" i="2"/>
  <c r="CA26" i="2"/>
  <c r="CA27" i="2"/>
  <c r="CA28" i="2"/>
  <c r="CA29" i="2"/>
  <c r="CA30" i="2"/>
  <c r="CA31" i="2"/>
  <c r="CA32" i="2"/>
  <c r="CA34" i="2"/>
  <c r="CA35" i="2"/>
  <c r="CA36" i="2"/>
  <c r="CA37" i="2"/>
  <c r="CA38" i="2"/>
  <c r="CA39" i="2"/>
  <c r="CA40" i="2"/>
  <c r="CA41" i="2"/>
  <c r="CA42" i="2"/>
  <c r="DB42" i="2" s="1"/>
  <c r="CA43" i="2"/>
  <c r="DB43" i="2" s="1"/>
  <c r="CA44" i="2"/>
  <c r="CA45" i="2"/>
  <c r="CA46" i="2"/>
  <c r="CA47" i="2"/>
  <c r="CB47" i="2" s="1"/>
  <c r="CC47" i="2" s="1"/>
  <c r="CD47" i="2" s="1"/>
  <c r="CF47" i="2" s="1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DB60" i="2" s="1"/>
  <c r="CA61" i="2"/>
  <c r="DB61" i="2" s="1"/>
  <c r="CA62" i="2"/>
  <c r="CA63" i="2"/>
  <c r="CA64" i="2"/>
  <c r="BU57" i="2"/>
  <c r="BU58" i="2"/>
  <c r="BU59" i="2"/>
  <c r="BV59" i="2" s="1"/>
  <c r="BW59" i="2" s="1"/>
  <c r="BX59" i="2" s="1"/>
  <c r="BZ59" i="2" s="1"/>
  <c r="BU60" i="2"/>
  <c r="BU61" i="2"/>
  <c r="BU62" i="2"/>
  <c r="BU63" i="2"/>
  <c r="BU6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AR10" i="2"/>
  <c r="AD10" i="2"/>
  <c r="X10" i="2"/>
  <c r="R10" i="2"/>
  <c r="J10" i="2"/>
  <c r="CM10" i="2" s="1"/>
  <c r="CN10" i="2" s="1"/>
  <c r="AR25" i="2"/>
  <c r="AD25" i="2"/>
  <c r="X25" i="2"/>
  <c r="R25" i="2"/>
  <c r="J25" i="2"/>
  <c r="AR42" i="2"/>
  <c r="AD42" i="2"/>
  <c r="J42" i="2"/>
  <c r="CM42" i="2" s="1"/>
  <c r="CN42" i="2" s="1"/>
  <c r="J4" i="2"/>
  <c r="K6" i="8"/>
  <c r="K7" i="8"/>
  <c r="K8" i="8"/>
  <c r="K9" i="8"/>
  <c r="K10" i="8"/>
  <c r="K12" i="8"/>
  <c r="AQ12" i="8" s="1"/>
  <c r="AR12" i="8" s="1"/>
  <c r="AS12" i="8" s="1"/>
  <c r="AU12" i="8" s="1"/>
  <c r="K11" i="8"/>
  <c r="K13" i="8"/>
  <c r="K14" i="8"/>
  <c r="K15" i="8"/>
  <c r="K16" i="8"/>
  <c r="K17" i="8"/>
  <c r="K18" i="8"/>
  <c r="K19" i="8"/>
  <c r="K20" i="8"/>
  <c r="K21" i="8"/>
  <c r="K22" i="8"/>
  <c r="K23" i="8"/>
  <c r="K24" i="8"/>
  <c r="K26" i="8"/>
  <c r="K25" i="8"/>
  <c r="K27" i="8"/>
  <c r="K28" i="8"/>
  <c r="K29" i="8"/>
  <c r="K30" i="8"/>
  <c r="K31" i="8"/>
  <c r="K32" i="8"/>
  <c r="K33" i="8"/>
  <c r="K34" i="8"/>
  <c r="K35" i="8"/>
  <c r="K37" i="8"/>
  <c r="K38" i="8"/>
  <c r="K39" i="8"/>
  <c r="K40" i="8"/>
  <c r="K42" i="8"/>
  <c r="K44" i="8"/>
  <c r="K45" i="8"/>
  <c r="K46" i="8"/>
  <c r="K47" i="8"/>
  <c r="AQ47" i="8" s="1"/>
  <c r="K48" i="8"/>
  <c r="K49" i="8"/>
  <c r="K50" i="8"/>
  <c r="K51" i="8"/>
  <c r="K53" i="8"/>
  <c r="K54" i="8"/>
  <c r="K55" i="8"/>
  <c r="K56" i="8"/>
  <c r="K52" i="8"/>
  <c r="K57" i="8"/>
  <c r="K58" i="8"/>
  <c r="K59" i="8"/>
  <c r="K60" i="8"/>
  <c r="K61" i="8"/>
  <c r="K62" i="8"/>
  <c r="K63" i="8"/>
  <c r="K64" i="8"/>
  <c r="K65" i="8"/>
  <c r="K5" i="8"/>
  <c r="BQ5" i="5"/>
  <c r="BQ7" i="5"/>
  <c r="BQ8" i="5"/>
  <c r="BQ9" i="5"/>
  <c r="BQ10" i="5"/>
  <c r="BQ12" i="5"/>
  <c r="BQ11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6" i="5"/>
  <c r="BQ25" i="5"/>
  <c r="BQ27" i="5"/>
  <c r="BQ28" i="5"/>
  <c r="BQ29" i="5"/>
  <c r="BQ30" i="5"/>
  <c r="BQ31" i="5"/>
  <c r="BQ32" i="5"/>
  <c r="BQ33" i="5"/>
  <c r="BQ34" i="5"/>
  <c r="BQ35" i="5"/>
  <c r="BQ37" i="5"/>
  <c r="BQ38" i="5"/>
  <c r="BQ39" i="5"/>
  <c r="BQ40" i="5"/>
  <c r="BQ41" i="5"/>
  <c r="BQ42" i="5"/>
  <c r="BQ44" i="5"/>
  <c r="BQ43" i="5"/>
  <c r="BQ45" i="5"/>
  <c r="BQ46" i="5"/>
  <c r="BQ47" i="5"/>
  <c r="BQ48" i="5"/>
  <c r="BQ49" i="5"/>
  <c r="BQ50" i="5"/>
  <c r="BQ51" i="5"/>
  <c r="BQ53" i="5"/>
  <c r="BQ54" i="5"/>
  <c r="BQ55" i="5"/>
  <c r="BQ56" i="5"/>
  <c r="BQ52" i="5"/>
  <c r="BQ57" i="5"/>
  <c r="BQ58" i="5"/>
  <c r="BQ59" i="5"/>
  <c r="BQ60" i="5"/>
  <c r="BQ61" i="5"/>
  <c r="BQ62" i="5"/>
  <c r="BQ63" i="5"/>
  <c r="BQ64" i="5"/>
  <c r="BQ65" i="5"/>
  <c r="BQ6" i="5"/>
  <c r="BB55" i="8"/>
  <c r="BA55" i="8"/>
  <c r="AZ55" i="8"/>
  <c r="AY55" i="8"/>
  <c r="AX55" i="8"/>
  <c r="AW55" i="8"/>
  <c r="AV55" i="8"/>
  <c r="AP55" i="8"/>
  <c r="BD55" i="8" s="1"/>
  <c r="O55" i="8"/>
  <c r="BB54" i="8"/>
  <c r="BA54" i="8"/>
  <c r="AZ54" i="8"/>
  <c r="AY54" i="8"/>
  <c r="AX54" i="8"/>
  <c r="AW54" i="8"/>
  <c r="AV54" i="8"/>
  <c r="AP54" i="8"/>
  <c r="BD54" i="8" s="1"/>
  <c r="O54" i="8"/>
  <c r="AR54" i="2"/>
  <c r="AD54" i="2"/>
  <c r="X54" i="2"/>
  <c r="R54" i="2"/>
  <c r="J54" i="2"/>
  <c r="CM54" i="2" s="1"/>
  <c r="CN54" i="2" s="1"/>
  <c r="AR53" i="2"/>
  <c r="AD53" i="2"/>
  <c r="X53" i="2"/>
  <c r="R53" i="2"/>
  <c r="J53" i="2"/>
  <c r="CM53" i="2" s="1"/>
  <c r="CN53" i="2" s="1"/>
  <c r="P60" i="5"/>
  <c r="BP55" i="5"/>
  <c r="BO55" i="5"/>
  <c r="BN55" i="5"/>
  <c r="BM55" i="5"/>
  <c r="AQ55" i="5"/>
  <c r="BR55" i="5" s="1"/>
  <c r="Z55" i="5"/>
  <c r="P55" i="5"/>
  <c r="L55" i="5"/>
  <c r="BD55" i="5" s="1"/>
  <c r="BE55" i="5" s="1"/>
  <c r="BP54" i="5"/>
  <c r="BO54" i="5"/>
  <c r="BN54" i="5"/>
  <c r="BM54" i="5"/>
  <c r="AQ54" i="5"/>
  <c r="BR54" i="5" s="1"/>
  <c r="Z54" i="5"/>
  <c r="P54" i="5"/>
  <c r="L54" i="5"/>
  <c r="BD54" i="5" s="1"/>
  <c r="BE54" i="5" s="1"/>
  <c r="BD5" i="5"/>
  <c r="BE5" i="5" s="1"/>
  <c r="BF5" i="5" s="1"/>
  <c r="BG5" i="5" s="1"/>
  <c r="BU4" i="2"/>
  <c r="DG4" i="2"/>
  <c r="L6" i="5"/>
  <c r="BD6" i="5" s="1"/>
  <c r="BE6" i="5" s="1"/>
  <c r="L7" i="5"/>
  <c r="AW7" i="5" s="1"/>
  <c r="AX7" i="5" s="1"/>
  <c r="AY7" i="5" s="1"/>
  <c r="AZ7" i="5" s="1"/>
  <c r="L8" i="5"/>
  <c r="AW8" i="5" s="1"/>
  <c r="AX8" i="5" s="1"/>
  <c r="L9" i="5"/>
  <c r="BB9" i="5" s="1"/>
  <c r="BC9" i="5" s="1"/>
  <c r="L10" i="5"/>
  <c r="BB10" i="5" s="1"/>
  <c r="BC10" i="5" s="1"/>
  <c r="L12" i="5"/>
  <c r="BB12" i="5" s="1"/>
  <c r="BC12" i="5" s="1"/>
  <c r="L11" i="5"/>
  <c r="BD11" i="5" s="1"/>
  <c r="BE11" i="5" s="1"/>
  <c r="L13" i="5"/>
  <c r="BD13" i="5" s="1"/>
  <c r="BE13" i="5" s="1"/>
  <c r="BF13" i="5" s="1"/>
  <c r="BG13" i="5" s="1"/>
  <c r="L14" i="5"/>
  <c r="BD14" i="5" s="1"/>
  <c r="BE14" i="5" s="1"/>
  <c r="BF14" i="5" s="1"/>
  <c r="BG14" i="5" s="1"/>
  <c r="L15" i="5"/>
  <c r="BD15" i="5" s="1"/>
  <c r="BE15" i="5" s="1"/>
  <c r="L16" i="5"/>
  <c r="BD16" i="5" s="1"/>
  <c r="BE16" i="5" s="1"/>
  <c r="L17" i="5"/>
  <c r="AW17" i="5" s="1"/>
  <c r="AX17" i="5" s="1"/>
  <c r="AY17" i="5" s="1"/>
  <c r="L18" i="5"/>
  <c r="AW18" i="5" s="1"/>
  <c r="AX18" i="5" s="1"/>
  <c r="L19" i="5"/>
  <c r="BB19" i="5" s="1"/>
  <c r="BC19" i="5" s="1"/>
  <c r="L20" i="5"/>
  <c r="BB20" i="5" s="1"/>
  <c r="BC20" i="5" s="1"/>
  <c r="L21" i="5"/>
  <c r="BB21" i="5" s="1"/>
  <c r="BC21" i="5" s="1"/>
  <c r="L22" i="5"/>
  <c r="BD22" i="5" s="1"/>
  <c r="BE22" i="5" s="1"/>
  <c r="L23" i="5"/>
  <c r="BD23" i="5" s="1"/>
  <c r="BE23" i="5" s="1"/>
  <c r="L24" i="5"/>
  <c r="BD24" i="5" s="1"/>
  <c r="BE24" i="5" s="1"/>
  <c r="BF24" i="5" s="1"/>
  <c r="BG24" i="5" s="1"/>
  <c r="L26" i="5"/>
  <c r="BD26" i="5" s="1"/>
  <c r="BE26" i="5" s="1"/>
  <c r="L25" i="5"/>
  <c r="BD25" i="5" s="1"/>
  <c r="BE25" i="5" s="1"/>
  <c r="BF25" i="5" s="1"/>
  <c r="BG25" i="5" s="1"/>
  <c r="L27" i="5"/>
  <c r="AW27" i="5" s="1"/>
  <c r="AX27" i="5" s="1"/>
  <c r="AY27" i="5" s="1"/>
  <c r="L28" i="5"/>
  <c r="AW28" i="5" s="1"/>
  <c r="AX28" i="5" s="1"/>
  <c r="L29" i="5"/>
  <c r="BB29" i="5" s="1"/>
  <c r="BC29" i="5" s="1"/>
  <c r="L30" i="5"/>
  <c r="BB30" i="5" s="1"/>
  <c r="BC30" i="5" s="1"/>
  <c r="L31" i="5"/>
  <c r="BB31" i="5" s="1"/>
  <c r="BC31" i="5" s="1"/>
  <c r="L32" i="5"/>
  <c r="BD32" i="5" s="1"/>
  <c r="BE32" i="5" s="1"/>
  <c r="L33" i="5"/>
  <c r="BD33" i="5" s="1"/>
  <c r="BE33" i="5" s="1"/>
  <c r="L34" i="5"/>
  <c r="BD34" i="5" s="1"/>
  <c r="BE34" i="5" s="1"/>
  <c r="BF34" i="5" s="1"/>
  <c r="L35" i="5"/>
  <c r="BD35" i="5" s="1"/>
  <c r="BE35" i="5" s="1"/>
  <c r="BF35" i="5" s="1"/>
  <c r="BG35" i="5" s="1"/>
  <c r="L37" i="5"/>
  <c r="BD37" i="5" s="1"/>
  <c r="BE37" i="5" s="1"/>
  <c r="BF37" i="5" s="1"/>
  <c r="BG37" i="5" s="1"/>
  <c r="L38" i="5"/>
  <c r="BB38" i="5" s="1"/>
  <c r="BC38" i="5" s="1"/>
  <c r="L39" i="5"/>
  <c r="BB39" i="5" s="1"/>
  <c r="BC39" i="5" s="1"/>
  <c r="L40" i="5"/>
  <c r="BB40" i="5" s="1"/>
  <c r="BC40" i="5" s="1"/>
  <c r="L41" i="5"/>
  <c r="BD41" i="5" s="1"/>
  <c r="BE41" i="5" s="1"/>
  <c r="BF41" i="5" s="1"/>
  <c r="BG41" i="5" s="1"/>
  <c r="L42" i="5"/>
  <c r="BD42" i="5" s="1"/>
  <c r="BE42" i="5" s="1"/>
  <c r="L44" i="5"/>
  <c r="BD44" i="5" s="1"/>
  <c r="BE44" i="5" s="1"/>
  <c r="L43" i="5"/>
  <c r="BD43" i="5" s="1"/>
  <c r="BE43" i="5" s="1"/>
  <c r="L45" i="5"/>
  <c r="BD45" i="5" s="1"/>
  <c r="BE45" i="5" s="1"/>
  <c r="L46" i="5"/>
  <c r="BD46" i="5" s="1"/>
  <c r="BE46" i="5" s="1"/>
  <c r="BF46" i="5" s="1"/>
  <c r="BG46" i="5" s="1"/>
  <c r="L47" i="5"/>
  <c r="AW47" i="5" s="1"/>
  <c r="AX47" i="5" s="1"/>
  <c r="AY47" i="5" s="1"/>
  <c r="AZ47" i="5" s="1"/>
  <c r="L48" i="5"/>
  <c r="BB48" i="5" s="1"/>
  <c r="BC48" i="5" s="1"/>
  <c r="L49" i="5"/>
  <c r="BB49" i="5" s="1"/>
  <c r="BC49" i="5" s="1"/>
  <c r="L50" i="5"/>
  <c r="BB50" i="5" s="1"/>
  <c r="BC50" i="5" s="1"/>
  <c r="L51" i="5"/>
  <c r="BD51" i="5" s="1"/>
  <c r="BE51" i="5" s="1"/>
  <c r="BF51" i="5" s="1"/>
  <c r="BG51" i="5" s="1"/>
  <c r="L53" i="5"/>
  <c r="BD53" i="5" s="1"/>
  <c r="BE53" i="5" s="1"/>
  <c r="L56" i="5"/>
  <c r="BD56" i="5" s="1"/>
  <c r="BE56" i="5" s="1"/>
  <c r="L52" i="5"/>
  <c r="BD52" i="5" s="1"/>
  <c r="BE52" i="5" s="1"/>
  <c r="L57" i="5"/>
  <c r="BD57" i="5" s="1"/>
  <c r="BE57" i="5" s="1"/>
  <c r="L58" i="5"/>
  <c r="AW58" i="5" s="1"/>
  <c r="AX58" i="5" s="1"/>
  <c r="AY58" i="5" s="1"/>
  <c r="AZ58" i="5" s="1"/>
  <c r="L59" i="5"/>
  <c r="BB59" i="5" s="1"/>
  <c r="BC59" i="5" s="1"/>
  <c r="L60" i="5"/>
  <c r="BB60" i="5" s="1"/>
  <c r="BC60" i="5" s="1"/>
  <c r="L61" i="5"/>
  <c r="BD61" i="5" s="1"/>
  <c r="BE61" i="5" s="1"/>
  <c r="L62" i="5"/>
  <c r="BD62" i="5" s="1"/>
  <c r="BE62" i="5" s="1"/>
  <c r="L63" i="5"/>
  <c r="BD63" i="5" s="1"/>
  <c r="BE63" i="5" s="1"/>
  <c r="L64" i="5"/>
  <c r="BD64" i="5" s="1"/>
  <c r="BE64" i="5" s="1"/>
  <c r="L65" i="5"/>
  <c r="BD65" i="5" s="1"/>
  <c r="BE65" i="5" s="1"/>
  <c r="L5" i="5"/>
  <c r="AW5" i="5" s="1"/>
  <c r="AX5" i="5" s="1"/>
  <c r="AY5" i="5" s="1"/>
  <c r="BA5" i="5" s="1"/>
  <c r="J5" i="2"/>
  <c r="CM5" i="2" s="1"/>
  <c r="CN5" i="2" s="1"/>
  <c r="J6" i="2"/>
  <c r="CM6" i="2" s="1"/>
  <c r="CN6" i="2" s="1"/>
  <c r="J7" i="2"/>
  <c r="CM7" i="2" s="1"/>
  <c r="CN7" i="2" s="1"/>
  <c r="J8" i="2"/>
  <c r="CM8" i="2" s="1"/>
  <c r="CN8" i="2" s="1"/>
  <c r="J9" i="2"/>
  <c r="CM9" i="2" s="1"/>
  <c r="CN9" i="2" s="1"/>
  <c r="J11" i="2"/>
  <c r="CM11" i="2" s="1"/>
  <c r="CN11" i="2" s="1"/>
  <c r="J12" i="2"/>
  <c r="CM12" i="2" s="1"/>
  <c r="CN12" i="2" s="1"/>
  <c r="J13" i="2"/>
  <c r="CM13" i="2" s="1"/>
  <c r="CN13" i="2" s="1"/>
  <c r="J14" i="2"/>
  <c r="CM14" i="2" s="1"/>
  <c r="CN14" i="2" s="1"/>
  <c r="J15" i="2"/>
  <c r="CM15" i="2" s="1"/>
  <c r="CN15" i="2" s="1"/>
  <c r="J16" i="2"/>
  <c r="CM16" i="2" s="1"/>
  <c r="CN16" i="2" s="1"/>
  <c r="J17" i="2"/>
  <c r="CM17" i="2" s="1"/>
  <c r="CN17" i="2" s="1"/>
  <c r="J18" i="2"/>
  <c r="CM18" i="2" s="1"/>
  <c r="CN18" i="2" s="1"/>
  <c r="J19" i="2"/>
  <c r="CM19" i="2" s="1"/>
  <c r="CN19" i="2" s="1"/>
  <c r="J20" i="2"/>
  <c r="CM20" i="2" s="1"/>
  <c r="CN20" i="2" s="1"/>
  <c r="J21" i="2"/>
  <c r="CM21" i="2" s="1"/>
  <c r="CN21" i="2" s="1"/>
  <c r="J22" i="2"/>
  <c r="CM22" i="2" s="1"/>
  <c r="CN22" i="2" s="1"/>
  <c r="J23" i="2"/>
  <c r="CM23" i="2" s="1"/>
  <c r="CN23" i="2" s="1"/>
  <c r="J24" i="2"/>
  <c r="CM24" i="2" s="1"/>
  <c r="CN24" i="2" s="1"/>
  <c r="J26" i="2"/>
  <c r="CM26" i="2" s="1"/>
  <c r="CN26" i="2" s="1"/>
  <c r="J27" i="2"/>
  <c r="CM27" i="2" s="1"/>
  <c r="CN27" i="2" s="1"/>
  <c r="J28" i="2"/>
  <c r="CM28" i="2" s="1"/>
  <c r="CN28" i="2" s="1"/>
  <c r="J29" i="2"/>
  <c r="CM29" i="2" s="1"/>
  <c r="CN29" i="2" s="1"/>
  <c r="J30" i="2"/>
  <c r="CM30" i="2" s="1"/>
  <c r="CN30" i="2" s="1"/>
  <c r="J31" i="2"/>
  <c r="CM31" i="2" s="1"/>
  <c r="CN31" i="2" s="1"/>
  <c r="J32" i="2"/>
  <c r="CM32" i="2" s="1"/>
  <c r="CN32" i="2" s="1"/>
  <c r="J34" i="2"/>
  <c r="CM34" i="2" s="1"/>
  <c r="CN34" i="2" s="1"/>
  <c r="J35" i="2"/>
  <c r="CM35" i="2" s="1"/>
  <c r="CN35" i="2" s="1"/>
  <c r="J36" i="2"/>
  <c r="J37" i="2"/>
  <c r="CM37" i="2" s="1"/>
  <c r="CN37" i="2" s="1"/>
  <c r="J38" i="2"/>
  <c r="CM38" i="2" s="1"/>
  <c r="CN38" i="2" s="1"/>
  <c r="J39" i="2"/>
  <c r="CM39" i="2" s="1"/>
  <c r="CN39" i="2" s="1"/>
  <c r="J40" i="2"/>
  <c r="CM40" i="2" s="1"/>
  <c r="CN40" i="2" s="1"/>
  <c r="J41" i="2"/>
  <c r="CM41" i="2" s="1"/>
  <c r="CN41" i="2" s="1"/>
  <c r="J43" i="2"/>
  <c r="CM43" i="2" s="1"/>
  <c r="CN43" i="2" s="1"/>
  <c r="J44" i="2"/>
  <c r="CM44" i="2" s="1"/>
  <c r="CN44" i="2" s="1"/>
  <c r="J45" i="2"/>
  <c r="CM45" i="2" s="1"/>
  <c r="CN45" i="2" s="1"/>
  <c r="J46" i="2"/>
  <c r="CM46" i="2" s="1"/>
  <c r="CN46" i="2" s="1"/>
  <c r="J47" i="2"/>
  <c r="CM47" i="2" s="1"/>
  <c r="CN47" i="2" s="1"/>
  <c r="J48" i="2"/>
  <c r="CM48" i="2" s="1"/>
  <c r="CN48" i="2" s="1"/>
  <c r="J49" i="2"/>
  <c r="CM49" i="2" s="1"/>
  <c r="CN49" i="2" s="1"/>
  <c r="J50" i="2"/>
  <c r="CM50" i="2" s="1"/>
  <c r="CN50" i="2" s="1"/>
  <c r="J52" i="2"/>
  <c r="CM52" i="2" s="1"/>
  <c r="CN52" i="2" s="1"/>
  <c r="J55" i="2"/>
  <c r="CM55" i="2" s="1"/>
  <c r="CN55" i="2" s="1"/>
  <c r="J51" i="2"/>
  <c r="CM51" i="2" s="1"/>
  <c r="CN51" i="2" s="1"/>
  <c r="J56" i="2"/>
  <c r="CM56" i="2" s="1"/>
  <c r="CN56" i="2" s="1"/>
  <c r="J57" i="2"/>
  <c r="CM57" i="2" s="1"/>
  <c r="CN57" i="2" s="1"/>
  <c r="J58" i="2"/>
  <c r="CM58" i="2" s="1"/>
  <c r="CN58" i="2" s="1"/>
  <c r="J59" i="2"/>
  <c r="CM59" i="2" s="1"/>
  <c r="CN59" i="2" s="1"/>
  <c r="J60" i="2"/>
  <c r="CM60" i="2" s="1"/>
  <c r="CN60" i="2" s="1"/>
  <c r="J61" i="2"/>
  <c r="CM61" i="2" s="1"/>
  <c r="CN61" i="2" s="1"/>
  <c r="J62" i="2"/>
  <c r="CM62" i="2" s="1"/>
  <c r="CN62" i="2" s="1"/>
  <c r="J63" i="2"/>
  <c r="J64" i="2"/>
  <c r="CM64" i="2" s="1"/>
  <c r="CN64" i="2" s="1"/>
  <c r="AP46" i="8"/>
  <c r="AO46" i="8"/>
  <c r="O46" i="8"/>
  <c r="O47" i="8"/>
  <c r="BO46" i="5"/>
  <c r="P46" i="5"/>
  <c r="Z46" i="5"/>
  <c r="BN46" i="5"/>
  <c r="BP46" i="5"/>
  <c r="BM46" i="5"/>
  <c r="AD45" i="2"/>
  <c r="BA6" i="8"/>
  <c r="BA7" i="8"/>
  <c r="BA8" i="8"/>
  <c r="BA9" i="8"/>
  <c r="BA10" i="8"/>
  <c r="BA29" i="8"/>
  <c r="BA30" i="8"/>
  <c r="BA31" i="8"/>
  <c r="BA32" i="8"/>
  <c r="BA33" i="8"/>
  <c r="BA34" i="8"/>
  <c r="BA35" i="8"/>
  <c r="BA37" i="8"/>
  <c r="BA38" i="8"/>
  <c r="BA39" i="8"/>
  <c r="BA40" i="8"/>
  <c r="BA42" i="8"/>
  <c r="BA44" i="8"/>
  <c r="BA45" i="8"/>
  <c r="BA46" i="8"/>
  <c r="BA48" i="8"/>
  <c r="BA49" i="8"/>
  <c r="BA50" i="8"/>
  <c r="BA51" i="8"/>
  <c r="BA53" i="8"/>
  <c r="BA56" i="8"/>
  <c r="BA52" i="8"/>
  <c r="BA57" i="8"/>
  <c r="BA58" i="8"/>
  <c r="BA59" i="8"/>
  <c r="BA60" i="8"/>
  <c r="BA61" i="8"/>
  <c r="BA62" i="8"/>
  <c r="BA63" i="8"/>
  <c r="BA64" i="8"/>
  <c r="BA65" i="8"/>
  <c r="BA5" i="8"/>
  <c r="BB53" i="8"/>
  <c r="AZ53" i="8"/>
  <c r="AY53" i="8"/>
  <c r="AX53" i="8"/>
  <c r="AW53" i="8"/>
  <c r="AV53" i="8"/>
  <c r="AP53" i="8"/>
  <c r="BD53" i="8" s="1"/>
  <c r="O53" i="8"/>
  <c r="BP53" i="5"/>
  <c r="BO53" i="5"/>
  <c r="BN53" i="5"/>
  <c r="BM53" i="5"/>
  <c r="AQ53" i="5"/>
  <c r="BR53" i="5" s="1"/>
  <c r="Z53" i="5"/>
  <c r="P53" i="5"/>
  <c r="AR52" i="2"/>
  <c r="AD52" i="2"/>
  <c r="X52" i="2"/>
  <c r="R52" i="2"/>
  <c r="DE5" i="2"/>
  <c r="CG4" i="2"/>
  <c r="CY4" i="2" s="1"/>
  <c r="CA4" i="2"/>
  <c r="DB4" i="2" s="1"/>
  <c r="X38" i="2"/>
  <c r="X39" i="2"/>
  <c r="X37" i="2"/>
  <c r="R39" i="2"/>
  <c r="R57" i="2"/>
  <c r="R21" i="2"/>
  <c r="R30" i="2"/>
  <c r="X46" i="2"/>
  <c r="X47" i="2"/>
  <c r="X48" i="2"/>
  <c r="X50" i="2"/>
  <c r="R46" i="2"/>
  <c r="R47" i="2"/>
  <c r="R48" i="2"/>
  <c r="R50" i="2"/>
  <c r="R41" i="2"/>
  <c r="X36" i="2"/>
  <c r="DF4" i="2"/>
  <c r="CW4" i="2"/>
  <c r="CO4" i="2"/>
  <c r="CP4" i="2" s="1"/>
  <c r="AD32" i="2"/>
  <c r="AD34" i="2"/>
  <c r="AD36" i="2"/>
  <c r="BP5" i="5"/>
  <c r="BP6" i="5"/>
  <c r="BP7" i="5"/>
  <c r="BP8" i="5"/>
  <c r="BP9" i="5"/>
  <c r="BP10" i="5"/>
  <c r="BP12" i="5"/>
  <c r="BP11" i="5"/>
  <c r="BP13" i="5"/>
  <c r="BP14" i="5"/>
  <c r="BP15" i="5"/>
  <c r="BP16" i="5"/>
  <c r="BP17" i="5"/>
  <c r="BP18" i="5"/>
  <c r="BP19" i="5"/>
  <c r="BP20" i="5"/>
  <c r="BP21" i="5"/>
  <c r="BP22" i="5"/>
  <c r="BP23" i="5"/>
  <c r="BP24" i="5"/>
  <c r="BP26" i="5"/>
  <c r="BP25" i="5"/>
  <c r="BP27" i="5"/>
  <c r="BP28" i="5"/>
  <c r="BP29" i="5"/>
  <c r="BP30" i="5"/>
  <c r="BP31" i="5"/>
  <c r="BP32" i="5"/>
  <c r="BP33" i="5"/>
  <c r="BP34" i="5"/>
  <c r="BP35" i="5"/>
  <c r="BP37" i="5"/>
  <c r="BP38" i="5"/>
  <c r="BP39" i="5"/>
  <c r="BP40" i="5"/>
  <c r="BP41" i="5"/>
  <c r="BP42" i="5"/>
  <c r="BP44" i="5"/>
  <c r="BP43" i="5"/>
  <c r="BP45" i="5"/>
  <c r="BP47" i="5"/>
  <c r="BP48" i="5"/>
  <c r="BP49" i="5"/>
  <c r="BP50" i="5"/>
  <c r="BP51" i="5"/>
  <c r="BP56" i="5"/>
  <c r="BP52" i="5"/>
  <c r="BP57" i="5"/>
  <c r="BP58" i="5"/>
  <c r="BP59" i="5"/>
  <c r="BP60" i="5"/>
  <c r="BP61" i="5"/>
  <c r="BP62" i="5"/>
  <c r="BP63" i="5"/>
  <c r="BP64" i="5"/>
  <c r="BP65" i="5"/>
  <c r="BO43" i="5"/>
  <c r="BO45" i="5"/>
  <c r="BO6" i="5"/>
  <c r="BO7" i="5"/>
  <c r="BO8" i="5"/>
  <c r="BO9" i="5"/>
  <c r="BO10" i="5"/>
  <c r="BO12" i="5"/>
  <c r="BO11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6" i="5"/>
  <c r="BO25" i="5"/>
  <c r="BO27" i="5"/>
  <c r="BO28" i="5"/>
  <c r="BO29" i="5"/>
  <c r="BO30" i="5"/>
  <c r="BO31" i="5"/>
  <c r="BO32" i="5"/>
  <c r="BO33" i="5"/>
  <c r="BO34" i="5"/>
  <c r="BO35" i="5"/>
  <c r="BO37" i="5"/>
  <c r="BO38" i="5"/>
  <c r="BO39" i="5"/>
  <c r="BO40" i="5"/>
  <c r="BO41" i="5"/>
  <c r="BO42" i="5"/>
  <c r="BO44" i="5"/>
  <c r="BO47" i="5"/>
  <c r="BO48" i="5"/>
  <c r="BO49" i="5"/>
  <c r="BO50" i="5"/>
  <c r="BO51" i="5"/>
  <c r="BO56" i="5"/>
  <c r="BO52" i="5"/>
  <c r="BO57" i="5"/>
  <c r="BO58" i="5"/>
  <c r="BO59" i="5"/>
  <c r="BO60" i="5"/>
  <c r="BO61" i="5"/>
  <c r="BO62" i="5"/>
  <c r="BO63" i="5"/>
  <c r="BO64" i="5"/>
  <c r="BO65" i="5"/>
  <c r="BO5" i="5"/>
  <c r="BN47" i="5"/>
  <c r="BN6" i="5"/>
  <c r="BN7" i="5"/>
  <c r="BN8" i="5"/>
  <c r="BN9" i="5"/>
  <c r="BN10" i="5"/>
  <c r="BN12" i="5"/>
  <c r="BN11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6" i="5"/>
  <c r="BN25" i="5"/>
  <c r="BN27" i="5"/>
  <c r="BN28" i="5"/>
  <c r="BN29" i="5"/>
  <c r="BN30" i="5"/>
  <c r="BN31" i="5"/>
  <c r="BN32" i="5"/>
  <c r="BN33" i="5"/>
  <c r="BN34" i="5"/>
  <c r="BN35" i="5"/>
  <c r="BN37" i="5"/>
  <c r="BN38" i="5"/>
  <c r="BN39" i="5"/>
  <c r="BN40" i="5"/>
  <c r="BN41" i="5"/>
  <c r="BN42" i="5"/>
  <c r="BN44" i="5"/>
  <c r="BN43" i="5"/>
  <c r="BN45" i="5"/>
  <c r="BN48" i="5"/>
  <c r="BN49" i="5"/>
  <c r="BN50" i="5"/>
  <c r="BN51" i="5"/>
  <c r="BN56" i="5"/>
  <c r="BN52" i="5"/>
  <c r="BN57" i="5"/>
  <c r="BN58" i="5"/>
  <c r="BN59" i="5"/>
  <c r="BN60" i="5"/>
  <c r="BN61" i="5"/>
  <c r="BN62" i="5"/>
  <c r="BN63" i="5"/>
  <c r="BN64" i="5"/>
  <c r="BN65" i="5"/>
  <c r="BN5" i="5"/>
  <c r="BM6" i="5"/>
  <c r="BM7" i="5"/>
  <c r="BM8" i="5"/>
  <c r="BM9" i="5"/>
  <c r="BM10" i="5"/>
  <c r="BM12" i="5"/>
  <c r="BM11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6" i="5"/>
  <c r="BM25" i="5"/>
  <c r="BM27" i="5"/>
  <c r="BM28" i="5"/>
  <c r="BM29" i="5"/>
  <c r="BM30" i="5"/>
  <c r="BM31" i="5"/>
  <c r="BM32" i="5"/>
  <c r="BM33" i="5"/>
  <c r="BM34" i="5"/>
  <c r="BM35" i="5"/>
  <c r="BM37" i="5"/>
  <c r="BM38" i="5"/>
  <c r="BM39" i="5"/>
  <c r="BM40" i="5"/>
  <c r="BM41" i="5"/>
  <c r="BM42" i="5"/>
  <c r="BM44" i="5"/>
  <c r="BM43" i="5"/>
  <c r="BM45" i="5"/>
  <c r="BM47" i="5"/>
  <c r="BM48" i="5"/>
  <c r="BM49" i="5"/>
  <c r="BM50" i="5"/>
  <c r="BM51" i="5"/>
  <c r="BM56" i="5"/>
  <c r="BM52" i="5"/>
  <c r="BM57" i="5"/>
  <c r="BM58" i="5"/>
  <c r="BM59" i="5"/>
  <c r="BM60" i="5"/>
  <c r="BM61" i="5"/>
  <c r="BM62" i="5"/>
  <c r="BM63" i="5"/>
  <c r="BM64" i="5"/>
  <c r="BM65" i="5"/>
  <c r="BM5" i="5"/>
  <c r="BV10" i="2" l="1"/>
  <c r="BW10" i="2" s="1"/>
  <c r="BX10" i="2" s="1"/>
  <c r="DD11" i="2"/>
  <c r="AQ13" i="8"/>
  <c r="AR13" i="8" s="1"/>
  <c r="AS13" i="8" s="1"/>
  <c r="AU13" i="8" s="1"/>
  <c r="AT34" i="8"/>
  <c r="AT12" i="8"/>
  <c r="BA27" i="5"/>
  <c r="AZ27" i="5"/>
  <c r="BA17" i="5"/>
  <c r="AZ17" i="5"/>
  <c r="BH43" i="5"/>
  <c r="BH65" i="5"/>
  <c r="BH56" i="5"/>
  <c r="BH44" i="5"/>
  <c r="BH54" i="5"/>
  <c r="BH64" i="5"/>
  <c r="AZ5" i="5"/>
  <c r="BH33" i="5"/>
  <c r="BH51" i="5"/>
  <c r="BH62" i="5"/>
  <c r="BH61" i="5"/>
  <c r="BA8" i="5"/>
  <c r="BF56" i="5"/>
  <c r="BG56" i="5" s="1"/>
  <c r="BF65" i="5"/>
  <c r="BG65" i="5" s="1"/>
  <c r="BF33" i="5"/>
  <c r="BG33" i="5" s="1"/>
  <c r="BF23" i="5"/>
  <c r="BG23" i="5" s="1"/>
  <c r="BF44" i="5"/>
  <c r="BG44" i="5" s="1"/>
  <c r="BF22" i="5"/>
  <c r="BG22" i="5" s="1"/>
  <c r="BA28" i="5"/>
  <c r="BA18" i="5"/>
  <c r="BA7" i="5"/>
  <c r="BA47" i="5"/>
  <c r="BH25" i="5"/>
  <c r="BH6" i="5"/>
  <c r="BF54" i="5"/>
  <c r="BG54" i="5" s="1"/>
  <c r="BA58" i="5"/>
  <c r="BH46" i="5"/>
  <c r="BH26" i="5"/>
  <c r="BH15" i="5"/>
  <c r="BH36" i="5"/>
  <c r="BF63" i="5"/>
  <c r="BG63" i="5" s="1"/>
  <c r="BF53" i="5"/>
  <c r="BG53" i="5" s="1"/>
  <c r="BF43" i="5"/>
  <c r="BG43" i="5" s="1"/>
  <c r="BF11" i="5"/>
  <c r="BG11" i="5" s="1"/>
  <c r="BH13" i="5"/>
  <c r="BH41" i="5"/>
  <c r="BH37" i="5"/>
  <c r="BH16" i="5"/>
  <c r="BF32" i="5"/>
  <c r="BG32" i="5" s="1"/>
  <c r="BH57" i="5"/>
  <c r="BH45" i="5"/>
  <c r="BH24" i="5"/>
  <c r="BH14" i="5"/>
  <c r="BH55" i="5"/>
  <c r="BF62" i="5"/>
  <c r="BG62" i="5" s="1"/>
  <c r="BF52" i="5"/>
  <c r="BG52" i="5" s="1"/>
  <c r="BF42" i="5"/>
  <c r="BG42" i="5" s="1"/>
  <c r="BG34" i="5"/>
  <c r="BH35" i="5"/>
  <c r="BH34" i="5"/>
  <c r="CH63" i="2"/>
  <c r="CI63" i="2" s="1"/>
  <c r="CJ63" i="2" s="1"/>
  <c r="CB59" i="2"/>
  <c r="CC59" i="2" s="1"/>
  <c r="CD59" i="2" s="1"/>
  <c r="CF59" i="2" s="1"/>
  <c r="CX27" i="2"/>
  <c r="BV23" i="2"/>
  <c r="BW23" i="2" s="1"/>
  <c r="BX23" i="2" s="1"/>
  <c r="BZ23" i="2" s="1"/>
  <c r="BV13" i="2"/>
  <c r="BW13" i="2" s="1"/>
  <c r="BX13" i="2" s="1"/>
  <c r="BZ13" i="2" s="1"/>
  <c r="CX63" i="2"/>
  <c r="BV53" i="2"/>
  <c r="BW53" i="2" s="1"/>
  <c r="BX53" i="2" s="1"/>
  <c r="BZ53" i="2" s="1"/>
  <c r="BV62" i="2"/>
  <c r="BW62" i="2" s="1"/>
  <c r="BX62" i="2" s="1"/>
  <c r="BZ62" i="2" s="1"/>
  <c r="BV52" i="2"/>
  <c r="BW52" i="2" s="1"/>
  <c r="BX52" i="2" s="1"/>
  <c r="BZ52" i="2" s="1"/>
  <c r="DA42" i="2"/>
  <c r="CB29" i="2"/>
  <c r="CC29" i="2" s="1"/>
  <c r="CD29" i="2" s="1"/>
  <c r="CF29" i="2" s="1"/>
  <c r="CB37" i="2"/>
  <c r="CC37" i="2" s="1"/>
  <c r="CD37" i="2" s="1"/>
  <c r="CF37" i="2" s="1"/>
  <c r="CB6" i="2"/>
  <c r="CC6" i="2" s="1"/>
  <c r="CD6" i="2" s="1"/>
  <c r="CF6" i="2" s="1"/>
  <c r="CB26" i="2"/>
  <c r="CC26" i="2" s="1"/>
  <c r="CD26" i="2" s="1"/>
  <c r="CF26" i="2" s="1"/>
  <c r="CH25" i="2"/>
  <c r="CI25" i="2" s="1"/>
  <c r="CJ25" i="2" s="1"/>
  <c r="CK25" i="2" s="1"/>
  <c r="CX56" i="2"/>
  <c r="BV46" i="2"/>
  <c r="BW46" i="2" s="1"/>
  <c r="BX46" i="2" s="1"/>
  <c r="BZ46" i="2" s="1"/>
  <c r="BV36" i="2"/>
  <c r="BW36" i="2" s="1"/>
  <c r="BX36" i="2" s="1"/>
  <c r="BZ36" i="2" s="1"/>
  <c r="BV15" i="2"/>
  <c r="BW15" i="2" s="1"/>
  <c r="BX15" i="2" s="1"/>
  <c r="BZ15" i="2" s="1"/>
  <c r="CX5" i="2"/>
  <c r="CB16" i="2"/>
  <c r="CC16" i="2" s="1"/>
  <c r="CD16" i="2" s="1"/>
  <c r="CF16" i="2" s="1"/>
  <c r="BV17" i="2"/>
  <c r="BW17" i="2" s="1"/>
  <c r="BX17" i="2" s="1"/>
  <c r="BZ17" i="2" s="1"/>
  <c r="CZ5" i="2"/>
  <c r="DD34" i="2"/>
  <c r="BV35" i="2"/>
  <c r="BW35" i="2" s="1"/>
  <c r="BX35" i="2" s="1"/>
  <c r="BZ35" i="2" s="1"/>
  <c r="BV24" i="2"/>
  <c r="BW24" i="2" s="1"/>
  <c r="BX24" i="2" s="1"/>
  <c r="BZ24" i="2" s="1"/>
  <c r="BV14" i="2"/>
  <c r="BW14" i="2" s="1"/>
  <c r="BX14" i="2" s="1"/>
  <c r="BZ14" i="2" s="1"/>
  <c r="CB40" i="2"/>
  <c r="CC40" i="2" s="1"/>
  <c r="CD40" i="2" s="1"/>
  <c r="BV55" i="2"/>
  <c r="BW55" i="2" s="1"/>
  <c r="BX55" i="2" s="1"/>
  <c r="BZ55" i="2" s="1"/>
  <c r="BV64" i="2"/>
  <c r="BW64" i="2" s="1"/>
  <c r="BX64" i="2" s="1"/>
  <c r="BZ64" i="2" s="1"/>
  <c r="BV50" i="2"/>
  <c r="BW50" i="2" s="1"/>
  <c r="BX50" i="2" s="1"/>
  <c r="BZ50" i="2" s="1"/>
  <c r="CB28" i="2"/>
  <c r="CC28" i="2" s="1"/>
  <c r="CD28" i="2" s="1"/>
  <c r="CB18" i="2"/>
  <c r="CC18" i="2" s="1"/>
  <c r="CD18" i="2" s="1"/>
  <c r="CX60" i="2"/>
  <c r="CH50" i="2"/>
  <c r="CI50" i="2" s="1"/>
  <c r="CJ50" i="2" s="1"/>
  <c r="CK50" i="2" s="1"/>
  <c r="CH29" i="2"/>
  <c r="CI29" i="2" s="1"/>
  <c r="CJ29" i="2" s="1"/>
  <c r="CK29" i="2" s="1"/>
  <c r="CH19" i="2"/>
  <c r="CI19" i="2" s="1"/>
  <c r="CJ19" i="2" s="1"/>
  <c r="CK19" i="2" s="1"/>
  <c r="CB58" i="2"/>
  <c r="CC58" i="2" s="1"/>
  <c r="CD58" i="2" s="1"/>
  <c r="CB48" i="2"/>
  <c r="CC48" i="2" s="1"/>
  <c r="CD48" i="2" s="1"/>
  <c r="CB17" i="2"/>
  <c r="CC17" i="2" s="1"/>
  <c r="CD17" i="2" s="1"/>
  <c r="CB7" i="2"/>
  <c r="CC7" i="2" s="1"/>
  <c r="CD7" i="2" s="1"/>
  <c r="CX28" i="2"/>
  <c r="CZ46" i="2"/>
  <c r="BV28" i="2"/>
  <c r="BW28" i="2" s="1"/>
  <c r="BX28" i="2" s="1"/>
  <c r="BZ28" i="2" s="1"/>
  <c r="BV18" i="2"/>
  <c r="BW18" i="2" s="1"/>
  <c r="BX18" i="2" s="1"/>
  <c r="BZ18" i="2" s="1"/>
  <c r="BV7" i="2"/>
  <c r="BW7" i="2" s="1"/>
  <c r="BX7" i="2" s="1"/>
  <c r="BZ7" i="2" s="1"/>
  <c r="BV6" i="2"/>
  <c r="BW6" i="2" s="1"/>
  <c r="BX6" i="2" s="1"/>
  <c r="BZ6" i="2" s="1"/>
  <c r="CB52" i="2"/>
  <c r="CC52" i="2" s="1"/>
  <c r="CD52" i="2" s="1"/>
  <c r="CH53" i="2"/>
  <c r="CI53" i="2" s="1"/>
  <c r="CJ53" i="2" s="1"/>
  <c r="CK53" i="2" s="1"/>
  <c r="BY59" i="2"/>
  <c r="CE47" i="2"/>
  <c r="CE37" i="2"/>
  <c r="BV29" i="2"/>
  <c r="BW29" i="2" s="1"/>
  <c r="BX29" i="2" s="1"/>
  <c r="BZ29" i="2" s="1"/>
  <c r="CB10" i="2"/>
  <c r="CC10" i="2" s="1"/>
  <c r="CD10" i="2" s="1"/>
  <c r="CE59" i="2"/>
  <c r="CH36" i="2"/>
  <c r="CI36" i="2" s="1"/>
  <c r="CJ36" i="2" s="1"/>
  <c r="CK36" i="2" s="1"/>
  <c r="BV47" i="2"/>
  <c r="BW47" i="2" s="1"/>
  <c r="BX47" i="2" s="1"/>
  <c r="BZ47" i="2" s="1"/>
  <c r="CB41" i="2"/>
  <c r="CC41" i="2" s="1"/>
  <c r="CD41" i="2" s="1"/>
  <c r="BZ10" i="2"/>
  <c r="BY10" i="2"/>
  <c r="BV34" i="2"/>
  <c r="BW34" i="2" s="1"/>
  <c r="BX34" i="2" s="1"/>
  <c r="BV51" i="2"/>
  <c r="BW51" i="2" s="1"/>
  <c r="BX51" i="2" s="1"/>
  <c r="BV41" i="2"/>
  <c r="BW41" i="2" s="1"/>
  <c r="BX41" i="2" s="1"/>
  <c r="DA34" i="2"/>
  <c r="DD46" i="2"/>
  <c r="DD35" i="2"/>
  <c r="BV37" i="2"/>
  <c r="BW37" i="2" s="1"/>
  <c r="BX37" i="2" s="1"/>
  <c r="BV63" i="2"/>
  <c r="BW63" i="2" s="1"/>
  <c r="BX63" i="2" s="1"/>
  <c r="CH13" i="2"/>
  <c r="CI13" i="2" s="1"/>
  <c r="CJ13" i="2" s="1"/>
  <c r="CK13" i="2" s="1"/>
  <c r="CZ15" i="2"/>
  <c r="BY23" i="2"/>
  <c r="DB18" i="2"/>
  <c r="BY53" i="2"/>
  <c r="BY62" i="2"/>
  <c r="BV22" i="2"/>
  <c r="BW22" i="2" s="1"/>
  <c r="BX22" i="2" s="1"/>
  <c r="CX52" i="2"/>
  <c r="CB63" i="2"/>
  <c r="CC63" i="2" s="1"/>
  <c r="CD63" i="2" s="1"/>
  <c r="BV19" i="2"/>
  <c r="BW19" i="2" s="1"/>
  <c r="BX19" i="2" s="1"/>
  <c r="BV9" i="2"/>
  <c r="BW9" i="2" s="1"/>
  <c r="BX9" i="2" s="1"/>
  <c r="BV38" i="2"/>
  <c r="BW38" i="2" s="1"/>
  <c r="BX38" i="2" s="1"/>
  <c r="DC43" i="2"/>
  <c r="DA32" i="2"/>
  <c r="CZ36" i="2"/>
  <c r="CZ25" i="2"/>
  <c r="BV25" i="2"/>
  <c r="BW25" i="2" s="1"/>
  <c r="BX25" i="2" s="1"/>
  <c r="CH9" i="2"/>
  <c r="CI9" i="2" s="1"/>
  <c r="CJ9" i="2" s="1"/>
  <c r="CK9" i="2" s="1"/>
  <c r="BV12" i="2"/>
  <c r="BW12" i="2" s="1"/>
  <c r="BX12" i="2" s="1"/>
  <c r="CX51" i="2"/>
  <c r="BV40" i="2"/>
  <c r="BW40" i="2" s="1"/>
  <c r="BX40" i="2" s="1"/>
  <c r="CB44" i="2"/>
  <c r="CC44" i="2" s="1"/>
  <c r="CD44" i="2" s="1"/>
  <c r="CB62" i="2"/>
  <c r="CC62" i="2" s="1"/>
  <c r="CD62" i="2" s="1"/>
  <c r="BV49" i="2"/>
  <c r="BW49" i="2" s="1"/>
  <c r="BX49" i="2" s="1"/>
  <c r="BV39" i="2"/>
  <c r="BW39" i="2" s="1"/>
  <c r="BX39" i="2" s="1"/>
  <c r="BV8" i="2"/>
  <c r="BW8" i="2" s="1"/>
  <c r="BX8" i="2" s="1"/>
  <c r="BV58" i="2"/>
  <c r="BW58" i="2" s="1"/>
  <c r="BX58" i="2" s="1"/>
  <c r="DA52" i="2"/>
  <c r="CB51" i="2"/>
  <c r="CC51" i="2" s="1"/>
  <c r="CD51" i="2" s="1"/>
  <c r="CH54" i="2"/>
  <c r="CI54" i="2" s="1"/>
  <c r="CJ54" i="2" s="1"/>
  <c r="CK54" i="2" s="1"/>
  <c r="CY9" i="2"/>
  <c r="DC9" i="2" s="1"/>
  <c r="DD57" i="2"/>
  <c r="DD22" i="2"/>
  <c r="BV54" i="2"/>
  <c r="BW54" i="2" s="1"/>
  <c r="BX54" i="2" s="1"/>
  <c r="CB57" i="2"/>
  <c r="CC57" i="2" s="1"/>
  <c r="CD57" i="2" s="1"/>
  <c r="BV43" i="2"/>
  <c r="BW43" i="2" s="1"/>
  <c r="BX43" i="2" s="1"/>
  <c r="CX62" i="2"/>
  <c r="DD23" i="2"/>
  <c r="BY50" i="2"/>
  <c r="CX41" i="2"/>
  <c r="CQ38" i="2"/>
  <c r="CR38" i="2" s="1"/>
  <c r="BV48" i="2"/>
  <c r="BW48" i="2" s="1"/>
  <c r="BX48" i="2" s="1"/>
  <c r="DA51" i="2"/>
  <c r="DC10" i="2"/>
  <c r="CH64" i="2"/>
  <c r="CI64" i="2" s="1"/>
  <c r="CJ64" i="2" s="1"/>
  <c r="CK64" i="2" s="1"/>
  <c r="CH44" i="2"/>
  <c r="CI44" i="2" s="1"/>
  <c r="CJ44" i="2" s="1"/>
  <c r="CK44" i="2" s="1"/>
  <c r="CZ34" i="2"/>
  <c r="CH23" i="2"/>
  <c r="CI23" i="2" s="1"/>
  <c r="CJ23" i="2" s="1"/>
  <c r="CK23" i="2" s="1"/>
  <c r="CY46" i="2"/>
  <c r="DD12" i="2"/>
  <c r="CQ12" i="2"/>
  <c r="CR12" i="2" s="1"/>
  <c r="CQ58" i="2"/>
  <c r="CR58" i="2" s="1"/>
  <c r="DD58" i="2"/>
  <c r="DD45" i="2"/>
  <c r="CQ45" i="2"/>
  <c r="CR45" i="2" s="1"/>
  <c r="DD56" i="2"/>
  <c r="CQ56" i="2"/>
  <c r="CR56" i="2" s="1"/>
  <c r="DD32" i="2"/>
  <c r="CQ32" i="2"/>
  <c r="CR32" i="2" s="1"/>
  <c r="DD21" i="2"/>
  <c r="CQ21" i="2"/>
  <c r="CR21" i="2" s="1"/>
  <c r="DD13" i="2"/>
  <c r="CQ13" i="2"/>
  <c r="CR13" i="2" s="1"/>
  <c r="CQ51" i="2"/>
  <c r="CR51" i="2" s="1"/>
  <c r="DD51" i="2"/>
  <c r="DD43" i="2"/>
  <c r="CQ43" i="2"/>
  <c r="CR43" i="2" s="1"/>
  <c r="CQ31" i="2"/>
  <c r="CR31" i="2" s="1"/>
  <c r="DD31" i="2"/>
  <c r="CQ20" i="2"/>
  <c r="CR20" i="2" s="1"/>
  <c r="DD20" i="2"/>
  <c r="DD9" i="2"/>
  <c r="CQ9" i="2"/>
  <c r="CR9" i="2" s="1"/>
  <c r="CQ37" i="2"/>
  <c r="CR37" i="2" s="1"/>
  <c r="DD37" i="2"/>
  <c r="CQ59" i="2"/>
  <c r="CR59" i="2" s="1"/>
  <c r="DD59" i="2"/>
  <c r="DD55" i="2"/>
  <c r="CQ55" i="2"/>
  <c r="CR55" i="2" s="1"/>
  <c r="CQ41" i="2"/>
  <c r="CR41" i="2" s="1"/>
  <c r="DD41" i="2"/>
  <c r="CQ30" i="2"/>
  <c r="CR30" i="2" s="1"/>
  <c r="DD30" i="2"/>
  <c r="CQ19" i="2"/>
  <c r="CR19" i="2" s="1"/>
  <c r="DD19" i="2"/>
  <c r="DD8" i="2"/>
  <c r="CQ8" i="2"/>
  <c r="CR8" i="2" s="1"/>
  <c r="CQ52" i="2"/>
  <c r="CR52" i="2" s="1"/>
  <c r="DD52" i="2"/>
  <c r="DD40" i="2"/>
  <c r="CQ40" i="2"/>
  <c r="CR40" i="2" s="1"/>
  <c r="DD29" i="2"/>
  <c r="CQ29" i="2"/>
  <c r="CR29" i="2" s="1"/>
  <c r="CQ18" i="2"/>
  <c r="CR18" i="2" s="1"/>
  <c r="DD18" i="2"/>
  <c r="DD7" i="2"/>
  <c r="CQ7" i="2"/>
  <c r="CR7" i="2" s="1"/>
  <c r="CQ62" i="2"/>
  <c r="CR62" i="2" s="1"/>
  <c r="DD62" i="2"/>
  <c r="CQ50" i="2"/>
  <c r="CR50" i="2" s="1"/>
  <c r="DD50" i="2"/>
  <c r="DD39" i="2"/>
  <c r="CQ39" i="2"/>
  <c r="CR39" i="2" s="1"/>
  <c r="DD28" i="2"/>
  <c r="CQ28" i="2"/>
  <c r="CR28" i="2" s="1"/>
  <c r="CQ17" i="2"/>
  <c r="CR17" i="2" s="1"/>
  <c r="DD17" i="2"/>
  <c r="DD6" i="2"/>
  <c r="CQ6" i="2"/>
  <c r="CR6" i="2" s="1"/>
  <c r="CQ10" i="2"/>
  <c r="CR10" i="2" s="1"/>
  <c r="DD10" i="2"/>
  <c r="DD42" i="2"/>
  <c r="CQ42" i="2"/>
  <c r="CR42" i="2" s="1"/>
  <c r="CQ61" i="2"/>
  <c r="CR61" i="2" s="1"/>
  <c r="DD61" i="2"/>
  <c r="DD27" i="2"/>
  <c r="CQ27" i="2"/>
  <c r="CR27" i="2" s="1"/>
  <c r="CQ16" i="2"/>
  <c r="CR16" i="2" s="1"/>
  <c r="DD16" i="2"/>
  <c r="DD5" i="2"/>
  <c r="CQ5" i="2"/>
  <c r="CR5" i="2" s="1"/>
  <c r="DD53" i="2"/>
  <c r="CQ53" i="2"/>
  <c r="CR53" i="2" s="1"/>
  <c r="CH34" i="2"/>
  <c r="CI34" i="2" s="1"/>
  <c r="CJ34" i="2" s="1"/>
  <c r="CK34" i="2" s="1"/>
  <c r="CQ48" i="2"/>
  <c r="CR48" i="2" s="1"/>
  <c r="DD48" i="2"/>
  <c r="CM25" i="2"/>
  <c r="CN25" i="2" s="1"/>
  <c r="CQ11" i="2"/>
  <c r="CR11" i="2" s="1"/>
  <c r="CZ57" i="2"/>
  <c r="CZ47" i="2"/>
  <c r="DA24" i="2"/>
  <c r="DD38" i="2"/>
  <c r="DB54" i="2"/>
  <c r="DA54" i="2"/>
  <c r="CY49" i="2"/>
  <c r="CZ49" i="2"/>
  <c r="CH49" i="2"/>
  <c r="CI49" i="2" s="1"/>
  <c r="CJ49" i="2" s="1"/>
  <c r="CK49" i="2" s="1"/>
  <c r="CX49" i="2"/>
  <c r="CH32" i="2"/>
  <c r="CI32" i="2" s="1"/>
  <c r="CJ32" i="2" s="1"/>
  <c r="CK32" i="2" s="1"/>
  <c r="CQ47" i="2"/>
  <c r="CR47" i="2" s="1"/>
  <c r="DD47" i="2"/>
  <c r="BV61" i="2"/>
  <c r="BW61" i="2" s="1"/>
  <c r="BX61" i="2" s="1"/>
  <c r="BV27" i="2"/>
  <c r="BW27" i="2" s="1"/>
  <c r="BX27" i="2" s="1"/>
  <c r="BV16" i="2"/>
  <c r="BW16" i="2" s="1"/>
  <c r="BX16" i="2" s="1"/>
  <c r="BV5" i="2"/>
  <c r="BW5" i="2" s="1"/>
  <c r="BX5" i="2" s="1"/>
  <c r="DA62" i="2"/>
  <c r="DB62" i="2"/>
  <c r="DA31" i="2"/>
  <c r="DB31" i="2"/>
  <c r="DC31" i="2" s="1"/>
  <c r="DB21" i="2"/>
  <c r="DC21" i="2" s="1"/>
  <c r="DA21" i="2"/>
  <c r="DA11" i="2"/>
  <c r="DB11" i="2"/>
  <c r="DC11" i="2" s="1"/>
  <c r="CB61" i="2"/>
  <c r="CC61" i="2" s="1"/>
  <c r="CD61" i="2" s="1"/>
  <c r="CB50" i="2"/>
  <c r="CC50" i="2" s="1"/>
  <c r="CD50" i="2" s="1"/>
  <c r="CB39" i="2"/>
  <c r="CC39" i="2" s="1"/>
  <c r="CD39" i="2" s="1"/>
  <c r="CB27" i="2"/>
  <c r="CC27" i="2" s="1"/>
  <c r="CD27" i="2" s="1"/>
  <c r="CB5" i="2"/>
  <c r="CC5" i="2" s="1"/>
  <c r="CD5" i="2" s="1"/>
  <c r="CZ58" i="2"/>
  <c r="CY58" i="2"/>
  <c r="CX58" i="2"/>
  <c r="CZ48" i="2"/>
  <c r="CY48" i="2"/>
  <c r="CX48" i="2"/>
  <c r="CZ38" i="2"/>
  <c r="CY38" i="2"/>
  <c r="CX38" i="2"/>
  <c r="CZ27" i="2"/>
  <c r="CY27" i="2"/>
  <c r="CZ17" i="2"/>
  <c r="CY17" i="2"/>
  <c r="CZ7" i="2"/>
  <c r="CX7" i="2"/>
  <c r="CY7" i="2"/>
  <c r="CH48" i="2"/>
  <c r="CI48" i="2" s="1"/>
  <c r="CJ48" i="2" s="1"/>
  <c r="CK48" i="2" s="1"/>
  <c r="CH27" i="2"/>
  <c r="CI27" i="2" s="1"/>
  <c r="CJ27" i="2" s="1"/>
  <c r="CK27" i="2" s="1"/>
  <c r="CH7" i="2"/>
  <c r="CI7" i="2" s="1"/>
  <c r="CJ7" i="2" s="1"/>
  <c r="CK7" i="2" s="1"/>
  <c r="CM63" i="2"/>
  <c r="CN63" i="2" s="1"/>
  <c r="CX17" i="2"/>
  <c r="DA23" i="2"/>
  <c r="DA13" i="2"/>
  <c r="DB13" i="2"/>
  <c r="DD44" i="2"/>
  <c r="CQ44" i="2"/>
  <c r="CR44" i="2" s="1"/>
  <c r="DA12" i="2"/>
  <c r="DB12" i="2"/>
  <c r="DC12" i="2" s="1"/>
  <c r="CY18" i="2"/>
  <c r="CZ18" i="2"/>
  <c r="CX18" i="2"/>
  <c r="CH18" i="2"/>
  <c r="CI18" i="2" s="1"/>
  <c r="CJ18" i="2" s="1"/>
  <c r="CK18" i="2" s="1"/>
  <c r="BV60" i="2"/>
  <c r="BW60" i="2" s="1"/>
  <c r="BX60" i="2" s="1"/>
  <c r="BV26" i="2"/>
  <c r="BW26" i="2" s="1"/>
  <c r="BX26" i="2" s="1"/>
  <c r="DB41" i="2"/>
  <c r="DA41" i="2"/>
  <c r="DA30" i="2"/>
  <c r="DB30" i="2"/>
  <c r="DB20" i="2"/>
  <c r="DC20" i="2" s="1"/>
  <c r="DA20" i="2"/>
  <c r="CB60" i="2"/>
  <c r="CC60" i="2" s="1"/>
  <c r="CD60" i="2" s="1"/>
  <c r="CB49" i="2"/>
  <c r="CC49" i="2" s="1"/>
  <c r="CD49" i="2" s="1"/>
  <c r="CB38" i="2"/>
  <c r="CC38" i="2" s="1"/>
  <c r="CD38" i="2" s="1"/>
  <c r="CB15" i="2"/>
  <c r="CC15" i="2" s="1"/>
  <c r="CD15" i="2" s="1"/>
  <c r="CY57" i="2"/>
  <c r="CX57" i="2"/>
  <c r="CY47" i="2"/>
  <c r="CX47" i="2"/>
  <c r="CZ37" i="2"/>
  <c r="CY37" i="2"/>
  <c r="CX37" i="2"/>
  <c r="CZ26" i="2"/>
  <c r="CY26" i="2"/>
  <c r="CX26" i="2"/>
  <c r="CZ16" i="2"/>
  <c r="CY16" i="2"/>
  <c r="CZ6" i="2"/>
  <c r="CY6" i="2"/>
  <c r="CH47" i="2"/>
  <c r="CI47" i="2" s="1"/>
  <c r="CJ47" i="2" s="1"/>
  <c r="CK47" i="2" s="1"/>
  <c r="CH26" i="2"/>
  <c r="CI26" i="2" s="1"/>
  <c r="CJ26" i="2" s="1"/>
  <c r="CK26" i="2" s="1"/>
  <c r="CH6" i="2"/>
  <c r="CI6" i="2" s="1"/>
  <c r="CJ6" i="2" s="1"/>
  <c r="CK6" i="2" s="1"/>
  <c r="CQ46" i="2"/>
  <c r="CR46" i="2" s="1"/>
  <c r="CX16" i="2"/>
  <c r="DA10" i="2"/>
  <c r="BV45" i="2"/>
  <c r="BW45" i="2" s="1"/>
  <c r="BX45" i="2" s="1"/>
  <c r="DB22" i="2"/>
  <c r="DC22" i="2" s="1"/>
  <c r="DA22" i="2"/>
  <c r="CY8" i="2"/>
  <c r="CZ8" i="2"/>
  <c r="CX8" i="2"/>
  <c r="CH8" i="2"/>
  <c r="CI8" i="2" s="1"/>
  <c r="CJ8" i="2" s="1"/>
  <c r="CK8" i="2" s="1"/>
  <c r="CH12" i="2"/>
  <c r="CI12" i="2" s="1"/>
  <c r="CJ12" i="2" s="1"/>
  <c r="CK12" i="2" s="1"/>
  <c r="CQ57" i="2"/>
  <c r="CR57" i="2" s="1"/>
  <c r="DD64" i="2"/>
  <c r="CQ64" i="2"/>
  <c r="CR64" i="2" s="1"/>
  <c r="DA50" i="2"/>
  <c r="DB50" i="2"/>
  <c r="DB40" i="2"/>
  <c r="DC40" i="2" s="1"/>
  <c r="DA40" i="2"/>
  <c r="DA29" i="2"/>
  <c r="DB29" i="2"/>
  <c r="DA19" i="2"/>
  <c r="CB25" i="2"/>
  <c r="CC25" i="2" s="1"/>
  <c r="CD25" i="2" s="1"/>
  <c r="CB13" i="2"/>
  <c r="CC13" i="2" s="1"/>
  <c r="CD13" i="2" s="1"/>
  <c r="CX46" i="2"/>
  <c r="CH46" i="2"/>
  <c r="CI46" i="2" s="1"/>
  <c r="CJ46" i="2" s="1"/>
  <c r="CK46" i="2" s="1"/>
  <c r="CH5" i="2"/>
  <c r="CI5" i="2" s="1"/>
  <c r="CJ5" i="2" s="1"/>
  <c r="CK5" i="2" s="1"/>
  <c r="CX6" i="2"/>
  <c r="CZ32" i="2"/>
  <c r="DA9" i="2"/>
  <c r="DA64" i="2"/>
  <c r="DB64" i="2"/>
  <c r="DD54" i="2"/>
  <c r="CQ54" i="2"/>
  <c r="CR54" i="2" s="1"/>
  <c r="CY59" i="2"/>
  <c r="CH59" i="2"/>
  <c r="CI59" i="2" s="1"/>
  <c r="CJ59" i="2" s="1"/>
  <c r="CK59" i="2" s="1"/>
  <c r="CX59" i="2"/>
  <c r="DA59" i="2"/>
  <c r="DB59" i="2"/>
  <c r="DA49" i="2"/>
  <c r="DB49" i="2"/>
  <c r="DA39" i="2"/>
  <c r="DB39" i="2"/>
  <c r="DA28" i="2"/>
  <c r="DB28" i="2"/>
  <c r="DA18" i="2"/>
  <c r="DA8" i="2"/>
  <c r="DB8" i="2"/>
  <c r="DC8" i="2" s="1"/>
  <c r="CB36" i="2"/>
  <c r="CC36" i="2" s="1"/>
  <c r="CD36" i="2" s="1"/>
  <c r="CB23" i="2"/>
  <c r="CC23" i="2" s="1"/>
  <c r="CD23" i="2" s="1"/>
  <c r="CB12" i="2"/>
  <c r="CC12" i="2" s="1"/>
  <c r="CD12" i="2" s="1"/>
  <c r="CH55" i="2"/>
  <c r="CI55" i="2" s="1"/>
  <c r="CJ55" i="2" s="1"/>
  <c r="CK55" i="2" s="1"/>
  <c r="CX55" i="2"/>
  <c r="CZ55" i="2"/>
  <c r="CY45" i="2"/>
  <c r="CH45" i="2"/>
  <c r="CI45" i="2" s="1"/>
  <c r="CJ45" i="2" s="1"/>
  <c r="CK45" i="2" s="1"/>
  <c r="CX45" i="2"/>
  <c r="CZ45" i="2"/>
  <c r="CZ35" i="2"/>
  <c r="CH35" i="2"/>
  <c r="CI35" i="2" s="1"/>
  <c r="CJ35" i="2" s="1"/>
  <c r="CK35" i="2" s="1"/>
  <c r="CY35" i="2"/>
  <c r="CX35" i="2"/>
  <c r="CH24" i="2"/>
  <c r="CI24" i="2" s="1"/>
  <c r="CJ24" i="2" s="1"/>
  <c r="CK24" i="2" s="1"/>
  <c r="CY24" i="2"/>
  <c r="CZ24" i="2"/>
  <c r="CX24" i="2"/>
  <c r="CH14" i="2"/>
  <c r="CI14" i="2" s="1"/>
  <c r="CJ14" i="2" s="1"/>
  <c r="CK14" i="2" s="1"/>
  <c r="CY14" i="2"/>
  <c r="CX14" i="2"/>
  <c r="CQ35" i="2"/>
  <c r="CR35" i="2" s="1"/>
  <c r="DB52" i="2"/>
  <c r="DB53" i="2"/>
  <c r="DA53" i="2"/>
  <c r="CY28" i="2"/>
  <c r="CZ28" i="2"/>
  <c r="CH28" i="2"/>
  <c r="CI28" i="2" s="1"/>
  <c r="CJ28" i="2" s="1"/>
  <c r="CK28" i="2" s="1"/>
  <c r="CQ49" i="2"/>
  <c r="CR49" i="2" s="1"/>
  <c r="DD49" i="2"/>
  <c r="BV57" i="2"/>
  <c r="BW57" i="2" s="1"/>
  <c r="BX57" i="2" s="1"/>
  <c r="BV11" i="2"/>
  <c r="BW11" i="2" s="1"/>
  <c r="BX11" i="2" s="1"/>
  <c r="DA58" i="2"/>
  <c r="DB58" i="2"/>
  <c r="DC58" i="2" s="1"/>
  <c r="DA48" i="2"/>
  <c r="DB48" i="2"/>
  <c r="DC48" i="2" s="1"/>
  <c r="DA38" i="2"/>
  <c r="DB38" i="2"/>
  <c r="DA27" i="2"/>
  <c r="DB27" i="2"/>
  <c r="DC27" i="2" s="1"/>
  <c r="DA17" i="2"/>
  <c r="DB17" i="2"/>
  <c r="DA7" i="2"/>
  <c r="DB7" i="2"/>
  <c r="CB46" i="2"/>
  <c r="CC46" i="2" s="1"/>
  <c r="CD46" i="2" s="1"/>
  <c r="CB34" i="2"/>
  <c r="CC34" i="2" s="1"/>
  <c r="CD34" i="2" s="1"/>
  <c r="CB22" i="2"/>
  <c r="CC22" i="2" s="1"/>
  <c r="CD22" i="2" s="1"/>
  <c r="CB11" i="2"/>
  <c r="CC11" i="2" s="1"/>
  <c r="CD11" i="2" s="1"/>
  <c r="CX64" i="2"/>
  <c r="CZ64" i="2"/>
  <c r="CY64" i="2"/>
  <c r="CX54" i="2"/>
  <c r="CZ54" i="2"/>
  <c r="CX44" i="2"/>
  <c r="CZ44" i="2"/>
  <c r="CY34" i="2"/>
  <c r="CX34" i="2"/>
  <c r="CY23" i="2"/>
  <c r="DC23" i="2" s="1"/>
  <c r="CZ23" i="2"/>
  <c r="CX23" i="2"/>
  <c r="CY13" i="2"/>
  <c r="CX13" i="2"/>
  <c r="CZ13" i="2"/>
  <c r="CH43" i="2"/>
  <c r="CI43" i="2" s="1"/>
  <c r="CJ43" i="2" s="1"/>
  <c r="CK43" i="2" s="1"/>
  <c r="CH22" i="2"/>
  <c r="CI22" i="2" s="1"/>
  <c r="CJ22" i="2" s="1"/>
  <c r="CK22" i="2" s="1"/>
  <c r="CM36" i="2"/>
  <c r="CN36" i="2" s="1"/>
  <c r="CQ34" i="2"/>
  <c r="CR34" i="2" s="1"/>
  <c r="CY55" i="2"/>
  <c r="CZ14" i="2"/>
  <c r="DB51" i="2"/>
  <c r="CZ63" i="2"/>
  <c r="CX53" i="2"/>
  <c r="CX43" i="2"/>
  <c r="CX32" i="2"/>
  <c r="CH58" i="2"/>
  <c r="CI58" i="2" s="1"/>
  <c r="CJ58" i="2" s="1"/>
  <c r="CK58" i="2" s="1"/>
  <c r="CH38" i="2"/>
  <c r="CI38" i="2" s="1"/>
  <c r="CJ38" i="2" s="1"/>
  <c r="CK38" i="2" s="1"/>
  <c r="CH17" i="2"/>
  <c r="CI17" i="2" s="1"/>
  <c r="CJ17" i="2" s="1"/>
  <c r="CK17" i="2" s="1"/>
  <c r="CQ23" i="2"/>
  <c r="CR23" i="2" s="1"/>
  <c r="CY54" i="2"/>
  <c r="DA61" i="2"/>
  <c r="DB34" i="2"/>
  <c r="DA63" i="2"/>
  <c r="DB63" i="2"/>
  <c r="DD15" i="2"/>
  <c r="CQ15" i="2"/>
  <c r="CR15" i="2" s="1"/>
  <c r="BV44" i="2"/>
  <c r="BW44" i="2" s="1"/>
  <c r="BX44" i="2" s="1"/>
  <c r="DA47" i="2"/>
  <c r="DB47" i="2"/>
  <c r="DC47" i="2" s="1"/>
  <c r="DA26" i="2"/>
  <c r="DB26" i="2"/>
  <c r="DA6" i="2"/>
  <c r="DB6" i="2"/>
  <c r="CB21" i="2"/>
  <c r="CC21" i="2" s="1"/>
  <c r="CD21" i="2" s="1"/>
  <c r="DD24" i="2"/>
  <c r="CQ24" i="2"/>
  <c r="CR24" i="2" s="1"/>
  <c r="DD14" i="2"/>
  <c r="CQ14" i="2"/>
  <c r="CR14" i="2" s="1"/>
  <c r="BV31" i="2"/>
  <c r="BW31" i="2" s="1"/>
  <c r="BX31" i="2" s="1"/>
  <c r="BV20" i="2"/>
  <c r="BW20" i="2" s="1"/>
  <c r="BX20" i="2" s="1"/>
  <c r="CB54" i="2"/>
  <c r="CC54" i="2" s="1"/>
  <c r="CD54" i="2" s="1"/>
  <c r="CB43" i="2"/>
  <c r="CC43" i="2" s="1"/>
  <c r="CD43" i="2" s="1"/>
  <c r="CB31" i="2"/>
  <c r="CC31" i="2" s="1"/>
  <c r="CD31" i="2" s="1"/>
  <c r="CB20" i="2"/>
  <c r="CC20" i="2" s="1"/>
  <c r="CD20" i="2" s="1"/>
  <c r="CB9" i="2"/>
  <c r="CC9" i="2" s="1"/>
  <c r="CD9" i="2" s="1"/>
  <c r="CZ62" i="2"/>
  <c r="CZ52" i="2"/>
  <c r="CX42" i="2"/>
  <c r="CX31" i="2"/>
  <c r="CZ21" i="2"/>
  <c r="CH57" i="2"/>
  <c r="CI57" i="2" s="1"/>
  <c r="CJ57" i="2" s="1"/>
  <c r="CK57" i="2" s="1"/>
  <c r="CH37" i="2"/>
  <c r="CI37" i="2" s="1"/>
  <c r="CJ37" i="2" s="1"/>
  <c r="CK37" i="2" s="1"/>
  <c r="CH16" i="2"/>
  <c r="CI16" i="2" s="1"/>
  <c r="CJ16" i="2" s="1"/>
  <c r="CK16" i="2" s="1"/>
  <c r="CQ22" i="2"/>
  <c r="CR22" i="2" s="1"/>
  <c r="DA60" i="2"/>
  <c r="DB32" i="2"/>
  <c r="DC32" i="2" s="1"/>
  <c r="DA44" i="2"/>
  <c r="DB44" i="2"/>
  <c r="CY39" i="2"/>
  <c r="CZ39" i="2"/>
  <c r="CH39" i="2"/>
  <c r="CI39" i="2" s="1"/>
  <c r="CJ39" i="2" s="1"/>
  <c r="CK39" i="2" s="1"/>
  <c r="CQ60" i="2"/>
  <c r="CR60" i="2" s="1"/>
  <c r="DD60" i="2"/>
  <c r="DD26" i="2"/>
  <c r="CQ26" i="2"/>
  <c r="CR26" i="2" s="1"/>
  <c r="BV56" i="2"/>
  <c r="BW56" i="2" s="1"/>
  <c r="BX56" i="2" s="1"/>
  <c r="BV32" i="2"/>
  <c r="BW32" i="2" s="1"/>
  <c r="BX32" i="2" s="1"/>
  <c r="BV21" i="2"/>
  <c r="BW21" i="2" s="1"/>
  <c r="BX21" i="2" s="1"/>
  <c r="DA57" i="2"/>
  <c r="DB57" i="2"/>
  <c r="DA37" i="2"/>
  <c r="DB37" i="2"/>
  <c r="DA16" i="2"/>
  <c r="DB16" i="2"/>
  <c r="CB56" i="2"/>
  <c r="CC56" i="2" s="1"/>
  <c r="CD56" i="2" s="1"/>
  <c r="CB32" i="2"/>
  <c r="CC32" i="2" s="1"/>
  <c r="CD32" i="2" s="1"/>
  <c r="BV42" i="2"/>
  <c r="BW42" i="2" s="1"/>
  <c r="BX42" i="2" s="1"/>
  <c r="BV30" i="2"/>
  <c r="BW30" i="2" s="1"/>
  <c r="BX30" i="2" s="1"/>
  <c r="DB55" i="2"/>
  <c r="DC55" i="2" s="1"/>
  <c r="CB55" i="2"/>
  <c r="CC55" i="2" s="1"/>
  <c r="CD55" i="2" s="1"/>
  <c r="DA55" i="2"/>
  <c r="DB45" i="2"/>
  <c r="CB45" i="2"/>
  <c r="CC45" i="2" s="1"/>
  <c r="CD45" i="2" s="1"/>
  <c r="DA45" i="2"/>
  <c r="DB35" i="2"/>
  <c r="DC35" i="2" s="1"/>
  <c r="CB35" i="2"/>
  <c r="CC35" i="2" s="1"/>
  <c r="CD35" i="2" s="1"/>
  <c r="DA35" i="2"/>
  <c r="DB24" i="2"/>
  <c r="CB24" i="2"/>
  <c r="CC24" i="2" s="1"/>
  <c r="CD24" i="2" s="1"/>
  <c r="DB14" i="2"/>
  <c r="CB14" i="2"/>
  <c r="CC14" i="2" s="1"/>
  <c r="CD14" i="2" s="1"/>
  <c r="DA14" i="2"/>
  <c r="CB64" i="2"/>
  <c r="CC64" i="2" s="1"/>
  <c r="CD64" i="2" s="1"/>
  <c r="CB53" i="2"/>
  <c r="CC53" i="2" s="1"/>
  <c r="CD53" i="2" s="1"/>
  <c r="CB42" i="2"/>
  <c r="CC42" i="2" s="1"/>
  <c r="CD42" i="2" s="1"/>
  <c r="CB30" i="2"/>
  <c r="CC30" i="2" s="1"/>
  <c r="CD30" i="2" s="1"/>
  <c r="CB19" i="2"/>
  <c r="CC19" i="2" s="1"/>
  <c r="CD19" i="2" s="1"/>
  <c r="CB8" i="2"/>
  <c r="CC8" i="2" s="1"/>
  <c r="CD8" i="2" s="1"/>
  <c r="CZ61" i="2"/>
  <c r="CY61" i="2"/>
  <c r="DC61" i="2" s="1"/>
  <c r="CH61" i="2"/>
  <c r="CI61" i="2" s="1"/>
  <c r="CJ61" i="2" s="1"/>
  <c r="CK61" i="2" s="1"/>
  <c r="CX61" i="2"/>
  <c r="CZ51" i="2"/>
  <c r="CZ41" i="2"/>
  <c r="CX30" i="2"/>
  <c r="CZ20" i="2"/>
  <c r="CX10" i="2"/>
  <c r="CH56" i="2"/>
  <c r="CI56" i="2" s="1"/>
  <c r="CJ56" i="2" s="1"/>
  <c r="CK56" i="2" s="1"/>
  <c r="CH15" i="2"/>
  <c r="CI15" i="2" s="1"/>
  <c r="CJ15" i="2" s="1"/>
  <c r="CK15" i="2" s="1"/>
  <c r="CX39" i="2"/>
  <c r="CY44" i="2"/>
  <c r="CZ59" i="2"/>
  <c r="DA43" i="2"/>
  <c r="DB19" i="2"/>
  <c r="CH62" i="2"/>
  <c r="CI62" i="2" s="1"/>
  <c r="CJ62" i="2" s="1"/>
  <c r="CK62" i="2" s="1"/>
  <c r="CH52" i="2"/>
  <c r="CI52" i="2" s="1"/>
  <c r="CJ52" i="2" s="1"/>
  <c r="CH42" i="2"/>
  <c r="CI42" i="2" s="1"/>
  <c r="CJ42" i="2" s="1"/>
  <c r="CK42" i="2" s="1"/>
  <c r="CH31" i="2"/>
  <c r="CI31" i="2" s="1"/>
  <c r="CJ31" i="2" s="1"/>
  <c r="CK31" i="2" s="1"/>
  <c r="CH21" i="2"/>
  <c r="CI21" i="2" s="1"/>
  <c r="CJ21" i="2" s="1"/>
  <c r="CK21" i="2" s="1"/>
  <c r="CH11" i="2"/>
  <c r="CI11" i="2" s="1"/>
  <c r="CJ11" i="2" s="1"/>
  <c r="CK11" i="2" s="1"/>
  <c r="CX15" i="2"/>
  <c r="CY53" i="2"/>
  <c r="CY42" i="2"/>
  <c r="DC42" i="2" s="1"/>
  <c r="CY30" i="2"/>
  <c r="CY19" i="2"/>
  <c r="CZ56" i="2"/>
  <c r="CZ31" i="2"/>
  <c r="CH51" i="2"/>
  <c r="CI51" i="2" s="1"/>
  <c r="CJ51" i="2" s="1"/>
  <c r="CK51" i="2" s="1"/>
  <c r="CH41" i="2"/>
  <c r="CI41" i="2" s="1"/>
  <c r="CJ41" i="2" s="1"/>
  <c r="CK41" i="2" s="1"/>
  <c r="CH30" i="2"/>
  <c r="CI30" i="2" s="1"/>
  <c r="CJ30" i="2" s="1"/>
  <c r="CK30" i="2" s="1"/>
  <c r="CH20" i="2"/>
  <c r="CI20" i="2" s="1"/>
  <c r="CJ20" i="2" s="1"/>
  <c r="CK20" i="2" s="1"/>
  <c r="CH10" i="2"/>
  <c r="CI10" i="2" s="1"/>
  <c r="CJ10" i="2" s="1"/>
  <c r="CK10" i="2" s="1"/>
  <c r="CX25" i="2"/>
  <c r="CY63" i="2"/>
  <c r="CY52" i="2"/>
  <c r="CY41" i="2"/>
  <c r="CY29" i="2"/>
  <c r="CZ30" i="2"/>
  <c r="CZ12" i="2"/>
  <c r="CH60" i="2"/>
  <c r="CI60" i="2" s="1"/>
  <c r="CJ60" i="2" s="1"/>
  <c r="CK60" i="2" s="1"/>
  <c r="CH40" i="2"/>
  <c r="CI40" i="2" s="1"/>
  <c r="CJ40" i="2" s="1"/>
  <c r="CK40" i="2" s="1"/>
  <c r="CX36" i="2"/>
  <c r="CY62" i="2"/>
  <c r="CY51" i="2"/>
  <c r="CZ43" i="2"/>
  <c r="CZ11" i="2"/>
  <c r="CX50" i="2"/>
  <c r="CX40" i="2"/>
  <c r="CZ40" i="2"/>
  <c r="CX29" i="2"/>
  <c r="CZ29" i="2"/>
  <c r="CX19" i="2"/>
  <c r="CZ19" i="2"/>
  <c r="CX9" i="2"/>
  <c r="CZ9" i="2"/>
  <c r="CX12" i="2"/>
  <c r="CY50" i="2"/>
  <c r="CZ53" i="2"/>
  <c r="CZ42" i="2"/>
  <c r="CZ10" i="2"/>
  <c r="CX22" i="2"/>
  <c r="CX11" i="2"/>
  <c r="CY60" i="2"/>
  <c r="DC60" i="2" s="1"/>
  <c r="CX21" i="2"/>
  <c r="CZ22" i="2"/>
  <c r="CX20" i="2"/>
  <c r="CZ50" i="2"/>
  <c r="DB56" i="2"/>
  <c r="DC56" i="2" s="1"/>
  <c r="DA56" i="2"/>
  <c r="DB46" i="2"/>
  <c r="DA46" i="2"/>
  <c r="DB36" i="2"/>
  <c r="DC36" i="2" s="1"/>
  <c r="DA36" i="2"/>
  <c r="DB25" i="2"/>
  <c r="DC25" i="2" s="1"/>
  <c r="DA25" i="2"/>
  <c r="DB15" i="2"/>
  <c r="DC15" i="2" s="1"/>
  <c r="DA15" i="2"/>
  <c r="DB5" i="2"/>
  <c r="DC5" i="2" s="1"/>
  <c r="DA5" i="2"/>
  <c r="CZ60" i="2"/>
  <c r="AT13" i="8"/>
  <c r="AQ26" i="8"/>
  <c r="AR26" i="8" s="1"/>
  <c r="AS26" i="8" s="1"/>
  <c r="AQ43" i="8"/>
  <c r="AR43" i="8" s="1"/>
  <c r="AS43" i="8" s="1"/>
  <c r="AQ46" i="8"/>
  <c r="AR46" i="8" s="1"/>
  <c r="AS46" i="8" s="1"/>
  <c r="AQ27" i="8"/>
  <c r="AR27" i="8" s="1"/>
  <c r="AS27" i="8" s="1"/>
  <c r="AQ28" i="8"/>
  <c r="AR28" i="8" s="1"/>
  <c r="AS28" i="8" s="1"/>
  <c r="AQ53" i="8"/>
  <c r="AR53" i="8" s="1"/>
  <c r="AS53" i="8" s="1"/>
  <c r="BD28" i="8"/>
  <c r="BD27" i="8"/>
  <c r="BD26" i="8"/>
  <c r="BC26" i="8"/>
  <c r="AQ36" i="8"/>
  <c r="AR36" i="8" s="1"/>
  <c r="AS36" i="8" s="1"/>
  <c r="BD13" i="8"/>
  <c r="BD12" i="8"/>
  <c r="AQ55" i="8"/>
  <c r="AR55" i="8" s="1"/>
  <c r="AS55" i="8" s="1"/>
  <c r="AQ54" i="8"/>
  <c r="AR54" i="8" s="1"/>
  <c r="AS54" i="8" s="1"/>
  <c r="AW36" i="5"/>
  <c r="AX36" i="5" s="1"/>
  <c r="BL36" i="5"/>
  <c r="BJ36" i="5"/>
  <c r="BK36" i="5"/>
  <c r="BB36" i="5"/>
  <c r="BC36" i="5" s="1"/>
  <c r="AR36" i="5"/>
  <c r="AS36" i="5" s="1"/>
  <c r="BH5" i="5"/>
  <c r="BD43" i="8"/>
  <c r="BC43" i="8"/>
  <c r="BD36" i="8"/>
  <c r="BC55" i="8"/>
  <c r="BC54" i="8"/>
  <c r="BV4" i="2"/>
  <c r="BW4" i="2" s="1"/>
  <c r="BX4" i="2" s="1"/>
  <c r="CB4" i="2"/>
  <c r="CC4" i="2" s="1"/>
  <c r="CH4" i="2"/>
  <c r="CI4" i="2" s="1"/>
  <c r="CJ4" i="2" s="1"/>
  <c r="CK4" i="2" s="1"/>
  <c r="BB55" i="5"/>
  <c r="BC55" i="5" s="1"/>
  <c r="BJ55" i="5"/>
  <c r="BB54" i="5"/>
  <c r="BC54" i="5" s="1"/>
  <c r="AR55" i="5"/>
  <c r="AS55" i="5" s="1"/>
  <c r="AT55" i="5" s="1"/>
  <c r="AW55" i="5"/>
  <c r="AX55" i="5" s="1"/>
  <c r="AW54" i="5"/>
  <c r="AX54" i="5" s="1"/>
  <c r="BK55" i="5"/>
  <c r="BL55" i="5"/>
  <c r="BJ54" i="5"/>
  <c r="BK54" i="5"/>
  <c r="AR54" i="5"/>
  <c r="AS54" i="5" s="1"/>
  <c r="AT54" i="5" s="1"/>
  <c r="BL54" i="5"/>
  <c r="AW60" i="5"/>
  <c r="AX60" i="5" s="1"/>
  <c r="AW50" i="5"/>
  <c r="AX50" i="5" s="1"/>
  <c r="AW40" i="5"/>
  <c r="AX40" i="5" s="1"/>
  <c r="AW30" i="5"/>
  <c r="AX30" i="5" s="1"/>
  <c r="AW20" i="5"/>
  <c r="AX20" i="5" s="1"/>
  <c r="AY20" i="5" s="1"/>
  <c r="AW10" i="5"/>
  <c r="AX10" i="5" s="1"/>
  <c r="AW46" i="5"/>
  <c r="AX46" i="5" s="1"/>
  <c r="AW37" i="5"/>
  <c r="AX37" i="5" s="1"/>
  <c r="AW25" i="5"/>
  <c r="AX25" i="5" s="1"/>
  <c r="AY25" i="5" s="1"/>
  <c r="AW16" i="5"/>
  <c r="AX16" i="5" s="1"/>
  <c r="AY16" i="5" s="1"/>
  <c r="AW6" i="5"/>
  <c r="AX6" i="5" s="1"/>
  <c r="BB58" i="5"/>
  <c r="BC58" i="5" s="1"/>
  <c r="BB47" i="5"/>
  <c r="BC47" i="5" s="1"/>
  <c r="BB28" i="5"/>
  <c r="BC28" i="5" s="1"/>
  <c r="BB18" i="5"/>
  <c r="BC18" i="5" s="1"/>
  <c r="BB8" i="5"/>
  <c r="BC8" i="5" s="1"/>
  <c r="BD60" i="5"/>
  <c r="BE60" i="5" s="1"/>
  <c r="BD50" i="5"/>
  <c r="BE50" i="5" s="1"/>
  <c r="BD40" i="5"/>
  <c r="BE40" i="5" s="1"/>
  <c r="BD31" i="5"/>
  <c r="BE31" i="5" s="1"/>
  <c r="BD21" i="5"/>
  <c r="BE21" i="5" s="1"/>
  <c r="BD12" i="5"/>
  <c r="BE12" i="5" s="1"/>
  <c r="AW65" i="5"/>
  <c r="AX65" i="5" s="1"/>
  <c r="AW57" i="5"/>
  <c r="AX57" i="5" s="1"/>
  <c r="AW45" i="5"/>
  <c r="AX45" i="5" s="1"/>
  <c r="AY45" i="5" s="1"/>
  <c r="AW35" i="5"/>
  <c r="AX35" i="5" s="1"/>
  <c r="AW26" i="5"/>
  <c r="AX26" i="5" s="1"/>
  <c r="AY26" i="5" s="1"/>
  <c r="AW15" i="5"/>
  <c r="AX15" i="5" s="1"/>
  <c r="BB5" i="5"/>
  <c r="BC5" i="5" s="1"/>
  <c r="BB46" i="5"/>
  <c r="BC46" i="5" s="1"/>
  <c r="BB37" i="5"/>
  <c r="BC37" i="5" s="1"/>
  <c r="BB27" i="5"/>
  <c r="BC27" i="5" s="1"/>
  <c r="BB17" i="5"/>
  <c r="BC17" i="5" s="1"/>
  <c r="BB7" i="5"/>
  <c r="BC7" i="5" s="1"/>
  <c r="BD49" i="5"/>
  <c r="BE49" i="5" s="1"/>
  <c r="BD39" i="5"/>
  <c r="BE39" i="5" s="1"/>
  <c r="BD30" i="5"/>
  <c r="BE30" i="5" s="1"/>
  <c r="BD20" i="5"/>
  <c r="BE20" i="5" s="1"/>
  <c r="BD10" i="5"/>
  <c r="BE10" i="5" s="1"/>
  <c r="AW64" i="5"/>
  <c r="AX64" i="5" s="1"/>
  <c r="AW52" i="5"/>
  <c r="AX52" i="5" s="1"/>
  <c r="AW43" i="5"/>
  <c r="AX43" i="5" s="1"/>
  <c r="AY43" i="5" s="1"/>
  <c r="AW34" i="5"/>
  <c r="AX34" i="5" s="1"/>
  <c r="AW24" i="5"/>
  <c r="AX24" i="5" s="1"/>
  <c r="AY24" i="5" s="1"/>
  <c r="AW14" i="5"/>
  <c r="AX14" i="5" s="1"/>
  <c r="BB65" i="5"/>
  <c r="BC65" i="5" s="1"/>
  <c r="BB57" i="5"/>
  <c r="BC57" i="5" s="1"/>
  <c r="BB45" i="5"/>
  <c r="BC45" i="5" s="1"/>
  <c r="BB35" i="5"/>
  <c r="BC35" i="5" s="1"/>
  <c r="BB25" i="5"/>
  <c r="BC25" i="5" s="1"/>
  <c r="BB16" i="5"/>
  <c r="BC16" i="5" s="1"/>
  <c r="BB6" i="5"/>
  <c r="BC6" i="5" s="1"/>
  <c r="BD59" i="5"/>
  <c r="BE59" i="5" s="1"/>
  <c r="BD48" i="5"/>
  <c r="BE48" i="5" s="1"/>
  <c r="BD38" i="5"/>
  <c r="BE38" i="5" s="1"/>
  <c r="BD29" i="5"/>
  <c r="BE29" i="5" s="1"/>
  <c r="BD19" i="5"/>
  <c r="BE19" i="5" s="1"/>
  <c r="BD9" i="5"/>
  <c r="BE9" i="5" s="1"/>
  <c r="AW63" i="5"/>
  <c r="AX63" i="5" s="1"/>
  <c r="AW56" i="5"/>
  <c r="AX56" i="5" s="1"/>
  <c r="AW44" i="5"/>
  <c r="AX44" i="5" s="1"/>
  <c r="AY44" i="5" s="1"/>
  <c r="AW33" i="5"/>
  <c r="AX33" i="5" s="1"/>
  <c r="AW23" i="5"/>
  <c r="AX23" i="5" s="1"/>
  <c r="AY23" i="5" s="1"/>
  <c r="AW13" i="5"/>
  <c r="AX13" i="5" s="1"/>
  <c r="BB64" i="5"/>
  <c r="BC64" i="5" s="1"/>
  <c r="BB52" i="5"/>
  <c r="BC52" i="5" s="1"/>
  <c r="BB43" i="5"/>
  <c r="BC43" i="5" s="1"/>
  <c r="BB26" i="5"/>
  <c r="BC26" i="5" s="1"/>
  <c r="BB15" i="5"/>
  <c r="BC15" i="5" s="1"/>
  <c r="BD58" i="5"/>
  <c r="BE58" i="5" s="1"/>
  <c r="BD47" i="5"/>
  <c r="BE47" i="5" s="1"/>
  <c r="BD28" i="5"/>
  <c r="BE28" i="5" s="1"/>
  <c r="BD18" i="5"/>
  <c r="BE18" i="5" s="1"/>
  <c r="BD8" i="5"/>
  <c r="BE8" i="5" s="1"/>
  <c r="AW62" i="5"/>
  <c r="AX62" i="5" s="1"/>
  <c r="AW53" i="5"/>
  <c r="AX53" i="5" s="1"/>
  <c r="AW42" i="5"/>
  <c r="AX42" i="5" s="1"/>
  <c r="AY42" i="5" s="1"/>
  <c r="AW32" i="5"/>
  <c r="AX32" i="5" s="1"/>
  <c r="AW22" i="5"/>
  <c r="AX22" i="5" s="1"/>
  <c r="AY22" i="5" s="1"/>
  <c r="AW11" i="5"/>
  <c r="AX11" i="5" s="1"/>
  <c r="BB63" i="5"/>
  <c r="BC63" i="5" s="1"/>
  <c r="BB56" i="5"/>
  <c r="BC56" i="5" s="1"/>
  <c r="BB44" i="5"/>
  <c r="BC44" i="5" s="1"/>
  <c r="BB34" i="5"/>
  <c r="BC34" i="5" s="1"/>
  <c r="BB24" i="5"/>
  <c r="BC24" i="5" s="1"/>
  <c r="BB14" i="5"/>
  <c r="BC14" i="5" s="1"/>
  <c r="BD27" i="5"/>
  <c r="BE27" i="5" s="1"/>
  <c r="BD17" i="5"/>
  <c r="BE17" i="5" s="1"/>
  <c r="BD7" i="5"/>
  <c r="BE7" i="5" s="1"/>
  <c r="AW61" i="5"/>
  <c r="AX61" i="5" s="1"/>
  <c r="AW51" i="5"/>
  <c r="AX51" i="5" s="1"/>
  <c r="AW41" i="5"/>
  <c r="AX41" i="5" s="1"/>
  <c r="AY41" i="5" s="1"/>
  <c r="AW31" i="5"/>
  <c r="AX31" i="5" s="1"/>
  <c r="AW21" i="5"/>
  <c r="AX21" i="5" s="1"/>
  <c r="AY21" i="5" s="1"/>
  <c r="AW12" i="5"/>
  <c r="AX12" i="5" s="1"/>
  <c r="BB62" i="5"/>
  <c r="BC62" i="5" s="1"/>
  <c r="BB53" i="5"/>
  <c r="BC53" i="5" s="1"/>
  <c r="BB42" i="5"/>
  <c r="BC42" i="5" s="1"/>
  <c r="BB33" i="5"/>
  <c r="BC33" i="5" s="1"/>
  <c r="BB23" i="5"/>
  <c r="BC23" i="5" s="1"/>
  <c r="BB13" i="5"/>
  <c r="BC13" i="5" s="1"/>
  <c r="BB61" i="5"/>
  <c r="BC61" i="5" s="1"/>
  <c r="BB51" i="5"/>
  <c r="BC51" i="5" s="1"/>
  <c r="BB41" i="5"/>
  <c r="BC41" i="5" s="1"/>
  <c r="BB32" i="5"/>
  <c r="BC32" i="5" s="1"/>
  <c r="BB22" i="5"/>
  <c r="BC22" i="5" s="1"/>
  <c r="BB11" i="5"/>
  <c r="BC11" i="5" s="1"/>
  <c r="AW49" i="5"/>
  <c r="AX49" i="5" s="1"/>
  <c r="AW39" i="5"/>
  <c r="AX39" i="5" s="1"/>
  <c r="AW29" i="5"/>
  <c r="AX29" i="5" s="1"/>
  <c r="AY29" i="5" s="1"/>
  <c r="AW19" i="5"/>
  <c r="AX19" i="5" s="1"/>
  <c r="AY19" i="5" s="1"/>
  <c r="AW9" i="5"/>
  <c r="AX9" i="5" s="1"/>
  <c r="AW59" i="5"/>
  <c r="AX59" i="5" s="1"/>
  <c r="AW48" i="5"/>
  <c r="AX48" i="5" s="1"/>
  <c r="AW38" i="5"/>
  <c r="AX38" i="5" s="1"/>
  <c r="BC53" i="8"/>
  <c r="BJ53" i="5"/>
  <c r="BK53" i="5"/>
  <c r="BL53" i="5"/>
  <c r="AR53" i="5"/>
  <c r="AS53" i="5" s="1"/>
  <c r="CZ4" i="2"/>
  <c r="CX4" i="2"/>
  <c r="DC4" i="2"/>
  <c r="DA4" i="2"/>
  <c r="Z11" i="5"/>
  <c r="Z16" i="5"/>
  <c r="Z22" i="5"/>
  <c r="Z26" i="5"/>
  <c r="Z31" i="5"/>
  <c r="Z37" i="5"/>
  <c r="Z39" i="5"/>
  <c r="Z42" i="5"/>
  <c r="Z44" i="5"/>
  <c r="Z45" i="5"/>
  <c r="Z48" i="5"/>
  <c r="Z49" i="5"/>
  <c r="Z50" i="5"/>
  <c r="Z51" i="5"/>
  <c r="AQ5" i="5"/>
  <c r="Z52" i="5"/>
  <c r="AQ6" i="5"/>
  <c r="BK6" i="5" s="1"/>
  <c r="AQ7" i="5"/>
  <c r="BK7" i="5" s="1"/>
  <c r="AQ8" i="5"/>
  <c r="BJ8" i="5" s="1"/>
  <c r="AQ9" i="5"/>
  <c r="BK9" i="5" s="1"/>
  <c r="AQ10" i="5"/>
  <c r="BL10" i="5" s="1"/>
  <c r="AQ12" i="5"/>
  <c r="BL12" i="5" s="1"/>
  <c r="AQ11" i="5"/>
  <c r="BL11" i="5" s="1"/>
  <c r="AQ13" i="5"/>
  <c r="BL13" i="5" s="1"/>
  <c r="AQ14" i="5"/>
  <c r="BL14" i="5" s="1"/>
  <c r="AQ15" i="5"/>
  <c r="BK15" i="5" s="1"/>
  <c r="AQ16" i="5"/>
  <c r="BK16" i="5" s="1"/>
  <c r="AQ17" i="5"/>
  <c r="BK17" i="5" s="1"/>
  <c r="AQ18" i="5"/>
  <c r="BK18" i="5" s="1"/>
  <c r="AQ19" i="5"/>
  <c r="BK19" i="5" s="1"/>
  <c r="AQ20" i="5"/>
  <c r="BL20" i="5" s="1"/>
  <c r="AQ21" i="5"/>
  <c r="BL21" i="5" s="1"/>
  <c r="AQ22" i="5"/>
  <c r="BL22" i="5" s="1"/>
  <c r="AQ23" i="5"/>
  <c r="BL23" i="5" s="1"/>
  <c r="AQ24" i="5"/>
  <c r="BL24" i="5" s="1"/>
  <c r="AQ26" i="5"/>
  <c r="BK26" i="5" s="1"/>
  <c r="AQ25" i="5"/>
  <c r="BK25" i="5" s="1"/>
  <c r="AQ27" i="5"/>
  <c r="BK27" i="5" s="1"/>
  <c r="AQ28" i="5"/>
  <c r="BJ28" i="5" s="1"/>
  <c r="AQ29" i="5"/>
  <c r="BK29" i="5" s="1"/>
  <c r="AQ30" i="5"/>
  <c r="BL30" i="5" s="1"/>
  <c r="AQ31" i="5"/>
  <c r="BL31" i="5" s="1"/>
  <c r="AQ32" i="5"/>
  <c r="BL32" i="5" s="1"/>
  <c r="AQ33" i="5"/>
  <c r="BL33" i="5" s="1"/>
  <c r="AQ34" i="5"/>
  <c r="BL34" i="5" s="1"/>
  <c r="AQ35" i="5"/>
  <c r="BK35" i="5" s="1"/>
  <c r="AQ37" i="5"/>
  <c r="BK37" i="5" s="1"/>
  <c r="AQ38" i="5"/>
  <c r="BJ38" i="5" s="1"/>
  <c r="AQ39" i="5"/>
  <c r="BK39" i="5" s="1"/>
  <c r="AQ40" i="5"/>
  <c r="BL40" i="5" s="1"/>
  <c r="AQ41" i="5"/>
  <c r="BL41" i="5" s="1"/>
  <c r="AQ42" i="5"/>
  <c r="BL42" i="5" s="1"/>
  <c r="AQ44" i="5"/>
  <c r="BL44" i="5" s="1"/>
  <c r="AQ43" i="5"/>
  <c r="BL43" i="5" s="1"/>
  <c r="AQ45" i="5"/>
  <c r="BJ45" i="5" s="1"/>
  <c r="AQ46" i="5"/>
  <c r="AQ47" i="5"/>
  <c r="AQ48" i="5"/>
  <c r="AQ49" i="5"/>
  <c r="BL49" i="5" s="1"/>
  <c r="AQ50" i="5"/>
  <c r="BJ50" i="5" s="1"/>
  <c r="AQ51" i="5"/>
  <c r="BK51" i="5" s="1"/>
  <c r="AQ56" i="5"/>
  <c r="BL56" i="5" s="1"/>
  <c r="AQ52" i="5"/>
  <c r="BL52" i="5" s="1"/>
  <c r="AQ57" i="5"/>
  <c r="BK57" i="5" s="1"/>
  <c r="AQ58" i="5"/>
  <c r="BL58" i="5" s="1"/>
  <c r="AQ59" i="5"/>
  <c r="BL59" i="5" s="1"/>
  <c r="AQ60" i="5"/>
  <c r="BK60" i="5" s="1"/>
  <c r="AQ61" i="5"/>
  <c r="BK61" i="5" s="1"/>
  <c r="AQ62" i="5"/>
  <c r="BJ62" i="5" s="1"/>
  <c r="AQ63" i="5"/>
  <c r="AQ64" i="5"/>
  <c r="BJ64" i="5" s="1"/>
  <c r="AQ65" i="5"/>
  <c r="BK65" i="5" s="1"/>
  <c r="P34" i="5"/>
  <c r="Z5" i="5"/>
  <c r="P5" i="5"/>
  <c r="P19" i="5"/>
  <c r="Z60" i="5"/>
  <c r="P56" i="5"/>
  <c r="P52" i="5"/>
  <c r="P57" i="5"/>
  <c r="P58" i="5"/>
  <c r="P59" i="5"/>
  <c r="P61" i="5"/>
  <c r="P62" i="5"/>
  <c r="AO34" i="8"/>
  <c r="AP34" i="8"/>
  <c r="AZ34" i="8"/>
  <c r="BB34" i="8"/>
  <c r="AW34" i="8"/>
  <c r="AY34" i="8"/>
  <c r="AX34" i="8"/>
  <c r="AV34" i="8"/>
  <c r="BB5" i="8"/>
  <c r="AZ5" i="8"/>
  <c r="AY5" i="8"/>
  <c r="AX5" i="8"/>
  <c r="AW5" i="8"/>
  <c r="AV5" i="8"/>
  <c r="AP5" i="8"/>
  <c r="AO5" i="8"/>
  <c r="O5" i="8"/>
  <c r="O6" i="8"/>
  <c r="AP19" i="8"/>
  <c r="O19" i="8"/>
  <c r="AO58" i="8"/>
  <c r="AO59" i="8"/>
  <c r="AP56" i="8"/>
  <c r="AP57" i="8"/>
  <c r="AP58" i="8"/>
  <c r="AP59" i="8"/>
  <c r="AP60" i="8"/>
  <c r="AP61" i="8"/>
  <c r="AP62" i="8"/>
  <c r="AP63" i="8"/>
  <c r="AO60" i="8"/>
  <c r="R59" i="2"/>
  <c r="AD18" i="2"/>
  <c r="AR18" i="2"/>
  <c r="AR55" i="2"/>
  <c r="AD55" i="2"/>
  <c r="X55" i="2"/>
  <c r="R55" i="2"/>
  <c r="X56" i="2"/>
  <c r="R56" i="2"/>
  <c r="AR56" i="2"/>
  <c r="AD56" i="2"/>
  <c r="AR57" i="2"/>
  <c r="AR58" i="2"/>
  <c r="AD57" i="2"/>
  <c r="AD58" i="2"/>
  <c r="R58" i="2"/>
  <c r="X57" i="2"/>
  <c r="X58" i="2"/>
  <c r="AZ7" i="8"/>
  <c r="AZ8" i="8"/>
  <c r="AZ9" i="8"/>
  <c r="AZ10" i="8"/>
  <c r="AZ11" i="8"/>
  <c r="AZ28" i="8"/>
  <c r="AZ29" i="8"/>
  <c r="AZ30" i="8"/>
  <c r="AZ31" i="8"/>
  <c r="AZ32" i="8"/>
  <c r="AZ33" i="8"/>
  <c r="AZ35" i="8"/>
  <c r="AZ37" i="8"/>
  <c r="AZ38" i="8"/>
  <c r="AZ39" i="8"/>
  <c r="AZ40" i="8"/>
  <c r="AZ42" i="8"/>
  <c r="AZ44" i="8"/>
  <c r="AZ45" i="8"/>
  <c r="AZ46" i="8"/>
  <c r="AZ48" i="8"/>
  <c r="AZ49" i="8"/>
  <c r="AZ50" i="8"/>
  <c r="AZ51" i="8"/>
  <c r="AZ56" i="8"/>
  <c r="AZ52" i="8"/>
  <c r="AZ57" i="8"/>
  <c r="AZ58" i="8"/>
  <c r="AZ59" i="8"/>
  <c r="AZ60" i="8"/>
  <c r="AZ61" i="8"/>
  <c r="AZ62" i="8"/>
  <c r="AZ63" i="8"/>
  <c r="AZ64" i="8"/>
  <c r="AZ65" i="8"/>
  <c r="AZ6" i="8"/>
  <c r="AR59" i="2"/>
  <c r="AR60" i="2"/>
  <c r="AR61" i="2"/>
  <c r="R60" i="2"/>
  <c r="R61" i="2"/>
  <c r="R62" i="2"/>
  <c r="X59" i="2"/>
  <c r="X60" i="2"/>
  <c r="X61" i="2"/>
  <c r="X62" i="2"/>
  <c r="X63" i="2"/>
  <c r="AD61" i="2"/>
  <c r="AD59" i="2"/>
  <c r="AD60" i="2"/>
  <c r="DJ5" i="2"/>
  <c r="CE26" i="2" l="1"/>
  <c r="BY13" i="2"/>
  <c r="CE29" i="2"/>
  <c r="BY64" i="2"/>
  <c r="BY46" i="2"/>
  <c r="AY53" i="5"/>
  <c r="AZ53" i="5" s="1"/>
  <c r="BH29" i="5"/>
  <c r="BF29" i="5"/>
  <c r="BG29" i="5" s="1"/>
  <c r="BH39" i="5"/>
  <c r="BF39" i="5"/>
  <c r="BG39" i="5" s="1"/>
  <c r="AY10" i="5"/>
  <c r="AZ10" i="5" s="1"/>
  <c r="AY62" i="5"/>
  <c r="AZ62" i="5" s="1"/>
  <c r="BF49" i="5"/>
  <c r="BG49" i="5" s="1"/>
  <c r="BA59" i="5"/>
  <c r="AY59" i="5"/>
  <c r="AZ59" i="5" s="1"/>
  <c r="BA31" i="5"/>
  <c r="AY31" i="5"/>
  <c r="AZ31" i="5" s="1"/>
  <c r="BF18" i="5"/>
  <c r="BG18" i="5" s="1"/>
  <c r="AZ23" i="5"/>
  <c r="BA23" i="5"/>
  <c r="BF59" i="5"/>
  <c r="BG59" i="5" s="1"/>
  <c r="BA65" i="5"/>
  <c r="AY65" i="5"/>
  <c r="AZ65" i="5" s="1"/>
  <c r="BA40" i="5"/>
  <c r="AY40" i="5"/>
  <c r="AZ40" i="5" s="1"/>
  <c r="AY55" i="5"/>
  <c r="AZ55" i="5" s="1"/>
  <c r="BH23" i="5"/>
  <c r="AY9" i="5"/>
  <c r="AZ9" i="5" s="1"/>
  <c r="AZ41" i="5"/>
  <c r="BA41" i="5"/>
  <c r="BF28" i="5"/>
  <c r="BG28" i="5" s="1"/>
  <c r="AY33" i="5"/>
  <c r="AZ33" i="5" s="1"/>
  <c r="AZ43" i="5"/>
  <c r="BA43" i="5"/>
  <c r="BF12" i="5"/>
  <c r="BG12" i="5" s="1"/>
  <c r="BA50" i="5"/>
  <c r="AY50" i="5"/>
  <c r="AZ50" i="5" s="1"/>
  <c r="AV55" i="5"/>
  <c r="AU55" i="5"/>
  <c r="BH42" i="5"/>
  <c r="AY14" i="5"/>
  <c r="AZ14" i="5" s="1"/>
  <c r="AZ19" i="5"/>
  <c r="BA19" i="5"/>
  <c r="AY51" i="5"/>
  <c r="AZ51" i="5" s="1"/>
  <c r="BH47" i="5"/>
  <c r="BF47" i="5"/>
  <c r="BG47" i="5" s="1"/>
  <c r="AZ44" i="5"/>
  <c r="BA44" i="5"/>
  <c r="AY52" i="5"/>
  <c r="AZ52" i="5" s="1"/>
  <c r="BF21" i="5"/>
  <c r="BG21" i="5" s="1"/>
  <c r="AY6" i="5"/>
  <c r="AZ6" i="5" s="1"/>
  <c r="BA60" i="5"/>
  <c r="AY60" i="5"/>
  <c r="AZ60" i="5" s="1"/>
  <c r="BH53" i="5"/>
  <c r="BH22" i="5"/>
  <c r="AZ20" i="5"/>
  <c r="BA20" i="5"/>
  <c r="AT53" i="5"/>
  <c r="AU53" i="5" s="1"/>
  <c r="AZ29" i="5"/>
  <c r="BA29" i="5"/>
  <c r="BA61" i="5"/>
  <c r="AY61" i="5"/>
  <c r="AZ61" i="5" s="1"/>
  <c r="AY11" i="5"/>
  <c r="AZ11" i="5" s="1"/>
  <c r="BF58" i="5"/>
  <c r="BG58" i="5" s="1"/>
  <c r="AY56" i="5"/>
  <c r="AZ56" i="5" s="1"/>
  <c r="AY64" i="5"/>
  <c r="AZ64" i="5" s="1"/>
  <c r="BH31" i="5"/>
  <c r="BF31" i="5"/>
  <c r="BG31" i="5" s="1"/>
  <c r="BA16" i="5"/>
  <c r="AZ16" i="5"/>
  <c r="BF38" i="5"/>
  <c r="BG38" i="5" s="1"/>
  <c r="AZ21" i="5"/>
  <c r="BA21" i="5"/>
  <c r="AY13" i="5"/>
  <c r="AZ13" i="5" s="1"/>
  <c r="BA36" i="5"/>
  <c r="AY36" i="5"/>
  <c r="AZ36" i="5" s="1"/>
  <c r="BA63" i="5"/>
  <c r="AY63" i="5"/>
  <c r="AZ63" i="5" s="1"/>
  <c r="BF10" i="5"/>
  <c r="BG10" i="5" s="1"/>
  <c r="AZ25" i="5"/>
  <c r="BA25" i="5"/>
  <c r="AV54" i="5"/>
  <c r="AU54" i="5"/>
  <c r="AV36" i="5"/>
  <c r="AT36" i="5"/>
  <c r="AU36" i="5" s="1"/>
  <c r="BA38" i="5"/>
  <c r="AY38" i="5"/>
  <c r="AZ38" i="5" s="1"/>
  <c r="AZ45" i="5"/>
  <c r="BA45" i="5"/>
  <c r="AZ24" i="5"/>
  <c r="BA24" i="5"/>
  <c r="AY57" i="5"/>
  <c r="AZ57" i="5" s="1"/>
  <c r="BA54" i="5"/>
  <c r="AY54" i="5"/>
  <c r="AZ54" i="5" s="1"/>
  <c r="BA39" i="5"/>
  <c r="AY39" i="5"/>
  <c r="AZ39" i="5" s="1"/>
  <c r="BF7" i="5"/>
  <c r="BF40" i="5"/>
  <c r="BG40" i="5" s="1"/>
  <c r="AY49" i="5"/>
  <c r="AZ49" i="5" s="1"/>
  <c r="BH17" i="5"/>
  <c r="BF17" i="5"/>
  <c r="BG17" i="5" s="1"/>
  <c r="BA32" i="5"/>
  <c r="AY32" i="5"/>
  <c r="AZ32" i="5" s="1"/>
  <c r="BF9" i="5"/>
  <c r="BG9" i="5" s="1"/>
  <c r="BF20" i="5"/>
  <c r="BG20" i="5" s="1"/>
  <c r="AY15" i="5"/>
  <c r="AZ15" i="5" s="1"/>
  <c r="BH50" i="5"/>
  <c r="BF50" i="5"/>
  <c r="BG50" i="5" s="1"/>
  <c r="BA37" i="5"/>
  <c r="AY37" i="5"/>
  <c r="AZ37" i="5" s="1"/>
  <c r="BH63" i="5"/>
  <c r="BH11" i="5"/>
  <c r="AY12" i="5"/>
  <c r="AZ12" i="5" s="1"/>
  <c r="AY48" i="5"/>
  <c r="AZ48" i="5" s="1"/>
  <c r="BF8" i="5"/>
  <c r="BG8" i="5" s="1"/>
  <c r="BH48" i="5"/>
  <c r="BF48" i="5"/>
  <c r="BG48" i="5" s="1"/>
  <c r="AY30" i="5"/>
  <c r="AZ30" i="5" s="1"/>
  <c r="AZ22" i="5"/>
  <c r="BA22" i="5"/>
  <c r="BF27" i="5"/>
  <c r="BG27" i="5" s="1"/>
  <c r="AZ42" i="5"/>
  <c r="BA42" i="5"/>
  <c r="BF19" i="5"/>
  <c r="BG19" i="5" s="1"/>
  <c r="BF30" i="5"/>
  <c r="BG30" i="5" s="1"/>
  <c r="BA26" i="5"/>
  <c r="AZ26" i="5"/>
  <c r="BF60" i="5"/>
  <c r="BG60" i="5" s="1"/>
  <c r="BA46" i="5"/>
  <c r="AY46" i="5"/>
  <c r="AZ46" i="5" s="1"/>
  <c r="BH52" i="5"/>
  <c r="BH32" i="5"/>
  <c r="AY34" i="5"/>
  <c r="AY35" i="5"/>
  <c r="AZ35" i="5" s="1"/>
  <c r="CT54" i="2"/>
  <c r="CS54" i="2"/>
  <c r="CT58" i="2"/>
  <c r="CS58" i="2"/>
  <c r="CT24" i="2"/>
  <c r="CS24" i="2"/>
  <c r="CT15" i="2"/>
  <c r="CS15" i="2"/>
  <c r="CT57" i="2"/>
  <c r="CS57" i="2"/>
  <c r="CT5" i="2"/>
  <c r="CS5" i="2"/>
  <c r="CT40" i="2"/>
  <c r="CS40" i="2"/>
  <c r="CT21" i="2"/>
  <c r="CS21" i="2"/>
  <c r="CT12" i="2"/>
  <c r="CS12" i="2"/>
  <c r="CT22" i="2"/>
  <c r="CS22" i="2"/>
  <c r="CT6" i="2"/>
  <c r="CS6" i="2"/>
  <c r="CT55" i="2"/>
  <c r="CS55" i="2"/>
  <c r="CT32" i="2"/>
  <c r="CS32" i="2"/>
  <c r="BY36" i="2"/>
  <c r="CT38" i="2"/>
  <c r="CS38" i="2"/>
  <c r="CT35" i="2"/>
  <c r="CS35" i="2"/>
  <c r="CT11" i="2"/>
  <c r="CS11" i="2"/>
  <c r="CT16" i="2"/>
  <c r="CS16" i="2"/>
  <c r="CT62" i="2"/>
  <c r="CS62" i="2"/>
  <c r="CT52" i="2"/>
  <c r="CS52" i="2"/>
  <c r="CT31" i="2"/>
  <c r="CS31" i="2"/>
  <c r="CT26" i="2"/>
  <c r="CS26" i="2"/>
  <c r="CT60" i="2"/>
  <c r="CS60" i="2"/>
  <c r="CT27" i="2"/>
  <c r="CS27" i="2"/>
  <c r="CT7" i="2"/>
  <c r="CS7" i="2"/>
  <c r="CT8" i="2"/>
  <c r="CS8" i="2"/>
  <c r="CT43" i="2"/>
  <c r="CS43" i="2"/>
  <c r="CT56" i="2"/>
  <c r="CS56" i="2"/>
  <c r="CT17" i="2"/>
  <c r="CS17" i="2"/>
  <c r="CT59" i="2"/>
  <c r="CS59" i="2"/>
  <c r="BY14" i="2"/>
  <c r="CT46" i="2"/>
  <c r="CS46" i="2"/>
  <c r="CT47" i="2"/>
  <c r="CS47" i="2"/>
  <c r="CT49" i="2"/>
  <c r="CS49" i="2"/>
  <c r="CT48" i="2"/>
  <c r="CS48" i="2"/>
  <c r="CT28" i="2"/>
  <c r="CS28" i="2"/>
  <c r="CT45" i="2"/>
  <c r="CS45" i="2"/>
  <c r="BY24" i="2"/>
  <c r="CT30" i="2"/>
  <c r="CS30" i="2"/>
  <c r="CT10" i="2"/>
  <c r="CS10" i="2"/>
  <c r="CT41" i="2"/>
  <c r="CS41" i="2"/>
  <c r="CT23" i="2"/>
  <c r="CS23" i="2"/>
  <c r="CT44" i="2"/>
  <c r="CS44" i="2"/>
  <c r="CT61" i="2"/>
  <c r="CS61" i="2"/>
  <c r="CT18" i="2"/>
  <c r="CS18" i="2"/>
  <c r="CT19" i="2"/>
  <c r="CS19" i="2"/>
  <c r="CT37" i="2"/>
  <c r="CS37" i="2"/>
  <c r="CT51" i="2"/>
  <c r="CS51" i="2"/>
  <c r="BY7" i="2"/>
  <c r="CT50" i="2"/>
  <c r="CS50" i="2"/>
  <c r="CT20" i="2"/>
  <c r="CS20" i="2"/>
  <c r="CT14" i="2"/>
  <c r="CS14" i="2"/>
  <c r="CT34" i="2"/>
  <c r="CS34" i="2"/>
  <c r="CT64" i="2"/>
  <c r="CS64" i="2"/>
  <c r="CT53" i="2"/>
  <c r="CS53" i="2"/>
  <c r="CT42" i="2"/>
  <c r="CS42" i="2"/>
  <c r="CT39" i="2"/>
  <c r="CS39" i="2"/>
  <c r="CT29" i="2"/>
  <c r="CS29" i="2"/>
  <c r="CT9" i="2"/>
  <c r="CS9" i="2"/>
  <c r="CT13" i="2"/>
  <c r="CS13" i="2"/>
  <c r="BY52" i="2"/>
  <c r="CL63" i="2"/>
  <c r="CK63" i="2"/>
  <c r="CL47" i="2"/>
  <c r="DC46" i="2"/>
  <c r="CL60" i="2"/>
  <c r="CL30" i="2"/>
  <c r="CL11" i="2"/>
  <c r="CL14" i="2"/>
  <c r="CL5" i="2"/>
  <c r="CL48" i="2"/>
  <c r="CL23" i="2"/>
  <c r="CL25" i="2"/>
  <c r="CL20" i="2"/>
  <c r="CL57" i="2"/>
  <c r="CL41" i="2"/>
  <c r="CL21" i="2"/>
  <c r="CL15" i="2"/>
  <c r="CL28" i="2"/>
  <c r="CL45" i="2"/>
  <c r="CL59" i="2"/>
  <c r="CL46" i="2"/>
  <c r="CL34" i="2"/>
  <c r="CL9" i="2"/>
  <c r="CL56" i="2"/>
  <c r="CL17" i="2"/>
  <c r="CL44" i="2"/>
  <c r="CL36" i="2"/>
  <c r="CL53" i="2"/>
  <c r="CL10" i="2"/>
  <c r="CL49" i="2"/>
  <c r="CL4" i="2"/>
  <c r="CJ65" i="2"/>
  <c r="CL61" i="2"/>
  <c r="CL39" i="2"/>
  <c r="CL42" i="2"/>
  <c r="CL38" i="2"/>
  <c r="CL64" i="2"/>
  <c r="CL27" i="2"/>
  <c r="CL54" i="2"/>
  <c r="CL58" i="2"/>
  <c r="CL24" i="2"/>
  <c r="BY17" i="2"/>
  <c r="BY35" i="2"/>
  <c r="CL19" i="2"/>
  <c r="CL22" i="2"/>
  <c r="CL62" i="2"/>
  <c r="CL43" i="2"/>
  <c r="CL55" i="2"/>
  <c r="CL12" i="2"/>
  <c r="CL18" i="2"/>
  <c r="BY55" i="2"/>
  <c r="CL29" i="2"/>
  <c r="CL37" i="2"/>
  <c r="CL51" i="2"/>
  <c r="CL8" i="2"/>
  <c r="CL6" i="2"/>
  <c r="CL32" i="2"/>
  <c r="BY15" i="2"/>
  <c r="BY29" i="2"/>
  <c r="CE6" i="2"/>
  <c r="CL50" i="2"/>
  <c r="CL7" i="2"/>
  <c r="CL40" i="2"/>
  <c r="CL31" i="2"/>
  <c r="CL52" i="2"/>
  <c r="CL16" i="2"/>
  <c r="DC6" i="2"/>
  <c r="CL35" i="2"/>
  <c r="CL26" i="2"/>
  <c r="BY47" i="2"/>
  <c r="CL13" i="2"/>
  <c r="CE16" i="2"/>
  <c r="CF24" i="2"/>
  <c r="CE24" i="2"/>
  <c r="CF11" i="2"/>
  <c r="CE11" i="2"/>
  <c r="CF61" i="2"/>
  <c r="CE61" i="2"/>
  <c r="CF51" i="2"/>
  <c r="CE51" i="2"/>
  <c r="CF8" i="2"/>
  <c r="CE8" i="2"/>
  <c r="DC24" i="2"/>
  <c r="CF22" i="2"/>
  <c r="CE22" i="2"/>
  <c r="CF57" i="2"/>
  <c r="CE57" i="2"/>
  <c r="CF63" i="2"/>
  <c r="CE63" i="2"/>
  <c r="CF18" i="2"/>
  <c r="CE18" i="2"/>
  <c r="CF30" i="2"/>
  <c r="CE30" i="2"/>
  <c r="CF35" i="2"/>
  <c r="CE35" i="2"/>
  <c r="CF32" i="2"/>
  <c r="CE32" i="2"/>
  <c r="CF46" i="2"/>
  <c r="CE46" i="2"/>
  <c r="CF25" i="2"/>
  <c r="CE25" i="2"/>
  <c r="CF38" i="2"/>
  <c r="CE38" i="2"/>
  <c r="CF28" i="2"/>
  <c r="CE28" i="2"/>
  <c r="CF42" i="2"/>
  <c r="CE42" i="2"/>
  <c r="CF56" i="2"/>
  <c r="CE56" i="2"/>
  <c r="CF9" i="2"/>
  <c r="CE9" i="2"/>
  <c r="CF49" i="2"/>
  <c r="CE49" i="2"/>
  <c r="CF41" i="2"/>
  <c r="CE41" i="2"/>
  <c r="CF7" i="2"/>
  <c r="CE7" i="2"/>
  <c r="CF53" i="2"/>
  <c r="CE53" i="2"/>
  <c r="CF20" i="2"/>
  <c r="CE20" i="2"/>
  <c r="CF21" i="2"/>
  <c r="CE21" i="2"/>
  <c r="CF12" i="2"/>
  <c r="CE12" i="2"/>
  <c r="CF60" i="2"/>
  <c r="CE60" i="2"/>
  <c r="CF17" i="2"/>
  <c r="CE17" i="2"/>
  <c r="CF64" i="2"/>
  <c r="CE64" i="2"/>
  <c r="CF45" i="2"/>
  <c r="CE45" i="2"/>
  <c r="CF31" i="2"/>
  <c r="CE31" i="2"/>
  <c r="DC17" i="2"/>
  <c r="CF23" i="2"/>
  <c r="CE23" i="2"/>
  <c r="CF5" i="2"/>
  <c r="CE5" i="2"/>
  <c r="BY6" i="2"/>
  <c r="CF62" i="2"/>
  <c r="CE62" i="2"/>
  <c r="BY18" i="2"/>
  <c r="CF48" i="2"/>
  <c r="CE48" i="2"/>
  <c r="CF13" i="2"/>
  <c r="CE13" i="2"/>
  <c r="CF15" i="2"/>
  <c r="CE15" i="2"/>
  <c r="CF43" i="2"/>
  <c r="CE43" i="2"/>
  <c r="CF36" i="2"/>
  <c r="CE36" i="2"/>
  <c r="CF27" i="2"/>
  <c r="CE27" i="2"/>
  <c r="CF44" i="2"/>
  <c r="CE44" i="2"/>
  <c r="CF52" i="2"/>
  <c r="CE52" i="2"/>
  <c r="CF58" i="2"/>
  <c r="CE58" i="2"/>
  <c r="CF40" i="2"/>
  <c r="CE40" i="2"/>
  <c r="CF34" i="2"/>
  <c r="CE34" i="2"/>
  <c r="CF14" i="2"/>
  <c r="CE14" i="2"/>
  <c r="CF54" i="2"/>
  <c r="CE54" i="2"/>
  <c r="CF39" i="2"/>
  <c r="CE39" i="2"/>
  <c r="DC18" i="2"/>
  <c r="BY28" i="2"/>
  <c r="CF10" i="2"/>
  <c r="CE10" i="2"/>
  <c r="CF19" i="2"/>
  <c r="CE19" i="2"/>
  <c r="CF55" i="2"/>
  <c r="CE55" i="2"/>
  <c r="DC57" i="2"/>
  <c r="CF50" i="2"/>
  <c r="CE50" i="2"/>
  <c r="BZ49" i="2"/>
  <c r="BY49" i="2"/>
  <c r="BZ51" i="2"/>
  <c r="BY51" i="2"/>
  <c r="DC37" i="2"/>
  <c r="BZ57" i="2"/>
  <c r="BY57" i="2"/>
  <c r="BZ34" i="2"/>
  <c r="BY34" i="2"/>
  <c r="DC14" i="2"/>
  <c r="BZ20" i="2"/>
  <c r="BY20" i="2"/>
  <c r="DC50" i="2"/>
  <c r="BZ5" i="2"/>
  <c r="BY5" i="2"/>
  <c r="BZ40" i="2"/>
  <c r="BY40" i="2"/>
  <c r="BZ4" i="2"/>
  <c r="BX65" i="2"/>
  <c r="BZ65" i="2" s="1"/>
  <c r="BY4" i="2"/>
  <c r="BZ31" i="2"/>
  <c r="BY31" i="2"/>
  <c r="DC38" i="2"/>
  <c r="BZ16" i="2"/>
  <c r="BY16" i="2"/>
  <c r="BZ38" i="2"/>
  <c r="BY38" i="2"/>
  <c r="BZ63" i="2"/>
  <c r="BY63" i="2"/>
  <c r="BZ11" i="2"/>
  <c r="BY11" i="2"/>
  <c r="BZ48" i="2"/>
  <c r="BY48" i="2"/>
  <c r="BZ30" i="2"/>
  <c r="BY30" i="2"/>
  <c r="BZ21" i="2"/>
  <c r="BY21" i="2"/>
  <c r="DC44" i="2"/>
  <c r="BZ45" i="2"/>
  <c r="BY45" i="2"/>
  <c r="BZ27" i="2"/>
  <c r="BY27" i="2"/>
  <c r="BZ12" i="2"/>
  <c r="BY12" i="2"/>
  <c r="BZ9" i="2"/>
  <c r="BY9" i="2"/>
  <c r="BZ37" i="2"/>
  <c r="BY37" i="2"/>
  <c r="BZ42" i="2"/>
  <c r="BY42" i="2"/>
  <c r="BZ32" i="2"/>
  <c r="BY32" i="2"/>
  <c r="BZ44" i="2"/>
  <c r="BY44" i="2"/>
  <c r="BZ26" i="2"/>
  <c r="BY26" i="2"/>
  <c r="DC13" i="2"/>
  <c r="BZ61" i="2"/>
  <c r="BY61" i="2"/>
  <c r="BZ43" i="2"/>
  <c r="BY43" i="2"/>
  <c r="BZ19" i="2"/>
  <c r="BY19" i="2"/>
  <c r="BZ60" i="2"/>
  <c r="BY60" i="2"/>
  <c r="BZ58" i="2"/>
  <c r="BY58" i="2"/>
  <c r="BZ25" i="2"/>
  <c r="BY25" i="2"/>
  <c r="BZ56" i="2"/>
  <c r="BY56" i="2"/>
  <c r="DC64" i="2"/>
  <c r="BZ54" i="2"/>
  <c r="BY54" i="2"/>
  <c r="BZ8" i="2"/>
  <c r="BY8" i="2"/>
  <c r="BZ39" i="2"/>
  <c r="BY39" i="2"/>
  <c r="BZ22" i="2"/>
  <c r="BY22" i="2"/>
  <c r="BZ41" i="2"/>
  <c r="BY41" i="2"/>
  <c r="DC51" i="2"/>
  <c r="DC30" i="2"/>
  <c r="DD25" i="2"/>
  <c r="CQ25" i="2"/>
  <c r="CR25" i="2" s="1"/>
  <c r="DC28" i="2"/>
  <c r="DC41" i="2"/>
  <c r="DC54" i="2"/>
  <c r="DD36" i="2"/>
  <c r="CQ36" i="2"/>
  <c r="CR36" i="2" s="1"/>
  <c r="DC39" i="2"/>
  <c r="DC19" i="2"/>
  <c r="DC16" i="2"/>
  <c r="DC63" i="2"/>
  <c r="DC7" i="2"/>
  <c r="DC53" i="2"/>
  <c r="DC52" i="2"/>
  <c r="DC49" i="2"/>
  <c r="DC29" i="2"/>
  <c r="DC45" i="2"/>
  <c r="DD63" i="2"/>
  <c r="CQ63" i="2"/>
  <c r="CR63" i="2" s="1"/>
  <c r="DC26" i="2"/>
  <c r="DC34" i="2"/>
  <c r="DC59" i="2"/>
  <c r="DC62" i="2"/>
  <c r="AU53" i="8"/>
  <c r="AT53" i="8"/>
  <c r="AU28" i="8"/>
  <c r="AT28" i="8"/>
  <c r="AU55" i="8"/>
  <c r="AT55" i="8"/>
  <c r="AU27" i="8"/>
  <c r="AT27" i="8"/>
  <c r="AU46" i="8"/>
  <c r="AT46" i="8"/>
  <c r="AU43" i="8"/>
  <c r="AT43" i="8"/>
  <c r="AU54" i="8"/>
  <c r="AT54" i="8"/>
  <c r="AU36" i="8"/>
  <c r="AT36" i="8"/>
  <c r="AU26" i="8"/>
  <c r="AT26" i="8"/>
  <c r="AQ58" i="8"/>
  <c r="AR58" i="8" s="1"/>
  <c r="AS58" i="8" s="1"/>
  <c r="AQ57" i="8"/>
  <c r="AR57" i="8" s="1"/>
  <c r="AS57" i="8" s="1"/>
  <c r="AQ56" i="8"/>
  <c r="AR56" i="8" s="1"/>
  <c r="AS56" i="8" s="1"/>
  <c r="AQ19" i="8"/>
  <c r="AR19" i="8" s="1"/>
  <c r="AS19" i="8" s="1"/>
  <c r="BC19" i="8"/>
  <c r="BD19" i="8"/>
  <c r="AQ63" i="8"/>
  <c r="AR63" i="8" s="1"/>
  <c r="AS63" i="8" s="1"/>
  <c r="AQ62" i="8"/>
  <c r="AR62" i="8" s="1"/>
  <c r="AS62" i="8" s="1"/>
  <c r="AQ61" i="8"/>
  <c r="AR61" i="8" s="1"/>
  <c r="AS61" i="8" s="1"/>
  <c r="AQ60" i="8"/>
  <c r="AR60" i="8" s="1"/>
  <c r="AS60" i="8" s="1"/>
  <c r="AQ59" i="8"/>
  <c r="AR59" i="8" s="1"/>
  <c r="AS59" i="8" s="1"/>
  <c r="CD4" i="2"/>
  <c r="BD5" i="8"/>
  <c r="AQ5" i="8"/>
  <c r="AR5" i="8" s="1"/>
  <c r="AS5" i="8" s="1"/>
  <c r="BR5" i="5"/>
  <c r="AR5" i="5"/>
  <c r="AS5" i="5" s="1"/>
  <c r="AT5" i="5" s="1"/>
  <c r="BL48" i="5"/>
  <c r="BR48" i="5"/>
  <c r="BL46" i="5"/>
  <c r="AR46" i="5"/>
  <c r="AS46" i="5" s="1"/>
  <c r="BI46" i="5"/>
  <c r="BR46" i="5" s="1"/>
  <c r="BK47" i="5"/>
  <c r="BI47" i="5"/>
  <c r="BR47" i="5" s="1"/>
  <c r="BJ63" i="5"/>
  <c r="BI63" i="5"/>
  <c r="BR63" i="5" s="1"/>
  <c r="BD34" i="8"/>
  <c r="BC34" i="8"/>
  <c r="BR56" i="5"/>
  <c r="BR30" i="5"/>
  <c r="BR23" i="5"/>
  <c r="BR13" i="5"/>
  <c r="BR60" i="5"/>
  <c r="BR61" i="5"/>
  <c r="BR32" i="5"/>
  <c r="BR21" i="5"/>
  <c r="BR51" i="5"/>
  <c r="BR20" i="5"/>
  <c r="BR50" i="5"/>
  <c r="BR49" i="5"/>
  <c r="BR12" i="5"/>
  <c r="BR41" i="5"/>
  <c r="BR10" i="5"/>
  <c r="BR40" i="5"/>
  <c r="BR62" i="5"/>
  <c r="BR33" i="5"/>
  <c r="BR11" i="5"/>
  <c r="BR22" i="5"/>
  <c r="BR31" i="5"/>
  <c r="BR39" i="5"/>
  <c r="BR42" i="5"/>
  <c r="BR38" i="5"/>
  <c r="BR44" i="5"/>
  <c r="BR34" i="5"/>
  <c r="BR24" i="5"/>
  <c r="BR14" i="5"/>
  <c r="BR9" i="5"/>
  <c r="BJ43" i="5"/>
  <c r="BR19" i="5"/>
  <c r="BR37" i="5"/>
  <c r="BR27" i="5"/>
  <c r="BR17" i="5"/>
  <c r="BR7" i="5"/>
  <c r="BR65" i="5"/>
  <c r="BR57" i="5"/>
  <c r="BR45" i="5"/>
  <c r="BR35" i="5"/>
  <c r="BR25" i="5"/>
  <c r="BR16" i="5"/>
  <c r="BR6" i="5"/>
  <c r="BR59" i="5"/>
  <c r="BR29" i="5"/>
  <c r="BR58" i="5"/>
  <c r="BR28" i="5"/>
  <c r="BR18" i="5"/>
  <c r="BR8" i="5"/>
  <c r="BR64" i="5"/>
  <c r="BR52" i="5"/>
  <c r="BR43" i="5"/>
  <c r="BR26" i="5"/>
  <c r="BR15" i="5"/>
  <c r="BJ5" i="5"/>
  <c r="BJ52" i="5"/>
  <c r="BK52" i="5"/>
  <c r="BK43" i="5"/>
  <c r="BJ61" i="5"/>
  <c r="BK45" i="5"/>
  <c r="BL45" i="5"/>
  <c r="BL47" i="5"/>
  <c r="BJ47" i="5"/>
  <c r="BK48" i="5"/>
  <c r="BJ48" i="5"/>
  <c r="BK49" i="5"/>
  <c r="BJ49" i="5"/>
  <c r="BL50" i="5"/>
  <c r="BK50" i="5"/>
  <c r="BJ51" i="5"/>
  <c r="BL51" i="5"/>
  <c r="BJ56" i="5"/>
  <c r="BK56" i="5"/>
  <c r="BL57" i="5"/>
  <c r="BJ57" i="5"/>
  <c r="BJ58" i="5"/>
  <c r="BK58" i="5"/>
  <c r="BK59" i="5"/>
  <c r="BJ59" i="5"/>
  <c r="BJ60" i="5"/>
  <c r="BL60" i="5"/>
  <c r="BL61" i="5"/>
  <c r="BL62" i="5"/>
  <c r="BK62" i="5"/>
  <c r="BL63" i="5"/>
  <c r="BK63" i="5"/>
  <c r="BK64" i="5"/>
  <c r="BL64" i="5"/>
  <c r="BL65" i="5"/>
  <c r="BJ65" i="5"/>
  <c r="BL16" i="5"/>
  <c r="BJ18" i="5"/>
  <c r="BJ23" i="5"/>
  <c r="BK11" i="5"/>
  <c r="BK8" i="5"/>
  <c r="BL37" i="5"/>
  <c r="BL18" i="5"/>
  <c r="BL17" i="5"/>
  <c r="BL8" i="5"/>
  <c r="BJ22" i="5"/>
  <c r="BJ13" i="5"/>
  <c r="BJ11" i="5"/>
  <c r="BL7" i="5"/>
  <c r="BL6" i="5"/>
  <c r="BK22" i="5"/>
  <c r="BL25" i="5"/>
  <c r="BL27" i="5"/>
  <c r="BL28" i="5"/>
  <c r="BK28" i="5"/>
  <c r="BK32" i="5"/>
  <c r="BJ32" i="5"/>
  <c r="BL35" i="5"/>
  <c r="BJ34" i="5"/>
  <c r="BJ24" i="5"/>
  <c r="BJ14" i="5"/>
  <c r="BK34" i="5"/>
  <c r="BK24" i="5"/>
  <c r="BK14" i="5"/>
  <c r="BL39" i="5"/>
  <c r="BL29" i="5"/>
  <c r="BL19" i="5"/>
  <c r="BL9" i="5"/>
  <c r="BK33" i="5"/>
  <c r="BK23" i="5"/>
  <c r="BK13" i="5"/>
  <c r="BJ44" i="5"/>
  <c r="BK44" i="5"/>
  <c r="BJ42" i="5"/>
  <c r="BJ31" i="5"/>
  <c r="BJ21" i="5"/>
  <c r="BJ12" i="5"/>
  <c r="BK42" i="5"/>
  <c r="BK31" i="5"/>
  <c r="BK21" i="5"/>
  <c r="BK12" i="5"/>
  <c r="BJ33" i="5"/>
  <c r="BJ41" i="5"/>
  <c r="BJ30" i="5"/>
  <c r="BJ20" i="5"/>
  <c r="BJ10" i="5"/>
  <c r="BK41" i="5"/>
  <c r="BK30" i="5"/>
  <c r="BK20" i="5"/>
  <c r="BK10" i="5"/>
  <c r="BL26" i="5"/>
  <c r="BL15" i="5"/>
  <c r="BJ39" i="5"/>
  <c r="BJ29" i="5"/>
  <c r="BJ19" i="5"/>
  <c r="BJ9" i="5"/>
  <c r="BJ37" i="5"/>
  <c r="BJ27" i="5"/>
  <c r="BJ17" i="5"/>
  <c r="BJ7" i="5"/>
  <c r="BJ35" i="5"/>
  <c r="BJ25" i="5"/>
  <c r="BJ16" i="5"/>
  <c r="BJ6" i="5"/>
  <c r="BJ46" i="5"/>
  <c r="BJ26" i="5"/>
  <c r="BJ15" i="5"/>
  <c r="BK5" i="5"/>
  <c r="BK46" i="5"/>
  <c r="BL5" i="5"/>
  <c r="BL38" i="5"/>
  <c r="BK38" i="5"/>
  <c r="BJ40" i="5"/>
  <c r="BK40" i="5"/>
  <c r="BC5" i="8"/>
  <c r="AO6" i="8"/>
  <c r="AO7" i="8"/>
  <c r="AO8" i="8"/>
  <c r="AO9" i="8"/>
  <c r="AO10" i="8"/>
  <c r="AO12" i="8"/>
  <c r="AO13" i="8"/>
  <c r="AO14" i="8"/>
  <c r="AO15" i="8"/>
  <c r="AO17" i="8"/>
  <c r="AO18" i="8"/>
  <c r="AO19" i="8"/>
  <c r="AO20" i="8"/>
  <c r="AO21" i="8"/>
  <c r="AO23" i="8"/>
  <c r="AO24" i="8"/>
  <c r="AO25" i="8"/>
  <c r="BD56" i="8"/>
  <c r="BD57" i="8"/>
  <c r="BD62" i="8"/>
  <c r="BC56" i="8"/>
  <c r="BC58" i="8"/>
  <c r="BC62" i="8"/>
  <c r="BB6" i="8"/>
  <c r="BB7" i="8"/>
  <c r="BB8" i="8"/>
  <c r="BB9" i="8"/>
  <c r="BB10" i="8"/>
  <c r="BB29" i="8"/>
  <c r="BB30" i="8"/>
  <c r="BB31" i="8"/>
  <c r="BB32" i="8"/>
  <c r="BB33" i="8"/>
  <c r="BB35" i="8"/>
  <c r="BB37" i="8"/>
  <c r="BB38" i="8"/>
  <c r="BB39" i="8"/>
  <c r="BB40" i="8"/>
  <c r="BB42" i="8"/>
  <c r="BB44" i="8"/>
  <c r="BB45" i="8"/>
  <c r="BB46" i="8"/>
  <c r="BB48" i="8"/>
  <c r="BB49" i="8"/>
  <c r="BB50" i="8"/>
  <c r="BB51" i="8"/>
  <c r="BB56" i="8"/>
  <c r="BB52" i="8"/>
  <c r="BB57" i="8"/>
  <c r="BB58" i="8"/>
  <c r="BB59" i="8"/>
  <c r="BB60" i="8"/>
  <c r="BB61" i="8"/>
  <c r="BB62" i="8"/>
  <c r="BB63" i="8"/>
  <c r="BB64" i="8"/>
  <c r="BB65" i="8"/>
  <c r="AY6" i="8"/>
  <c r="AY7" i="8"/>
  <c r="AY8" i="8"/>
  <c r="AY9" i="8"/>
  <c r="AY10" i="8"/>
  <c r="AY11" i="8"/>
  <c r="AY29" i="8"/>
  <c r="AY30" i="8"/>
  <c r="AY31" i="8"/>
  <c r="AY32" i="8"/>
  <c r="AY33" i="8"/>
  <c r="AY35" i="8"/>
  <c r="AY37" i="8"/>
  <c r="AY38" i="8"/>
  <c r="AY39" i="8"/>
  <c r="AY40" i="8"/>
  <c r="AY42" i="8"/>
  <c r="AY44" i="8"/>
  <c r="AY45" i="8"/>
  <c r="AY46" i="8"/>
  <c r="AY48" i="8"/>
  <c r="AY49" i="8"/>
  <c r="AY50" i="8"/>
  <c r="AY51" i="8"/>
  <c r="AY56" i="8"/>
  <c r="AY52" i="8"/>
  <c r="AY57" i="8"/>
  <c r="AY58" i="8"/>
  <c r="AY59" i="8"/>
  <c r="AY60" i="8"/>
  <c r="AY61" i="8"/>
  <c r="AY62" i="8"/>
  <c r="AY63" i="8"/>
  <c r="AY64" i="8"/>
  <c r="AY65" i="8"/>
  <c r="AX6" i="8"/>
  <c r="AX7" i="8"/>
  <c r="AX8" i="8"/>
  <c r="AX9" i="8"/>
  <c r="AX10" i="8"/>
  <c r="AX11" i="8"/>
  <c r="AX30" i="8"/>
  <c r="AX31" i="8"/>
  <c r="AX32" i="8"/>
  <c r="AX33" i="8"/>
  <c r="AX35" i="8"/>
  <c r="AX37" i="8"/>
  <c r="AX38" i="8"/>
  <c r="AX39" i="8"/>
  <c r="AX40" i="8"/>
  <c r="AX42" i="8"/>
  <c r="AX44" i="8"/>
  <c r="AX45" i="8"/>
  <c r="AX46" i="8"/>
  <c r="AX48" i="8"/>
  <c r="AX49" i="8"/>
  <c r="AX50" i="8"/>
  <c r="AX51" i="8"/>
  <c r="AX56" i="8"/>
  <c r="AX52" i="8"/>
  <c r="AX57" i="8"/>
  <c r="AX58" i="8"/>
  <c r="AX59" i="8"/>
  <c r="AX60" i="8"/>
  <c r="AX61" i="8"/>
  <c r="AX62" i="8"/>
  <c r="AX63" i="8"/>
  <c r="AX64" i="8"/>
  <c r="AX65" i="8"/>
  <c r="AW28" i="8"/>
  <c r="AW29" i="8"/>
  <c r="AW30" i="8"/>
  <c r="AW31" i="8"/>
  <c r="AW32" i="8"/>
  <c r="AW33" i="8"/>
  <c r="AW35" i="8"/>
  <c r="AW37" i="8"/>
  <c r="AW38" i="8"/>
  <c r="AW39" i="8"/>
  <c r="AW40" i="8"/>
  <c r="AW42" i="8"/>
  <c r="AW44" i="8"/>
  <c r="AW45" i="8"/>
  <c r="AW46" i="8"/>
  <c r="AW48" i="8"/>
  <c r="AW49" i="8"/>
  <c r="AW50" i="8"/>
  <c r="AW51" i="8"/>
  <c r="AW56" i="8"/>
  <c r="AW52" i="8"/>
  <c r="AW57" i="8"/>
  <c r="AW58" i="8"/>
  <c r="AW59" i="8"/>
  <c r="AW60" i="8"/>
  <c r="AW61" i="8"/>
  <c r="AW62" i="8"/>
  <c r="AW63" i="8"/>
  <c r="AW64" i="8"/>
  <c r="AW65" i="8"/>
  <c r="AP14" i="8"/>
  <c r="AP15" i="8"/>
  <c r="AP16" i="8"/>
  <c r="AP17" i="8"/>
  <c r="AP18" i="8"/>
  <c r="AP20" i="8"/>
  <c r="AP21" i="8"/>
  <c r="AP22" i="8"/>
  <c r="AP23" i="8"/>
  <c r="AP24" i="8"/>
  <c r="AP25" i="8"/>
  <c r="AP29" i="8"/>
  <c r="AP30" i="8"/>
  <c r="AP31" i="8"/>
  <c r="AP32" i="8"/>
  <c r="AP33" i="8"/>
  <c r="AP35" i="8"/>
  <c r="AP37" i="8"/>
  <c r="AP38" i="8"/>
  <c r="AP39" i="8"/>
  <c r="AP40" i="8"/>
  <c r="AP42" i="8"/>
  <c r="AP44" i="8"/>
  <c r="AP45" i="8"/>
  <c r="BC46" i="8"/>
  <c r="AP48" i="8"/>
  <c r="AP49" i="8"/>
  <c r="AP50" i="8"/>
  <c r="AP51" i="8"/>
  <c r="AP52" i="8"/>
  <c r="BC57" i="8"/>
  <c r="BD58" i="8"/>
  <c r="BC59" i="8"/>
  <c r="BD60" i="8"/>
  <c r="BC61" i="8"/>
  <c r="BC63" i="8"/>
  <c r="AP64" i="8"/>
  <c r="AP65" i="8"/>
  <c r="AP6" i="8"/>
  <c r="AP7" i="8"/>
  <c r="AP8" i="8"/>
  <c r="AP9" i="8"/>
  <c r="AP10" i="8"/>
  <c r="AP11" i="8"/>
  <c r="AV33" i="8"/>
  <c r="AV35" i="8"/>
  <c r="AV37" i="8"/>
  <c r="AV38" i="8"/>
  <c r="AV39" i="8"/>
  <c r="AV40" i="8"/>
  <c r="AV42" i="8"/>
  <c r="AV44" i="8"/>
  <c r="AV45" i="8"/>
  <c r="AV46" i="8"/>
  <c r="AV48" i="8"/>
  <c r="AV49" i="8"/>
  <c r="AV50" i="8"/>
  <c r="AV51" i="8"/>
  <c r="AV56" i="8"/>
  <c r="AV52" i="8"/>
  <c r="AV57" i="8"/>
  <c r="AV58" i="8"/>
  <c r="AV59" i="8"/>
  <c r="AV60" i="8"/>
  <c r="AV61" i="8"/>
  <c r="AV62" i="8"/>
  <c r="AV63" i="8"/>
  <c r="AV64" i="8"/>
  <c r="AV65" i="8"/>
  <c r="AO27" i="8"/>
  <c r="AO28" i="8"/>
  <c r="AO29" i="8"/>
  <c r="AO30" i="8"/>
  <c r="AO32" i="8"/>
  <c r="AO33" i="8"/>
  <c r="AO35" i="8"/>
  <c r="AO38" i="8"/>
  <c r="AO40" i="8"/>
  <c r="AO50" i="8"/>
  <c r="AO56" i="8"/>
  <c r="AO52" i="8"/>
  <c r="AO57" i="8"/>
  <c r="AO61" i="8"/>
  <c r="AO62" i="8"/>
  <c r="AO63" i="8"/>
  <c r="AO64" i="8"/>
  <c r="AO65" i="8"/>
  <c r="Z30" i="5"/>
  <c r="P64" i="5"/>
  <c r="Z6" i="5"/>
  <c r="Z7" i="5"/>
  <c r="Z8" i="5"/>
  <c r="Z9" i="5"/>
  <c r="Z10" i="5"/>
  <c r="Z12" i="5"/>
  <c r="Z13" i="5"/>
  <c r="Z14" i="5"/>
  <c r="Z15" i="5"/>
  <c r="Z17" i="5"/>
  <c r="Z18" i="5"/>
  <c r="Z19" i="5"/>
  <c r="Z20" i="5"/>
  <c r="Z21" i="5"/>
  <c r="Z23" i="5"/>
  <c r="Z24" i="5"/>
  <c r="Z25" i="5"/>
  <c r="Z27" i="5"/>
  <c r="Z28" i="5"/>
  <c r="Z29" i="5"/>
  <c r="Z32" i="5"/>
  <c r="Z33" i="5"/>
  <c r="Z34" i="5"/>
  <c r="Z35" i="5"/>
  <c r="Z38" i="5"/>
  <c r="Z40" i="5"/>
  <c r="Z41" i="5"/>
  <c r="Z43" i="5"/>
  <c r="Z47" i="5"/>
  <c r="Z56" i="5"/>
  <c r="Z57" i="5"/>
  <c r="Z58" i="5"/>
  <c r="Z59" i="5"/>
  <c r="Z61" i="5"/>
  <c r="Z62" i="5"/>
  <c r="Z63" i="5"/>
  <c r="Z64" i="5"/>
  <c r="Z65" i="5"/>
  <c r="P6" i="5"/>
  <c r="P7" i="5"/>
  <c r="P8" i="5"/>
  <c r="P9" i="5"/>
  <c r="P10" i="5"/>
  <c r="P12" i="5"/>
  <c r="P11" i="5"/>
  <c r="P13" i="5"/>
  <c r="P14" i="5"/>
  <c r="P15" i="5"/>
  <c r="P16" i="5"/>
  <c r="P17" i="5"/>
  <c r="P18" i="5"/>
  <c r="P20" i="5"/>
  <c r="P21" i="5"/>
  <c r="P22" i="5"/>
  <c r="P23" i="5"/>
  <c r="P24" i="5"/>
  <c r="P26" i="5"/>
  <c r="P25" i="5"/>
  <c r="P27" i="5"/>
  <c r="P28" i="5"/>
  <c r="P29" i="5"/>
  <c r="P30" i="5"/>
  <c r="P31" i="5"/>
  <c r="P32" i="5"/>
  <c r="P33" i="5"/>
  <c r="P35" i="5"/>
  <c r="P37" i="5"/>
  <c r="P38" i="5"/>
  <c r="P39" i="5"/>
  <c r="P40" i="5"/>
  <c r="P41" i="5"/>
  <c r="P42" i="5"/>
  <c r="P44" i="5"/>
  <c r="P43" i="5"/>
  <c r="P45" i="5"/>
  <c r="P47" i="5"/>
  <c r="P48" i="5"/>
  <c r="P49" i="5"/>
  <c r="P50" i="5"/>
  <c r="P51" i="5"/>
  <c r="P63" i="5"/>
  <c r="P65" i="5"/>
  <c r="O7" i="8"/>
  <c r="O8" i="8"/>
  <c r="O9" i="8"/>
  <c r="O10" i="8"/>
  <c r="O12" i="8"/>
  <c r="O11" i="8"/>
  <c r="O13" i="8"/>
  <c r="O14" i="8"/>
  <c r="O15" i="8"/>
  <c r="O16" i="8"/>
  <c r="O17" i="8"/>
  <c r="O18" i="8"/>
  <c r="O20" i="8"/>
  <c r="O21" i="8"/>
  <c r="O22" i="8"/>
  <c r="O23" i="8"/>
  <c r="O24" i="8"/>
  <c r="O26" i="8"/>
  <c r="O25" i="8"/>
  <c r="O27" i="8"/>
  <c r="O28" i="8"/>
  <c r="O29" i="8"/>
  <c r="O30" i="8"/>
  <c r="O31" i="8"/>
  <c r="O32" i="8"/>
  <c r="O33" i="8"/>
  <c r="O35" i="8"/>
  <c r="O37" i="8"/>
  <c r="O38" i="8"/>
  <c r="O39" i="8"/>
  <c r="O40" i="8"/>
  <c r="O42" i="8"/>
  <c r="O44" i="8"/>
  <c r="O45" i="8"/>
  <c r="O48" i="8"/>
  <c r="O49" i="8"/>
  <c r="O50" i="8"/>
  <c r="O51" i="8"/>
  <c r="O56" i="8"/>
  <c r="O52" i="8"/>
  <c r="O57" i="8"/>
  <c r="O58" i="8"/>
  <c r="O59" i="8"/>
  <c r="O60" i="8"/>
  <c r="O61" i="8"/>
  <c r="O62" i="8"/>
  <c r="O63" i="8"/>
  <c r="O64" i="8"/>
  <c r="O65" i="8"/>
  <c r="AR65" i="5"/>
  <c r="AS65" i="5" s="1"/>
  <c r="AT65" i="5" s="1"/>
  <c r="AR64" i="5"/>
  <c r="AS64" i="5" s="1"/>
  <c r="AT64" i="5" s="1"/>
  <c r="AR63" i="5"/>
  <c r="AS63" i="5" s="1"/>
  <c r="AT63" i="5" s="1"/>
  <c r="AR62" i="5"/>
  <c r="AS62" i="5" s="1"/>
  <c r="AT62" i="5" s="1"/>
  <c r="AR61" i="5"/>
  <c r="AS61" i="5" s="1"/>
  <c r="AT61" i="5" s="1"/>
  <c r="AR60" i="5"/>
  <c r="AS60" i="5" s="1"/>
  <c r="AT60" i="5" s="1"/>
  <c r="AR59" i="5"/>
  <c r="AS59" i="5" s="1"/>
  <c r="AT59" i="5" s="1"/>
  <c r="AR58" i="5"/>
  <c r="AS58" i="5" s="1"/>
  <c r="AT58" i="5" s="1"/>
  <c r="AR57" i="5"/>
  <c r="AS57" i="5" s="1"/>
  <c r="AT57" i="5" s="1"/>
  <c r="AR52" i="5"/>
  <c r="AS52" i="5" s="1"/>
  <c r="AR56" i="5"/>
  <c r="AS56" i="5" s="1"/>
  <c r="AT56" i="5" s="1"/>
  <c r="AR51" i="5"/>
  <c r="AS51" i="5" s="1"/>
  <c r="AT51" i="5" s="1"/>
  <c r="AR50" i="5"/>
  <c r="AS50" i="5" s="1"/>
  <c r="AT50" i="5" s="1"/>
  <c r="AR49" i="5"/>
  <c r="AS49" i="5" s="1"/>
  <c r="AT49" i="5" s="1"/>
  <c r="AR48" i="5"/>
  <c r="AS48" i="5" s="1"/>
  <c r="AT48" i="5" s="1"/>
  <c r="AR47" i="5"/>
  <c r="AS47" i="5" s="1"/>
  <c r="AR45" i="5"/>
  <c r="AS45" i="5" s="1"/>
  <c r="AR43" i="5"/>
  <c r="AS43" i="5" s="1"/>
  <c r="AR44" i="5"/>
  <c r="AS44" i="5" s="1"/>
  <c r="AR42" i="5"/>
  <c r="AS42" i="5" s="1"/>
  <c r="AR41" i="5"/>
  <c r="AS41" i="5" s="1"/>
  <c r="AR40" i="5"/>
  <c r="AS40" i="5" s="1"/>
  <c r="AR39" i="5"/>
  <c r="AS39" i="5" s="1"/>
  <c r="AR38" i="5"/>
  <c r="AS38" i="5" s="1"/>
  <c r="AR37" i="5"/>
  <c r="AS37" i="5" s="1"/>
  <c r="AR35" i="5"/>
  <c r="AS35" i="5" s="1"/>
  <c r="AR34" i="5"/>
  <c r="AS34" i="5" s="1"/>
  <c r="AR33" i="5"/>
  <c r="AS33" i="5" s="1"/>
  <c r="AR32" i="5"/>
  <c r="AS32" i="5" s="1"/>
  <c r="AR31" i="5"/>
  <c r="AS31" i="5" s="1"/>
  <c r="AR30" i="5"/>
  <c r="AS30" i="5" s="1"/>
  <c r="AR29" i="5"/>
  <c r="AS29" i="5" s="1"/>
  <c r="AR28" i="5"/>
  <c r="AS28" i="5" s="1"/>
  <c r="AR27" i="5"/>
  <c r="AS27" i="5" s="1"/>
  <c r="AR25" i="5"/>
  <c r="AS25" i="5" s="1"/>
  <c r="AR26" i="5"/>
  <c r="AS26" i="5" s="1"/>
  <c r="AR24" i="5"/>
  <c r="AS24" i="5" s="1"/>
  <c r="AR23" i="5"/>
  <c r="AS23" i="5" s="1"/>
  <c r="AT23" i="5" s="1"/>
  <c r="AR22" i="5"/>
  <c r="AS22" i="5" s="1"/>
  <c r="AT22" i="5" s="1"/>
  <c r="AR21" i="5"/>
  <c r="AS21" i="5" s="1"/>
  <c r="AT21" i="5" s="1"/>
  <c r="AR20" i="5"/>
  <c r="AS20" i="5" s="1"/>
  <c r="AT20" i="5" s="1"/>
  <c r="AR19" i="5"/>
  <c r="AS19" i="5" s="1"/>
  <c r="AR18" i="5"/>
  <c r="AS18" i="5" s="1"/>
  <c r="AR17" i="5"/>
  <c r="AS17" i="5" s="1"/>
  <c r="AR16" i="5"/>
  <c r="AS16" i="5" s="1"/>
  <c r="AR15" i="5"/>
  <c r="AS15" i="5" s="1"/>
  <c r="AR14" i="5"/>
  <c r="AS14" i="5" s="1"/>
  <c r="AR13" i="5"/>
  <c r="AS13" i="5" s="1"/>
  <c r="AR11" i="5"/>
  <c r="AS11" i="5" s="1"/>
  <c r="AR12" i="5"/>
  <c r="AS12" i="5" s="1"/>
  <c r="AR10" i="5"/>
  <c r="AS10" i="5" s="1"/>
  <c r="AR9" i="5"/>
  <c r="AS9" i="5" s="1"/>
  <c r="AR8" i="5"/>
  <c r="AS8" i="5" s="1"/>
  <c r="AR7" i="5"/>
  <c r="AS7" i="5" s="1"/>
  <c r="AR6" i="5"/>
  <c r="AS6" i="5" s="1"/>
  <c r="DI5" i="2"/>
  <c r="DH5" i="2"/>
  <c r="BH19" i="5" l="1"/>
  <c r="BA9" i="5"/>
  <c r="BA11" i="5"/>
  <c r="BH12" i="5"/>
  <c r="BH8" i="5"/>
  <c r="BA14" i="5"/>
  <c r="AV5" i="5"/>
  <c r="AU5" i="5"/>
  <c r="BA56" i="5"/>
  <c r="AV53" i="5"/>
  <c r="BH21" i="5"/>
  <c r="BA62" i="5"/>
  <c r="AT25" i="5"/>
  <c r="AU25" i="5" s="1"/>
  <c r="AV27" i="5"/>
  <c r="AT27" i="5"/>
  <c r="AU27" i="5" s="1"/>
  <c r="BA35" i="5"/>
  <c r="BG7" i="5"/>
  <c r="BF66" i="5"/>
  <c r="AV61" i="5"/>
  <c r="AU61" i="5"/>
  <c r="AT38" i="5"/>
  <c r="AU38" i="5" s="1"/>
  <c r="AT18" i="5"/>
  <c r="AU18" i="5" s="1"/>
  <c r="BH30" i="5"/>
  <c r="BA30" i="5"/>
  <c r="BH9" i="5"/>
  <c r="BH7" i="5"/>
  <c r="BH10" i="5"/>
  <c r="BH38" i="5"/>
  <c r="BH58" i="5"/>
  <c r="BA52" i="5"/>
  <c r="BA55" i="5"/>
  <c r="BH18" i="5"/>
  <c r="BA10" i="5"/>
  <c r="AT16" i="5"/>
  <c r="AU16" i="5" s="1"/>
  <c r="AV48" i="5"/>
  <c r="AU48" i="5"/>
  <c r="AT17" i="5"/>
  <c r="AU17" i="5" s="1"/>
  <c r="AV62" i="5"/>
  <c r="AU62" i="5"/>
  <c r="BH20" i="5"/>
  <c r="AV63" i="5"/>
  <c r="AU63" i="5"/>
  <c r="AT9" i="5"/>
  <c r="AU9" i="5" s="1"/>
  <c r="AT10" i="5"/>
  <c r="AU10" i="5" s="1"/>
  <c r="AV20" i="5"/>
  <c r="AU20" i="5"/>
  <c r="AT30" i="5"/>
  <c r="AU30" i="5" s="1"/>
  <c r="AV41" i="5"/>
  <c r="AT41" i="5"/>
  <c r="AU41" i="5" s="1"/>
  <c r="AV56" i="5"/>
  <c r="AU56" i="5"/>
  <c r="AV65" i="5"/>
  <c r="AU65" i="5"/>
  <c r="BA33" i="5"/>
  <c r="BH40" i="5"/>
  <c r="AT39" i="5"/>
  <c r="AU39" i="5" s="1"/>
  <c r="AT19" i="5"/>
  <c r="AU19" i="5" s="1"/>
  <c r="AT12" i="5"/>
  <c r="AU12" i="5" s="1"/>
  <c r="AT37" i="5"/>
  <c r="AU37" i="5" s="1"/>
  <c r="AV49" i="5"/>
  <c r="AU49" i="5"/>
  <c r="BA12" i="5"/>
  <c r="AV28" i="5"/>
  <c r="AT28" i="5"/>
  <c r="AU28" i="5" s="1"/>
  <c r="AV51" i="5"/>
  <c r="AU51" i="5"/>
  <c r="AV21" i="5"/>
  <c r="AU21" i="5"/>
  <c r="AV22" i="5"/>
  <c r="AU22" i="5"/>
  <c r="AT32" i="5"/>
  <c r="AU32" i="5" s="1"/>
  <c r="AV44" i="5"/>
  <c r="AT44" i="5"/>
  <c r="AU44" i="5" s="1"/>
  <c r="AV57" i="5"/>
  <c r="AU57" i="5"/>
  <c r="AT46" i="5"/>
  <c r="AU46" i="5" s="1"/>
  <c r="BH28" i="5"/>
  <c r="AT6" i="5"/>
  <c r="AU6" i="5" s="1"/>
  <c r="AT29" i="5"/>
  <c r="AU29" i="5" s="1"/>
  <c r="AV52" i="5"/>
  <c r="AT52" i="5"/>
  <c r="AU52" i="5" s="1"/>
  <c r="AV58" i="5"/>
  <c r="AU58" i="5"/>
  <c r="AT7" i="5"/>
  <c r="AU7" i="5" s="1"/>
  <c r="AV50" i="5"/>
  <c r="AU50" i="5"/>
  <c r="AV64" i="5"/>
  <c r="AU64" i="5"/>
  <c r="AV42" i="5"/>
  <c r="AT42" i="5"/>
  <c r="AU42" i="5" s="1"/>
  <c r="AV23" i="5"/>
  <c r="AU23" i="5"/>
  <c r="AT43" i="5"/>
  <c r="AU43" i="5" s="1"/>
  <c r="AT14" i="5"/>
  <c r="AU14" i="5" s="1"/>
  <c r="AT45" i="5"/>
  <c r="AU45" i="5" s="1"/>
  <c r="AT8" i="5"/>
  <c r="AU8" i="5" s="1"/>
  <c r="AT40" i="5"/>
  <c r="AU40" i="5" s="1"/>
  <c r="AT31" i="5"/>
  <c r="AU31" i="5" s="1"/>
  <c r="AT11" i="5"/>
  <c r="AU11" i="5" s="1"/>
  <c r="AT13" i="5"/>
  <c r="AU13" i="5" s="1"/>
  <c r="AV33" i="5"/>
  <c r="AT33" i="5"/>
  <c r="AU33" i="5" s="1"/>
  <c r="AT24" i="5"/>
  <c r="AU24" i="5" s="1"/>
  <c r="AV59" i="5"/>
  <c r="AU59" i="5"/>
  <c r="AT15" i="5"/>
  <c r="AU15" i="5" s="1"/>
  <c r="AT26" i="5"/>
  <c r="AU26" i="5" s="1"/>
  <c r="AV47" i="5"/>
  <c r="AT47" i="5"/>
  <c r="AU47" i="5" s="1"/>
  <c r="AV60" i="5"/>
  <c r="AU60" i="5"/>
  <c r="BH60" i="5"/>
  <c r="BH27" i="5"/>
  <c r="BA48" i="5"/>
  <c r="BA15" i="5"/>
  <c r="BA49" i="5"/>
  <c r="BA57" i="5"/>
  <c r="BA13" i="5"/>
  <c r="BA64" i="5"/>
  <c r="BA6" i="5"/>
  <c r="BA51" i="5"/>
  <c r="BH59" i="5"/>
  <c r="BH49" i="5"/>
  <c r="BA53" i="5"/>
  <c r="AT35" i="5"/>
  <c r="AU35" i="5" s="1"/>
  <c r="AY66" i="5"/>
  <c r="AZ34" i="5"/>
  <c r="AT34" i="5"/>
  <c r="BA34" i="5"/>
  <c r="CT25" i="2"/>
  <c r="CS25" i="2"/>
  <c r="CT63" i="2"/>
  <c r="CS63" i="2"/>
  <c r="CT36" i="2"/>
  <c r="CS36" i="2"/>
  <c r="CF4" i="2"/>
  <c r="CD65" i="2"/>
  <c r="CE4" i="2"/>
  <c r="AU63" i="8"/>
  <c r="AT63" i="8"/>
  <c r="AU59" i="8"/>
  <c r="AT59" i="8"/>
  <c r="AU57" i="8"/>
  <c r="AT57" i="8"/>
  <c r="AU60" i="8"/>
  <c r="AT60" i="8"/>
  <c r="AU58" i="8"/>
  <c r="AT58" i="8"/>
  <c r="AU61" i="8"/>
  <c r="AT61" i="8"/>
  <c r="AU62" i="8"/>
  <c r="AT62" i="8"/>
  <c r="AU5" i="8"/>
  <c r="AT5" i="8"/>
  <c r="AU19" i="8"/>
  <c r="AT19" i="8"/>
  <c r="AU56" i="8"/>
  <c r="AT56" i="8"/>
  <c r="AQ9" i="8"/>
  <c r="AR9" i="8" s="1"/>
  <c r="AS9" i="8" s="1"/>
  <c r="AQ42" i="8"/>
  <c r="AR42" i="8" s="1"/>
  <c r="AS42" i="8" s="1"/>
  <c r="AQ6" i="8"/>
  <c r="AR6" i="8" s="1"/>
  <c r="AS6" i="8" s="1"/>
  <c r="AQ39" i="8"/>
  <c r="AR39" i="8" s="1"/>
  <c r="AS39" i="8" s="1"/>
  <c r="AQ51" i="8"/>
  <c r="AR51" i="8" s="1"/>
  <c r="AS51" i="8" s="1"/>
  <c r="AQ38" i="8"/>
  <c r="AR38" i="8" s="1"/>
  <c r="AS38" i="8" s="1"/>
  <c r="AQ65" i="8"/>
  <c r="AR65" i="8" s="1"/>
  <c r="AQ49" i="8"/>
  <c r="AR49" i="8" s="1"/>
  <c r="AS49" i="8" s="1"/>
  <c r="AQ35" i="8"/>
  <c r="AR35" i="8" s="1"/>
  <c r="AS35" i="8" s="1"/>
  <c r="AQ48" i="8"/>
  <c r="AR48" i="8" s="1"/>
  <c r="AS48" i="8" s="1"/>
  <c r="AQ32" i="8"/>
  <c r="AR32" i="8" s="1"/>
  <c r="AS32" i="8" s="1"/>
  <c r="AQ40" i="8"/>
  <c r="AR40" i="8" s="1"/>
  <c r="AS40" i="8" s="1"/>
  <c r="AQ50" i="8"/>
  <c r="AR50" i="8" s="1"/>
  <c r="AS50" i="8" s="1"/>
  <c r="AQ64" i="8"/>
  <c r="AR64" i="8" s="1"/>
  <c r="AS64" i="8" s="1"/>
  <c r="AQ33" i="8"/>
  <c r="AR33" i="8" s="1"/>
  <c r="AS33" i="8" s="1"/>
  <c r="AQ11" i="8"/>
  <c r="AR11" i="8" s="1"/>
  <c r="AS11" i="8" s="1"/>
  <c r="AQ45" i="8"/>
  <c r="AR45" i="8" s="1"/>
  <c r="AS45" i="8" s="1"/>
  <c r="AQ31" i="8"/>
  <c r="AR31" i="8" s="1"/>
  <c r="AS31" i="8" s="1"/>
  <c r="AQ8" i="8"/>
  <c r="AR8" i="8" s="1"/>
  <c r="AS8" i="8" s="1"/>
  <c r="AQ52" i="8"/>
  <c r="AQ37" i="8"/>
  <c r="AR37" i="8" s="1"/>
  <c r="AS37" i="8" s="1"/>
  <c r="AQ10" i="8"/>
  <c r="AR10" i="8" s="1"/>
  <c r="AS10" i="8" s="1"/>
  <c r="AQ44" i="8"/>
  <c r="AR44" i="8" s="1"/>
  <c r="AS44" i="8" s="1"/>
  <c r="AP67" i="8"/>
  <c r="AQ22" i="8"/>
  <c r="AR22" i="8" s="1"/>
  <c r="AS22" i="8" s="1"/>
  <c r="BC22" i="8"/>
  <c r="BD22" i="8"/>
  <c r="BD20" i="8"/>
  <c r="AQ20" i="8"/>
  <c r="AR20" i="8" s="1"/>
  <c r="AS20" i="8" s="1"/>
  <c r="BC20" i="8"/>
  <c r="AQ18" i="8"/>
  <c r="AR18" i="8" s="1"/>
  <c r="AS18" i="8" s="1"/>
  <c r="BC18" i="8"/>
  <c r="BD18" i="8"/>
  <c r="BC21" i="8"/>
  <c r="BD21" i="8"/>
  <c r="AQ21" i="8"/>
  <c r="AR21" i="8" s="1"/>
  <c r="AS21" i="8" s="1"/>
  <c r="AQ17" i="8"/>
  <c r="AR17" i="8" s="1"/>
  <c r="AS17" i="8" s="1"/>
  <c r="BC17" i="8"/>
  <c r="BD17" i="8"/>
  <c r="AQ16" i="8"/>
  <c r="AR16" i="8" s="1"/>
  <c r="AS16" i="8" s="1"/>
  <c r="BC16" i="8"/>
  <c r="BD16" i="8"/>
  <c r="AQ15" i="8"/>
  <c r="AR15" i="8" s="1"/>
  <c r="AS15" i="8" s="1"/>
  <c r="BC15" i="8"/>
  <c r="BD15" i="8"/>
  <c r="BD30" i="8"/>
  <c r="AQ30" i="8"/>
  <c r="AR30" i="8" s="1"/>
  <c r="AS30" i="8" s="1"/>
  <c r="BC30" i="8"/>
  <c r="AQ14" i="8"/>
  <c r="AR14" i="8" s="1"/>
  <c r="AS14" i="8" s="1"/>
  <c r="BC14" i="8"/>
  <c r="BD14" i="8"/>
  <c r="AQ29" i="8"/>
  <c r="AR29" i="8" s="1"/>
  <c r="AS29" i="8" s="1"/>
  <c r="BC29" i="8"/>
  <c r="BD29" i="8"/>
  <c r="AQ25" i="8"/>
  <c r="AR25" i="8" s="1"/>
  <c r="AS25" i="8" s="1"/>
  <c r="BC25" i="8"/>
  <c r="BD25" i="8"/>
  <c r="AQ7" i="8"/>
  <c r="AR7" i="8" s="1"/>
  <c r="AS7" i="8" s="1"/>
  <c r="AQ24" i="8"/>
  <c r="AR24" i="8" s="1"/>
  <c r="AS24" i="8" s="1"/>
  <c r="BC24" i="8"/>
  <c r="BD24" i="8"/>
  <c r="AQ23" i="8"/>
  <c r="AR23" i="8" s="1"/>
  <c r="AS23" i="8" s="1"/>
  <c r="BC23" i="8"/>
  <c r="BD23" i="8"/>
  <c r="BC42" i="8"/>
  <c r="BD40" i="8"/>
  <c r="BD50" i="8"/>
  <c r="BC49" i="8"/>
  <c r="BC11" i="8"/>
  <c r="BC48" i="8"/>
  <c r="BC6" i="8"/>
  <c r="BC52" i="8"/>
  <c r="AR52" i="8"/>
  <c r="AS52" i="8" s="1"/>
  <c r="BC38" i="8"/>
  <c r="BD10" i="8"/>
  <c r="BC37" i="8"/>
  <c r="BC44" i="8"/>
  <c r="BC51" i="8"/>
  <c r="BC9" i="8"/>
  <c r="BC45" i="8"/>
  <c r="BC35" i="8"/>
  <c r="BD31" i="8"/>
  <c r="BC65" i="8"/>
  <c r="BC64" i="8"/>
  <c r="BC39" i="8"/>
  <c r="BC8" i="8"/>
  <c r="BD45" i="8"/>
  <c r="BD44" i="8"/>
  <c r="BD42" i="8"/>
  <c r="BC33" i="8"/>
  <c r="BD35" i="8"/>
  <c r="BC32" i="8"/>
  <c r="BD65" i="8"/>
  <c r="BD33" i="8"/>
  <c r="BD32" i="8"/>
  <c r="BD52" i="8"/>
  <c r="BD64" i="8"/>
  <c r="BD63" i="8"/>
  <c r="BD11" i="8"/>
  <c r="BC40" i="8"/>
  <c r="BD9" i="8"/>
  <c r="BC31" i="8"/>
  <c r="BD61" i="8"/>
  <c r="BD51" i="8"/>
  <c r="BD49" i="8"/>
  <c r="BD39" i="8"/>
  <c r="BD7" i="8"/>
  <c r="BD6" i="8"/>
  <c r="BC50" i="8"/>
  <c r="BD59" i="8"/>
  <c r="BD48" i="8"/>
  <c r="BD38" i="8"/>
  <c r="BC60" i="8"/>
  <c r="BC10" i="8"/>
  <c r="BD8" i="8"/>
  <c r="BD46" i="8"/>
  <c r="BD37" i="8"/>
  <c r="BC7" i="8"/>
  <c r="AV38" i="5" l="1"/>
  <c r="AV19" i="5"/>
  <c r="AV8" i="5"/>
  <c r="AV25" i="5"/>
  <c r="AV39" i="5"/>
  <c r="AV26" i="5"/>
  <c r="AV17" i="5"/>
  <c r="AV30" i="5"/>
  <c r="AV10" i="5"/>
  <c r="AV13" i="5"/>
  <c r="AV29" i="5"/>
  <c r="AV11" i="5"/>
  <c r="AV31" i="5"/>
  <c r="AV46" i="5"/>
  <c r="AV14" i="5"/>
  <c r="AV43" i="5"/>
  <c r="AV45" i="5"/>
  <c r="AV18" i="5"/>
  <c r="AV32" i="5"/>
  <c r="AV15" i="5"/>
  <c r="AV6" i="5"/>
  <c r="AV7" i="5"/>
  <c r="AV37" i="5"/>
  <c r="AV24" i="5"/>
  <c r="AV40" i="5"/>
  <c r="AV12" i="5"/>
  <c r="AV9" i="5"/>
  <c r="AV16" i="5"/>
  <c r="AU34" i="5"/>
  <c r="AT66" i="5"/>
  <c r="AV34" i="5"/>
  <c r="AV35" i="5"/>
  <c r="AU31" i="8"/>
  <c r="AT31" i="8"/>
  <c r="AU8" i="8"/>
  <c r="AT8" i="8"/>
  <c r="AU24" i="8"/>
  <c r="AT24" i="8"/>
  <c r="AU14" i="8"/>
  <c r="AT14" i="8"/>
  <c r="AU20" i="8"/>
  <c r="AT20" i="8"/>
  <c r="AU35" i="8"/>
  <c r="AT35" i="8"/>
  <c r="AU49" i="8"/>
  <c r="AT49" i="8"/>
  <c r="AU17" i="8"/>
  <c r="AT17" i="8"/>
  <c r="AU11" i="8"/>
  <c r="AT11" i="8"/>
  <c r="AU38" i="8"/>
  <c r="AT38" i="8"/>
  <c r="AU22" i="8"/>
  <c r="AT22" i="8"/>
  <c r="AU64" i="8"/>
  <c r="AT64" i="8"/>
  <c r="AU39" i="8"/>
  <c r="AT39" i="8"/>
  <c r="AU33" i="8"/>
  <c r="AT33" i="8"/>
  <c r="AU15" i="8"/>
  <c r="AT15" i="8"/>
  <c r="AU44" i="8"/>
  <c r="AT44" i="8"/>
  <c r="AU50" i="8"/>
  <c r="AT50" i="8"/>
  <c r="AU7" i="8"/>
  <c r="AT7" i="8"/>
  <c r="AU51" i="8"/>
  <c r="AT51" i="8"/>
  <c r="AU6" i="8"/>
  <c r="AT6" i="8"/>
  <c r="AU10" i="8"/>
  <c r="AT10" i="8"/>
  <c r="AU40" i="8"/>
  <c r="AT40" i="8"/>
  <c r="AU42" i="8"/>
  <c r="AT42" i="8"/>
  <c r="AU45" i="8"/>
  <c r="AT45" i="8"/>
  <c r="AU21" i="8"/>
  <c r="AT21" i="8"/>
  <c r="AU52" i="8"/>
  <c r="AT52" i="8"/>
  <c r="AU29" i="8"/>
  <c r="AT29" i="8"/>
  <c r="AU18" i="8"/>
  <c r="AT18" i="8"/>
  <c r="AU37" i="8"/>
  <c r="AT37" i="8"/>
  <c r="AU32" i="8"/>
  <c r="AT32" i="8"/>
  <c r="AU9" i="8"/>
  <c r="AT9" i="8"/>
  <c r="AU30" i="8"/>
  <c r="AT30" i="8"/>
  <c r="AU25" i="8"/>
  <c r="AT25" i="8"/>
  <c r="AS67" i="8"/>
  <c r="AU23" i="8"/>
  <c r="AT23" i="8"/>
  <c r="AU16" i="8"/>
  <c r="AT16" i="8"/>
  <c r="AU48" i="8"/>
  <c r="AT48" i="8"/>
  <c r="AS65" i="8"/>
  <c r="AU65" i="8" l="1"/>
  <c r="AT65" i="8"/>
  <c r="AD5" i="2"/>
  <c r="AD6" i="2"/>
  <c r="AD7" i="2"/>
  <c r="AD8" i="2"/>
  <c r="AD9" i="2"/>
  <c r="AD11" i="2"/>
  <c r="AD12" i="2"/>
  <c r="AD13" i="2"/>
  <c r="AD14" i="2"/>
  <c r="AD15" i="2"/>
  <c r="AD16" i="2"/>
  <c r="AD17" i="2"/>
  <c r="AD19" i="2"/>
  <c r="AD20" i="2"/>
  <c r="AD21" i="2"/>
  <c r="AD22" i="2"/>
  <c r="AD23" i="2"/>
  <c r="AD24" i="2"/>
  <c r="AD26" i="2"/>
  <c r="AD27" i="2"/>
  <c r="AD28" i="2"/>
  <c r="AD29" i="2"/>
  <c r="AD30" i="2"/>
  <c r="AD31" i="2"/>
  <c r="AD35" i="2"/>
  <c r="AD37" i="2"/>
  <c r="AD38" i="2"/>
  <c r="AD39" i="2"/>
  <c r="AD40" i="2"/>
  <c r="AD41" i="2"/>
  <c r="AD43" i="2"/>
  <c r="AD44" i="2"/>
  <c r="AD46" i="2"/>
  <c r="AD47" i="2"/>
  <c r="AD48" i="2"/>
  <c r="AD49" i="2"/>
  <c r="AD50" i="2"/>
  <c r="AD51" i="2"/>
  <c r="AD62" i="2"/>
  <c r="X5" i="2"/>
  <c r="AR15" i="2"/>
  <c r="AR16" i="2"/>
  <c r="AR17" i="2"/>
  <c r="AR19" i="2"/>
  <c r="AR20" i="2"/>
  <c r="AR21" i="2"/>
  <c r="X30" i="2"/>
  <c r="X41" i="2"/>
  <c r="R43" i="2"/>
  <c r="X43" i="2"/>
  <c r="X44" i="2"/>
  <c r="R44" i="2"/>
  <c r="R12" i="2"/>
  <c r="R13" i="2"/>
  <c r="R14" i="2"/>
  <c r="R15" i="2"/>
  <c r="R16" i="2"/>
  <c r="R17" i="2"/>
  <c r="R19" i="2"/>
  <c r="R20" i="2"/>
  <c r="R22" i="2"/>
  <c r="R23" i="2"/>
  <c r="R24" i="2"/>
  <c r="X8" i="2"/>
  <c r="X9" i="2"/>
  <c r="X11" i="2"/>
  <c r="X12" i="2"/>
  <c r="X13" i="2"/>
  <c r="X14" i="2"/>
  <c r="X15" i="2"/>
  <c r="X16" i="2"/>
  <c r="X17" i="2"/>
  <c r="X19" i="2"/>
  <c r="X20" i="2"/>
  <c r="X21" i="2"/>
  <c r="X22" i="2"/>
  <c r="X23" i="2"/>
  <c r="AR27" i="2"/>
  <c r="AR28" i="2"/>
  <c r="AR29" i="2"/>
  <c r="AR30" i="2"/>
  <c r="AR31" i="2"/>
  <c r="AR32" i="2"/>
  <c r="AR34" i="2"/>
  <c r="AR36" i="2"/>
  <c r="AR35" i="2"/>
  <c r="AR37" i="2"/>
  <c r="AR38" i="2"/>
  <c r="AR39" i="2"/>
  <c r="AR40" i="2"/>
  <c r="AR41" i="2"/>
  <c r="AR43" i="2"/>
  <c r="AR62" i="2"/>
  <c r="AR63" i="2"/>
  <c r="R26" i="2"/>
  <c r="R27" i="2"/>
  <c r="R28" i="2"/>
  <c r="R29" i="2"/>
  <c r="X24" i="2"/>
  <c r="X26" i="2"/>
  <c r="X27" i="2"/>
  <c r="X28" i="2"/>
  <c r="X29" i="2"/>
  <c r="R51" i="2"/>
  <c r="X51" i="2"/>
  <c r="R63" i="2"/>
  <c r="X64" i="2"/>
  <c r="R64" i="2"/>
  <c r="R6" i="2"/>
  <c r="R8" i="2"/>
  <c r="R9" i="2"/>
  <c r="X6" i="2"/>
  <c r="X7" i="2"/>
  <c r="R5" i="2"/>
  <c r="AD4" i="2"/>
  <c r="AR5" i="2"/>
  <c r="AR6" i="2"/>
  <c r="AR7" i="2"/>
  <c r="AR8" i="2"/>
  <c r="AR9" i="2"/>
  <c r="AR11" i="2"/>
  <c r="AR12" i="2"/>
  <c r="AR13" i="2"/>
  <c r="AR14" i="2"/>
  <c r="AR22" i="2"/>
  <c r="AR23" i="2"/>
  <c r="AR24" i="2"/>
  <c r="AR26" i="2"/>
  <c r="AR44" i="2"/>
  <c r="AR45" i="2"/>
  <c r="AR46" i="2"/>
  <c r="AR47" i="2"/>
  <c r="AR48" i="2"/>
  <c r="AR49" i="2"/>
  <c r="AR50" i="2"/>
  <c r="AR51" i="2"/>
  <c r="AR64" i="2"/>
  <c r="AR4" i="2"/>
  <c r="AD64" i="2"/>
  <c r="AD63" i="2"/>
  <c r="CM4" i="2" l="1"/>
  <c r="CN4" i="2" s="1"/>
  <c r="CQ4" i="2" s="1"/>
  <c r="CR4" i="2" s="1"/>
  <c r="CT4" i="2" l="1"/>
  <c r="CR65" i="2"/>
  <c r="CS4" i="2"/>
  <c r="DD4" i="2"/>
</calcChain>
</file>

<file path=xl/sharedStrings.xml><?xml version="1.0" encoding="utf-8"?>
<sst xmlns="http://schemas.openxmlformats.org/spreadsheetml/2006/main" count="815" uniqueCount="402">
  <si>
    <t>TOC
(%)</t>
  </si>
  <si>
    <t>Corg 
(mg/g)</t>
  </si>
  <si>
    <t>Area</t>
  </si>
  <si>
    <t>RT</t>
  </si>
  <si>
    <t>20,19</t>
  </si>
  <si>
    <t>IS</t>
  </si>
  <si>
    <t>38,03</t>
  </si>
  <si>
    <t>Phytane</t>
  </si>
  <si>
    <t>Prystane</t>
  </si>
  <si>
    <t>17-39</t>
  </si>
  <si>
    <t>17-37</t>
  </si>
  <si>
    <t>RATIOS</t>
  </si>
  <si>
    <t>22R</t>
  </si>
  <si>
    <t>22S</t>
  </si>
  <si>
    <t>Ts</t>
  </si>
  <si>
    <t>Tm</t>
  </si>
  <si>
    <t>C27αα20S</t>
  </si>
  <si>
    <t>C28αα20S</t>
  </si>
  <si>
    <t>C29αα20S</t>
  </si>
  <si>
    <t>C29</t>
  </si>
  <si>
    <t>C28</t>
  </si>
  <si>
    <t>C27</t>
  </si>
  <si>
    <t>%</t>
  </si>
  <si>
    <t>S/(S+H)</t>
  </si>
  <si>
    <t>ACL</t>
  </si>
  <si>
    <t>&gt;30/total H</t>
  </si>
  <si>
    <t>Pr+Ph (µg/g DW)</t>
  </si>
  <si>
    <t>µg IS/g DW</t>
  </si>
  <si>
    <t xml:space="preserve">Sample ID </t>
  </si>
  <si>
    <t>31/(29+31)</t>
  </si>
  <si>
    <t>HMW/LMW</t>
  </si>
  <si>
    <t>Pr+Ph</t>
  </si>
  <si>
    <t>TAR</t>
  </si>
  <si>
    <t>OEP</t>
  </si>
  <si>
    <t>CPI</t>
  </si>
  <si>
    <t>18-37</t>
  </si>
  <si>
    <t>LMW/HMW</t>
  </si>
  <si>
    <t>Range</t>
  </si>
  <si>
    <t xml:space="preserve">RATIOS </t>
  </si>
  <si>
    <t>LMW ≤C21</t>
  </si>
  <si>
    <t>TCC-15</t>
  </si>
  <si>
    <t>TCC-14</t>
  </si>
  <si>
    <t>TCC-13</t>
  </si>
  <si>
    <t>TCC-12</t>
  </si>
  <si>
    <t>TCC-11</t>
  </si>
  <si>
    <t>TCC-10</t>
  </si>
  <si>
    <t>TCC-9</t>
  </si>
  <si>
    <t>TCC-8A</t>
  </si>
  <si>
    <t>TCC-5</t>
  </si>
  <si>
    <t>TCC-3</t>
  </si>
  <si>
    <t>TCC-2</t>
  </si>
  <si>
    <t>TCC-1</t>
  </si>
  <si>
    <t>C29ββ</t>
  </si>
  <si>
    <t>C30ββ</t>
  </si>
  <si>
    <t xml:space="preserve">                                  </t>
  </si>
  <si>
    <t>29,07</t>
  </si>
  <si>
    <t>30,99</t>
  </si>
  <si>
    <t>32,84</t>
  </si>
  <si>
    <t>39,64</t>
  </si>
  <si>
    <t>41,21</t>
  </si>
  <si>
    <t>47,08</t>
  </si>
  <si>
    <t>48,62</t>
  </si>
  <si>
    <t>38,02</t>
  </si>
  <si>
    <t>41,22</t>
  </si>
  <si>
    <t>40,22</t>
  </si>
  <si>
    <t>41,79</t>
  </si>
  <si>
    <t>43,32</t>
  </si>
  <si>
    <t>20,20</t>
  </si>
  <si>
    <t>42,73</t>
  </si>
  <si>
    <t>42,43</t>
  </si>
  <si>
    <t>36,34</t>
  </si>
  <si>
    <t>50,45</t>
  </si>
  <si>
    <t>αβ/αβ+ββ</t>
  </si>
  <si>
    <t>17-35</t>
  </si>
  <si>
    <t>14-37</t>
  </si>
  <si>
    <t>ββ/(ββ+αβ+βα)</t>
  </si>
  <si>
    <t xml:space="preserve">22S/(22S+22R) </t>
  </si>
  <si>
    <t>37,18</t>
  </si>
  <si>
    <t>37,73</t>
  </si>
  <si>
    <t>39,50</t>
  </si>
  <si>
    <t>40,24</t>
  </si>
  <si>
    <t>40,86</t>
  </si>
  <si>
    <t>41,23</t>
  </si>
  <si>
    <t>41,43</t>
  </si>
  <si>
    <t>42,88</t>
  </si>
  <si>
    <t>42,61</t>
  </si>
  <si>
    <t>43,09</t>
  </si>
  <si>
    <t>44,76</t>
  </si>
  <si>
    <t>37,17</t>
  </si>
  <si>
    <t>37,72</t>
  </si>
  <si>
    <t>39,49</t>
  </si>
  <si>
    <t>40,23</t>
  </si>
  <si>
    <t>40,84</t>
  </si>
  <si>
    <t>42,89</t>
  </si>
  <si>
    <t>42,45</t>
  </si>
  <si>
    <t>43,10</t>
  </si>
  <si>
    <t>44,75</t>
  </si>
  <si>
    <t>14,04</t>
  </si>
  <si>
    <t>16,25</t>
  </si>
  <si>
    <t>45,65</t>
  </si>
  <si>
    <t>37,16</t>
  </si>
  <si>
    <t>39,48</t>
  </si>
  <si>
    <t>40,85</t>
  </si>
  <si>
    <t>41,42</t>
  </si>
  <si>
    <t>17-33</t>
  </si>
  <si>
    <t>Area (57)</t>
  </si>
  <si>
    <t>Area (TIC)</t>
  </si>
  <si>
    <t>Area (217)</t>
  </si>
  <si>
    <t>Σ n-alkane (Areas)</t>
  </si>
  <si>
    <t>57/TIC</t>
  </si>
  <si>
    <t>217/TIC</t>
  </si>
  <si>
    <t>TCC-32A</t>
  </si>
  <si>
    <t>TCC-31A</t>
  </si>
  <si>
    <t>TCC-30A</t>
  </si>
  <si>
    <t>TCC-29A</t>
  </si>
  <si>
    <t>TCC-28A</t>
  </si>
  <si>
    <t>TCC-27A</t>
  </si>
  <si>
    <t>TCC-26A</t>
  </si>
  <si>
    <t>TCC-25A</t>
  </si>
  <si>
    <t>TCC-24A</t>
  </si>
  <si>
    <t>TCC-23A</t>
  </si>
  <si>
    <t>TCC-22A</t>
  </si>
  <si>
    <t>TCC-21A</t>
  </si>
  <si>
    <t>TCC-20A</t>
  </si>
  <si>
    <t>TCC-19A</t>
  </si>
  <si>
    <t>TCC-18A</t>
  </si>
  <si>
    <t>TCC-17A</t>
  </si>
  <si>
    <t>TCC-16A</t>
  </si>
  <si>
    <t>TCC-15A</t>
  </si>
  <si>
    <t>TCC-14A</t>
  </si>
  <si>
    <t>TCC-13A</t>
  </si>
  <si>
    <t>TCC-12A</t>
  </si>
  <si>
    <t>TCC-11A</t>
  </si>
  <si>
    <t>TCC-10A</t>
  </si>
  <si>
    <t>TCC-9A</t>
  </si>
  <si>
    <t>TCC-7A</t>
  </si>
  <si>
    <t>TCC-6A</t>
  </si>
  <si>
    <t>TCC-5A</t>
  </si>
  <si>
    <t>TCC-4A</t>
  </si>
  <si>
    <t>TCC-8c</t>
  </si>
  <si>
    <t>TCC-8b</t>
  </si>
  <si>
    <t>TCC-3A</t>
  </si>
  <si>
    <t>TCC-8a</t>
  </si>
  <si>
    <t>TCC-2A</t>
  </si>
  <si>
    <t>TCC-6 SB-2 bis</t>
  </si>
  <si>
    <t>TCC-6 SB-2</t>
  </si>
  <si>
    <t>TCC-4 SB-1 bis</t>
  </si>
  <si>
    <t>TCC-4 SB-1</t>
  </si>
  <si>
    <t>TCC-1A</t>
  </si>
  <si>
    <t>Formation</t>
  </si>
  <si>
    <t>B</t>
  </si>
  <si>
    <t>A</t>
  </si>
  <si>
    <t>CLAYTON</t>
  </si>
  <si>
    <t>SPHERULED BED
Ejecta layer</t>
  </si>
  <si>
    <t>Prairie Bluff Chalk</t>
  </si>
  <si>
    <t xml:space="preserve">BURROWED 
UNIT </t>
  </si>
  <si>
    <t>Distance
 K-Pg</t>
  </si>
  <si>
    <t>Dry
 Weight
 (g)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</si>
  <si>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</si>
  <si>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</si>
  <si>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</si>
  <si>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</si>
  <si>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</si>
  <si>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</si>
  <si>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</si>
  <si>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</si>
  <si>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</si>
  <si>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</si>
  <si>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</si>
  <si>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13,98</t>
  </si>
  <si>
    <t>14,16</t>
  </si>
  <si>
    <t>15,99</t>
  </si>
  <si>
    <t>16,27</t>
  </si>
  <si>
    <t>20,44</t>
  </si>
  <si>
    <t>22,62</t>
  </si>
  <si>
    <t>24,74</t>
  </si>
  <si>
    <t>26,80</t>
  </si>
  <si>
    <t>28,78</t>
  </si>
  <si>
    <t>39,35</t>
  </si>
  <si>
    <t>40,91</t>
  </si>
  <si>
    <t>49,99</t>
  </si>
  <si>
    <t>52,02</t>
  </si>
  <si>
    <t>54,38</t>
  </si>
  <si>
    <t>19,92</t>
  </si>
  <si>
    <t>30,69</t>
  </si>
  <si>
    <t>20,43</t>
  </si>
  <si>
    <t>13,96</t>
  </si>
  <si>
    <t>14,14</t>
  </si>
  <si>
    <t>15,97</t>
  </si>
  <si>
    <t>22,61</t>
  </si>
  <si>
    <t>26,79</t>
  </si>
  <si>
    <t>28,77</t>
  </si>
  <si>
    <t>40,90</t>
  </si>
  <si>
    <t>50,00</t>
  </si>
  <si>
    <t>54,33</t>
  </si>
  <si>
    <t>11,68</t>
  </si>
  <si>
    <t>16,26</t>
  </si>
  <si>
    <t>39,34</t>
  </si>
  <si>
    <t>19,91</t>
  </si>
  <si>
    <t>16,06</t>
  </si>
  <si>
    <t>16,28</t>
  </si>
  <si>
    <t>20,45</t>
  </si>
  <si>
    <t>42,44</t>
  </si>
  <si>
    <t>30,70</t>
  </si>
  <si>
    <t>22,63</t>
  </si>
  <si>
    <t>24,75</t>
  </si>
  <si>
    <t>28,79</t>
  </si>
  <si>
    <t>Area 
(TIC)</t>
  </si>
  <si>
    <t>Area 
(217)</t>
  </si>
  <si>
    <t>Area 
(191)</t>
  </si>
  <si>
    <t>191/TIC</t>
  </si>
  <si>
    <t>17-31</t>
  </si>
  <si>
    <t>18-35</t>
  </si>
  <si>
    <t>16-37</t>
  </si>
  <si>
    <t>14-39</t>
  </si>
  <si>
    <t>17-38</t>
  </si>
  <si>
    <t>19-37</t>
  </si>
  <si>
    <t>20-37</t>
  </si>
  <si>
    <t>18-39</t>
  </si>
  <si>
    <t>19-38</t>
  </si>
  <si>
    <t>.</t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</si>
  <si>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16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</si>
  <si>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17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</si>
  <si>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18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</si>
  <si>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19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</si>
  <si>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20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</si>
  <si>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21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</si>
  <si>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22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</si>
  <si>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23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</si>
  <si>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24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</si>
  <si>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25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</si>
  <si>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26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</si>
  <si>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27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</si>
  <si>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28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</si>
  <si>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29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</si>
  <si>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30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</si>
  <si>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31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</si>
  <si>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32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</si>
  <si>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33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</si>
  <si>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34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</si>
  <si>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35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</si>
  <si>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36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</si>
  <si>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37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</si>
  <si>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38</t>
    </r>
  </si>
  <si>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-C</t>
    </r>
    <r>
      <rPr>
        <b/>
        <vertAlign val="subscript"/>
        <sz val="10"/>
        <color theme="1"/>
        <rFont val="Arial"/>
        <family val="2"/>
      </rPr>
      <t>39</t>
    </r>
  </si>
  <si>
    <r>
      <t>HMW ≥C25</t>
    </r>
    <r>
      <rPr>
        <b/>
        <vertAlign val="subscript"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(AREA)</t>
    </r>
  </si>
  <si>
    <r>
      <t>ACL</t>
    </r>
    <r>
      <rPr>
        <b/>
        <vertAlign val="superscript"/>
        <sz val="10"/>
        <color rgb="FFFF0000"/>
        <rFont val="Arial"/>
        <family val="2"/>
      </rPr>
      <t xml:space="preserve">
</t>
    </r>
    <r>
      <rPr>
        <b/>
        <sz val="10"/>
        <color rgb="FFFF0000"/>
        <rFont val="Arial"/>
        <family val="2"/>
      </rPr>
      <t xml:space="preserve"> (C</t>
    </r>
    <r>
      <rPr>
        <b/>
        <vertAlign val="subscript"/>
        <sz val="10"/>
        <color rgb="FFFF0000"/>
        <rFont val="Arial"/>
        <family val="2"/>
      </rPr>
      <t>25-</t>
    </r>
    <r>
      <rPr>
        <b/>
        <sz val="10"/>
        <color rgb="FFFF0000"/>
        <rFont val="Arial"/>
        <family val="2"/>
      </rPr>
      <t>C</t>
    </r>
    <r>
      <rPr>
        <b/>
        <vertAlign val="subscript"/>
        <sz val="10"/>
        <color rgb="FFFF0000"/>
        <rFont val="Arial"/>
        <family val="2"/>
      </rPr>
      <t>35</t>
    </r>
    <r>
      <rPr>
        <b/>
        <sz val="10"/>
        <color rgb="FFFF0000"/>
        <rFont val="Arial"/>
        <family val="2"/>
      </rPr>
      <t>)</t>
    </r>
  </si>
  <si>
    <r>
      <t xml:space="preserve">HMW/total </t>
    </r>
    <r>
      <rPr>
        <b/>
        <i/>
        <sz val="10"/>
        <color rgb="FFFF0000"/>
        <rFont val="Arial"/>
        <family val="2"/>
      </rPr>
      <t>n</t>
    </r>
    <r>
      <rPr>
        <b/>
        <sz val="10"/>
        <color rgb="FFFF0000"/>
        <rFont val="Arial"/>
        <family val="2"/>
      </rPr>
      <t>-alkanes</t>
    </r>
  </si>
  <si>
    <r>
      <t>HMW ≥C</t>
    </r>
    <r>
      <rPr>
        <b/>
        <vertAlign val="subscript"/>
        <sz val="10"/>
        <color rgb="FFFF0000"/>
        <rFont val="Arial"/>
        <family val="2"/>
      </rPr>
      <t>25</t>
    </r>
  </si>
  <si>
    <r>
      <t xml:space="preserve">LMW/total </t>
    </r>
    <r>
      <rPr>
        <b/>
        <i/>
        <sz val="10"/>
        <color rgb="FFFF0000"/>
        <rFont val="Arial"/>
        <family val="2"/>
      </rPr>
      <t>n</t>
    </r>
    <r>
      <rPr>
        <b/>
        <sz val="10"/>
        <color rgb="FFFF0000"/>
        <rFont val="Arial"/>
        <family val="2"/>
      </rPr>
      <t>-alkanes</t>
    </r>
  </si>
  <si>
    <r>
      <t>Pr/n-C</t>
    </r>
    <r>
      <rPr>
        <b/>
        <vertAlign val="subscript"/>
        <sz val="10"/>
        <color rgb="FFFF0000"/>
        <rFont val="Arial"/>
        <family val="2"/>
      </rPr>
      <t>17</t>
    </r>
  </si>
  <si>
    <r>
      <t>Ph/n-C</t>
    </r>
    <r>
      <rPr>
        <b/>
        <vertAlign val="subscript"/>
        <sz val="10"/>
        <color rgb="FFFF0000"/>
        <rFont val="Arial"/>
        <family val="2"/>
      </rPr>
      <t>18</t>
    </r>
  </si>
  <si>
    <r>
      <t>C</t>
    </r>
    <r>
      <rPr>
        <b/>
        <vertAlign val="subscript"/>
        <sz val="11"/>
        <color theme="1"/>
        <rFont val="Arial"/>
        <family val="2"/>
      </rPr>
      <t>29</t>
    </r>
    <r>
      <rPr>
        <b/>
        <sz val="11"/>
        <color theme="1"/>
        <rFont val="Arial"/>
        <family val="2"/>
      </rPr>
      <t>αβ</t>
    </r>
  </si>
  <si>
    <r>
      <t>C</t>
    </r>
    <r>
      <rPr>
        <b/>
        <vertAlign val="subscript"/>
        <sz val="11"/>
        <color theme="1"/>
        <rFont val="Arial"/>
        <family val="2"/>
      </rPr>
      <t>29</t>
    </r>
    <r>
      <rPr>
        <b/>
        <sz val="11"/>
        <color theme="1"/>
        <rFont val="Arial"/>
        <family val="2"/>
      </rPr>
      <t>βα</t>
    </r>
  </si>
  <si>
    <r>
      <t>C</t>
    </r>
    <r>
      <rPr>
        <b/>
        <vertAlign val="subscript"/>
        <sz val="11"/>
        <color theme="1"/>
        <rFont val="Arial"/>
        <family val="2"/>
      </rPr>
      <t>30</t>
    </r>
    <r>
      <rPr>
        <b/>
        <sz val="11"/>
        <color theme="1"/>
        <rFont val="Arial"/>
        <family val="2"/>
      </rPr>
      <t>αβ</t>
    </r>
  </si>
  <si>
    <r>
      <t>C</t>
    </r>
    <r>
      <rPr>
        <b/>
        <vertAlign val="subscript"/>
        <sz val="11"/>
        <color theme="1"/>
        <rFont val="Arial"/>
        <family val="2"/>
      </rPr>
      <t>30</t>
    </r>
    <r>
      <rPr>
        <b/>
        <sz val="11"/>
        <color theme="1"/>
        <rFont val="Arial"/>
        <family val="2"/>
      </rPr>
      <t>βα</t>
    </r>
  </si>
  <si>
    <r>
      <t>C</t>
    </r>
    <r>
      <rPr>
        <b/>
        <vertAlign val="subscript"/>
        <sz val="11"/>
        <color theme="1"/>
        <rFont val="Arial"/>
        <family val="2"/>
      </rPr>
      <t>31</t>
    </r>
    <r>
      <rPr>
        <b/>
        <sz val="11"/>
        <color theme="1"/>
        <rFont val="Arial"/>
        <family val="2"/>
      </rPr>
      <t>αβ</t>
    </r>
  </si>
  <si>
    <r>
      <t>C</t>
    </r>
    <r>
      <rPr>
        <b/>
        <vertAlign val="subscript"/>
        <sz val="11"/>
        <color theme="1"/>
        <rFont val="Arial"/>
        <family val="2"/>
      </rPr>
      <t>31</t>
    </r>
    <r>
      <rPr>
        <b/>
        <sz val="11"/>
        <color theme="1"/>
        <rFont val="Arial"/>
        <family val="2"/>
      </rPr>
      <t>βα</t>
    </r>
  </si>
  <si>
    <r>
      <t>C</t>
    </r>
    <r>
      <rPr>
        <b/>
        <vertAlign val="subscript"/>
        <sz val="11"/>
        <color theme="1"/>
        <rFont val="Arial"/>
        <family val="2"/>
      </rPr>
      <t>31</t>
    </r>
    <r>
      <rPr>
        <b/>
        <sz val="11"/>
        <color theme="1"/>
        <rFont val="Arial"/>
        <family val="2"/>
      </rPr>
      <t>ββ</t>
    </r>
  </si>
  <si>
    <r>
      <t>Σ</t>
    </r>
    <r>
      <rPr>
        <b/>
        <vertAlign val="subscript"/>
        <sz val="11"/>
        <color theme="1"/>
        <rFont val="Arial"/>
        <family val="2"/>
      </rPr>
      <t>Areas</t>
    </r>
  </si>
  <si>
    <r>
      <t>T</t>
    </r>
    <r>
      <rPr>
        <b/>
        <vertAlign val="subscript"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/T</t>
    </r>
    <r>
      <rPr>
        <b/>
        <vertAlign val="subscript"/>
        <sz val="11"/>
        <color rgb="FFFF0000"/>
        <rFont val="Arial"/>
        <family val="2"/>
      </rPr>
      <t>m</t>
    </r>
  </si>
  <si>
    <r>
      <t>C</t>
    </r>
    <r>
      <rPr>
        <b/>
        <vertAlign val="subscript"/>
        <sz val="11"/>
        <color rgb="FFFF0000"/>
        <rFont val="Arial"/>
        <family val="2"/>
      </rPr>
      <t>29</t>
    </r>
    <r>
      <rPr>
        <b/>
        <sz val="11"/>
        <color rgb="FFFF0000"/>
        <rFont val="Arial"/>
        <family val="2"/>
      </rPr>
      <t>/C</t>
    </r>
    <r>
      <rPr>
        <b/>
        <vertAlign val="subscript"/>
        <sz val="11"/>
        <color rgb="FFFF0000"/>
        <rFont val="Arial"/>
        <family val="2"/>
      </rPr>
      <t>30</t>
    </r>
  </si>
  <si>
    <r>
      <t>C</t>
    </r>
    <r>
      <rPr>
        <b/>
        <vertAlign val="subscript"/>
        <sz val="12"/>
        <color rgb="FFFF0000"/>
        <rFont val="Arial"/>
        <family val="2"/>
      </rPr>
      <t>29</t>
    </r>
  </si>
  <si>
    <r>
      <t>C</t>
    </r>
    <r>
      <rPr>
        <b/>
        <vertAlign val="subscript"/>
        <sz val="12"/>
        <color rgb="FFFF0000"/>
        <rFont val="Arial"/>
        <family val="2"/>
      </rPr>
      <t>30</t>
    </r>
  </si>
  <si>
    <r>
      <t>C</t>
    </r>
    <r>
      <rPr>
        <b/>
        <vertAlign val="subscript"/>
        <sz val="12"/>
        <color rgb="FFFF0000"/>
        <rFont val="Arial"/>
        <family val="2"/>
      </rPr>
      <t>31</t>
    </r>
  </si>
  <si>
    <t>Σ Hopanes 
Rel Conc (191)</t>
  </si>
  <si>
    <t>&lt;0.1</t>
  </si>
  <si>
    <t>&gt;0.5</t>
  </si>
  <si>
    <t xml:space="preserve"> Total Hopanes
 (peak area)</t>
  </si>
  <si>
    <t>42,11</t>
  </si>
  <si>
    <t>42,30</t>
  </si>
  <si>
    <t>42,78</t>
  </si>
  <si>
    <t>44,47</t>
  </si>
  <si>
    <t>19,93</t>
  </si>
  <si>
    <t>36,86</t>
  </si>
  <si>
    <t>37,42</t>
  </si>
  <si>
    <t>39,18</t>
  </si>
  <si>
    <t>39,19</t>
  </si>
  <si>
    <t>40,94</t>
  </si>
  <si>
    <t>40,54</t>
  </si>
  <si>
    <t>41,13</t>
  </si>
  <si>
    <t>42,60</t>
  </si>
  <si>
    <t>42,12</t>
  </si>
  <si>
    <t>42,79</t>
  </si>
  <si>
    <t>37,41</t>
  </si>
  <si>
    <t>39,93</t>
  </si>
  <si>
    <t>40,53</t>
  </si>
  <si>
    <t>41,11</t>
  </si>
  <si>
    <t>19,94</t>
  </si>
  <si>
    <t>37,43</t>
  </si>
  <si>
    <t>40,95</t>
  </si>
  <si>
    <t>42,15</t>
  </si>
  <si>
    <t>42,32</t>
  </si>
  <si>
    <t>42,80</t>
  </si>
  <si>
    <t>44,46</t>
  </si>
  <si>
    <t>Pr/Ph</t>
  </si>
  <si>
    <r>
      <t>LMW ≤C21</t>
    </r>
    <r>
      <rPr>
        <b/>
        <vertAlign val="subscript"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(AREAS)</t>
    </r>
  </si>
  <si>
    <r>
      <t xml:space="preserve">Σ 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-alkane</t>
    </r>
    <r>
      <rPr>
        <b/>
        <vertAlign val="subscript"/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Rel conc
(57)</t>
    </r>
  </si>
  <si>
    <r>
      <t xml:space="preserve">Σ </t>
    </r>
    <r>
      <rPr>
        <b/>
        <i/>
        <sz val="10"/>
        <color theme="1"/>
        <rFont val="Arial"/>
        <family val="2"/>
      </rPr>
      <t>n</t>
    </r>
    <r>
      <rPr>
        <b/>
        <sz val="10"/>
        <color theme="1"/>
        <rFont val="Arial"/>
        <family val="2"/>
      </rPr>
      <t>-alkane (µg/g DW) 
abs. conc. 
(TIC)</t>
    </r>
  </si>
  <si>
    <t>Phytane (57)</t>
  </si>
  <si>
    <t>Prystane 
(57)</t>
  </si>
  <si>
    <t>Prystane (µg/g DW)
(TIC)</t>
  </si>
  <si>
    <t>Phytane (µg/g DW)
(TIC)</t>
  </si>
  <si>
    <t>17*37</t>
  </si>
  <si>
    <t>35,56</t>
  </si>
  <si>
    <t>C29αα20R</t>
  </si>
  <si>
    <t>C27αα20R</t>
  </si>
  <si>
    <t>C27𝛃𝛃20S</t>
  </si>
  <si>
    <t>C28𝛃𝛃20S</t>
  </si>
  <si>
    <t>C28𝛃𝛃20R</t>
  </si>
  <si>
    <t>C29𝛃𝛃20R</t>
  </si>
  <si>
    <t>C29𝛃𝛃20S</t>
  </si>
  <si>
    <t>37,31</t>
  </si>
  <si>
    <t>38,83</t>
  </si>
  <si>
    <t>35,53</t>
  </si>
  <si>
    <t>37,33</t>
  </si>
  <si>
    <t>37,96</t>
  </si>
  <si>
    <t>38,80</t>
  </si>
  <si>
    <t>39,43</t>
  </si>
  <si>
    <t>35,67</t>
  </si>
  <si>
    <t>35,81</t>
  </si>
  <si>
    <t>37,49</t>
  </si>
  <si>
    <t>37,68</t>
  </si>
  <si>
    <t>38,81</t>
  </si>
  <si>
    <t>39,21</t>
  </si>
  <si>
    <t>39,29</t>
  </si>
  <si>
    <t>35,52</t>
  </si>
  <si>
    <t>35,70</t>
  </si>
  <si>
    <t>37,32</t>
  </si>
  <si>
    <t>37,95</t>
  </si>
  <si>
    <t>35,51</t>
  </si>
  <si>
    <t>36,15</t>
  </si>
  <si>
    <t>37,30</t>
  </si>
  <si>
    <t>38,97</t>
  </si>
  <si>
    <t>37,93</t>
  </si>
  <si>
    <t>39,41</t>
  </si>
  <si>
    <t>38,79</t>
  </si>
  <si>
    <t>36,16</t>
  </si>
  <si>
    <t>37,28</t>
  </si>
  <si>
    <t>37,29</t>
  </si>
  <si>
    <t>37,92</t>
  </si>
  <si>
    <t>38,78</t>
  </si>
  <si>
    <t>39,42</t>
  </si>
  <si>
    <t>35,50</t>
  </si>
  <si>
    <t>20S/(20S+20R)</t>
  </si>
  <si>
    <r>
      <t>C</t>
    </r>
    <r>
      <rPr>
        <b/>
        <vertAlign val="subscript"/>
        <sz val="10"/>
        <color rgb="FFFF0000"/>
        <rFont val="Arial"/>
        <family val="2"/>
      </rPr>
      <t>27</t>
    </r>
  </si>
  <si>
    <r>
      <t>C</t>
    </r>
    <r>
      <rPr>
        <b/>
        <vertAlign val="subscript"/>
        <sz val="10"/>
        <color rgb="FFFF0000"/>
        <rFont val="Arial"/>
        <family val="2"/>
      </rPr>
      <t>28</t>
    </r>
  </si>
  <si>
    <r>
      <t>C</t>
    </r>
    <r>
      <rPr>
        <b/>
        <vertAlign val="subscript"/>
        <sz val="10"/>
        <color rgb="FFFF0000"/>
        <rFont val="Arial"/>
        <family val="2"/>
      </rPr>
      <t>29</t>
    </r>
  </si>
  <si>
    <r>
      <t>C</t>
    </r>
    <r>
      <rPr>
        <b/>
        <vertAlign val="subscript"/>
        <sz val="10"/>
        <color rgb="FFFF0000"/>
        <rFont val="Arial"/>
        <family val="2"/>
      </rPr>
      <t>27-29</t>
    </r>
  </si>
  <si>
    <t>C27𝛃𝛃20R</t>
  </si>
  <si>
    <t>20,04</t>
  </si>
  <si>
    <t>16-35</t>
  </si>
  <si>
    <t>19-35</t>
  </si>
  <si>
    <t>C28αα20R</t>
  </si>
  <si>
    <r>
      <t>LMW</t>
    </r>
    <r>
      <rPr>
        <b/>
        <vertAlign val="subscript"/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Rel conc
(57)</t>
    </r>
  </si>
  <si>
    <r>
      <t>HMW</t>
    </r>
    <r>
      <rPr>
        <b/>
        <vertAlign val="subscript"/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Rel conc
(57)</t>
    </r>
  </si>
  <si>
    <t xml:space="preserve">C27
(µg/g DW) 
Abs Conc (TIC) </t>
  </si>
  <si>
    <t xml:space="preserve">(µg/g DW) </t>
  </si>
  <si>
    <t xml:space="preserve">Abs Conc (TIC) </t>
  </si>
  <si>
    <t xml:space="preserve">
C27
 Rel Conc (217)</t>
  </si>
  <si>
    <t xml:space="preserve">
C28
 Rel Conc (217)</t>
  </si>
  <si>
    <t xml:space="preserve">
C29 
Rel Conc (217)</t>
  </si>
  <si>
    <t>P1c</t>
  </si>
  <si>
    <t>P1b</t>
  </si>
  <si>
    <t>P1a</t>
  </si>
  <si>
    <t>Pa</t>
  </si>
  <si>
    <t>P0</t>
  </si>
  <si>
    <t>KPgB</t>
  </si>
  <si>
    <t>D. iris/CC26b</t>
  </si>
  <si>
    <t>Biozone</t>
  </si>
  <si>
    <t xml:space="preserve">Sed. 
rates </t>
  </si>
  <si>
    <t>LMW-MAR
normalized</t>
  </si>
  <si>
    <t>HMW-MAR
Normalized</t>
  </si>
  <si>
    <t>Σ n-alkane-MAR
(µg/cm2kyrs)</t>
  </si>
  <si>
    <t>HMW-Abs.conc.
(µg/g DW) 
 (TIC)</t>
  </si>
  <si>
    <t>LMW-Abs.conc
(µg/g DW) 
(TIC)</t>
  </si>
  <si>
    <r>
      <t>LMW-MAR
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>kyrs)</t>
    </r>
  </si>
  <si>
    <r>
      <t>HMW-MAR
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>kyrs)</t>
    </r>
  </si>
  <si>
    <r>
      <t>Nalkane-MAR
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>kyrs)</t>
    </r>
  </si>
  <si>
    <t>Σ Hopanes-MAR Normalized</t>
  </si>
  <si>
    <t>Σ Hopanes-Abs.Conc. (µg/g DW)  (TIC)</t>
  </si>
  <si>
    <r>
      <t>Σ Hopanes-MAR  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 xml:space="preserve">kyrs) </t>
    </r>
  </si>
  <si>
    <t xml:space="preserve">Σ Steranes-Abs.Conc.
(µg/g DW) (TIC) </t>
  </si>
  <si>
    <t xml:space="preserve">
 Σ Steranes Rel Conc (217)</t>
  </si>
  <si>
    <t>Σ Steranes
 (peak area)</t>
  </si>
  <si>
    <t>Σ Steranes-MAR
Normalized</t>
  </si>
  <si>
    <r>
      <t>Σ Esteranes MAR  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 xml:space="preserve">kyrs) </t>
    </r>
  </si>
  <si>
    <t>C27-MAR Normalized)</t>
  </si>
  <si>
    <t>C29-`MAR
Normalized</t>
  </si>
  <si>
    <t>C29-MAR
(µg/cm2kyrs)</t>
  </si>
  <si>
    <r>
      <t>C27-MAR
(µg/cm</t>
    </r>
    <r>
      <rPr>
        <b/>
        <vertAlign val="superscript"/>
        <sz val="10"/>
        <color rgb="FF00B050"/>
        <rFont val="Arial"/>
        <family val="2"/>
      </rPr>
      <t>2</t>
    </r>
    <r>
      <rPr>
        <b/>
        <sz val="10"/>
        <color rgb="FF00B050"/>
        <rFont val="Arial"/>
        <family val="2"/>
      </rPr>
      <t>kyrs)</t>
    </r>
  </si>
  <si>
    <t>Pr+Ph MAR Norm</t>
  </si>
  <si>
    <r>
      <t>C</t>
    </r>
    <r>
      <rPr>
        <b/>
        <vertAlign val="subscript"/>
        <sz val="10"/>
        <color rgb="FFFF0000"/>
        <rFont val="Arial"/>
        <family val="2"/>
      </rPr>
      <t>29</t>
    </r>
    <r>
      <rPr>
        <b/>
        <sz val="10"/>
        <color rgb="FFFF0000"/>
        <rFont val="Arial"/>
        <family val="2"/>
      </rPr>
      <t>/C</t>
    </r>
    <r>
      <rPr>
        <b/>
        <vertAlign val="subscript"/>
        <sz val="10"/>
        <color rgb="FFFF0000"/>
        <rFont val="Arial"/>
        <family val="2"/>
      </rPr>
      <t>27</t>
    </r>
  </si>
  <si>
    <t>MAR %</t>
  </si>
  <si>
    <t>Nalkane-MAR
(%)</t>
  </si>
  <si>
    <t>HMW-MAR (%)</t>
  </si>
  <si>
    <t>Ari</t>
  </si>
  <si>
    <t>Pr+Ph MAR (%)</t>
  </si>
  <si>
    <t>Pr+Ph MAR (µg/cm2kyrs)</t>
  </si>
  <si>
    <t xml:space="preserve">C27 MAR  (%) </t>
  </si>
  <si>
    <t xml:space="preserve">C29 MAR  (%) </t>
  </si>
  <si>
    <t>Σ Esteranes MAR  (%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</si>
</sst>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0.000000"/>
    <numFmt numFmtId="168" formatCode="#,##0.000"/>
  </numFmts>
  <fonts count="48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rgb="FF00B0F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color theme="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1"/>
      <color theme="1"/>
      <name val="Arial"/>
      <family val="2"/>
    </font>
    <font>
      <b/>
      <vertAlign val="subscript"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i/>
      <sz val="10"/>
      <color theme="1"/>
      <name val="Arial"/>
      <family val="2"/>
    </font>
    <font>
      <b/>
      <vertAlign val="superscript"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1"/>
      <color rgb="FFFF0000"/>
      <name val="Arial"/>
      <family val="2"/>
    </font>
    <font>
      <b/>
      <vertAlign val="subscript"/>
      <sz val="11"/>
      <color theme="1"/>
      <name val="Arial"/>
      <family val="2"/>
    </font>
    <font>
      <b/>
      <vertAlign val="subscript"/>
      <sz val="11"/>
      <color rgb="FFFF0000"/>
      <name val="Arial"/>
      <family val="2"/>
    </font>
    <font>
      <b/>
      <sz val="12"/>
      <color rgb="FFFF0000"/>
      <name val="Arial"/>
      <family val="2"/>
    </font>
    <font>
      <b/>
      <vertAlign val="subscript"/>
      <sz val="12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0"/>
      <color theme="7" tint="-0.249977111117893"/>
      <name val="Arial"/>
      <family val="2"/>
    </font>
    <font>
      <b/>
      <sz val="9"/>
      <color theme="7" tint="-0.249977111117893"/>
      <name val="Arial"/>
      <family val="2"/>
    </font>
    <font>
      <b/>
      <sz val="11"/>
      <color theme="7" tint="-0.249977111117893"/>
      <name val="Calibri"/>
      <family val="2"/>
      <scheme val="minor"/>
    </font>
    <font>
      <b/>
      <sz val="9"/>
      <color theme="7" tint="-0.249977111117893"/>
      <name val="Times New Roman"/>
      <family val="1"/>
    </font>
    <font>
      <b/>
      <sz val="11"/>
      <color theme="7"/>
      <name val="Arial"/>
      <family val="2"/>
    </font>
    <font>
      <sz val="9"/>
      <color theme="7" tint="-0.249977111117893"/>
      <name val="Arial"/>
      <family val="2"/>
    </font>
    <font>
      <b/>
      <sz val="9"/>
      <color rgb="FF00B0F0"/>
      <name val="Arial"/>
      <family val="2"/>
    </font>
    <font>
      <b/>
      <sz val="10"/>
      <color theme="9" tint="-0.249977111117893"/>
      <name val="Arial"/>
      <family val="2"/>
    </font>
    <font>
      <sz val="10"/>
      <color theme="9" tint="-0.249977111117893"/>
      <name val="Arial"/>
      <family val="2"/>
    </font>
    <font>
      <sz val="14"/>
      <color theme="1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00B050"/>
      <name val="Arial"/>
      <family val="2"/>
    </font>
    <font>
      <b/>
      <sz val="10"/>
      <color theme="9"/>
      <name val="Arial"/>
      <family val="2"/>
    </font>
    <font>
      <sz val="10"/>
      <color theme="9"/>
      <name val="Arial"/>
      <family val="2"/>
    </font>
    <font>
      <sz val="9"/>
      <color rgb="FF00B050"/>
      <name val="Arial"/>
      <family val="2"/>
    </font>
    <font>
      <sz val="9"/>
      <color theme="9"/>
      <name val="Arial"/>
      <family val="2"/>
    </font>
    <font>
      <sz val="14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BF1DE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3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166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0" fontId="8" fillId="5" borderId="1" xfId="0" applyFont="1" applyFill="1" applyBorder="1"/>
    <xf numFmtId="2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2" fontId="8" fillId="6" borderId="6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3" fontId="9" fillId="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/>
    <xf numFmtId="166" fontId="8" fillId="2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2" fontId="16" fillId="2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2" fontId="16" fillId="5" borderId="1" xfId="0" applyNumberFormat="1" applyFont="1" applyFill="1" applyBorder="1" applyAlignment="1">
      <alignment horizontal="center" vertical="center"/>
    </xf>
    <xf numFmtId="1" fontId="16" fillId="5" borderId="1" xfId="0" applyNumberFormat="1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0" fontId="8" fillId="0" borderId="0" xfId="0" applyFont="1"/>
    <xf numFmtId="2" fontId="14" fillId="2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8" fillId="2" borderId="0" xfId="0" applyFont="1" applyFill="1"/>
    <xf numFmtId="0" fontId="18" fillId="2" borderId="1" xfId="0" applyFont="1" applyFill="1" applyBorder="1"/>
    <xf numFmtId="2" fontId="18" fillId="6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66" fontId="31" fillId="2" borderId="1" xfId="0" applyNumberFormat="1" applyFont="1" applyFill="1" applyBorder="1" applyAlignment="1">
      <alignment horizontal="center" vertical="center"/>
    </xf>
    <xf numFmtId="2" fontId="31" fillId="2" borderId="1" xfId="0" applyNumberFormat="1" applyFont="1" applyFill="1" applyBorder="1" applyAlignment="1">
      <alignment horizontal="center" vertical="center"/>
    </xf>
    <xf numFmtId="2" fontId="31" fillId="5" borderId="1" xfId="0" applyNumberFormat="1" applyFont="1" applyFill="1" applyBorder="1" applyAlignment="1">
      <alignment horizontal="center" vertical="center"/>
    </xf>
    <xf numFmtId="166" fontId="31" fillId="5" borderId="1" xfId="0" applyNumberFormat="1" applyFont="1" applyFill="1" applyBorder="1" applyAlignment="1">
      <alignment horizontal="center" vertical="center"/>
    </xf>
    <xf numFmtId="166" fontId="31" fillId="6" borderId="1" xfId="0" applyNumberFormat="1" applyFont="1" applyFill="1" applyBorder="1" applyAlignment="1">
      <alignment horizontal="center" vertical="center"/>
    </xf>
    <xf numFmtId="2" fontId="31" fillId="6" borderId="1" xfId="0" applyNumberFormat="1" applyFont="1" applyFill="1" applyBorder="1" applyAlignment="1">
      <alignment horizontal="center" vertical="center"/>
    </xf>
    <xf numFmtId="0" fontId="32" fillId="0" borderId="0" xfId="0" applyFont="1"/>
    <xf numFmtId="164" fontId="33" fillId="0" borderId="0" xfId="0" applyNumberFormat="1" applyFont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/>
    <xf numFmtId="0" fontId="14" fillId="2" borderId="1" xfId="0" applyFont="1" applyFill="1" applyBorder="1" applyAlignment="1">
      <alignment horizontal="center"/>
    </xf>
    <xf numFmtId="0" fontId="34" fillId="2" borderId="1" xfId="0" applyFont="1" applyFill="1" applyBorder="1"/>
    <xf numFmtId="165" fontId="14" fillId="6" borderId="1" xfId="0" applyNumberFormat="1" applyFont="1" applyFill="1" applyBorder="1" applyAlignment="1">
      <alignment horizontal="center" vertical="center"/>
    </xf>
    <xf numFmtId="165" fontId="34" fillId="6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/>
    </xf>
    <xf numFmtId="166" fontId="14" fillId="5" borderId="1" xfId="0" applyNumberFormat="1" applyFont="1" applyFill="1" applyBorder="1" applyAlignment="1">
      <alignment horizontal="center" vertical="center"/>
    </xf>
    <xf numFmtId="166" fontId="14" fillId="6" borderId="1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14" fillId="5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/>
    </xf>
    <xf numFmtId="4" fontId="8" fillId="6" borderId="1" xfId="0" applyNumberFormat="1" applyFont="1" applyFill="1" applyBorder="1" applyAlignment="1">
      <alignment horizontal="center" vertical="center"/>
    </xf>
    <xf numFmtId="164" fontId="8" fillId="5" borderId="13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2" fontId="17" fillId="7" borderId="1" xfId="0" applyNumberFormat="1" applyFont="1" applyFill="1" applyBorder="1" applyAlignment="1">
      <alignment horizontal="center" vertical="center"/>
    </xf>
    <xf numFmtId="1" fontId="17" fillId="7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/>
    </xf>
    <xf numFmtId="166" fontId="14" fillId="6" borderId="1" xfId="0" applyNumberFormat="1" applyFont="1" applyFill="1" applyBorder="1" applyAlignment="1">
      <alignment horizontal="center"/>
    </xf>
    <xf numFmtId="166" fontId="35" fillId="6" borderId="1" xfId="0" applyNumberFormat="1" applyFont="1" applyFill="1" applyBorder="1" applyAlignment="1">
      <alignment horizontal="center" vertical="center"/>
    </xf>
    <xf numFmtId="166" fontId="16" fillId="6" borderId="1" xfId="0" applyNumberFormat="1" applyFont="1" applyFill="1" applyBorder="1" applyAlignment="1">
      <alignment horizontal="center" vertical="center"/>
    </xf>
    <xf numFmtId="1" fontId="36" fillId="2" borderId="1" xfId="0" applyNumberFormat="1" applyFont="1" applyFill="1" applyBorder="1" applyAlignment="1">
      <alignment horizontal="center" vertical="center"/>
    </xf>
    <xf numFmtId="1" fontId="36" fillId="5" borderId="1" xfId="0" applyNumberFormat="1" applyFont="1" applyFill="1" applyBorder="1" applyAlignment="1">
      <alignment horizontal="center" vertical="center"/>
    </xf>
    <xf numFmtId="1" fontId="36" fillId="6" borderId="1" xfId="0" applyNumberFormat="1" applyFont="1" applyFill="1" applyBorder="1" applyAlignment="1">
      <alignment horizontal="center" vertical="center"/>
    </xf>
    <xf numFmtId="1" fontId="8" fillId="6" borderId="6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" fontId="10" fillId="2" borderId="1" xfId="0" applyNumberFormat="1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/>
    </xf>
    <xf numFmtId="1" fontId="17" fillId="5" borderId="1" xfId="0" applyNumberFormat="1" applyFont="1" applyFill="1" applyBorder="1" applyAlignment="1">
      <alignment horizontal="center" vertical="center"/>
    </xf>
    <xf numFmtId="1" fontId="17" fillId="6" borderId="1" xfId="0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2" fontId="8" fillId="6" borderId="13" xfId="0" applyNumberFormat="1" applyFont="1" applyFill="1" applyBorder="1" applyAlignment="1">
      <alignment horizontal="center" vertical="center"/>
    </xf>
    <xf numFmtId="1" fontId="8" fillId="6" borderId="4" xfId="0" applyNumberFormat="1" applyFont="1" applyFill="1" applyBorder="1" applyAlignment="1">
      <alignment horizontal="center" vertical="center"/>
    </xf>
    <xf numFmtId="1" fontId="8" fillId="6" borderId="5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2" fontId="39" fillId="5" borderId="1" xfId="0" applyNumberFormat="1" applyFont="1" applyFill="1" applyBorder="1" applyAlignment="1">
      <alignment horizontal="center" vertical="center"/>
    </xf>
    <xf numFmtId="2" fontId="39" fillId="0" borderId="11" xfId="0" applyNumberFormat="1" applyFont="1" applyBorder="1" applyAlignment="1">
      <alignment vertical="center" textRotation="90"/>
    </xf>
    <xf numFmtId="0" fontId="39" fillId="0" borderId="11" xfId="0" applyFont="1" applyBorder="1" applyAlignment="1">
      <alignment vertical="center" textRotation="90"/>
    </xf>
    <xf numFmtId="1" fontId="16" fillId="6" borderId="13" xfId="0" applyNumberFormat="1" applyFont="1" applyFill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/>
    </xf>
    <xf numFmtId="0" fontId="39" fillId="2" borderId="1" xfId="0" applyFont="1" applyFill="1" applyBorder="1" applyAlignment="1">
      <alignment horizontal="center" vertical="center"/>
    </xf>
    <xf numFmtId="2" fontId="39" fillId="6" borderId="1" xfId="0" applyNumberFormat="1" applyFont="1" applyFill="1" applyBorder="1" applyAlignment="1">
      <alignment horizontal="center" vertical="center"/>
    </xf>
    <xf numFmtId="164" fontId="38" fillId="2" borderId="1" xfId="0" applyNumberFormat="1" applyFont="1" applyFill="1" applyBorder="1" applyAlignment="1">
      <alignment horizontal="center" vertical="center"/>
    </xf>
    <xf numFmtId="166" fontId="42" fillId="2" borderId="1" xfId="0" applyNumberFormat="1" applyFont="1" applyFill="1" applyBorder="1" applyAlignment="1">
      <alignment horizontal="center" vertical="center"/>
    </xf>
    <xf numFmtId="2" fontId="42" fillId="2" borderId="1" xfId="0" applyNumberFormat="1" applyFont="1" applyFill="1" applyBorder="1" applyAlignment="1">
      <alignment horizontal="center" vertical="center"/>
    </xf>
    <xf numFmtId="2" fontId="44" fillId="2" borderId="1" xfId="0" applyNumberFormat="1" applyFont="1" applyFill="1" applyBorder="1" applyAlignment="1">
      <alignment horizontal="center" vertical="center"/>
    </xf>
    <xf numFmtId="2" fontId="45" fillId="2" borderId="1" xfId="0" applyNumberFormat="1" applyFont="1" applyFill="1" applyBorder="1" applyAlignment="1">
      <alignment horizontal="center" vertical="center"/>
    </xf>
    <xf numFmtId="2" fontId="46" fillId="2" borderId="1" xfId="0" applyNumberFormat="1" applyFont="1" applyFill="1" applyBorder="1" applyAlignment="1">
      <alignment horizontal="center" vertical="center"/>
    </xf>
    <xf numFmtId="2" fontId="45" fillId="5" borderId="1" xfId="0" applyNumberFormat="1" applyFont="1" applyFill="1" applyBorder="1" applyAlignment="1">
      <alignment horizontal="center" vertical="center"/>
    </xf>
    <xf numFmtId="2" fontId="45" fillId="6" borderId="1" xfId="0" applyNumberFormat="1" applyFont="1" applyFill="1" applyBorder="1" applyAlignment="1">
      <alignment horizontal="center" vertical="center"/>
    </xf>
    <xf numFmtId="164" fontId="42" fillId="2" borderId="1" xfId="0" applyNumberFormat="1" applyFont="1" applyFill="1" applyBorder="1" applyAlignment="1">
      <alignment horizontal="center" vertical="center"/>
    </xf>
    <xf numFmtId="164" fontId="44" fillId="2" borderId="1" xfId="0" applyNumberFormat="1" applyFont="1" applyFill="1" applyBorder="1" applyAlignment="1">
      <alignment horizontal="center" vertical="center"/>
    </xf>
    <xf numFmtId="2" fontId="39" fillId="2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4" borderId="13" xfId="0" applyNumberFormat="1" applyFont="1" applyFill="1" applyBorder="1" applyAlignment="1">
      <alignment horizontal="center" vertical="center"/>
    </xf>
    <xf numFmtId="2" fontId="8" fillId="4" borderId="6" xfId="0" applyNumberFormat="1" applyFont="1" applyFill="1" applyBorder="1" applyAlignment="1">
      <alignment horizontal="center" vertical="center"/>
    </xf>
    <xf numFmtId="166" fontId="38" fillId="2" borderId="1" xfId="0" applyNumberFormat="1" applyFont="1" applyFill="1" applyBorder="1" applyAlignment="1">
      <alignment horizontal="center" vertical="center"/>
    </xf>
    <xf numFmtId="2" fontId="47" fillId="10" borderId="1" xfId="0" applyNumberFormat="1" applyFont="1" applyFill="1" applyBorder="1" applyAlignment="1">
      <alignment horizontal="center" vertical="center"/>
    </xf>
    <xf numFmtId="2" fontId="47" fillId="10" borderId="13" xfId="0" applyNumberFormat="1" applyFont="1" applyFill="1" applyBorder="1" applyAlignment="1">
      <alignment horizontal="center" vertical="center"/>
    </xf>
    <xf numFmtId="2" fontId="47" fillId="0" borderId="11" xfId="0" applyNumberFormat="1" applyFont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0" fontId="40" fillId="3" borderId="13" xfId="0" applyFont="1" applyFill="1" applyBorder="1" applyAlignment="1">
      <alignment horizontal="center" vertical="center" wrapText="1"/>
    </xf>
    <xf numFmtId="0" fontId="40" fillId="3" borderId="2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2" fontId="44" fillId="2" borderId="6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38" fillId="0" borderId="6" xfId="0" applyNumberFormat="1" applyFont="1" applyBorder="1" applyAlignment="1">
      <alignment horizontal="center" vertical="center"/>
    </xf>
    <xf numFmtId="164" fontId="44" fillId="0" borderId="6" xfId="0" applyNumberFormat="1" applyFont="1" applyBorder="1" applyAlignment="1">
      <alignment horizontal="center" vertical="center"/>
    </xf>
    <xf numFmtId="164" fontId="38" fillId="0" borderId="13" xfId="0" applyNumberFormat="1" applyFont="1" applyBorder="1" applyAlignment="1">
      <alignment horizontal="center" vertical="center"/>
    </xf>
    <xf numFmtId="164" fontId="0" fillId="0" borderId="0" xfId="0" applyNumberFormat="1"/>
    <xf numFmtId="2" fontId="44" fillId="0" borderId="6" xfId="0" applyNumberFormat="1" applyFont="1" applyBorder="1" applyAlignment="1">
      <alignment horizontal="center" vertical="center"/>
    </xf>
    <xf numFmtId="2" fontId="42" fillId="6" borderId="1" xfId="0" applyNumberFormat="1" applyFont="1" applyFill="1" applyBorder="1" applyAlignment="1">
      <alignment horizontal="center" vertical="center"/>
    </xf>
    <xf numFmtId="2" fontId="44" fillId="6" borderId="1" xfId="0" applyNumberFormat="1" applyFont="1" applyFill="1" applyBorder="1" applyAlignment="1">
      <alignment horizontal="center" vertical="center"/>
    </xf>
    <xf numFmtId="164" fontId="42" fillId="6" borderId="1" xfId="0" applyNumberFormat="1" applyFont="1" applyFill="1" applyBorder="1" applyAlignment="1">
      <alignment horizontal="center" vertical="center"/>
    </xf>
    <xf numFmtId="164" fontId="44" fillId="6" borderId="1" xfId="0" applyNumberFormat="1" applyFont="1" applyFill="1" applyBorder="1" applyAlignment="1">
      <alignment horizontal="center" vertical="center"/>
    </xf>
    <xf numFmtId="164" fontId="42" fillId="5" borderId="1" xfId="0" applyNumberFormat="1" applyFont="1" applyFill="1" applyBorder="1" applyAlignment="1">
      <alignment horizontal="center" vertical="center"/>
    </xf>
    <xf numFmtId="164" fontId="44" fillId="5" borderId="1" xfId="0" applyNumberFormat="1" applyFont="1" applyFill="1" applyBorder="1" applyAlignment="1">
      <alignment horizontal="center" vertical="center"/>
    </xf>
    <xf numFmtId="2" fontId="42" fillId="5" borderId="1" xfId="0" applyNumberFormat="1" applyFont="1" applyFill="1" applyBorder="1" applyAlignment="1">
      <alignment horizontal="center" vertical="center"/>
    </xf>
    <xf numFmtId="2" fontId="44" fillId="5" borderId="1" xfId="0" applyNumberFormat="1" applyFont="1" applyFill="1" applyBorder="1" applyAlignment="1">
      <alignment horizontal="center" vertical="center"/>
    </xf>
    <xf numFmtId="0" fontId="40" fillId="3" borderId="13" xfId="0" applyFont="1" applyFill="1" applyBorder="1" applyAlignment="1">
      <alignment horizontal="center" vertical="center" wrapText="1"/>
    </xf>
    <xf numFmtId="0" fontId="40" fillId="3" borderId="2" xfId="0" applyFont="1" applyFill="1" applyBorder="1" applyAlignment="1">
      <alignment horizontal="center" vertical="center" wrapText="1"/>
    </xf>
    <xf numFmtId="0" fontId="43" fillId="3" borderId="13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center" wrapText="1"/>
    </xf>
    <xf numFmtId="0" fontId="10" fillId="4" borderId="0" xfId="0" applyFont="1" applyFill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9" fillId="2" borderId="13" xfId="0" applyFont="1" applyFill="1" applyBorder="1" applyAlignment="1">
      <alignment horizontal="center" vertical="center"/>
    </xf>
    <xf numFmtId="0" fontId="39" fillId="2" borderId="6" xfId="0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7" fillId="3" borderId="13" xfId="0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9" fillId="6" borderId="13" xfId="0" applyFont="1" applyFill="1" applyBorder="1" applyAlignment="1">
      <alignment horizontal="center" vertical="center" textRotation="90"/>
    </xf>
    <xf numFmtId="0" fontId="39" fillId="6" borderId="6" xfId="0" applyFont="1" applyFill="1" applyBorder="1" applyAlignment="1">
      <alignment horizontal="center" vertical="center" textRotation="90"/>
    </xf>
    <xf numFmtId="0" fontId="39" fillId="6" borderId="2" xfId="0" applyFont="1" applyFill="1" applyBorder="1" applyAlignment="1">
      <alignment horizontal="center" vertical="center" textRotation="90"/>
    </xf>
    <xf numFmtId="2" fontId="39" fillId="2" borderId="13" xfId="0" applyNumberFormat="1" applyFont="1" applyFill="1" applyBorder="1" applyAlignment="1">
      <alignment horizontal="center" vertical="center"/>
    </xf>
    <xf numFmtId="2" fontId="39" fillId="2" borderId="6" xfId="0" applyNumberFormat="1" applyFont="1" applyFill="1" applyBorder="1" applyAlignment="1">
      <alignment horizontal="center" vertical="center"/>
    </xf>
    <xf numFmtId="2" fontId="39" fillId="2" borderId="2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2" fontId="39" fillId="5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/>
    </xf>
    <xf numFmtId="0" fontId="27" fillId="5" borderId="4" xfId="0" applyFont="1" applyFill="1" applyBorder="1" applyAlignment="1">
      <alignment horizontal="center" vertical="center"/>
    </xf>
    <xf numFmtId="0" fontId="27" fillId="5" borderId="7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 wrapText="1"/>
    </xf>
    <xf numFmtId="0" fontId="40" fillId="3" borderId="6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wrapText="1"/>
    </xf>
    <xf numFmtId="0" fontId="15" fillId="4" borderId="5" xfId="0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2" fontId="39" fillId="2" borderId="1" xfId="0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0" fillId="4" borderId="6" xfId="0" applyFont="1" applyFill="1" applyBorder="1" applyAlignment="1">
      <alignment horizontal="center" vertical="center" wrapText="1"/>
    </xf>
    <xf numFmtId="0" fontId="40" fillId="4" borderId="2" xfId="0" applyFont="1" applyFill="1" applyBorder="1" applyAlignment="1">
      <alignment horizontal="center" vertical="center" wrapText="1"/>
    </xf>
    <xf numFmtId="0" fontId="40" fillId="9" borderId="6" xfId="0" applyFont="1" applyFill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 wrapText="1"/>
    </xf>
    <xf numFmtId="0" fontId="10" fillId="8" borderId="11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43" fillId="4" borderId="13" xfId="0" applyFont="1" applyFill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 wrapText="1"/>
    </xf>
    <xf numFmtId="0" fontId="43" fillId="4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165" fontId="39" fillId="2" borderId="1" xfId="0" applyNumberFormat="1" applyFont="1" applyFill="1" applyBorder="1" applyAlignment="1">
      <alignment horizontal="center" vertical="center"/>
    </xf>
    <xf numFmtId="165" fontId="39" fillId="2" borderId="6" xfId="0" applyNumberFormat="1" applyFont="1" applyFill="1" applyBorder="1" applyAlignment="1">
      <alignment horizontal="center" vertical="center"/>
    </xf>
    <xf numFmtId="165" fontId="39" fillId="5" borderId="1" xfId="0" applyNumberFormat="1" applyFont="1" applyFill="1" applyBorder="1" applyAlignment="1">
      <alignment horizontal="center" vertical="center"/>
    </xf>
    <xf numFmtId="165" fontId="39" fillId="6" borderId="1" xfId="0" applyNumberFormat="1" applyFont="1" applyFill="1" applyBorder="1" applyAlignment="1">
      <alignment horizontal="center" vertical="center"/>
    </xf>
    <xf numFmtId="2" fontId="39" fillId="0" borderId="0" xfId="0" applyNumberFormat="1" applyFont="1" applyBorder="1" applyAlignment="1">
      <alignment horizontal="center" vertic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31/(29+31)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'n-Alkanes'!$CW$4:$CW$64</c:f>
              <c:numCache>
                <c:formatCode>0.00</c:formatCode>
                <c:ptCount val="61"/>
                <c:pt idx="0">
                  <c:v>0.56131232754024196</c:v>
                </c:pt>
                <c:pt idx="1">
                  <c:v>0.35197275749002987</c:v>
                </c:pt>
                <c:pt idx="2">
                  <c:v>0.38317522571116719</c:v>
                </c:pt>
                <c:pt idx="3">
                  <c:v>0.86110882788521304</c:v>
                </c:pt>
                <c:pt idx="4">
                  <c:v>0.41395013966145755</c:v>
                </c:pt>
                <c:pt idx="5">
                  <c:v>0.47528272900488239</c:v>
                </c:pt>
                <c:pt idx="6">
                  <c:v>0.44922197743576547</c:v>
                </c:pt>
                <c:pt idx="7">
                  <c:v>0.44326335455427357</c:v>
                </c:pt>
                <c:pt idx="8">
                  <c:v>0.38858504804199945</c:v>
                </c:pt>
                <c:pt idx="9">
                  <c:v>0.44343467220649019</c:v>
                </c:pt>
                <c:pt idx="10">
                  <c:v>0.46638539674358681</c:v>
                </c:pt>
                <c:pt idx="11">
                  <c:v>0.53108031838921643</c:v>
                </c:pt>
                <c:pt idx="12">
                  <c:v>0.41857136315357657</c:v>
                </c:pt>
                <c:pt idx="13">
                  <c:v>0.42501529650373415</c:v>
                </c:pt>
                <c:pt idx="14">
                  <c:v>0.49932364395789197</c:v>
                </c:pt>
                <c:pt idx="15">
                  <c:v>0.4130236645962444</c:v>
                </c:pt>
                <c:pt idx="16">
                  <c:v>0.42115960402867375</c:v>
                </c:pt>
                <c:pt idx="17">
                  <c:v>0.41777835861172136</c:v>
                </c:pt>
                <c:pt idx="18">
                  <c:v>0.40571759197120638</c:v>
                </c:pt>
                <c:pt idx="19">
                  <c:v>0.51764521817629428</c:v>
                </c:pt>
                <c:pt idx="20">
                  <c:v>0.51805298137445333</c:v>
                </c:pt>
                <c:pt idx="21">
                  <c:v>0.49718379868629842</c:v>
                </c:pt>
                <c:pt idx="22">
                  <c:v>0.49710659902516779</c:v>
                </c:pt>
                <c:pt idx="23">
                  <c:v>0.48016443403378606</c:v>
                </c:pt>
                <c:pt idx="24">
                  <c:v>0.53368987464333251</c:v>
                </c:pt>
                <c:pt idx="25">
                  <c:v>0.51098956581750965</c:v>
                </c:pt>
                <c:pt idx="26">
                  <c:v>0.38827277949442496</c:v>
                </c:pt>
                <c:pt idx="27">
                  <c:v>0.50479719625189856</c:v>
                </c:pt>
                <c:pt idx="28">
                  <c:v>0.45682397229713162</c:v>
                </c:pt>
                <c:pt idx="30">
                  <c:v>0.38021875893482893</c:v>
                </c:pt>
                <c:pt idx="31">
                  <c:v>0.38885939263239727</c:v>
                </c:pt>
                <c:pt idx="32">
                  <c:v>0.46515757160674837</c:v>
                </c:pt>
                <c:pt idx="33">
                  <c:v>0.4851276025512522</c:v>
                </c:pt>
                <c:pt idx="34">
                  <c:v>0.49353032278795889</c:v>
                </c:pt>
                <c:pt idx="35">
                  <c:v>0.36857451679010061</c:v>
                </c:pt>
                <c:pt idx="36">
                  <c:v>0.42631747035646589</c:v>
                </c:pt>
                <c:pt idx="37">
                  <c:v>0.37545212898331853</c:v>
                </c:pt>
                <c:pt idx="38">
                  <c:v>0.3113791245051879</c:v>
                </c:pt>
                <c:pt idx="39">
                  <c:v>0.40259518956396179</c:v>
                </c:pt>
                <c:pt idx="40">
                  <c:v>0.33852791697413542</c:v>
                </c:pt>
                <c:pt idx="41">
                  <c:v>0.12826283928898879</c:v>
                </c:pt>
                <c:pt idx="42">
                  <c:v>0.47521955141100952</c:v>
                </c:pt>
                <c:pt idx="43">
                  <c:v>0.39850918032465343</c:v>
                </c:pt>
                <c:pt idx="44">
                  <c:v>0.42566059926011562</c:v>
                </c:pt>
                <c:pt idx="45">
                  <c:v>0.20894691564049653</c:v>
                </c:pt>
                <c:pt idx="46">
                  <c:v>0.41272594564555998</c:v>
                </c:pt>
                <c:pt idx="47">
                  <c:v>0.5522824029224439</c:v>
                </c:pt>
                <c:pt idx="48">
                  <c:v>0.49781145634421409</c:v>
                </c:pt>
                <c:pt idx="49">
                  <c:v>0.4748245334613318</c:v>
                </c:pt>
                <c:pt idx="50">
                  <c:v>0.50792568390572812</c:v>
                </c:pt>
                <c:pt idx="51">
                  <c:v>0.72004190292179504</c:v>
                </c:pt>
                <c:pt idx="52">
                  <c:v>0.49938858288849175</c:v>
                </c:pt>
                <c:pt idx="53">
                  <c:v>0.53502087866716386</c:v>
                </c:pt>
                <c:pt idx="54">
                  <c:v>0.51284411416314513</c:v>
                </c:pt>
                <c:pt idx="55">
                  <c:v>0.50699303108679938</c:v>
                </c:pt>
                <c:pt idx="56">
                  <c:v>0.51798468365373473</c:v>
                </c:pt>
                <c:pt idx="57">
                  <c:v>0.52061267787597543</c:v>
                </c:pt>
                <c:pt idx="58">
                  <c:v>0.43720237200863832</c:v>
                </c:pt>
                <c:pt idx="59">
                  <c:v>0.34749062557524973</c:v>
                </c:pt>
                <c:pt idx="60">
                  <c:v>0.38519278365034482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HMW/Total n-alkane</a:t>
            </a:r>
          </a:p>
        </c:rich>
      </c:tx>
      <c:layout>
        <c:manualLayout>
          <c:xMode val="edge"/>
          <c:yMode val="edge"/>
          <c:x val="0.30941616951188033"/>
          <c:y val="1.65486363771603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'n-Alkanes'!$CX$3</c:f>
              <c:strCache>
                <c:ptCount val="1"/>
                <c:pt idx="0">
                  <c:v>HMW/total n-alkanes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'n-Alkanes'!$CX$4:$CX$64</c:f>
              <c:numCache>
                <c:formatCode>0.00</c:formatCode>
                <c:ptCount val="61"/>
                <c:pt idx="0">
                  <c:v>0.74043162024706199</c:v>
                </c:pt>
                <c:pt idx="1">
                  <c:v>0.34944219308250202</c:v>
                </c:pt>
                <c:pt idx="2">
                  <c:v>0.61318899431193719</c:v>
                </c:pt>
                <c:pt idx="3">
                  <c:v>0.73933440515107796</c:v>
                </c:pt>
                <c:pt idx="4">
                  <c:v>0.70081317080476402</c:v>
                </c:pt>
                <c:pt idx="5">
                  <c:v>0.4880227046310876</c:v>
                </c:pt>
                <c:pt idx="6">
                  <c:v>0.73971515786384567</c:v>
                </c:pt>
                <c:pt idx="7">
                  <c:v>0.57595031698893173</c:v>
                </c:pt>
                <c:pt idx="8">
                  <c:v>0.54934395594777041</c:v>
                </c:pt>
                <c:pt idx="9">
                  <c:v>0.5096066089669925</c:v>
                </c:pt>
                <c:pt idx="10">
                  <c:v>0.70572041217903059</c:v>
                </c:pt>
                <c:pt idx="11">
                  <c:v>0.69051520281327949</c:v>
                </c:pt>
                <c:pt idx="12">
                  <c:v>0.69892651282334428</c:v>
                </c:pt>
                <c:pt idx="13">
                  <c:v>0.67514072386466739</c:v>
                </c:pt>
                <c:pt idx="14">
                  <c:v>0.71458624836831575</c:v>
                </c:pt>
                <c:pt idx="15">
                  <c:v>0.6902999757902617</c:v>
                </c:pt>
                <c:pt idx="16">
                  <c:v>0.65244928278421566</c:v>
                </c:pt>
                <c:pt idx="17">
                  <c:v>0.70228995529868909</c:v>
                </c:pt>
                <c:pt idx="18">
                  <c:v>0.70085133279560352</c:v>
                </c:pt>
                <c:pt idx="19">
                  <c:v>0.6929819528812623</c:v>
                </c:pt>
                <c:pt idx="20">
                  <c:v>0.55233533430577064</c:v>
                </c:pt>
                <c:pt idx="21">
                  <c:v>0.82130342971723769</c:v>
                </c:pt>
                <c:pt idx="22">
                  <c:v>0.8308460499824224</c:v>
                </c:pt>
                <c:pt idx="23">
                  <c:v>0.72482207407303145</c:v>
                </c:pt>
                <c:pt idx="24">
                  <c:v>0.71217950593596946</c:v>
                </c:pt>
                <c:pt idx="25">
                  <c:v>0.75381121113478233</c:v>
                </c:pt>
                <c:pt idx="26">
                  <c:v>0.80003019054681757</c:v>
                </c:pt>
                <c:pt idx="27">
                  <c:v>0.74426539200817565</c:v>
                </c:pt>
                <c:pt idx="28">
                  <c:v>0.70618379832504607</c:v>
                </c:pt>
                <c:pt idx="30">
                  <c:v>0.87170177417152572</c:v>
                </c:pt>
                <c:pt idx="31">
                  <c:v>0.78920982595595301</c:v>
                </c:pt>
                <c:pt idx="32">
                  <c:v>0.38501883064199988</c:v>
                </c:pt>
                <c:pt idx="33">
                  <c:v>0.37519930058286144</c:v>
                </c:pt>
                <c:pt idx="34">
                  <c:v>0.92140358846289006</c:v>
                </c:pt>
                <c:pt idx="35">
                  <c:v>0.72702134592935352</c:v>
                </c:pt>
                <c:pt idx="36">
                  <c:v>0.91052151134087733</c:v>
                </c:pt>
                <c:pt idx="37">
                  <c:v>0.84344064880823555</c:v>
                </c:pt>
                <c:pt idx="38">
                  <c:v>0.78614413752967993</c:v>
                </c:pt>
                <c:pt idx="39">
                  <c:v>0.91003270136273806</c:v>
                </c:pt>
                <c:pt idx="40">
                  <c:v>0.79332281778280056</c:v>
                </c:pt>
                <c:pt idx="41">
                  <c:v>0.91918416687670612</c:v>
                </c:pt>
                <c:pt idx="42">
                  <c:v>0.73432321572153314</c:v>
                </c:pt>
                <c:pt idx="43">
                  <c:v>0.78300789966438167</c:v>
                </c:pt>
                <c:pt idx="44">
                  <c:v>0.88652174898196978</c:v>
                </c:pt>
                <c:pt idx="45">
                  <c:v>0.85820293733996544</c:v>
                </c:pt>
                <c:pt idx="46">
                  <c:v>0.846710732673844</c:v>
                </c:pt>
                <c:pt idx="47">
                  <c:v>0.67826762512675698</c:v>
                </c:pt>
                <c:pt idx="48">
                  <c:v>0.87450215692516098</c:v>
                </c:pt>
                <c:pt idx="49">
                  <c:v>0.69037927586559289</c:v>
                </c:pt>
                <c:pt idx="50">
                  <c:v>0.68987435535361419</c:v>
                </c:pt>
                <c:pt idx="51">
                  <c:v>0.71293102254200602</c:v>
                </c:pt>
                <c:pt idx="52">
                  <c:v>0.67468146943516216</c:v>
                </c:pt>
                <c:pt idx="53">
                  <c:v>0.73057457396855952</c:v>
                </c:pt>
                <c:pt idx="54">
                  <c:v>0.65523035464518586</c:v>
                </c:pt>
                <c:pt idx="55">
                  <c:v>0.69067817150243849</c:v>
                </c:pt>
                <c:pt idx="56">
                  <c:v>0.70939510799970884</c:v>
                </c:pt>
                <c:pt idx="57">
                  <c:v>0.69489949322318834</c:v>
                </c:pt>
                <c:pt idx="58">
                  <c:v>0.56380734604691363</c:v>
                </c:pt>
                <c:pt idx="59">
                  <c:v>0.74992910926683976</c:v>
                </c:pt>
                <c:pt idx="60">
                  <c:v>0.65977873792720043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1.2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HMW/LMW</a:t>
            </a:r>
          </a:p>
        </c:rich>
      </c:tx>
      <c:layout>
        <c:manualLayout>
          <c:xMode val="edge"/>
          <c:yMode val="edge"/>
          <c:x val="0.30941616951188033"/>
          <c:y val="1.654863637716036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'n-Alkanes'!$CZ$3</c:f>
              <c:strCache>
                <c:ptCount val="1"/>
                <c:pt idx="0">
                  <c:v>HMW/LMW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'n-Alkanes'!$CZ$4:$CZ$64</c:f>
              <c:numCache>
                <c:formatCode>0.00</c:formatCode>
                <c:ptCount val="61"/>
                <c:pt idx="0">
                  <c:v>15.628248772413251</c:v>
                </c:pt>
                <c:pt idx="1">
                  <c:v>1.1267136018387582</c:v>
                </c:pt>
                <c:pt idx="2">
                  <c:v>4.9159673290634149</c:v>
                </c:pt>
                <c:pt idx="3">
                  <c:v>13.586109132926756</c:v>
                </c:pt>
                <c:pt idx="4">
                  <c:v>11.638896889224487</c:v>
                </c:pt>
                <c:pt idx="5">
                  <c:v>2.6584541835896491</c:v>
                </c:pt>
                <c:pt idx="6">
                  <c:v>9.5274898427598931</c:v>
                </c:pt>
                <c:pt idx="7">
                  <c:v>5.864941738070697</c:v>
                </c:pt>
                <c:pt idx="8">
                  <c:v>2.8648795106643572</c:v>
                </c:pt>
                <c:pt idx="9">
                  <c:v>3.017733518932276</c:v>
                </c:pt>
                <c:pt idx="10">
                  <c:v>8.5207121930212697</c:v>
                </c:pt>
                <c:pt idx="11">
                  <c:v>6.9598162487388979</c:v>
                </c:pt>
                <c:pt idx="12">
                  <c:v>8.6701152572880282</c:v>
                </c:pt>
                <c:pt idx="13">
                  <c:v>6.0372924055011987</c:v>
                </c:pt>
                <c:pt idx="14">
                  <c:v>6.601552010776877</c:v>
                </c:pt>
                <c:pt idx="15">
                  <c:v>9.1363517735795128</c:v>
                </c:pt>
                <c:pt idx="16">
                  <c:v>5.3051936957238057</c:v>
                </c:pt>
                <c:pt idx="17">
                  <c:v>15.107339523874129</c:v>
                </c:pt>
                <c:pt idx="18">
                  <c:v>8.2489016627508018</c:v>
                </c:pt>
                <c:pt idx="19">
                  <c:v>9.4330197908168518</c:v>
                </c:pt>
                <c:pt idx="20">
                  <c:v>9.6753047132083783</c:v>
                </c:pt>
                <c:pt idx="21">
                  <c:v>27.922742455651999</c:v>
                </c:pt>
                <c:pt idx="22">
                  <c:v>29.604940953608235</c:v>
                </c:pt>
                <c:pt idx="23">
                  <c:v>9.5370434284468129</c:v>
                </c:pt>
                <c:pt idx="24">
                  <c:v>8.9358493139677133</c:v>
                </c:pt>
                <c:pt idx="25">
                  <c:v>21.208152345720272</c:v>
                </c:pt>
                <c:pt idx="26">
                  <c:v>16.07663950634306</c:v>
                </c:pt>
                <c:pt idx="27">
                  <c:v>22.346687200602211</c:v>
                </c:pt>
                <c:pt idx="28">
                  <c:v>11.351577324805232</c:v>
                </c:pt>
                <c:pt idx="30">
                  <c:v>61.62284148839484</c:v>
                </c:pt>
                <c:pt idx="31">
                  <c:v>24.527626059829611</c:v>
                </c:pt>
                <c:pt idx="32">
                  <c:v>2.2954268869243797</c:v>
                </c:pt>
                <c:pt idx="33">
                  <c:v>2.2962618279071361</c:v>
                </c:pt>
                <c:pt idx="34">
                  <c:v>74.282431269893038</c:v>
                </c:pt>
                <c:pt idx="35">
                  <c:v>7.5177290154679151</c:v>
                </c:pt>
                <c:pt idx="36">
                  <c:v>168.86978861585311</c:v>
                </c:pt>
                <c:pt idx="37">
                  <c:v>16.719788613865504</c:v>
                </c:pt>
                <c:pt idx="38">
                  <c:v>24.066544517577505</c:v>
                </c:pt>
                <c:pt idx="39">
                  <c:v>71.119992065844755</c:v>
                </c:pt>
                <c:pt idx="40">
                  <c:v>12.491528317671055</c:v>
                </c:pt>
                <c:pt idx="41">
                  <c:v>99.177353990776311</c:v>
                </c:pt>
                <c:pt idx="42">
                  <c:v>21.047333577199169</c:v>
                </c:pt>
                <c:pt idx="43">
                  <c:v>30.602566481671687</c:v>
                </c:pt>
                <c:pt idx="44">
                  <c:v>91.79786751899664</c:v>
                </c:pt>
                <c:pt idx="45">
                  <c:v>41.480407358735818</c:v>
                </c:pt>
                <c:pt idx="46">
                  <c:v>87.134962399367652</c:v>
                </c:pt>
                <c:pt idx="47">
                  <c:v>7.6315622817305737</c:v>
                </c:pt>
                <c:pt idx="48">
                  <c:v>102.92353567513415</c:v>
                </c:pt>
                <c:pt idx="49">
                  <c:v>4.1814688660745523</c:v>
                </c:pt>
                <c:pt idx="50">
                  <c:v>8.4642127989465283</c:v>
                </c:pt>
                <c:pt idx="51">
                  <c:v>5.0223436174314307</c:v>
                </c:pt>
                <c:pt idx="52">
                  <c:v>4.4681915723385197</c:v>
                </c:pt>
                <c:pt idx="53">
                  <c:v>7.0192786255868587</c:v>
                </c:pt>
                <c:pt idx="54">
                  <c:v>4.8224933826487959</c:v>
                </c:pt>
                <c:pt idx="55">
                  <c:v>5.160968250360094</c:v>
                </c:pt>
                <c:pt idx="56">
                  <c:v>5.6847586171276365</c:v>
                </c:pt>
                <c:pt idx="57">
                  <c:v>4.9359989878003692</c:v>
                </c:pt>
                <c:pt idx="58">
                  <c:v>3.0538923082717737</c:v>
                </c:pt>
                <c:pt idx="59">
                  <c:v>8.319743081693181</c:v>
                </c:pt>
                <c:pt idx="60">
                  <c:v>5.9768284500436613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Areas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'n-Alkanes'!$BW$4:$BW$64</c:f>
              <c:numCache>
                <c:formatCode>0.00</c:formatCode>
                <c:ptCount val="61"/>
                <c:pt idx="0">
                  <c:v>1.321302352085203</c:v>
                </c:pt>
                <c:pt idx="1">
                  <c:v>5.0668610454173237E-2</c:v>
                </c:pt>
                <c:pt idx="2">
                  <c:v>0.21578617541249656</c:v>
                </c:pt>
                <c:pt idx="3">
                  <c:v>0.48350408909772963</c:v>
                </c:pt>
                <c:pt idx="4">
                  <c:v>0.4033583542415996</c:v>
                </c:pt>
                <c:pt idx="5">
                  <c:v>0.3380306725774504</c:v>
                </c:pt>
                <c:pt idx="6">
                  <c:v>0.65600039478687366</c:v>
                </c:pt>
                <c:pt idx="7">
                  <c:v>0.49437616430169057</c:v>
                </c:pt>
                <c:pt idx="8">
                  <c:v>0.13840339777604244</c:v>
                </c:pt>
                <c:pt idx="9">
                  <c:v>0.16204077676836431</c:v>
                </c:pt>
                <c:pt idx="10">
                  <c:v>1.0657783657536561</c:v>
                </c:pt>
                <c:pt idx="11">
                  <c:v>1.0176900997054887</c:v>
                </c:pt>
                <c:pt idx="12">
                  <c:v>0.85805564486053865</c:v>
                </c:pt>
                <c:pt idx="13">
                  <c:v>0.30177612655785274</c:v>
                </c:pt>
                <c:pt idx="14">
                  <c:v>0.37723866512475623</c:v>
                </c:pt>
                <c:pt idx="15">
                  <c:v>1.1208862960002293</c:v>
                </c:pt>
                <c:pt idx="16">
                  <c:v>0.55122896246786324</c:v>
                </c:pt>
                <c:pt idx="17">
                  <c:v>2.4861559409060532</c:v>
                </c:pt>
                <c:pt idx="18">
                  <c:v>0.70543700371486828</c:v>
                </c:pt>
                <c:pt idx="19">
                  <c:v>0.54735291117439777</c:v>
                </c:pt>
                <c:pt idx="20">
                  <c:v>1.3124797412122173</c:v>
                </c:pt>
                <c:pt idx="21">
                  <c:v>1.7063654514220234</c:v>
                </c:pt>
                <c:pt idx="22">
                  <c:v>0.365706831332543</c:v>
                </c:pt>
                <c:pt idx="23">
                  <c:v>0.3338328462406806</c:v>
                </c:pt>
                <c:pt idx="24">
                  <c:v>1.1542193506513021</c:v>
                </c:pt>
                <c:pt idx="25">
                  <c:v>2.5530732879309781</c:v>
                </c:pt>
                <c:pt idx="26">
                  <c:v>1.3956445587573476</c:v>
                </c:pt>
                <c:pt idx="27">
                  <c:v>8.1517622479493621</c:v>
                </c:pt>
                <c:pt idx="28">
                  <c:v>0.67528825106378654</c:v>
                </c:pt>
                <c:pt idx="30">
                  <c:v>2.5408802699123316</c:v>
                </c:pt>
                <c:pt idx="31">
                  <c:v>8.7426869289830442</c:v>
                </c:pt>
                <c:pt idx="32">
                  <c:v>7.1681328208938444</c:v>
                </c:pt>
                <c:pt idx="33">
                  <c:v>3.7197237320326053</c:v>
                </c:pt>
                <c:pt idx="34">
                  <c:v>15.74881588155062</c:v>
                </c:pt>
                <c:pt idx="35">
                  <c:v>0.95982761151668816</c:v>
                </c:pt>
                <c:pt idx="36">
                  <c:v>2.6317523719615008</c:v>
                </c:pt>
                <c:pt idx="37">
                  <c:v>0.58849862943578846</c:v>
                </c:pt>
                <c:pt idx="38">
                  <c:v>4.1591807060221226</c:v>
                </c:pt>
                <c:pt idx="39">
                  <c:v>10.188047380025447</c:v>
                </c:pt>
                <c:pt idx="40">
                  <c:v>1.5896921772197496</c:v>
                </c:pt>
                <c:pt idx="41">
                  <c:v>2.7161301041849897</c:v>
                </c:pt>
                <c:pt idx="42">
                  <c:v>1.9411707045747513</c:v>
                </c:pt>
                <c:pt idx="43">
                  <c:v>61.673252632316647</c:v>
                </c:pt>
                <c:pt idx="44">
                  <c:v>35.165964099740087</c:v>
                </c:pt>
                <c:pt idx="45">
                  <c:v>3.5917429195735626</c:v>
                </c:pt>
                <c:pt idx="46">
                  <c:v>22.056743789842045</c:v>
                </c:pt>
                <c:pt idx="47">
                  <c:v>1.2747245481213987</c:v>
                </c:pt>
                <c:pt idx="48">
                  <c:v>11.841921771949275</c:v>
                </c:pt>
                <c:pt idx="49">
                  <c:v>0.39783009221864607</c:v>
                </c:pt>
                <c:pt idx="50">
                  <c:v>2.3419648567916949</c:v>
                </c:pt>
                <c:pt idx="51">
                  <c:v>0.41846364202781239</c:v>
                </c:pt>
                <c:pt idx="52">
                  <c:v>0.2834838906486436</c:v>
                </c:pt>
                <c:pt idx="53">
                  <c:v>0.53290861023281344</c:v>
                </c:pt>
                <c:pt idx="54">
                  <c:v>0.47288094262737562</c:v>
                </c:pt>
                <c:pt idx="55">
                  <c:v>0.50715388787940074</c:v>
                </c:pt>
                <c:pt idx="56">
                  <c:v>0.86778423844805908</c:v>
                </c:pt>
                <c:pt idx="57">
                  <c:v>0.43808540236282584</c:v>
                </c:pt>
                <c:pt idx="58">
                  <c:v>0.14036837015716838</c:v>
                </c:pt>
                <c:pt idx="59">
                  <c:v>0.30087781701832977</c:v>
                </c:pt>
                <c:pt idx="60">
                  <c:v>0.24611096944401975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Total n-alkane</a:t>
            </a:r>
            <a:r>
              <a:rPr lang="es-ES" sz="1000" baseline="0"/>
              <a:t> </a:t>
            </a:r>
          </a:p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MAR-Normaliza=ed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'n-Alkanes'!$BZ$2:$BZ$3</c:f>
              <c:strCache>
                <c:ptCount val="2"/>
                <c:pt idx="0">
                  <c:v>Σ n-alkane-MAR
(µg/cm2kyrs)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'n-Alkanes'!$BZ$4:$BZ$64</c:f>
              <c:numCache>
                <c:formatCode>0.00</c:formatCode>
                <c:ptCount val="61"/>
                <c:pt idx="0">
                  <c:v>1.1953881351796168E-3</c:v>
                </c:pt>
                <c:pt idx="1">
                  <c:v>4.5840118022472778E-5</c:v>
                </c:pt>
                <c:pt idx="2">
                  <c:v>1.9522271599441788E-4</c:v>
                </c:pt>
                <c:pt idx="3">
                  <c:v>4.3742830738636578E-4</c:v>
                </c:pt>
                <c:pt idx="4">
                  <c:v>3.6492010335488511E-4</c:v>
                </c:pt>
                <c:pt idx="5">
                  <c:v>3.0581785818225307E-4</c:v>
                </c:pt>
                <c:pt idx="6">
                  <c:v>5.9348648503034418E-4</c:v>
                </c:pt>
                <c:pt idx="7">
                  <c:v>4.4726432234772973E-4</c:v>
                </c:pt>
                <c:pt idx="8">
                  <c:v>1.2521417169123261E-4</c:v>
                </c:pt>
                <c:pt idx="9">
                  <c:v>1.4659901396414144E-4</c:v>
                </c:pt>
                <c:pt idx="10">
                  <c:v>9.4493015540281933E-3</c:v>
                </c:pt>
                <c:pt idx="11">
                  <c:v>9.0229459985951051E-3</c:v>
                </c:pt>
                <c:pt idx="12">
                  <c:v>7.6076103615500112E-3</c:v>
                </c:pt>
                <c:pt idx="13">
                  <c:v>2.6755784441498407E-3</c:v>
                </c:pt>
                <c:pt idx="14">
                  <c:v>3.3446371395258849E-3</c:v>
                </c:pt>
                <c:pt idx="15">
                  <c:v>9.9378941804604166E-3</c:v>
                </c:pt>
                <c:pt idx="16">
                  <c:v>4.8872531654267732E-3</c:v>
                </c:pt>
                <c:pt idx="17">
                  <c:v>2.2042516484510846E-2</c:v>
                </c:pt>
                <c:pt idx="18">
                  <c:v>6.2970251236309114E-3</c:v>
                </c:pt>
                <c:pt idx="19">
                  <c:v>4.8859005340054808E-3</c:v>
                </c:pt>
                <c:pt idx="20">
                  <c:v>1.1715741960157308E-2</c:v>
                </c:pt>
                <c:pt idx="21">
                  <c:v>1.5231730205697196E-2</c:v>
                </c:pt>
                <c:pt idx="22">
                  <c:v>3.264451811653581E-3</c:v>
                </c:pt>
                <c:pt idx="23">
                  <c:v>2.9799313174680782E-3</c:v>
                </c:pt>
                <c:pt idx="24">
                  <c:v>1.0303043660819826E-2</c:v>
                </c:pt>
                <c:pt idx="25">
                  <c:v>2.2789797745101616E-2</c:v>
                </c:pt>
                <c:pt idx="26">
                  <c:v>1.2458105832092127E-2</c:v>
                </c:pt>
                <c:pt idx="27">
                  <c:v>7.2766032128860417E-2</c:v>
                </c:pt>
                <c:pt idx="28">
                  <c:v>6.0279047742726423E-3</c:v>
                </c:pt>
                <c:pt idx="30">
                  <c:v>2.2680957777263276E-2</c:v>
                </c:pt>
                <c:pt idx="31">
                  <c:v>7.8040872466193636E-2</c:v>
                </c:pt>
                <c:pt idx="32">
                  <c:v>6.3985745325228521E-2</c:v>
                </c:pt>
                <c:pt idx="33">
                  <c:v>3.3203806534428559E-2</c:v>
                </c:pt>
                <c:pt idx="34">
                  <c:v>0.47493413394302236</c:v>
                </c:pt>
                <c:pt idx="35">
                  <c:v>2.8945344135002663E-2</c:v>
                </c:pt>
                <c:pt idx="36">
                  <c:v>7.9365270565787127E-2</c:v>
                </c:pt>
                <c:pt idx="37">
                  <c:v>1.7747244554758398E-2</c:v>
                </c:pt>
                <c:pt idx="38">
                  <c:v>0.12542764493432218</c:v>
                </c:pt>
                <c:pt idx="39">
                  <c:v>0.30723906453635247</c:v>
                </c:pt>
                <c:pt idx="40">
                  <c:v>4.7940053595287989E-2</c:v>
                </c:pt>
                <c:pt idx="41">
                  <c:v>8.1909834263721046E-2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0.10763657221772968</c:v>
                </c:pt>
                <c:pt idx="48">
                  <c:v>0.99992101813805701</c:v>
                </c:pt>
                <c:pt idx="49">
                  <c:v>3.3592408269366977E-2</c:v>
                </c:pt>
                <c:pt idx="50">
                  <c:v>0.19775336547095132</c:v>
                </c:pt>
                <c:pt idx="51">
                  <c:v>3.5334686299091519E-2</c:v>
                </c:pt>
                <c:pt idx="52">
                  <c:v>2.3937119837641799E-2</c:v>
                </c:pt>
                <c:pt idx="53">
                  <c:v>4.499831449492997E-2</c:v>
                </c:pt>
                <c:pt idx="54">
                  <c:v>3.9929633273722911E-2</c:v>
                </c:pt>
                <c:pt idx="55">
                  <c:v>4.2823609350492224E-2</c:v>
                </c:pt>
                <c:pt idx="56">
                  <c:v>7.3274905538436838E-2</c:v>
                </c:pt>
                <c:pt idx="57">
                  <c:v>3.6991529753193982E-2</c:v>
                </c:pt>
                <c:pt idx="58">
                  <c:v>1.1852576490955112E-2</c:v>
                </c:pt>
                <c:pt idx="59">
                  <c:v>2.5405847034117111E-2</c:v>
                </c:pt>
                <c:pt idx="60">
                  <c:v>2.0781384633391294E-2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B2-D044-9613-D4A7BAA29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OEP</a:t>
            </a:r>
          </a:p>
        </c:rich>
      </c:tx>
      <c:layout>
        <c:manualLayout>
          <c:xMode val="edge"/>
          <c:yMode val="edge"/>
          <c:x val="0.39243211145652279"/>
          <c:y val="2.12711444807232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'n-Alkanes'!$DF$3</c:f>
              <c:strCache>
                <c:ptCount val="1"/>
                <c:pt idx="0">
                  <c:v>OEP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'n-Alkanes'!$DF$4:$DF$64</c:f>
              <c:numCache>
                <c:formatCode>0.0</c:formatCode>
                <c:ptCount val="61"/>
                <c:pt idx="0">
                  <c:v>4.4784417394115232</c:v>
                </c:pt>
                <c:pt idx="1">
                  <c:v>3.3604089149141076</c:v>
                </c:pt>
                <c:pt idx="2">
                  <c:v>4.1011219778921504</c:v>
                </c:pt>
                <c:pt idx="3">
                  <c:v>6.1615400303947707</c:v>
                </c:pt>
                <c:pt idx="4">
                  <c:v>14.250706005216696</c:v>
                </c:pt>
                <c:pt idx="5">
                  <c:v>4.201008289359172</c:v>
                </c:pt>
                <c:pt idx="6">
                  <c:v>2.5625995834701856</c:v>
                </c:pt>
                <c:pt idx="7">
                  <c:v>6.6372978344311786</c:v>
                </c:pt>
                <c:pt idx="8">
                  <c:v>4.3980835457734511</c:v>
                </c:pt>
                <c:pt idx="9">
                  <c:v>4.9465505304445454</c:v>
                </c:pt>
                <c:pt idx="10">
                  <c:v>3.3004099987725204</c:v>
                </c:pt>
                <c:pt idx="11">
                  <c:v>6.0735975448909842</c:v>
                </c:pt>
                <c:pt idx="12">
                  <c:v>3.5859970354495281</c:v>
                </c:pt>
                <c:pt idx="13">
                  <c:v>3.3824041427207039</c:v>
                </c:pt>
                <c:pt idx="14">
                  <c:v>4.75952792540249</c:v>
                </c:pt>
                <c:pt idx="15">
                  <c:v>3.7785721724934103</c:v>
                </c:pt>
                <c:pt idx="16">
                  <c:v>3.8568123142039501</c:v>
                </c:pt>
                <c:pt idx="17">
                  <c:v>6.7606017416046607</c:v>
                </c:pt>
                <c:pt idx="18">
                  <c:v>4.9053719419391655</c:v>
                </c:pt>
                <c:pt idx="19">
                  <c:v>3.7598858422984778</c:v>
                </c:pt>
                <c:pt idx="20">
                  <c:v>3.1200544149600415</c:v>
                </c:pt>
                <c:pt idx="21">
                  <c:v>4.5715154556020545</c:v>
                </c:pt>
                <c:pt idx="22">
                  <c:v>3.6252695026498523</c:v>
                </c:pt>
                <c:pt idx="23">
                  <c:v>3.7381034951777914</c:v>
                </c:pt>
                <c:pt idx="24">
                  <c:v>6.115835576297326</c:v>
                </c:pt>
                <c:pt idx="25">
                  <c:v>4.572892374307556</c:v>
                </c:pt>
                <c:pt idx="26">
                  <c:v>6.2151852301305137</c:v>
                </c:pt>
                <c:pt idx="27">
                  <c:v>5.3896910570198466</c:v>
                </c:pt>
                <c:pt idx="28">
                  <c:v>5.0698060158562486</c:v>
                </c:pt>
                <c:pt idx="30">
                  <c:v>6.7951464442554474</c:v>
                </c:pt>
                <c:pt idx="31">
                  <c:v>4.3476088408223328</c:v>
                </c:pt>
                <c:pt idx="32">
                  <c:v>2.8960944232011627</c:v>
                </c:pt>
                <c:pt idx="33">
                  <c:v>2.8110017551486726</c:v>
                </c:pt>
                <c:pt idx="34">
                  <c:v>7.6512004515632377</c:v>
                </c:pt>
                <c:pt idx="35">
                  <c:v>6.310409950194388</c:v>
                </c:pt>
                <c:pt idx="36">
                  <c:v>6.345531938528568</c:v>
                </c:pt>
                <c:pt idx="37">
                  <c:v>3.5652263886409292</c:v>
                </c:pt>
                <c:pt idx="38">
                  <c:v>6.5658394274289194</c:v>
                </c:pt>
                <c:pt idx="39">
                  <c:v>3.5707607764738039</c:v>
                </c:pt>
                <c:pt idx="40">
                  <c:v>5.9629000802555003</c:v>
                </c:pt>
                <c:pt idx="41">
                  <c:v>7.063302879750406</c:v>
                </c:pt>
                <c:pt idx="42">
                  <c:v>7.0590118240125959</c:v>
                </c:pt>
                <c:pt idx="43">
                  <c:v>1.8300045369190507</c:v>
                </c:pt>
                <c:pt idx="44">
                  <c:v>2.2874304412090276</c:v>
                </c:pt>
                <c:pt idx="45">
                  <c:v>7.4485116427571105</c:v>
                </c:pt>
                <c:pt idx="46">
                  <c:v>2.4005036856207385</c:v>
                </c:pt>
                <c:pt idx="47">
                  <c:v>7.2321220720143868</c:v>
                </c:pt>
                <c:pt idx="48">
                  <c:v>2.7654419432154618</c:v>
                </c:pt>
                <c:pt idx="49">
                  <c:v>2.8807433775555435</c:v>
                </c:pt>
                <c:pt idx="50">
                  <c:v>4.825219565812839</c:v>
                </c:pt>
                <c:pt idx="51">
                  <c:v>7.6518711050047408</c:v>
                </c:pt>
                <c:pt idx="52">
                  <c:v>4.1437281071809871</c:v>
                </c:pt>
                <c:pt idx="53">
                  <c:v>5.6358010687212134</c:v>
                </c:pt>
                <c:pt idx="54">
                  <c:v>4.4036820599203974</c:v>
                </c:pt>
                <c:pt idx="55">
                  <c:v>4.5827623695747972</c:v>
                </c:pt>
                <c:pt idx="56">
                  <c:v>4.642683517751939</c:v>
                </c:pt>
                <c:pt idx="57">
                  <c:v>5.706847758868502</c:v>
                </c:pt>
                <c:pt idx="58">
                  <c:v>5.7326289432747126</c:v>
                </c:pt>
                <c:pt idx="59">
                  <c:v>6.3632272391831615</c:v>
                </c:pt>
                <c:pt idx="60">
                  <c:v>4.9040747639604305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CPI</a:t>
            </a:r>
          </a:p>
        </c:rich>
      </c:tx>
      <c:layout>
        <c:manualLayout>
          <c:xMode val="edge"/>
          <c:yMode val="edge"/>
          <c:x val="0.48855565601394857"/>
          <c:y val="1.65485618155392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'n-Alkanes'!$DG$3</c:f>
              <c:strCache>
                <c:ptCount val="1"/>
                <c:pt idx="0">
                  <c:v>CPI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'n-Alkanes'!$DG$4:$DG$64</c:f>
              <c:numCache>
                <c:formatCode>0.00</c:formatCode>
                <c:ptCount val="61"/>
                <c:pt idx="0">
                  <c:v>2.7967584754598205</c:v>
                </c:pt>
                <c:pt idx="1">
                  <c:v>2.2401034917013143</c:v>
                </c:pt>
                <c:pt idx="2">
                  <c:v>3.9117279280925388</c:v>
                </c:pt>
                <c:pt idx="3">
                  <c:v>4.7591407517543107</c:v>
                </c:pt>
                <c:pt idx="4">
                  <c:v>5.4162028534744371</c:v>
                </c:pt>
                <c:pt idx="5">
                  <c:v>2.4250076486662246</c:v>
                </c:pt>
                <c:pt idx="6">
                  <c:v>1.7890605991010073</c:v>
                </c:pt>
                <c:pt idx="7">
                  <c:v>2.7813270267724102</c:v>
                </c:pt>
                <c:pt idx="8">
                  <c:v>2.6511660582844891</c:v>
                </c:pt>
                <c:pt idx="9">
                  <c:v>2.3783855273594434</c:v>
                </c:pt>
                <c:pt idx="10">
                  <c:v>2.0232796968931868</c:v>
                </c:pt>
                <c:pt idx="11">
                  <c:v>3.2296089937584793</c:v>
                </c:pt>
                <c:pt idx="12">
                  <c:v>2.484295975363906</c:v>
                </c:pt>
                <c:pt idx="13">
                  <c:v>2.2567345339482978</c:v>
                </c:pt>
                <c:pt idx="14">
                  <c:v>3.1840116013355075</c:v>
                </c:pt>
                <c:pt idx="15">
                  <c:v>2.3012958834060631</c:v>
                </c:pt>
                <c:pt idx="16">
                  <c:v>2.5440269637016995</c:v>
                </c:pt>
                <c:pt idx="17">
                  <c:v>3.0912984918899542</c:v>
                </c:pt>
                <c:pt idx="18">
                  <c:v>2.9944702540709618</c:v>
                </c:pt>
                <c:pt idx="19">
                  <c:v>2.1344156591053327</c:v>
                </c:pt>
                <c:pt idx="20">
                  <c:v>1.5104523374332275</c:v>
                </c:pt>
                <c:pt idx="21">
                  <c:v>2.5988171110301321</c:v>
                </c:pt>
                <c:pt idx="22">
                  <c:v>2.2022152858598694</c:v>
                </c:pt>
                <c:pt idx="23">
                  <c:v>2.2188670474534047</c:v>
                </c:pt>
                <c:pt idx="24">
                  <c:v>2.9730143536587952</c:v>
                </c:pt>
                <c:pt idx="25">
                  <c:v>2.5939259813105884</c:v>
                </c:pt>
                <c:pt idx="26">
                  <c:v>3.1906945869094936</c:v>
                </c:pt>
                <c:pt idx="27">
                  <c:v>2.9512328253694049</c:v>
                </c:pt>
                <c:pt idx="28">
                  <c:v>3.0152054553150944</c:v>
                </c:pt>
                <c:pt idx="30">
                  <c:v>3.8395971251608034</c:v>
                </c:pt>
                <c:pt idx="31">
                  <c:v>2.395445627039972</c:v>
                </c:pt>
                <c:pt idx="32">
                  <c:v>1.3078389014110505</c:v>
                </c:pt>
                <c:pt idx="33">
                  <c:v>1.2966058407186059</c:v>
                </c:pt>
                <c:pt idx="34">
                  <c:v>4.5151459464452568</c:v>
                </c:pt>
                <c:pt idx="35">
                  <c:v>3.3632000662772312</c:v>
                </c:pt>
                <c:pt idx="36">
                  <c:v>3.4541244674729095</c:v>
                </c:pt>
                <c:pt idx="37">
                  <c:v>2.0438088563409478</c:v>
                </c:pt>
                <c:pt idx="38">
                  <c:v>3.3199263688805498</c:v>
                </c:pt>
                <c:pt idx="39">
                  <c:v>2.1263120351368507</c:v>
                </c:pt>
                <c:pt idx="40">
                  <c:v>3.0514675542767677</c:v>
                </c:pt>
                <c:pt idx="41">
                  <c:v>4.1678365012587948</c:v>
                </c:pt>
                <c:pt idx="42">
                  <c:v>3.2301098305615614</c:v>
                </c:pt>
                <c:pt idx="43">
                  <c:v>1.2455072893128889</c:v>
                </c:pt>
                <c:pt idx="44">
                  <c:v>1.4144979076776285</c:v>
                </c:pt>
                <c:pt idx="45">
                  <c:v>4.306589258148465</c:v>
                </c:pt>
                <c:pt idx="46">
                  <c:v>1.5201968067057814</c:v>
                </c:pt>
                <c:pt idx="47">
                  <c:v>3.2377528304625272</c:v>
                </c:pt>
                <c:pt idx="48">
                  <c:v>1.6874711158273978</c:v>
                </c:pt>
                <c:pt idx="49">
                  <c:v>2.165124349254282</c:v>
                </c:pt>
                <c:pt idx="50">
                  <c:v>2.4202698614476468</c:v>
                </c:pt>
                <c:pt idx="51">
                  <c:v>4.7456727948601234</c:v>
                </c:pt>
                <c:pt idx="52">
                  <c:v>2.7398031110659429</c:v>
                </c:pt>
                <c:pt idx="53">
                  <c:v>3.3316639428911086</c:v>
                </c:pt>
                <c:pt idx="54">
                  <c:v>2.7428841419005718</c:v>
                </c:pt>
                <c:pt idx="55">
                  <c:v>2.9293129044049673</c:v>
                </c:pt>
                <c:pt idx="56">
                  <c:v>2.9294183895027817</c:v>
                </c:pt>
                <c:pt idx="57">
                  <c:v>3.3528595368014011</c:v>
                </c:pt>
                <c:pt idx="58">
                  <c:v>2.8977668145969382</c:v>
                </c:pt>
                <c:pt idx="59">
                  <c:v>0.98229916521308303</c:v>
                </c:pt>
                <c:pt idx="60">
                  <c:v>2.9400082537481715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TAR</a:t>
            </a:r>
          </a:p>
        </c:rich>
      </c:tx>
      <c:layout>
        <c:manualLayout>
          <c:xMode val="edge"/>
          <c:yMode val="edge"/>
          <c:x val="0.39243211145652279"/>
          <c:y val="2.127114448072321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'n-Alkanes'!$DE$3</c:f>
              <c:strCache>
                <c:ptCount val="1"/>
                <c:pt idx="0">
                  <c:v>TAR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'n-Alkanes'!$DE$4:$DE$64</c:f>
              <c:numCache>
                <c:formatCode>0.00</c:formatCode>
                <c:ptCount val="61"/>
                <c:pt idx="1">
                  <c:v>1.5219609515823835</c:v>
                </c:pt>
                <c:pt idx="2">
                  <c:v>16.002397359643247</c:v>
                </c:pt>
                <c:pt idx="3">
                  <c:v>99.754415962057251</c:v>
                </c:pt>
                <c:pt idx="4">
                  <c:v>78.930351160778287</c:v>
                </c:pt>
                <c:pt idx="5">
                  <c:v>6.7445078478770677</c:v>
                </c:pt>
                <c:pt idx="6">
                  <c:v>29.196407475900315</c:v>
                </c:pt>
                <c:pt idx="7">
                  <c:v>36.451757081549623</c:v>
                </c:pt>
                <c:pt idx="8">
                  <c:v>5.3515440946565631</c:v>
                </c:pt>
                <c:pt idx="9">
                  <c:v>6.2570269079574103</c:v>
                </c:pt>
                <c:pt idx="10">
                  <c:v>26.295169034856137</c:v>
                </c:pt>
                <c:pt idx="11">
                  <c:v>26.690195001388574</c:v>
                </c:pt>
                <c:pt idx="12">
                  <c:v>38.105399472154694</c:v>
                </c:pt>
                <c:pt idx="13">
                  <c:v>12.998563109145909</c:v>
                </c:pt>
                <c:pt idx="14">
                  <c:v>13.898376901931259</c:v>
                </c:pt>
                <c:pt idx="15">
                  <c:v>58.323893474715689</c:v>
                </c:pt>
                <c:pt idx="16">
                  <c:v>13.428421397486657</c:v>
                </c:pt>
                <c:pt idx="17">
                  <c:v>148.89722545562415</c:v>
                </c:pt>
                <c:pt idx="18">
                  <c:v>41.928630538754547</c:v>
                </c:pt>
                <c:pt idx="19">
                  <c:v>18.577707366310243</c:v>
                </c:pt>
                <c:pt idx="20">
                  <c:v>58.74479213821413</c:v>
                </c:pt>
                <c:pt idx="21">
                  <c:v>171.1434246344221</c:v>
                </c:pt>
                <c:pt idx="22">
                  <c:v>90.644990894428588</c:v>
                </c:pt>
                <c:pt idx="23">
                  <c:v>35.066750461698788</c:v>
                </c:pt>
                <c:pt idx="24">
                  <c:v>47.915369214685676</c:v>
                </c:pt>
                <c:pt idx="25">
                  <c:v>171.47829535721922</c:v>
                </c:pt>
                <c:pt idx="26">
                  <c:v>100.82009772998919</c:v>
                </c:pt>
                <c:pt idx="27">
                  <c:v>1574.8342046303212</c:v>
                </c:pt>
                <c:pt idx="32">
                  <c:v>5.6176662370128616</c:v>
                </c:pt>
                <c:pt idx="33">
                  <c:v>3429.5644862539198</c:v>
                </c:pt>
                <c:pt idx="34">
                  <c:v>298.13256197689907</c:v>
                </c:pt>
                <c:pt idx="35">
                  <c:v>117.69629853625048</c:v>
                </c:pt>
                <c:pt idx="37">
                  <c:v>28.79938923744373</c:v>
                </c:pt>
                <c:pt idx="39">
                  <c:v>163.40661244986472</c:v>
                </c:pt>
                <c:pt idx="40">
                  <c:v>57.9090422394911</c:v>
                </c:pt>
                <c:pt idx="41">
                  <c:v>710.55270877539294</c:v>
                </c:pt>
                <c:pt idx="42">
                  <c:v>147.84891911400086</c:v>
                </c:pt>
                <c:pt idx="43">
                  <c:v>140.88248659326956</c:v>
                </c:pt>
                <c:pt idx="44">
                  <c:v>181.73181112118735</c:v>
                </c:pt>
                <c:pt idx="45">
                  <c:v>482.57651333488786</c:v>
                </c:pt>
                <c:pt idx="46">
                  <c:v>282.25154901673415</c:v>
                </c:pt>
                <c:pt idx="47">
                  <c:v>33.667711555690374</c:v>
                </c:pt>
                <c:pt idx="48">
                  <c:v>159.44268686802127</c:v>
                </c:pt>
                <c:pt idx="49">
                  <c:v>10.690636975645752</c:v>
                </c:pt>
                <c:pt idx="50">
                  <c:v>37.370482321819296</c:v>
                </c:pt>
                <c:pt idx="51">
                  <c:v>10.637062689810108</c:v>
                </c:pt>
                <c:pt idx="52">
                  <c:v>7.5862903774148274</c:v>
                </c:pt>
                <c:pt idx="53">
                  <c:v>24.357702561738083</c:v>
                </c:pt>
                <c:pt idx="54">
                  <c:v>11.93592221581056</c:v>
                </c:pt>
                <c:pt idx="55">
                  <c:v>14.901412811994579</c:v>
                </c:pt>
                <c:pt idx="56">
                  <c:v>14.435126941787988</c:v>
                </c:pt>
                <c:pt idx="57">
                  <c:v>12.770619623457266</c:v>
                </c:pt>
                <c:pt idx="58">
                  <c:v>6.1580033120326894</c:v>
                </c:pt>
                <c:pt idx="59">
                  <c:v>20.808328696852467</c:v>
                </c:pt>
                <c:pt idx="60">
                  <c:v>20.000670641456416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2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LMW/total</a:t>
            </a:r>
            <a:r>
              <a:rPr lang="es-ES" sz="1000" baseline="0"/>
              <a:t> n-alc</a:t>
            </a:r>
            <a:endParaRPr lang="es-ES" sz="1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'n-Alkanes'!$DA$4:$DA$64</c:f>
              <c:numCache>
                <c:formatCode>0.000</c:formatCode>
                <c:ptCount val="61"/>
                <c:pt idx="0">
                  <c:v>4.7377772841321844E-2</c:v>
                </c:pt>
                <c:pt idx="1">
                  <c:v>0.31014287260952939</c:v>
                </c:pt>
                <c:pt idx="2">
                  <c:v>0.12473414757798262</c:v>
                </c:pt>
                <c:pt idx="3">
                  <c:v>5.4418406176294898E-2</c:v>
                </c:pt>
                <c:pt idx="4">
                  <c:v>6.021302340547327E-2</c:v>
                </c:pt>
                <c:pt idx="5">
                  <c:v>0.18357386320351093</c:v>
                </c:pt>
                <c:pt idx="6">
                  <c:v>7.7640088845223817E-2</c:v>
                </c:pt>
                <c:pt idx="7">
                  <c:v>9.8202223092908936E-2</c:v>
                </c:pt>
                <c:pt idx="8">
                  <c:v>0.19175115529391989</c:v>
                </c:pt>
                <c:pt idx="9">
                  <c:v>0.16887064605601751</c:v>
                </c:pt>
                <c:pt idx="10">
                  <c:v>8.2824110965400016E-2</c:v>
                </c:pt>
                <c:pt idx="11">
                  <c:v>9.9214573795450303E-2</c:v>
                </c:pt>
                <c:pt idx="12">
                  <c:v>8.0613289683298311E-2</c:v>
                </c:pt>
                <c:pt idx="13">
                  <c:v>0.11182839566449973</c:v>
                </c:pt>
                <c:pt idx="14">
                  <c:v>0.10824518949510216</c:v>
                </c:pt>
                <c:pt idx="15">
                  <c:v>7.5555319332873114E-2</c:v>
                </c:pt>
                <c:pt idx="16">
                  <c:v>0.12298312186228286</c:v>
                </c:pt>
                <c:pt idx="17">
                  <c:v>4.6486673195426653E-2</c:v>
                </c:pt>
                <c:pt idx="18">
                  <c:v>8.4962987976982041E-2</c:v>
                </c:pt>
                <c:pt idx="19">
                  <c:v>7.3463426161353734E-2</c:v>
                </c:pt>
                <c:pt idx="20">
                  <c:v>5.7087125488848152E-2</c:v>
                </c:pt>
                <c:pt idx="21">
                  <c:v>2.9413422804785885E-2</c:v>
                </c:pt>
                <c:pt idx="22">
                  <c:v>2.8064438678813152E-2</c:v>
                </c:pt>
                <c:pt idx="23">
                  <c:v>7.6000710231753116E-2</c:v>
                </c:pt>
                <c:pt idx="24">
                  <c:v>7.9699140049592665E-2</c:v>
                </c:pt>
                <c:pt idx="25">
                  <c:v>3.5543464553002356E-2</c:v>
                </c:pt>
                <c:pt idx="26">
                  <c:v>4.9763521178114653E-2</c:v>
                </c:pt>
                <c:pt idx="27">
                  <c:v>3.3305401616223397E-2</c:v>
                </c:pt>
                <c:pt idx="28">
                  <c:v>6.2210191422641135E-2</c:v>
                </c:pt>
                <c:pt idx="30">
                  <c:v>1.4145757532711136E-2</c:v>
                </c:pt>
                <c:pt idx="31">
                  <c:v>3.2176364073345447E-2</c:v>
                </c:pt>
                <c:pt idx="32">
                  <c:v>0.16773299678382828</c:v>
                </c:pt>
                <c:pt idx="33">
                  <c:v>0.16339569644147522</c:v>
                </c:pt>
                <c:pt idx="34">
                  <c:v>1.2404058035137827E-2</c:v>
                </c:pt>
                <c:pt idx="35">
                  <c:v>9.6707575443792798E-2</c:v>
                </c:pt>
                <c:pt idx="36">
                  <c:v>5.3918555758492833E-3</c:v>
                </c:pt>
                <c:pt idx="37">
                  <c:v>5.0445652650702839E-2</c:v>
                </c:pt>
                <c:pt idx="38">
                  <c:v>3.2665434664104064E-2</c:v>
                </c:pt>
                <c:pt idx="39">
                  <c:v>1.2795736823482853E-2</c:v>
                </c:pt>
                <c:pt idx="40">
                  <c:v>6.3508867578719888E-2</c:v>
                </c:pt>
                <c:pt idx="41">
                  <c:v>9.2680852018112124E-3</c:v>
                </c:pt>
                <c:pt idx="42">
                  <c:v>3.4889132774378336E-2</c:v>
                </c:pt>
                <c:pt idx="43">
                  <c:v>2.5586347476226748E-2</c:v>
                </c:pt>
                <c:pt idx="44">
                  <c:v>9.6573239982782073E-3</c:v>
                </c:pt>
                <c:pt idx="45">
                  <c:v>2.0689356541702984E-2</c:v>
                </c:pt>
                <c:pt idx="46">
                  <c:v>9.7172330068049546E-3</c:v>
                </c:pt>
                <c:pt idx="47">
                  <c:v>8.887664151683361E-2</c:v>
                </c:pt>
                <c:pt idx="48">
                  <c:v>8.496619856564417E-3</c:v>
                </c:pt>
                <c:pt idx="49">
                  <c:v>0.16510448791496132</c:v>
                </c:pt>
                <c:pt idx="50">
                  <c:v>8.1504845369610418E-2</c:v>
                </c:pt>
                <c:pt idx="51">
                  <c:v>0.14195186089370349</c:v>
                </c:pt>
                <c:pt idx="52">
                  <c:v>0.15099654043751168</c:v>
                </c:pt>
                <c:pt idx="53">
                  <c:v>0.10408114749932421</c:v>
                </c:pt>
                <c:pt idx="54">
                  <c:v>0.13586962234156452</c:v>
                </c:pt>
                <c:pt idx="55">
                  <c:v>0.13382724674856275</c:v>
                </c:pt>
                <c:pt idx="56">
                  <c:v>0.12478895864854647</c:v>
                </c:pt>
                <c:pt idx="57">
                  <c:v>0.14078193592435412</c:v>
                </c:pt>
                <c:pt idx="58">
                  <c:v>0.18461926261112249</c:v>
                </c:pt>
                <c:pt idx="59">
                  <c:v>9.0138493689425184E-2</c:v>
                </c:pt>
                <c:pt idx="60">
                  <c:v>0.11038943872019294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LMW/HMW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'n-Alkanes'!$DC$4:$DC$64</c:f>
              <c:numCache>
                <c:formatCode>0.000</c:formatCode>
                <c:ptCount val="61"/>
                <c:pt idx="0">
                  <c:v>6.3986695794424828E-2</c:v>
                </c:pt>
                <c:pt idx="1">
                  <c:v>0.88753699109341899</c:v>
                </c:pt>
                <c:pt idx="2">
                  <c:v>0.20341876441854201</c:v>
                </c:pt>
                <c:pt idx="3">
                  <c:v>7.3604590557604127E-2</c:v>
                </c:pt>
                <c:pt idx="4">
                  <c:v>8.5918795356441299E-2</c:v>
                </c:pt>
                <c:pt idx="5">
                  <c:v>0.3761584480834359</c:v>
                </c:pt>
                <c:pt idx="6">
                  <c:v>0.10495944015725375</c:v>
                </c:pt>
                <c:pt idx="7">
                  <c:v>0.17050467756717311</c:v>
                </c:pt>
                <c:pt idx="8">
                  <c:v>0.3490548193309892</c:v>
                </c:pt>
                <c:pt idx="9">
                  <c:v>0.33137452121810163</c:v>
                </c:pt>
                <c:pt idx="10">
                  <c:v>0.11736108172026175</c:v>
                </c:pt>
                <c:pt idx="11">
                  <c:v>0.14368195427303093</c:v>
                </c:pt>
                <c:pt idx="12">
                  <c:v>0.11533872045811711</c:v>
                </c:pt>
                <c:pt idx="13">
                  <c:v>0.16563716527773228</c:v>
                </c:pt>
                <c:pt idx="14">
                  <c:v>0.15147953062666533</c:v>
                </c:pt>
                <c:pt idx="15">
                  <c:v>0.10945287843357766</c:v>
                </c:pt>
                <c:pt idx="16">
                  <c:v>0.18849453146376902</c:v>
                </c:pt>
                <c:pt idx="17">
                  <c:v>6.6192991719005181E-2</c:v>
                </c:pt>
                <c:pt idx="18">
                  <c:v>0.12122826054717752</c:v>
                </c:pt>
                <c:pt idx="19">
                  <c:v>0.10601059068841465</c:v>
                </c:pt>
                <c:pt idx="20">
                  <c:v>0.10335591794177149</c:v>
                </c:pt>
                <c:pt idx="21">
                  <c:v>3.5813101151802668E-2</c:v>
                </c:pt>
                <c:pt idx="22">
                  <c:v>3.3778145396980451E-2</c:v>
                </c:pt>
                <c:pt idx="23">
                  <c:v>0.10485429866212304</c:v>
                </c:pt>
                <c:pt idx="24">
                  <c:v>0.11190878056066704</c:v>
                </c:pt>
                <c:pt idx="25">
                  <c:v>4.7151679396616381E-2</c:v>
                </c:pt>
                <c:pt idx="26">
                  <c:v>6.2202054080110994E-2</c:v>
                </c:pt>
                <c:pt idx="27">
                  <c:v>4.4749362221933792E-2</c:v>
                </c:pt>
                <c:pt idx="28">
                  <c:v>8.8093484401927172E-2</c:v>
                </c:pt>
                <c:pt idx="30">
                  <c:v>1.6227748929564138E-2</c:v>
                </c:pt>
                <c:pt idx="31">
                  <c:v>4.0770354112571905E-2</c:v>
                </c:pt>
                <c:pt idx="32">
                  <c:v>0.4356488136025497</c:v>
                </c:pt>
                <c:pt idx="33">
                  <c:v>0.43549040786495241</c:v>
                </c:pt>
                <c:pt idx="34">
                  <c:v>1.3462133413036308E-2</c:v>
                </c:pt>
                <c:pt idx="35">
                  <c:v>0.13301889412912796</c:v>
                </c:pt>
                <c:pt idx="36">
                  <c:v>5.9217223411987046E-3</c:v>
                </c:pt>
                <c:pt idx="37">
                  <c:v>5.9809368592777121E-2</c:v>
                </c:pt>
                <c:pt idx="38">
                  <c:v>4.1551457429612679E-2</c:v>
                </c:pt>
                <c:pt idx="39">
                  <c:v>1.4060743975817289E-2</c:v>
                </c:pt>
                <c:pt idx="40">
                  <c:v>8.0054255537759689E-2</c:v>
                </c:pt>
                <c:pt idx="41">
                  <c:v>1.0082946960785041E-2</c:v>
                </c:pt>
                <c:pt idx="42">
                  <c:v>4.7511956625389928E-2</c:v>
                </c:pt>
                <c:pt idx="43">
                  <c:v>3.2676997878557483E-2</c:v>
                </c:pt>
                <c:pt idx="44">
                  <c:v>1.0893499239435602E-2</c:v>
                </c:pt>
                <c:pt idx="45">
                  <c:v>2.410776710439896E-2</c:v>
                </c:pt>
                <c:pt idx="46">
                  <c:v>1.1476449549799279E-2</c:v>
                </c:pt>
                <c:pt idx="47">
                  <c:v>0.13103476890884191</c:v>
                </c:pt>
                <c:pt idx="48">
                  <c:v>9.7159507146779393E-3</c:v>
                </c:pt>
                <c:pt idx="49">
                  <c:v>0.23915041150091654</c:v>
                </c:pt>
                <c:pt idx="50">
                  <c:v>0.1181444776677238</c:v>
                </c:pt>
                <c:pt idx="51">
                  <c:v>0.19911023143243797</c:v>
                </c:pt>
                <c:pt idx="52">
                  <c:v>0.22380419098204185</c:v>
                </c:pt>
                <c:pt idx="53">
                  <c:v>0.14246478211518399</c:v>
                </c:pt>
                <c:pt idx="54">
                  <c:v>0.20736161165051539</c:v>
                </c:pt>
                <c:pt idx="55">
                  <c:v>0.19376209104371594</c:v>
                </c:pt>
                <c:pt idx="56">
                  <c:v>0.17590896418839935</c:v>
                </c:pt>
                <c:pt idx="57">
                  <c:v>0.20259323441345162</c:v>
                </c:pt>
                <c:pt idx="58">
                  <c:v>0.32745097045216676</c:v>
                </c:pt>
                <c:pt idx="59">
                  <c:v>0.12019601929780821</c:v>
                </c:pt>
                <c:pt idx="60">
                  <c:v>0.16731281621320335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Pr/Ph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'n-Alkanes'!$DJ$4:$DJ$64</c:f>
              <c:numCache>
                <c:formatCode>0.00</c:formatCode>
                <c:ptCount val="61"/>
                <c:pt idx="1">
                  <c:v>2.1432275835385513</c:v>
                </c:pt>
                <c:pt idx="2">
                  <c:v>0.52278016028226393</c:v>
                </c:pt>
                <c:pt idx="3">
                  <c:v>0</c:v>
                </c:pt>
                <c:pt idx="4">
                  <c:v>1.4301854930990938</c:v>
                </c:pt>
                <c:pt idx="5">
                  <c:v>1.6277041878860454</c:v>
                </c:pt>
                <c:pt idx="6">
                  <c:v>0.91029881133367119</c:v>
                </c:pt>
                <c:pt idx="7">
                  <c:v>0</c:v>
                </c:pt>
                <c:pt idx="8">
                  <c:v>2.1956028779799359</c:v>
                </c:pt>
                <c:pt idx="9">
                  <c:v>1.9984395416696905</c:v>
                </c:pt>
                <c:pt idx="10">
                  <c:v>0.69291661784717928</c:v>
                </c:pt>
                <c:pt idx="11">
                  <c:v>1.3695301344407305</c:v>
                </c:pt>
                <c:pt idx="12">
                  <c:v>1.0534768473330653</c:v>
                </c:pt>
                <c:pt idx="13">
                  <c:v>1.8655889769452449</c:v>
                </c:pt>
                <c:pt idx="14">
                  <c:v>1.100548979617733</c:v>
                </c:pt>
                <c:pt idx="15">
                  <c:v>0.41929822595286392</c:v>
                </c:pt>
                <c:pt idx="16">
                  <c:v>1.3137054065657434</c:v>
                </c:pt>
                <c:pt idx="17">
                  <c:v>0.34450111196646993</c:v>
                </c:pt>
                <c:pt idx="18">
                  <c:v>0.42251978823569986</c:v>
                </c:pt>
                <c:pt idx="19">
                  <c:v>3.405515705563964</c:v>
                </c:pt>
                <c:pt idx="20">
                  <c:v>2.3026438042876824</c:v>
                </c:pt>
                <c:pt idx="21">
                  <c:v>1.1999867079826871</c:v>
                </c:pt>
                <c:pt idx="22">
                  <c:v>1.6845099327951705</c:v>
                </c:pt>
                <c:pt idx="23">
                  <c:v>1.7537752528344392</c:v>
                </c:pt>
                <c:pt idx="24">
                  <c:v>1.8537253463688068</c:v>
                </c:pt>
                <c:pt idx="25">
                  <c:v>0.92818062221056474</c:v>
                </c:pt>
                <c:pt idx="26">
                  <c:v>0.34276765287625816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0.16762171160662717</c:v>
                </c:pt>
                <c:pt idx="37">
                  <c:v>0.98035632735208866</c:v>
                </c:pt>
                <c:pt idx="39">
                  <c:v>0.59889177151812689</c:v>
                </c:pt>
                <c:pt idx="40">
                  <c:v>0.58533776518633418</c:v>
                </c:pt>
                <c:pt idx="42">
                  <c:v>2.4412255001010306</c:v>
                </c:pt>
                <c:pt idx="43">
                  <c:v>0.48972735649844462</c:v>
                </c:pt>
                <c:pt idx="44">
                  <c:v>0.48524831720304074</c:v>
                </c:pt>
                <c:pt idx="46">
                  <c:v>0.31642150313574297</c:v>
                </c:pt>
                <c:pt idx="47">
                  <c:v>1.073369589397245</c:v>
                </c:pt>
                <c:pt idx="48">
                  <c:v>0.55693475176000762</c:v>
                </c:pt>
                <c:pt idx="49">
                  <c:v>0.65749631253074481</c:v>
                </c:pt>
                <c:pt idx="50">
                  <c:v>0.5337347360774497</c:v>
                </c:pt>
                <c:pt idx="51">
                  <c:v>1.6845359411514882</c:v>
                </c:pt>
                <c:pt idx="52">
                  <c:v>1.1307300706041556</c:v>
                </c:pt>
                <c:pt idx="53">
                  <c:v>0.36278162862468338</c:v>
                </c:pt>
                <c:pt idx="54">
                  <c:v>0.99397725677516013</c:v>
                </c:pt>
                <c:pt idx="55">
                  <c:v>0.33592666538169319</c:v>
                </c:pt>
                <c:pt idx="56">
                  <c:v>0.68671148084326372</c:v>
                </c:pt>
                <c:pt idx="57">
                  <c:v>0.51235263361692729</c:v>
                </c:pt>
                <c:pt idx="58">
                  <c:v>1.2582206241419944</c:v>
                </c:pt>
                <c:pt idx="59">
                  <c:v>0.86292256069478257</c:v>
                </c:pt>
                <c:pt idx="60">
                  <c:v>1.3377369754946258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15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Ph/C18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'n-Alkanes'!$DI$4:$DI$64</c:f>
              <c:numCache>
                <c:formatCode>0.00</c:formatCode>
                <c:ptCount val="61"/>
                <c:pt idx="1">
                  <c:v>2.3196841498318475</c:v>
                </c:pt>
                <c:pt idx="2">
                  <c:v>2.6825399296366639</c:v>
                </c:pt>
                <c:pt idx="3">
                  <c:v>2.2137981955374668</c:v>
                </c:pt>
                <c:pt idx="4">
                  <c:v>1.1247651853733918</c:v>
                </c:pt>
                <c:pt idx="5">
                  <c:v>0.65553273902921405</c:v>
                </c:pt>
                <c:pt idx="6">
                  <c:v>0.49786494623003191</c:v>
                </c:pt>
                <c:pt idx="7">
                  <c:v>1.5173222326973519</c:v>
                </c:pt>
                <c:pt idx="8">
                  <c:v>0.82380391813395049</c:v>
                </c:pt>
                <c:pt idx="9">
                  <c:v>1.0167856006854645</c:v>
                </c:pt>
                <c:pt idx="10">
                  <c:v>0.79965890684850138</c:v>
                </c:pt>
                <c:pt idx="11">
                  <c:v>0.70835753436517723</c:v>
                </c:pt>
                <c:pt idx="12">
                  <c:v>0.48292187559569816</c:v>
                </c:pt>
                <c:pt idx="13">
                  <c:v>0.77219775080317543</c:v>
                </c:pt>
                <c:pt idx="14">
                  <c:v>0.6069139579617634</c:v>
                </c:pt>
                <c:pt idx="15">
                  <c:v>0.78628289653397909</c:v>
                </c:pt>
                <c:pt idx="16">
                  <c:v>0.54730967822306842</c:v>
                </c:pt>
                <c:pt idx="17">
                  <c:v>0.57433579681354407</c:v>
                </c:pt>
                <c:pt idx="18">
                  <c:v>0.99338928203731403</c:v>
                </c:pt>
                <c:pt idx="19">
                  <c:v>0.76095083474218417</c:v>
                </c:pt>
                <c:pt idx="20">
                  <c:v>0.7589627748003851</c:v>
                </c:pt>
                <c:pt idx="21">
                  <c:v>0.31826606559760984</c:v>
                </c:pt>
                <c:pt idx="22">
                  <c:v>0.90009050810949287</c:v>
                </c:pt>
                <c:pt idx="23">
                  <c:v>0.87366224012843174</c:v>
                </c:pt>
                <c:pt idx="24">
                  <c:v>0.85951592975231883</c:v>
                </c:pt>
                <c:pt idx="25">
                  <c:v>0.76113783401024415</c:v>
                </c:pt>
                <c:pt idx="26">
                  <c:v>2.3230957494031408</c:v>
                </c:pt>
                <c:pt idx="32">
                  <c:v>0.54712037859156815</c:v>
                </c:pt>
                <c:pt idx="33">
                  <c:v>0.91350202065358022</c:v>
                </c:pt>
                <c:pt idx="34">
                  <c:v>0.49207527330642792</c:v>
                </c:pt>
                <c:pt idx="35">
                  <c:v>1.887683444317368</c:v>
                </c:pt>
                <c:pt idx="37">
                  <c:v>0.55978267764026612</c:v>
                </c:pt>
                <c:pt idx="39">
                  <c:v>0.55261775617958453</c:v>
                </c:pt>
                <c:pt idx="40">
                  <c:v>0.85302910404266874</c:v>
                </c:pt>
                <c:pt idx="42">
                  <c:v>0.27125053952768208</c:v>
                </c:pt>
                <c:pt idx="43">
                  <c:v>0.6443372937759283</c:v>
                </c:pt>
                <c:pt idx="44">
                  <c:v>0.73445196267150636</c:v>
                </c:pt>
                <c:pt idx="46">
                  <c:v>0.82580768382073433</c:v>
                </c:pt>
                <c:pt idx="47">
                  <c:v>1.153025438794488</c:v>
                </c:pt>
                <c:pt idx="48">
                  <c:v>0.72964704777367051</c:v>
                </c:pt>
                <c:pt idx="49">
                  <c:v>0.61170181239621257</c:v>
                </c:pt>
                <c:pt idx="50">
                  <c:v>0.86231881751472605</c:v>
                </c:pt>
                <c:pt idx="51">
                  <c:v>0.7163403547024465</c:v>
                </c:pt>
                <c:pt idx="52">
                  <c:v>0.50728902042014989</c:v>
                </c:pt>
                <c:pt idx="53">
                  <c:v>1.0622099374092755</c:v>
                </c:pt>
                <c:pt idx="54">
                  <c:v>0.81266762157371963</c:v>
                </c:pt>
                <c:pt idx="55">
                  <c:v>0.66214009427479148</c:v>
                </c:pt>
                <c:pt idx="56">
                  <c:v>0.58822925497458067</c:v>
                </c:pt>
                <c:pt idx="57">
                  <c:v>1.2434640759937179</c:v>
                </c:pt>
                <c:pt idx="58">
                  <c:v>1.4246864176798089</c:v>
                </c:pt>
                <c:pt idx="59">
                  <c:v>1.0337824234542576</c:v>
                </c:pt>
                <c:pt idx="60">
                  <c:v>1.0393250424323195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Pr/C17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'n-Alkanes'!$DH$4:$DH$64</c:f>
              <c:numCache>
                <c:formatCode>0.00</c:formatCode>
                <c:ptCount val="61"/>
                <c:pt idx="1">
                  <c:v>2.822409128712446</c:v>
                </c:pt>
                <c:pt idx="2">
                  <c:v>1.7934343333797853</c:v>
                </c:pt>
                <c:pt idx="4">
                  <c:v>2.9652268050735544</c:v>
                </c:pt>
                <c:pt idx="5">
                  <c:v>1</c:v>
                </c:pt>
                <c:pt idx="6">
                  <c:v>1.2835750730233548</c:v>
                </c:pt>
                <c:pt idx="8">
                  <c:v>1.9698829521574743</c:v>
                </c:pt>
                <c:pt idx="9">
                  <c:v>3.4426277906361618</c:v>
                </c:pt>
                <c:pt idx="10">
                  <c:v>1.2695387421516013</c:v>
                </c:pt>
                <c:pt idx="11">
                  <c:v>1.6505506757531547</c:v>
                </c:pt>
                <c:pt idx="12">
                  <c:v>1.4604134383635581</c:v>
                </c:pt>
                <c:pt idx="13">
                  <c:v>1.3899037704736124</c:v>
                </c:pt>
                <c:pt idx="14">
                  <c:v>1.071706595402663</c:v>
                </c:pt>
                <c:pt idx="15">
                  <c:v>1.4889288613680138</c:v>
                </c:pt>
                <c:pt idx="16">
                  <c:v>1.4764126923372449</c:v>
                </c:pt>
                <c:pt idx="17">
                  <c:v>0.4797394379303927</c:v>
                </c:pt>
                <c:pt idx="18">
                  <c:v>1.0110507268803361</c:v>
                </c:pt>
                <c:pt idx="19">
                  <c:v>5.0051262052649932</c:v>
                </c:pt>
                <c:pt idx="20">
                  <c:v>5.8663891372078139</c:v>
                </c:pt>
                <c:pt idx="21">
                  <c:v>0.57123987598076431</c:v>
                </c:pt>
                <c:pt idx="22">
                  <c:v>3.6067436452569961</c:v>
                </c:pt>
                <c:pt idx="23">
                  <c:v>3.7651919004569607</c:v>
                </c:pt>
                <c:pt idx="24">
                  <c:v>4.0237116390925989</c:v>
                </c:pt>
                <c:pt idx="25">
                  <c:v>2.5078287637861543</c:v>
                </c:pt>
                <c:pt idx="26">
                  <c:v>0.91719696812663665</c:v>
                </c:pt>
                <c:pt idx="34">
                  <c:v>0</c:v>
                </c:pt>
                <c:pt idx="35">
                  <c:v>0.55637938973621648</c:v>
                </c:pt>
                <c:pt idx="37">
                  <c:v>0.82895171213712915</c:v>
                </c:pt>
                <c:pt idx="39">
                  <c:v>0.50209457787770262</c:v>
                </c:pt>
                <c:pt idx="40">
                  <c:v>1.7595483880423473</c:v>
                </c:pt>
                <c:pt idx="42">
                  <c:v>1.0722721145792309</c:v>
                </c:pt>
                <c:pt idx="43">
                  <c:v>0.52241112828438951</c:v>
                </c:pt>
                <c:pt idx="44">
                  <c:v>0.60079739700288715</c:v>
                </c:pt>
                <c:pt idx="46">
                  <c:v>0.35501262161848951</c:v>
                </c:pt>
                <c:pt idx="47">
                  <c:v>1.1869565178498749</c:v>
                </c:pt>
                <c:pt idx="48">
                  <c:v>0.39737452683095376</c:v>
                </c:pt>
                <c:pt idx="49">
                  <c:v>1.3410881178022471</c:v>
                </c:pt>
                <c:pt idx="50">
                  <c:v>1.1922959581650541</c:v>
                </c:pt>
                <c:pt idx="51">
                  <c:v>0.94562938066454205</c:v>
                </c:pt>
                <c:pt idx="52">
                  <c:v>0.80545920165324314</c:v>
                </c:pt>
                <c:pt idx="53">
                  <c:v>1.4721148683045209</c:v>
                </c:pt>
                <c:pt idx="54">
                  <c:v>1.4809458725894369</c:v>
                </c:pt>
                <c:pt idx="55">
                  <c:v>0.92906985698954947</c:v>
                </c:pt>
                <c:pt idx="56">
                  <c:v>0.91686590511158561</c:v>
                </c:pt>
                <c:pt idx="57">
                  <c:v>1.572811739312828</c:v>
                </c:pt>
                <c:pt idx="58">
                  <c:v>2.5826669345656685</c:v>
                </c:pt>
                <c:pt idx="59">
                  <c:v>1.9035424842672364</c:v>
                </c:pt>
                <c:pt idx="60">
                  <c:v>1.8541420489852953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Pr+Ph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'n-Alkanes'!$DD$4:$DD$64</c:f>
              <c:numCache>
                <c:formatCode>0.00</c:formatCode>
                <c:ptCount val="61"/>
                <c:pt idx="0">
                  <c:v>0</c:v>
                </c:pt>
                <c:pt idx="1">
                  <c:v>90.524243659049432</c:v>
                </c:pt>
                <c:pt idx="2">
                  <c:v>2.2196982122544884</c:v>
                </c:pt>
                <c:pt idx="3">
                  <c:v>0</c:v>
                </c:pt>
                <c:pt idx="4">
                  <c:v>25.393970582384547</c:v>
                </c:pt>
                <c:pt idx="5">
                  <c:v>36.303622492957373</c:v>
                </c:pt>
                <c:pt idx="6">
                  <c:v>8.7420037383919258</c:v>
                </c:pt>
                <c:pt idx="7">
                  <c:v>0</c:v>
                </c:pt>
                <c:pt idx="8">
                  <c:v>109.63770628938111</c:v>
                </c:pt>
                <c:pt idx="9">
                  <c:v>831.13983109822141</c:v>
                </c:pt>
                <c:pt idx="10">
                  <c:v>10.618373326920853</c:v>
                </c:pt>
                <c:pt idx="11">
                  <c:v>94.346839387470027</c:v>
                </c:pt>
                <c:pt idx="12">
                  <c:v>3.643767266187603</c:v>
                </c:pt>
                <c:pt idx="13">
                  <c:v>43.008197769831689</c:v>
                </c:pt>
                <c:pt idx="14">
                  <c:v>59.285821379928251</c:v>
                </c:pt>
                <c:pt idx="15">
                  <c:v>1.8506634311149777</c:v>
                </c:pt>
                <c:pt idx="16">
                  <c:v>42.657874300687368</c:v>
                </c:pt>
                <c:pt idx="17">
                  <c:v>1.1403482263274285</c:v>
                </c:pt>
                <c:pt idx="18">
                  <c:v>7.4940848499267574</c:v>
                </c:pt>
                <c:pt idx="19">
                  <c:v>502.46234012850891</c:v>
                </c:pt>
                <c:pt idx="20">
                  <c:v>73.952474218136146</c:v>
                </c:pt>
                <c:pt idx="21">
                  <c:v>0.76051358911317091</c:v>
                </c:pt>
                <c:pt idx="22">
                  <c:v>16.205188045265594</c:v>
                </c:pt>
                <c:pt idx="23">
                  <c:v>28.009921444607123</c:v>
                </c:pt>
                <c:pt idx="24">
                  <c:v>122.36802939900026</c:v>
                </c:pt>
                <c:pt idx="25">
                  <c:v>3.2961429319210955</c:v>
                </c:pt>
                <c:pt idx="26">
                  <c:v>4.8552136147806344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0.48155091957111851</c:v>
                </c:pt>
                <c:pt idx="36">
                  <c:v>0</c:v>
                </c:pt>
                <c:pt idx="37">
                  <c:v>41.13962193624829</c:v>
                </c:pt>
                <c:pt idx="38">
                  <c:v>0</c:v>
                </c:pt>
                <c:pt idx="39">
                  <c:v>29.843446583742743</c:v>
                </c:pt>
                <c:pt idx="40">
                  <c:v>36.685060548723001</c:v>
                </c:pt>
                <c:pt idx="41">
                  <c:v>0</c:v>
                </c:pt>
                <c:pt idx="42">
                  <c:v>5.6277575629095109</c:v>
                </c:pt>
                <c:pt idx="43">
                  <c:v>33.967538175536589</c:v>
                </c:pt>
                <c:pt idx="44">
                  <c:v>64.030429602585158</c:v>
                </c:pt>
                <c:pt idx="45">
                  <c:v>0</c:v>
                </c:pt>
                <c:pt idx="46">
                  <c:v>10.080292036064911</c:v>
                </c:pt>
                <c:pt idx="47">
                  <c:v>37.099151186855387</c:v>
                </c:pt>
                <c:pt idx="48">
                  <c:v>26.67878335396275</c:v>
                </c:pt>
                <c:pt idx="49">
                  <c:v>88.249760867575688</c:v>
                </c:pt>
                <c:pt idx="50">
                  <c:v>16.829632056227464</c:v>
                </c:pt>
                <c:pt idx="51">
                  <c:v>1025.7116850915415</c:v>
                </c:pt>
                <c:pt idx="52">
                  <c:v>41.276579367696542</c:v>
                </c:pt>
                <c:pt idx="53">
                  <c:v>16.79734565325645</c:v>
                </c:pt>
                <c:pt idx="54">
                  <c:v>498.47194158893251</c:v>
                </c:pt>
                <c:pt idx="55">
                  <c:v>8.2582531725205861</c:v>
                </c:pt>
                <c:pt idx="56">
                  <c:v>49.37158981761543</c:v>
                </c:pt>
                <c:pt idx="57">
                  <c:v>87.985137435405989</c:v>
                </c:pt>
                <c:pt idx="58">
                  <c:v>81.522217147797164</c:v>
                </c:pt>
                <c:pt idx="59">
                  <c:v>2.8047833760541869</c:v>
                </c:pt>
                <c:pt idx="60">
                  <c:v>6.169915442031308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 i="1"/>
              <a:t>HMW-</a:t>
            </a:r>
            <a:r>
              <a:rPr lang="es-ES" sz="1000"/>
              <a:t>MAR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'n-Alkanes'!$CJ$2:$CJ$3</c:f>
              <c:strCache>
                <c:ptCount val="2"/>
                <c:pt idx="0">
                  <c:v>HMW-MAR
(µg/cm2kyrs)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'n-Alkanes'!$CL$4:$CL$64</c:f>
              <c:numCache>
                <c:formatCode>0.0000</c:formatCode>
                <c:ptCount val="61"/>
                <c:pt idx="0">
                  <c:v>1.0120696979903801E-3</c:v>
                </c:pt>
                <c:pt idx="1">
                  <c:v>1.8316293473326853E-5</c:v>
                </c:pt>
                <c:pt idx="2">
                  <c:v>1.3688038746993933E-4</c:v>
                </c:pt>
                <c:pt idx="3">
                  <c:v>3.6979780148398307E-4</c:v>
                </c:pt>
                <c:pt idx="4">
                  <c:v>2.9242639366204831E-4</c:v>
                </c:pt>
                <c:pt idx="5">
                  <c:v>1.7065514801328929E-4</c:v>
                </c:pt>
                <c:pt idx="6">
                  <c:v>5.0198631267777652E-4</c:v>
                </c:pt>
                <c:pt idx="7">
                  <c:v>2.9455459504275605E-4</c:v>
                </c:pt>
                <c:pt idx="8">
                  <c:v>7.865283108714205E-5</c:v>
                </c:pt>
                <c:pt idx="9">
                  <c:v>8.5424535272382991E-5</c:v>
                </c:pt>
                <c:pt idx="10">
                  <c:v>7.6251591374455908E-3</c:v>
                </c:pt>
                <c:pt idx="11">
                  <c:v>7.1242331988332882E-3</c:v>
                </c:pt>
                <c:pt idx="12">
                  <c:v>6.0798980987311745E-3</c:v>
                </c:pt>
                <c:pt idx="13">
                  <c:v>2.0655157808147306E-3</c:v>
                </c:pt>
                <c:pt idx="14">
                  <c:v>2.7328776331236367E-3</c:v>
                </c:pt>
                <c:pt idx="15">
                  <c:v>7.844201662062851E-3</c:v>
                </c:pt>
                <c:pt idx="16">
                  <c:v>3.6460961626324532E-3</c:v>
                </c:pt>
                <c:pt idx="17">
                  <c:v>1.7700851355645444E-2</c:v>
                </c:pt>
                <c:pt idx="18">
                  <c:v>5.0463556351739002E-3</c:v>
                </c:pt>
                <c:pt idx="19">
                  <c:v>3.8715339321744812E-3</c:v>
                </c:pt>
                <c:pt idx="20">
                  <c:v>7.3992746635542211E-3</c:v>
                </c:pt>
                <c:pt idx="21">
                  <c:v>1.4304391865198532E-2</c:v>
                </c:pt>
                <c:pt idx="22">
                  <c:v>3.101325468076292E-3</c:v>
                </c:pt>
                <c:pt idx="23">
                  <c:v>2.4697567978530536E-3</c:v>
                </c:pt>
                <c:pt idx="24">
                  <c:v>8.3901849861730896E-3</c:v>
                </c:pt>
                <c:pt idx="25">
                  <c:v>1.9643532383385134E-2</c:v>
                </c:pt>
                <c:pt idx="26">
                  <c:v>1.1396589777736821E-2</c:v>
                </c:pt>
                <c:pt idx="27">
                  <c:v>6.192600204855634E-2</c:v>
                </c:pt>
                <c:pt idx="28">
                  <c:v>4.8674405566120219E-3</c:v>
                </c:pt>
                <c:pt idx="30">
                  <c:v>2.260715146258763E-2</c:v>
                </c:pt>
                <c:pt idx="31">
                  <c:v>7.0425692109123694E-2</c:v>
                </c:pt>
                <c:pt idx="32">
                  <c:v>2.8169667948613034E-2</c:v>
                </c:pt>
                <c:pt idx="33">
                  <c:v>1.4245130062605206E-2</c:v>
                </c:pt>
                <c:pt idx="34">
                  <c:v>0.50037984370007227</c:v>
                </c:pt>
                <c:pt idx="35">
                  <c:v>2.4062591792586872E-2</c:v>
                </c:pt>
                <c:pt idx="36">
                  <c:v>8.2629901627355992E-2</c:v>
                </c:pt>
                <c:pt idx="37">
                  <c:v>1.71159884770372E-2</c:v>
                </c:pt>
                <c:pt idx="38">
                  <c:v>0.11274881134364988</c:v>
                </c:pt>
                <c:pt idx="39">
                  <c:v>0.3197053889260732</c:v>
                </c:pt>
                <c:pt idx="40">
                  <c:v>4.3487554394456798E-2</c:v>
                </c:pt>
                <c:pt idx="41">
                  <c:v>8.6090475411862794E-2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8.3479044739524902E-2</c:v>
                </c:pt>
                <c:pt idx="48">
                  <c:v>0.99986900582014693</c:v>
                </c:pt>
                <c:pt idx="49">
                  <c:v>2.6518283543229746E-2</c:v>
                </c:pt>
                <c:pt idx="50">
                  <c:v>0.15599490304661973</c:v>
                </c:pt>
                <c:pt idx="51">
                  <c:v>2.8804827385555606E-2</c:v>
                </c:pt>
                <c:pt idx="52">
                  <c:v>1.8466610970043661E-2</c:v>
                </c:pt>
                <c:pt idx="53">
                  <c:v>3.7590432637173855E-2</c:v>
                </c:pt>
                <c:pt idx="54">
                  <c:v>2.9916160471707531E-2</c:v>
                </c:pt>
                <c:pt idx="55">
                  <c:v>3.3820149512500425E-2</c:v>
                </c:pt>
                <c:pt idx="56">
                  <c:v>5.9437424205243332E-2</c:v>
                </c:pt>
                <c:pt idx="57">
                  <c:v>2.9392789912176961E-2</c:v>
                </c:pt>
                <c:pt idx="58">
                  <c:v>7.6411727962856172E-3</c:v>
                </c:pt>
                <c:pt idx="59">
                  <c:v>2.1785644595902768E-2</c:v>
                </c:pt>
                <c:pt idx="60">
                  <c:v>1.5677951636809732E-2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92-4C4C-A9E6-E11628BCA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Pr+Ph MAR Normalized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'n-Alkanes'!$CT$4:$CT$64</c:f>
              <c:numCache>
                <c:formatCode>0.0000</c:formatCode>
                <c:ptCount val="61"/>
                <c:pt idx="0">
                  <c:v>0</c:v>
                </c:pt>
                <c:pt idx="1">
                  <c:v>9.4558750340232689E-4</c:v>
                </c:pt>
                <c:pt idx="2">
                  <c:v>2.3186262662825434E-5</c:v>
                </c:pt>
                <c:pt idx="3">
                  <c:v>0</c:v>
                </c:pt>
                <c:pt idx="4">
                  <c:v>2.6525735288006141E-4</c:v>
                </c:pt>
                <c:pt idx="5">
                  <c:v>3.7921611239161596E-4</c:v>
                </c:pt>
                <c:pt idx="6">
                  <c:v>9.1316195038912868E-5</c:v>
                </c:pt>
                <c:pt idx="7">
                  <c:v>0</c:v>
                </c:pt>
                <c:pt idx="8">
                  <c:v>1.1452406645826717E-3</c:v>
                </c:pt>
                <c:pt idx="9">
                  <c:v>8.6818227482404736E-3</c:v>
                </c:pt>
                <c:pt idx="10">
                  <c:v>1.086978328034377E-3</c:v>
                </c:pt>
                <c:pt idx="11">
                  <c:v>9.6580678203050784E-3</c:v>
                </c:pt>
                <c:pt idx="12">
                  <c:v>3.7300403073090363E-4</c:v>
                </c:pt>
                <c:pt idx="13">
                  <c:v>4.4026497717028256E-3</c:v>
                </c:pt>
                <c:pt idx="14">
                  <c:v>6.0689524671653566E-3</c:v>
                </c:pt>
                <c:pt idx="15">
                  <c:v>1.8944813675062793E-4</c:v>
                </c:pt>
                <c:pt idx="16">
                  <c:v>4.3667879681065763E-3</c:v>
                </c:pt>
                <c:pt idx="17">
                  <c:v>1.1673481146945124E-4</c:v>
                </c:pt>
                <c:pt idx="18">
                  <c:v>7.723708619701671E-4</c:v>
                </c:pt>
                <c:pt idx="19">
                  <c:v>5.1785812213801755E-2</c:v>
                </c:pt>
                <c:pt idx="20">
                  <c:v>7.6218427467159818E-3</c:v>
                </c:pt>
                <c:pt idx="21">
                  <c:v>7.8381623390493937E-5</c:v>
                </c:pt>
                <c:pt idx="22">
                  <c:v>1.6701725840524428E-3</c:v>
                </c:pt>
                <c:pt idx="23">
                  <c:v>2.8868164162965553E-3</c:v>
                </c:pt>
                <c:pt idx="24">
                  <c:v>1.2611746762571057E-2</c:v>
                </c:pt>
                <c:pt idx="25">
                  <c:v>3.3971389549047502E-4</c:v>
                </c:pt>
                <c:pt idx="26">
                  <c:v>5.0039806057627706E-4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1.6767093299830031E-4</c:v>
                </c:pt>
                <c:pt idx="36">
                  <c:v>0</c:v>
                </c:pt>
                <c:pt idx="37">
                  <c:v>1.4324380897022385E-2</c:v>
                </c:pt>
                <c:pt idx="38">
                  <c:v>0</c:v>
                </c:pt>
                <c:pt idx="39">
                  <c:v>1.0391172208824075E-2</c:v>
                </c:pt>
                <c:pt idx="40">
                  <c:v>1.2773349773232242E-2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3.6169088900833944E-2</c:v>
                </c:pt>
                <c:pt idx="48">
                  <c:v>2.6009955916119671E-2</c:v>
                </c:pt>
                <c:pt idx="49">
                  <c:v>8.6037371319363481E-2</c:v>
                </c:pt>
                <c:pt idx="50">
                  <c:v>1.6407719274873573E-2</c:v>
                </c:pt>
                <c:pt idx="51">
                  <c:v>0.99999746457392624</c:v>
                </c:pt>
                <c:pt idx="52">
                  <c:v>4.0241790469899133E-2</c:v>
                </c:pt>
                <c:pt idx="53">
                  <c:v>1.6376242280333585E-2</c:v>
                </c:pt>
                <c:pt idx="54">
                  <c:v>0.48597543051845787</c:v>
                </c:pt>
                <c:pt idx="55">
                  <c:v>8.0512217559392894E-3</c:v>
                </c:pt>
                <c:pt idx="56">
                  <c:v>4.8133861939179387E-2</c:v>
                </c:pt>
                <c:pt idx="57">
                  <c:v>8.5779381900813634E-2</c:v>
                </c:pt>
                <c:pt idx="58">
                  <c:v>7.9478484684481904E-2</c:v>
                </c:pt>
                <c:pt idx="59">
                  <c:v>2.7344684724762264E-3</c:v>
                </c:pt>
                <c:pt idx="60">
                  <c:v>6.015237896130802E-3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C-4E68-ACDD-118C75D9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 i="1"/>
              <a:t>LMW</a:t>
            </a:r>
            <a:r>
              <a:rPr lang="es-ES" sz="1000" baseline="0"/>
              <a:t>-</a:t>
            </a:r>
            <a:r>
              <a:rPr lang="es-ES" sz="1000"/>
              <a:t>MAR normalized</a:t>
            </a:r>
          </a:p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'n-Alkanes'!$CF$2:$CF$3</c:f>
              <c:strCache>
                <c:ptCount val="2"/>
                <c:pt idx="0">
                  <c:v>LMW-MAR
normalized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circle"/>
            <c:size val="9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'n-Alkanes'!$CF$4:$CF$64</c:f>
              <c:numCache>
                <c:formatCode>0.000</c:formatCode>
                <c:ptCount val="61"/>
                <c:pt idx="0">
                  <c:v>6.4758995888065867E-5</c:v>
                </c:pt>
                <c:pt idx="1">
                  <c:v>1.6256387997300539E-5</c:v>
                </c:pt>
                <c:pt idx="2">
                  <c:v>2.784403929226634E-5</c:v>
                </c:pt>
                <c:pt idx="3">
                  <c:v>2.7218815767330751E-5</c:v>
                </c:pt>
                <c:pt idx="4">
                  <c:v>2.5124923473871664E-5</c:v>
                </c:pt>
                <c:pt idx="5">
                  <c:v>6.4193375634127942E-5</c:v>
                </c:pt>
                <c:pt idx="6">
                  <c:v>5.2688202345263559E-5</c:v>
                </c:pt>
                <c:pt idx="7">
                  <c:v>5.0222936253694359E-5</c:v>
                </c:pt>
                <c:pt idx="8">
                  <c:v>2.7454149744993178E-5</c:v>
                </c:pt>
                <c:pt idx="9">
                  <c:v>2.830751447616475E-5</c:v>
                </c:pt>
                <c:pt idx="10">
                  <c:v>8.9489692465975258E-4</c:v>
                </c:pt>
                <c:pt idx="11">
                  <c:v>1.0236237487051736E-3</c:v>
                </c:pt>
                <c:pt idx="12">
                  <c:v>7.0124766722339275E-4</c:v>
                </c:pt>
                <c:pt idx="13">
                  <c:v>3.4212617877057381E-4</c:v>
                </c:pt>
                <c:pt idx="14">
                  <c:v>4.1397502112568054E-4</c:v>
                </c:pt>
                <c:pt idx="15">
                  <c:v>8.5857045092623343E-4</c:v>
                </c:pt>
                <c:pt idx="16">
                  <c:v>6.8726918784725024E-4</c:v>
                </c:pt>
                <c:pt idx="17">
                  <c:v>1.1716723072035806E-3</c:v>
                </c:pt>
                <c:pt idx="18">
                  <c:v>6.1176091575457919E-4</c:v>
                </c:pt>
                <c:pt idx="19">
                  <c:v>4.1042359902005739E-4</c:v>
                </c:pt>
                <c:pt idx="20">
                  <c:v>7.6475882495493882E-4</c:v>
                </c:pt>
                <c:pt idx="21">
                  <c:v>5.1228463278337822E-4</c:v>
                </c:pt>
                <c:pt idx="22">
                  <c:v>1.0475702258403944E-4</c:v>
                </c:pt>
                <c:pt idx="23">
                  <c:v>2.5896461690489266E-4</c:v>
                </c:pt>
                <c:pt idx="24">
                  <c:v>9.3893537048104765E-4</c:v>
                </c:pt>
                <c:pt idx="25">
                  <c:v>9.2622554115842756E-4</c:v>
                </c:pt>
                <c:pt idx="26">
                  <c:v>7.0889129368362593E-4</c:v>
                </c:pt>
                <c:pt idx="27">
                  <c:v>2.7711490966270615E-3</c:v>
                </c:pt>
                <c:pt idx="28">
                  <c:v>4.2878979875120884E-4</c:v>
                </c:pt>
                <c:pt idx="30">
                  <c:v>3.6686317794750069E-4</c:v>
                </c:pt>
                <c:pt idx="31">
                  <c:v>2.8712804059119342E-3</c:v>
                </c:pt>
                <c:pt idx="32">
                  <c:v>1.2272082421391039E-2</c:v>
                </c:pt>
                <c:pt idx="33">
                  <c:v>6.203617501053236E-3</c:v>
                </c:pt>
                <c:pt idx="34">
                  <c:v>6.7361802130846259E-3</c:v>
                </c:pt>
                <c:pt idx="35">
                  <c:v>3.2007793501305365E-3</c:v>
                </c:pt>
                <c:pt idx="36">
                  <c:v>4.8931133451776525E-4</c:v>
                </c:pt>
                <c:pt idx="37">
                  <c:v>1.0236964636528437E-3</c:v>
                </c:pt>
                <c:pt idx="38">
                  <c:v>4.684877434785099E-3</c:v>
                </c:pt>
                <c:pt idx="39">
                  <c:v>4.4952956213786064E-3</c:v>
                </c:pt>
                <c:pt idx="40">
                  <c:v>3.4813637922060693E-3</c:v>
                </c:pt>
                <c:pt idx="41">
                  <c:v>8.6804569740658107E-4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1.093865733617452E-2</c:v>
                </c:pt>
                <c:pt idx="48">
                  <c:v>9.7146779816825787E-3</c:v>
                </c:pt>
                <c:pt idx="49">
                  <c:v>6.3418584216613765E-3</c:v>
                </c:pt>
                <c:pt idx="50">
                  <c:v>1.8429936339270103E-2</c:v>
                </c:pt>
                <c:pt idx="51">
                  <c:v>5.7353358471094055E-3</c:v>
                </c:pt>
                <c:pt idx="52">
                  <c:v>4.1329049283307219E-3</c:v>
                </c:pt>
                <c:pt idx="53">
                  <c:v>5.3553127952704728E-3</c:v>
                </c:pt>
                <c:pt idx="54">
                  <c:v>6.2034632498087165E-3</c:v>
                </c:pt>
                <c:pt idx="55">
                  <c:v>6.5530628889531924E-3</c:v>
                </c:pt>
                <c:pt idx="56">
                  <c:v>1.0455575725970848E-2</c:v>
                </c:pt>
                <c:pt idx="57">
                  <c:v>5.9547803767430029E-3</c:v>
                </c:pt>
                <c:pt idx="58">
                  <c:v>2.5021094475364222E-3</c:v>
                </c:pt>
                <c:pt idx="59">
                  <c:v>2.6185477582643204E-3</c:v>
                </c:pt>
                <c:pt idx="60">
                  <c:v>2.6231222408090375E-3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9-494A-A21B-F0CA36159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  <c:max val="0.0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Pr+Ph conc.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'n-Alkanes'!$CQ$4:$CQ$64</c:f>
              <c:numCache>
                <c:formatCode>0.00</c:formatCode>
                <c:ptCount val="61"/>
                <c:pt idx="0">
                  <c:v>0</c:v>
                </c:pt>
                <c:pt idx="1">
                  <c:v>90.524243659049432</c:v>
                </c:pt>
                <c:pt idx="2">
                  <c:v>2.2196982122544884</c:v>
                </c:pt>
                <c:pt idx="3">
                  <c:v>0</c:v>
                </c:pt>
                <c:pt idx="4">
                  <c:v>25.393970582384547</c:v>
                </c:pt>
                <c:pt idx="5">
                  <c:v>36.303622492957373</c:v>
                </c:pt>
                <c:pt idx="6">
                  <c:v>8.7420037383919258</c:v>
                </c:pt>
                <c:pt idx="7">
                  <c:v>0</c:v>
                </c:pt>
                <c:pt idx="8">
                  <c:v>109.63770628938111</c:v>
                </c:pt>
                <c:pt idx="9">
                  <c:v>831.13983109822141</c:v>
                </c:pt>
                <c:pt idx="10">
                  <c:v>10.618373326920853</c:v>
                </c:pt>
                <c:pt idx="11">
                  <c:v>94.346839387470027</c:v>
                </c:pt>
                <c:pt idx="12">
                  <c:v>3.643767266187603</c:v>
                </c:pt>
                <c:pt idx="13">
                  <c:v>43.008197769831689</c:v>
                </c:pt>
                <c:pt idx="14">
                  <c:v>59.285821379928251</c:v>
                </c:pt>
                <c:pt idx="15">
                  <c:v>1.8506634311149777</c:v>
                </c:pt>
                <c:pt idx="16">
                  <c:v>42.657874300687368</c:v>
                </c:pt>
                <c:pt idx="17">
                  <c:v>1.1403482263274285</c:v>
                </c:pt>
                <c:pt idx="18">
                  <c:v>7.4940848499267574</c:v>
                </c:pt>
                <c:pt idx="19">
                  <c:v>502.46234012850891</c:v>
                </c:pt>
                <c:pt idx="20">
                  <c:v>73.952474218136146</c:v>
                </c:pt>
                <c:pt idx="21">
                  <c:v>0.76051358911317091</c:v>
                </c:pt>
                <c:pt idx="22">
                  <c:v>16.205188045265594</c:v>
                </c:pt>
                <c:pt idx="23">
                  <c:v>28.009921444607123</c:v>
                </c:pt>
                <c:pt idx="24">
                  <c:v>122.36802939900026</c:v>
                </c:pt>
                <c:pt idx="25">
                  <c:v>3.2961429319210955</c:v>
                </c:pt>
                <c:pt idx="26">
                  <c:v>4.8552136147806344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0.48155091957111851</c:v>
                </c:pt>
                <c:pt idx="36">
                  <c:v>0</c:v>
                </c:pt>
                <c:pt idx="37">
                  <c:v>41.13962193624829</c:v>
                </c:pt>
                <c:pt idx="38">
                  <c:v>0</c:v>
                </c:pt>
                <c:pt idx="39">
                  <c:v>29.843446583742743</c:v>
                </c:pt>
                <c:pt idx="40">
                  <c:v>36.685060548723001</c:v>
                </c:pt>
                <c:pt idx="41">
                  <c:v>0</c:v>
                </c:pt>
                <c:pt idx="42">
                  <c:v>5.6277575629095109</c:v>
                </c:pt>
                <c:pt idx="43">
                  <c:v>33.967538175536589</c:v>
                </c:pt>
                <c:pt idx="44">
                  <c:v>64.030429602585158</c:v>
                </c:pt>
                <c:pt idx="45">
                  <c:v>0</c:v>
                </c:pt>
                <c:pt idx="46">
                  <c:v>10.080292036064911</c:v>
                </c:pt>
                <c:pt idx="47">
                  <c:v>37.099151186855387</c:v>
                </c:pt>
                <c:pt idx="48">
                  <c:v>26.67878335396275</c:v>
                </c:pt>
                <c:pt idx="49">
                  <c:v>88.249760867575688</c:v>
                </c:pt>
                <c:pt idx="50">
                  <c:v>16.829632056227464</c:v>
                </c:pt>
                <c:pt idx="51">
                  <c:v>1025.7116850915415</c:v>
                </c:pt>
                <c:pt idx="52">
                  <c:v>41.276579367696542</c:v>
                </c:pt>
                <c:pt idx="53">
                  <c:v>16.79734565325645</c:v>
                </c:pt>
                <c:pt idx="54">
                  <c:v>498.47194158893251</c:v>
                </c:pt>
                <c:pt idx="55">
                  <c:v>8.2582531725205861</c:v>
                </c:pt>
                <c:pt idx="56">
                  <c:v>49.37158981761543</c:v>
                </c:pt>
                <c:pt idx="57">
                  <c:v>87.985137435405989</c:v>
                </c:pt>
                <c:pt idx="58">
                  <c:v>81.522217147797164</c:v>
                </c:pt>
                <c:pt idx="59">
                  <c:v>2.8047833760541869</c:v>
                </c:pt>
                <c:pt idx="60">
                  <c:v>6.169915442031308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C-4E68-ACDD-118C75D9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15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000"/>
              <a:t>LMW/total</a:t>
            </a:r>
            <a:r>
              <a:rPr lang="es-ES" sz="1000" baseline="0"/>
              <a:t> n-alc</a:t>
            </a:r>
            <a:endParaRPr lang="es-ES" sz="10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'n-Alkanes'!$CW$3</c:f>
              <c:strCache>
                <c:ptCount val="1"/>
                <c:pt idx="0">
                  <c:v>31/(29+31)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'n-Alkanes'!$J$4:$J$64</c:f>
              <c:numCache>
                <c:formatCode>0.0</c:formatCode>
                <c:ptCount val="61"/>
                <c:pt idx="0">
                  <c:v>9.7940229586029728E-2</c:v>
                </c:pt>
                <c:pt idx="1">
                  <c:v>9.7675323664478647E-2</c:v>
                </c:pt>
                <c:pt idx="2">
                  <c:v>9.7815221027401505E-2</c:v>
                </c:pt>
                <c:pt idx="3">
                  <c:v>9.7812679637947333E-2</c:v>
                </c:pt>
                <c:pt idx="4">
                  <c:v>9.7368701808835667E-2</c:v>
                </c:pt>
                <c:pt idx="5">
                  <c:v>9.8840857476666197E-2</c:v>
                </c:pt>
                <c:pt idx="6">
                  <c:v>9.8359242325277596E-2</c:v>
                </c:pt>
                <c:pt idx="7">
                  <c:v>9.8657922580771967E-2</c:v>
                </c:pt>
                <c:pt idx="8">
                  <c:v>9.9210077279345416E-2</c:v>
                </c:pt>
                <c:pt idx="9">
                  <c:v>9.7167653369037446E-2</c:v>
                </c:pt>
                <c:pt idx="10">
                  <c:v>9.8629168003877374E-2</c:v>
                </c:pt>
                <c:pt idx="11">
                  <c:v>9.7578486959339072E-2</c:v>
                </c:pt>
                <c:pt idx="12">
                  <c:v>9.8629168003877374E-2</c:v>
                </c:pt>
                <c:pt idx="13">
                  <c:v>9.7561418057427185E-2</c:v>
                </c:pt>
                <c:pt idx="14">
                  <c:v>9.7222545031958166E-2</c:v>
                </c:pt>
                <c:pt idx="15">
                  <c:v>9.8671497980218265E-2</c:v>
                </c:pt>
                <c:pt idx="16">
                  <c:v>9.9884586301587946E-2</c:v>
                </c:pt>
                <c:pt idx="17">
                  <c:v>9.2012709275326912E-2</c:v>
                </c:pt>
                <c:pt idx="18">
                  <c:v>9.8849616484126032E-2</c:v>
                </c:pt>
                <c:pt idx="19">
                  <c:v>9.9411471519248493E-2</c:v>
                </c:pt>
                <c:pt idx="20">
                  <c:v>9.8975333066047971E-2</c:v>
                </c:pt>
                <c:pt idx="21">
                  <c:v>9.920158102766799E-2</c:v>
                </c:pt>
                <c:pt idx="22">
                  <c:v>0.10025631978056364</c:v>
                </c:pt>
                <c:pt idx="23">
                  <c:v>9.8657922580771967E-2</c:v>
                </c:pt>
                <c:pt idx="24">
                  <c:v>9.7840642187230986E-2</c:v>
                </c:pt>
                <c:pt idx="25">
                  <c:v>9.7461022192594712E-2</c:v>
                </c:pt>
                <c:pt idx="26">
                  <c:v>0.10013831626546084</c:v>
                </c:pt>
                <c:pt idx="27">
                  <c:v>9.8209138221138179E-2</c:v>
                </c:pt>
                <c:pt idx="28">
                  <c:v>9.7824752414144803E-2</c:v>
                </c:pt>
                <c:pt idx="30">
                  <c:v>9.9162386408534184E-2</c:v>
                </c:pt>
                <c:pt idx="31">
                  <c:v>9.9247347261583088E-2</c:v>
                </c:pt>
                <c:pt idx="32">
                  <c:v>0.10031175059952038</c:v>
                </c:pt>
                <c:pt idx="33">
                  <c:v>9.9175447839831413E-2</c:v>
                </c:pt>
                <c:pt idx="34">
                  <c:v>0.10014830578924618</c:v>
                </c:pt>
                <c:pt idx="35">
                  <c:v>9.8295039164490866E-2</c:v>
                </c:pt>
                <c:pt idx="36">
                  <c:v>9.9621593014024887E-2</c:v>
                </c:pt>
                <c:pt idx="37">
                  <c:v>9.6549336410848244E-2</c:v>
                </c:pt>
                <c:pt idx="38">
                  <c:v>9.9162386408534184E-2</c:v>
                </c:pt>
                <c:pt idx="39">
                  <c:v>0.1003351434187294</c:v>
                </c:pt>
                <c:pt idx="40">
                  <c:v>9.1426142917855627E-2</c:v>
                </c:pt>
                <c:pt idx="41">
                  <c:v>9.9270246217739555E-2</c:v>
                </c:pt>
                <c:pt idx="42">
                  <c:v>9.9215633307747811E-2</c:v>
                </c:pt>
                <c:pt idx="43">
                  <c:v>9.9601825517560694E-2</c:v>
                </c:pt>
                <c:pt idx="44">
                  <c:v>9.920158102766799E-2</c:v>
                </c:pt>
                <c:pt idx="45">
                  <c:v>9.9616320914479264E-2</c:v>
                </c:pt>
                <c:pt idx="46">
                  <c:v>9.5663056252580758E-2</c:v>
                </c:pt>
                <c:pt idx="47">
                  <c:v>0.10020495075858397</c:v>
                </c:pt>
                <c:pt idx="48">
                  <c:v>0.10016829081717499</c:v>
                </c:pt>
                <c:pt idx="49">
                  <c:v>9.920158102766799E-2</c:v>
                </c:pt>
                <c:pt idx="50">
                  <c:v>9.9591944710823069E-2</c:v>
                </c:pt>
                <c:pt idx="51">
                  <c:v>9.8339972572324172E-2</c:v>
                </c:pt>
                <c:pt idx="52">
                  <c:v>9.9257159806215606E-2</c:v>
                </c:pt>
                <c:pt idx="53">
                  <c:v>9.7159816762371773E-2</c:v>
                </c:pt>
                <c:pt idx="54">
                  <c:v>9.8552356020942422E-2</c:v>
                </c:pt>
                <c:pt idx="55">
                  <c:v>9.9316075845012369E-2</c:v>
                </c:pt>
                <c:pt idx="56">
                  <c:v>9.9968798751950083E-2</c:v>
                </c:pt>
                <c:pt idx="57">
                  <c:v>0.10006844536000266</c:v>
                </c:pt>
                <c:pt idx="58">
                  <c:v>0.10006345831187601</c:v>
                </c:pt>
                <c:pt idx="59">
                  <c:v>9.8720335649665675E-2</c:v>
                </c:pt>
                <c:pt idx="60">
                  <c:v>9.9576139497054142E-2</c:v>
                </c:pt>
              </c:numCache>
            </c:numRef>
          </c:xVal>
          <c:yVal>
            <c:numRef>
              <c:f>'n-Alkanes'!$H$4:$H$64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8-44A5-807C-08CDD1C19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48495952"/>
        <c:axId val="-848491296"/>
      </c:scatterChart>
      <c:valAx>
        <c:axId val="-84849595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1296"/>
        <c:crosses val="max"/>
        <c:crossBetween val="midCat"/>
      </c:valAx>
      <c:valAx>
        <c:axId val="-848491296"/>
        <c:scaling>
          <c:orientation val="minMax"/>
          <c:max val="3"/>
          <c:min val="-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849595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Hopanes abundance</a:t>
            </a:r>
          </a:p>
          <a:p>
            <a:pPr>
              <a:defRPr/>
            </a:pPr>
            <a:r>
              <a:rPr lang="es-ES"/>
              <a:t>(Areas)</a:t>
            </a:r>
            <a:endParaRPr lang="el-GR"/>
          </a:p>
        </c:rich>
      </c:tx>
      <c:layout>
        <c:manualLayout>
          <c:xMode val="edge"/>
          <c:yMode val="edge"/>
          <c:x val="0.20598394955523983"/>
          <c:y val="2.04264535977275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Hopanes!$AP$5:$AP$65</c:f>
              <c:numCache>
                <c:formatCode>0</c:formatCode>
                <c:ptCount val="61"/>
                <c:pt idx="0">
                  <c:v>46031307</c:v>
                </c:pt>
                <c:pt idx="1">
                  <c:v>21314113</c:v>
                </c:pt>
                <c:pt idx="2">
                  <c:v>26644827</c:v>
                </c:pt>
                <c:pt idx="3">
                  <c:v>30825388</c:v>
                </c:pt>
                <c:pt idx="4">
                  <c:v>58453065</c:v>
                </c:pt>
                <c:pt idx="5">
                  <c:v>92102519</c:v>
                </c:pt>
                <c:pt idx="6">
                  <c:v>201484475</c:v>
                </c:pt>
                <c:pt idx="7">
                  <c:v>130260717</c:v>
                </c:pt>
                <c:pt idx="8">
                  <c:v>188616794</c:v>
                </c:pt>
                <c:pt idx="9">
                  <c:v>188616794</c:v>
                </c:pt>
                <c:pt idx="10">
                  <c:v>256006776</c:v>
                </c:pt>
                <c:pt idx="11">
                  <c:v>705111022</c:v>
                </c:pt>
                <c:pt idx="12">
                  <c:v>203120374</c:v>
                </c:pt>
                <c:pt idx="13">
                  <c:v>158431903</c:v>
                </c:pt>
                <c:pt idx="14">
                  <c:v>292536605</c:v>
                </c:pt>
                <c:pt idx="15">
                  <c:v>200670958</c:v>
                </c:pt>
                <c:pt idx="16">
                  <c:v>215086839</c:v>
                </c:pt>
                <c:pt idx="17">
                  <c:v>521722684</c:v>
                </c:pt>
                <c:pt idx="18">
                  <c:v>210604574</c:v>
                </c:pt>
                <c:pt idx="19">
                  <c:v>34179344</c:v>
                </c:pt>
                <c:pt idx="20">
                  <c:v>63459207</c:v>
                </c:pt>
                <c:pt idx="21">
                  <c:v>82506439</c:v>
                </c:pt>
                <c:pt idx="22">
                  <c:v>117905115</c:v>
                </c:pt>
                <c:pt idx="23">
                  <c:v>144295926</c:v>
                </c:pt>
                <c:pt idx="24">
                  <c:v>144295926</c:v>
                </c:pt>
                <c:pt idx="25">
                  <c:v>97701861</c:v>
                </c:pt>
                <c:pt idx="26">
                  <c:v>58377989</c:v>
                </c:pt>
                <c:pt idx="27">
                  <c:v>86180311</c:v>
                </c:pt>
                <c:pt idx="28">
                  <c:v>53177935</c:v>
                </c:pt>
                <c:pt idx="29">
                  <c:v>21303654</c:v>
                </c:pt>
                <c:pt idx="30">
                  <c:v>38429149</c:v>
                </c:pt>
                <c:pt idx="31">
                  <c:v>46938412</c:v>
                </c:pt>
                <c:pt idx="32">
                  <c:v>110080901</c:v>
                </c:pt>
                <c:pt idx="33">
                  <c:v>92234431</c:v>
                </c:pt>
                <c:pt idx="34">
                  <c:v>36848108</c:v>
                </c:pt>
                <c:pt idx="35">
                  <c:v>41612646</c:v>
                </c:pt>
                <c:pt idx="37">
                  <c:v>48384946</c:v>
                </c:pt>
                <c:pt idx="38">
                  <c:v>45861278</c:v>
                </c:pt>
                <c:pt idx="39">
                  <c:v>48859916</c:v>
                </c:pt>
                <c:pt idx="40">
                  <c:v>30145799</c:v>
                </c:pt>
                <c:pt idx="41">
                  <c:v>54166269</c:v>
                </c:pt>
                <c:pt idx="43">
                  <c:v>30195520</c:v>
                </c:pt>
                <c:pt idx="44">
                  <c:v>47604820</c:v>
                </c:pt>
                <c:pt idx="45">
                  <c:v>57735728</c:v>
                </c:pt>
                <c:pt idx="46">
                  <c:v>31619459</c:v>
                </c:pt>
                <c:pt idx="47">
                  <c:v>153675600</c:v>
                </c:pt>
                <c:pt idx="48">
                  <c:v>56210101</c:v>
                </c:pt>
                <c:pt idx="49">
                  <c:v>189724646</c:v>
                </c:pt>
                <c:pt idx="50">
                  <c:v>636511301</c:v>
                </c:pt>
                <c:pt idx="51">
                  <c:v>567863809</c:v>
                </c:pt>
                <c:pt idx="52">
                  <c:v>184112758</c:v>
                </c:pt>
                <c:pt idx="53">
                  <c:v>315058445</c:v>
                </c:pt>
                <c:pt idx="54">
                  <c:v>453857155</c:v>
                </c:pt>
                <c:pt idx="55">
                  <c:v>442687351</c:v>
                </c:pt>
                <c:pt idx="56">
                  <c:v>495691920</c:v>
                </c:pt>
                <c:pt idx="57">
                  <c:v>319483919</c:v>
                </c:pt>
                <c:pt idx="58">
                  <c:v>112103642</c:v>
                </c:pt>
                <c:pt idx="59">
                  <c:v>80011568</c:v>
                </c:pt>
                <c:pt idx="60">
                  <c:v>107160857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-827566944"/>
        <c:crossesAt val="-15"/>
        <c:crossBetween val="midCat"/>
      </c:valAx>
      <c:valAx>
        <c:axId val="-827566944"/>
        <c:scaling>
          <c:orientation val="minMax"/>
          <c:max val="2.7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Hopanes MAR</a:t>
            </a:r>
          </a:p>
          <a:p>
            <a:pPr>
              <a:defRPr/>
            </a:pPr>
            <a:r>
              <a:rPr lang="es-ES"/>
              <a:t> </a:t>
            </a:r>
            <a:r>
              <a:rPr lang="es-ES" baseline="0"/>
              <a:t>Normalized</a:t>
            </a:r>
            <a:endParaRPr lang="el-GR"/>
          </a:p>
        </c:rich>
      </c:tx>
      <c:layout>
        <c:manualLayout>
          <c:xMode val="edge"/>
          <c:yMode val="edge"/>
          <c:x val="0.21347392185535802"/>
          <c:y val="6.8420962557082824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Hopanes!$AU$2</c:f>
              <c:strCache>
                <c:ptCount val="1"/>
                <c:pt idx="0">
                  <c:v>Σ Hopanes-MAR Normalized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Hopanes!$AU$5:$AU$65</c:f>
              <c:numCache>
                <c:formatCode>0.00</c:formatCode>
                <c:ptCount val="61"/>
                <c:pt idx="0">
                  <c:v>1.3266816742998485E-3</c:v>
                </c:pt>
                <c:pt idx="1">
                  <c:v>2.5053534645248234E-4</c:v>
                </c:pt>
                <c:pt idx="2">
                  <c:v>4.7839185527968577E-4</c:v>
                </c:pt>
                <c:pt idx="3">
                  <c:v>1.845246639608035E-3</c:v>
                </c:pt>
                <c:pt idx="4">
                  <c:v>1.799786029009357E-3</c:v>
                </c:pt>
                <c:pt idx="5">
                  <c:v>1.4714736380422157E-3</c:v>
                </c:pt>
                <c:pt idx="6">
                  <c:v>7.132989470619058E-4</c:v>
                </c:pt>
                <c:pt idx="7">
                  <c:v>3.6219708056577315E-3</c:v>
                </c:pt>
                <c:pt idx="8">
                  <c:v>1.4971113072336109E-3</c:v>
                </c:pt>
                <c:pt idx="9">
                  <c:v>1.7350631991523498E-3</c:v>
                </c:pt>
                <c:pt idx="10">
                  <c:v>2.8873436107970954E-2</c:v>
                </c:pt>
                <c:pt idx="11">
                  <c:v>2.0746140594963592E-2</c:v>
                </c:pt>
                <c:pt idx="12">
                  <c:v>2.74483327471098E-2</c:v>
                </c:pt>
                <c:pt idx="13">
                  <c:v>8.8250043317645924E-3</c:v>
                </c:pt>
                <c:pt idx="14">
                  <c:v>1.4750736315708866E-2</c:v>
                </c:pt>
                <c:pt idx="15">
                  <c:v>3.9722090659218105E-2</c:v>
                </c:pt>
                <c:pt idx="16">
                  <c:v>1.6478186675994735E-2</c:v>
                </c:pt>
                <c:pt idx="17">
                  <c:v>7.846091532877042E-2</c:v>
                </c:pt>
                <c:pt idx="18">
                  <c:v>3.971082774648569E-2</c:v>
                </c:pt>
                <c:pt idx="19">
                  <c:v>1.09156100721449E-2</c:v>
                </c:pt>
                <c:pt idx="20">
                  <c:v>1.6414230528369794E-2</c:v>
                </c:pt>
                <c:pt idx="21">
                  <c:v>3.4541927794046107E-2</c:v>
                </c:pt>
                <c:pt idx="22">
                  <c:v>9.5069583935387305E-3</c:v>
                </c:pt>
                <c:pt idx="23">
                  <c:v>2.1819859430442765E-2</c:v>
                </c:pt>
                <c:pt idx="24">
                  <c:v>4.0041177945357359E-2</c:v>
                </c:pt>
                <c:pt idx="25">
                  <c:v>0.27336249679720276</c:v>
                </c:pt>
                <c:pt idx="26">
                  <c:v>1.3808661329758736E-2</c:v>
                </c:pt>
                <c:pt idx="27">
                  <c:v>0.15320242692825981</c:v>
                </c:pt>
                <c:pt idx="28">
                  <c:v>1.2976808899332582E-2</c:v>
                </c:pt>
                <c:pt idx="29">
                  <c:v>0</c:v>
                </c:pt>
                <c:pt idx="30">
                  <c:v>4.8734746025907279E-2</c:v>
                </c:pt>
                <c:pt idx="31">
                  <c:v>0.11254613835036929</c:v>
                </c:pt>
                <c:pt idx="32">
                  <c:v>7.5619620239960614E-3</c:v>
                </c:pt>
                <c:pt idx="33">
                  <c:v>1.5638584297373134E-2</c:v>
                </c:pt>
                <c:pt idx="34">
                  <c:v>0.10828251664126469</c:v>
                </c:pt>
                <c:pt idx="35">
                  <c:v>3.2498367848619682E-2</c:v>
                </c:pt>
                <c:pt idx="37">
                  <c:v>6.0921974964177634E-3</c:v>
                </c:pt>
                <c:pt idx="38">
                  <c:v>0.13952881706767581</c:v>
                </c:pt>
                <c:pt idx="39">
                  <c:v>5.2448472387531503E-2</c:v>
                </c:pt>
                <c:pt idx="40">
                  <c:v>9.5072843624093416E-3</c:v>
                </c:pt>
                <c:pt idx="41">
                  <c:v>3.8068040308557823E-2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0.51916819104326017</c:v>
                </c:pt>
                <c:pt idx="48">
                  <c:v>0.42125789545598397</c:v>
                </c:pt>
                <c:pt idx="49">
                  <c:v>0.11295640841757876</c:v>
                </c:pt>
                <c:pt idx="50">
                  <c:v>1.00086146623992</c:v>
                </c:pt>
                <c:pt idx="51">
                  <c:v>0.1019541529180881</c:v>
                </c:pt>
                <c:pt idx="52">
                  <c:v>0.12631695122475423</c:v>
                </c:pt>
                <c:pt idx="53">
                  <c:v>0.18324136332939617</c:v>
                </c:pt>
                <c:pt idx="54">
                  <c:v>0.21633359603701646</c:v>
                </c:pt>
                <c:pt idx="55">
                  <c:v>0.15607086724836489</c:v>
                </c:pt>
                <c:pt idx="56">
                  <c:v>0.18740054424309899</c:v>
                </c:pt>
                <c:pt idx="57">
                  <c:v>0.13177188219274408</c:v>
                </c:pt>
                <c:pt idx="58">
                  <c:v>9.6590467224976093E-2</c:v>
                </c:pt>
                <c:pt idx="59">
                  <c:v>0.1916756796326681</c:v>
                </c:pt>
                <c:pt idx="60">
                  <c:v>0.29432307489503473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  <c:max val="1"/>
        </c:scaling>
        <c:delete val="0"/>
        <c:axPos val="b"/>
        <c:numFmt formatCode="#,##0.0" sourceLinked="0"/>
        <c:majorTickMark val="out"/>
        <c:minorTickMark val="none"/>
        <c:tickLblPos val="nextTo"/>
        <c:crossAx val="-827566944"/>
        <c:crossesAt val="-15"/>
        <c:crossBetween val="midCat"/>
        <c:majorUnit val="0.2"/>
      </c:valAx>
      <c:valAx>
        <c:axId val="-82756694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Ts/Tm</a:t>
            </a:r>
          </a:p>
        </c:rich>
      </c:tx>
      <c:layout>
        <c:manualLayout>
          <c:xMode val="edge"/>
          <c:yMode val="edge"/>
          <c:x val="0.40486109633789774"/>
          <c:y val="3.59685729320915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Hopanes!$AV$5:$AV$65</c:f>
              <c:numCache>
                <c:formatCode>0.00</c:formatCode>
                <c:ptCount val="61"/>
                <c:pt idx="0">
                  <c:v>0.41569549652554755</c:v>
                </c:pt>
                <c:pt idx="1">
                  <c:v>0.35740000336204936</c:v>
                </c:pt>
                <c:pt idx="2">
                  <c:v>0.52274235377996581</c:v>
                </c:pt>
                <c:pt idx="3">
                  <c:v>0.32316918407735495</c:v>
                </c:pt>
                <c:pt idx="4">
                  <c:v>0.34633953755371072</c:v>
                </c:pt>
                <c:pt idx="5">
                  <c:v>0.30972556013864017</c:v>
                </c:pt>
                <c:pt idx="6">
                  <c:v>0.66538810369172741</c:v>
                </c:pt>
                <c:pt idx="7">
                  <c:v>0.57600579658709627</c:v>
                </c:pt>
                <c:pt idx="8">
                  <c:v>0.69926545179872679</c:v>
                </c:pt>
                <c:pt idx="9">
                  <c:v>0.59130758216123525</c:v>
                </c:pt>
                <c:pt idx="10">
                  <c:v>0.67081883605585246</c:v>
                </c:pt>
                <c:pt idx="11">
                  <c:v>0.66099321412827627</c:v>
                </c:pt>
                <c:pt idx="12">
                  <c:v>0.61275158411993513</c:v>
                </c:pt>
                <c:pt idx="13">
                  <c:v>0.70635639812016193</c:v>
                </c:pt>
                <c:pt idx="14">
                  <c:v>0.62491926430486711</c:v>
                </c:pt>
                <c:pt idx="15">
                  <c:v>0.65632148149880276</c:v>
                </c:pt>
                <c:pt idx="16">
                  <c:v>0.51589173714799474</c:v>
                </c:pt>
                <c:pt idx="17">
                  <c:v>0.60065519619721819</c:v>
                </c:pt>
                <c:pt idx="18">
                  <c:v>0.67069568260406331</c:v>
                </c:pt>
                <c:pt idx="19">
                  <c:v>0.43801003311097736</c:v>
                </c:pt>
                <c:pt idx="20">
                  <c:v>1.0555846312657364</c:v>
                </c:pt>
                <c:pt idx="21">
                  <c:v>0.33709595263453312</c:v>
                </c:pt>
                <c:pt idx="22">
                  <c:v>0.30029930690894324</c:v>
                </c:pt>
                <c:pt idx="23">
                  <c:v>0.31622118461578336</c:v>
                </c:pt>
                <c:pt idx="24">
                  <c:v>0.28409027126422237</c:v>
                </c:pt>
                <c:pt idx="25">
                  <c:v>0.29479776558856613</c:v>
                </c:pt>
                <c:pt idx="26">
                  <c:v>1</c:v>
                </c:pt>
                <c:pt idx="27">
                  <c:v>0.29166118009953867</c:v>
                </c:pt>
                <c:pt idx="28">
                  <c:v>0.30174711834950657</c:v>
                </c:pt>
                <c:pt idx="29">
                  <c:v>0.33203842448153187</c:v>
                </c:pt>
                <c:pt idx="30">
                  <c:v>0.40794009477400311</c:v>
                </c:pt>
                <c:pt idx="31">
                  <c:v>0.38362257067786548</c:v>
                </c:pt>
                <c:pt idx="32">
                  <c:v>1.7598213322073955</c:v>
                </c:pt>
                <c:pt idx="33">
                  <c:v>1.7950483919551579</c:v>
                </c:pt>
                <c:pt idx="34">
                  <c:v>0.40132631968901361</c:v>
                </c:pt>
                <c:pt idx="35">
                  <c:v>0.70050018797376135</c:v>
                </c:pt>
                <c:pt idx="37">
                  <c:v>0.46798271276128123</c:v>
                </c:pt>
                <c:pt idx="38">
                  <c:v>0.59811716909017765</c:v>
                </c:pt>
                <c:pt idx="39">
                  <c:v>0.46334286942261638</c:v>
                </c:pt>
                <c:pt idx="40">
                  <c:v>0.66046303555715991</c:v>
                </c:pt>
                <c:pt idx="41">
                  <c:v>0.38128784316056197</c:v>
                </c:pt>
                <c:pt idx="43">
                  <c:v>0.94018108122335109</c:v>
                </c:pt>
                <c:pt idx="44">
                  <c:v>0.35117226544560609</c:v>
                </c:pt>
                <c:pt idx="45">
                  <c:v>0.59245721787776728</c:v>
                </c:pt>
                <c:pt idx="46">
                  <c:v>0.50321595589138024</c:v>
                </c:pt>
                <c:pt idx="47">
                  <c:v>0.84849831182767554</c:v>
                </c:pt>
                <c:pt idx="48">
                  <c:v>0.3421131771211165</c:v>
                </c:pt>
                <c:pt idx="49">
                  <c:v>1.0466271903779607</c:v>
                </c:pt>
                <c:pt idx="50">
                  <c:v>0.79819822809962193</c:v>
                </c:pt>
                <c:pt idx="51">
                  <c:v>0.50878361218716461</c:v>
                </c:pt>
                <c:pt idx="52">
                  <c:v>0.63268582423627573</c:v>
                </c:pt>
                <c:pt idx="53">
                  <c:v>0.54805068094570075</c:v>
                </c:pt>
                <c:pt idx="54">
                  <c:v>0.57923689458708094</c:v>
                </c:pt>
                <c:pt idx="55">
                  <c:v>0.65674171613367271</c:v>
                </c:pt>
                <c:pt idx="56">
                  <c:v>0.70910668166174051</c:v>
                </c:pt>
                <c:pt idx="57">
                  <c:v>0.54863568683908415</c:v>
                </c:pt>
                <c:pt idx="58">
                  <c:v>0.73850367604834832</c:v>
                </c:pt>
                <c:pt idx="59">
                  <c:v>0.69248864183406145</c:v>
                </c:pt>
                <c:pt idx="60">
                  <c:v>0.69517435343671818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  <c:min val="0.2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</c:valAx>
      <c:valAx>
        <c:axId val="-827566944"/>
        <c:scaling>
          <c:orientation val="minMax"/>
          <c:max val="2.7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1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C31</a:t>
            </a:r>
          </a:p>
          <a:p>
            <a:pPr>
              <a:defRPr/>
            </a:pPr>
            <a:r>
              <a:rPr lang="en-GB"/>
              <a:t>22S</a:t>
            </a:r>
            <a:r>
              <a:rPr lang="el-GR"/>
              <a:t>/(</a:t>
            </a:r>
            <a:r>
              <a:rPr lang="en-GB"/>
              <a:t>22S</a:t>
            </a:r>
            <a:r>
              <a:rPr lang="el-GR"/>
              <a:t>+</a:t>
            </a:r>
            <a:r>
              <a:rPr lang="en-GB"/>
              <a:t>22R</a:t>
            </a:r>
            <a:r>
              <a:rPr lang="el-GR"/>
              <a:t>)</a:t>
            </a:r>
            <a:endParaRPr lang="es-ES"/>
          </a:p>
        </c:rich>
      </c:tx>
      <c:layout>
        <c:manualLayout>
          <c:xMode val="edge"/>
          <c:yMode val="edge"/>
          <c:x val="0.30729879474215427"/>
          <c:y val="2.70873143108895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Hopanes!$BB$5:$BB$65</c:f>
              <c:numCache>
                <c:formatCode>0.00</c:formatCode>
                <c:ptCount val="61"/>
                <c:pt idx="0">
                  <c:v>0.27602281540244933</c:v>
                </c:pt>
                <c:pt idx="1">
                  <c:v>0.27249833174875487</c:v>
                </c:pt>
                <c:pt idx="2">
                  <c:v>0.26777891316110836</c:v>
                </c:pt>
                <c:pt idx="3">
                  <c:v>0.2221944495298496</c:v>
                </c:pt>
                <c:pt idx="4">
                  <c:v>0.26112052064736502</c:v>
                </c:pt>
                <c:pt idx="5">
                  <c:v>0.17571423228882602</c:v>
                </c:pt>
                <c:pt idx="6">
                  <c:v>0.21000501166890945</c:v>
                </c:pt>
                <c:pt idx="7">
                  <c:v>0.18875895401357243</c:v>
                </c:pt>
                <c:pt idx="8">
                  <c:v>0.15506264955495877</c:v>
                </c:pt>
                <c:pt idx="9">
                  <c:v>0.25478215159178957</c:v>
                </c:pt>
                <c:pt idx="10">
                  <c:v>0.13980553059997372</c:v>
                </c:pt>
                <c:pt idx="11">
                  <c:v>0.16227457118587416</c:v>
                </c:pt>
                <c:pt idx="12">
                  <c:v>0.15537654677950635</c:v>
                </c:pt>
                <c:pt idx="13">
                  <c:v>0.20545671101092117</c:v>
                </c:pt>
                <c:pt idx="14">
                  <c:v>0.18579247285959699</c:v>
                </c:pt>
                <c:pt idx="15">
                  <c:v>0.17371687655363849</c:v>
                </c:pt>
                <c:pt idx="16">
                  <c:v>0.17271406891400587</c:v>
                </c:pt>
                <c:pt idx="17">
                  <c:v>0.16683454326440886</c:v>
                </c:pt>
                <c:pt idx="18">
                  <c:v>0.14789146279103846</c:v>
                </c:pt>
                <c:pt idx="19">
                  <c:v>0.17019013518628695</c:v>
                </c:pt>
                <c:pt idx="20">
                  <c:v>0.23559046899749295</c:v>
                </c:pt>
                <c:pt idx="21">
                  <c:v>0.18892042751057456</c:v>
                </c:pt>
                <c:pt idx="22">
                  <c:v>0.23304195194001742</c:v>
                </c:pt>
                <c:pt idx="23">
                  <c:v>0.25955784271428095</c:v>
                </c:pt>
                <c:pt idx="24">
                  <c:v>0.18231461017931133</c:v>
                </c:pt>
                <c:pt idx="25">
                  <c:v>0.20163025800636028</c:v>
                </c:pt>
                <c:pt idx="26">
                  <c:v>0.15928225615566488</c:v>
                </c:pt>
                <c:pt idx="27">
                  <c:v>0.23840634723034296</c:v>
                </c:pt>
                <c:pt idx="28">
                  <c:v>0.23131972854255631</c:v>
                </c:pt>
                <c:pt idx="29">
                  <c:v>0.18638759585349601</c:v>
                </c:pt>
                <c:pt idx="30">
                  <c:v>0.21648492909306344</c:v>
                </c:pt>
                <c:pt idx="31">
                  <c:v>0.22549298181000851</c:v>
                </c:pt>
                <c:pt idx="32">
                  <c:v>0.35014782159530283</c:v>
                </c:pt>
                <c:pt idx="33">
                  <c:v>0.39336422482718453</c:v>
                </c:pt>
                <c:pt idx="34">
                  <c:v>0.25028951808760752</c:v>
                </c:pt>
                <c:pt idx="35">
                  <c:v>0.24620515491068271</c:v>
                </c:pt>
                <c:pt idx="37">
                  <c:v>0.35201891662170209</c:v>
                </c:pt>
                <c:pt idx="38">
                  <c:v>0.29741754530335318</c:v>
                </c:pt>
                <c:pt idx="39">
                  <c:v>0.22679843512139292</c:v>
                </c:pt>
                <c:pt idx="40">
                  <c:v>0.33689987058026466</c:v>
                </c:pt>
                <c:pt idx="41">
                  <c:v>0.19904514870558662</c:v>
                </c:pt>
                <c:pt idx="43">
                  <c:v>0.54927477295990801</c:v>
                </c:pt>
                <c:pt idx="44">
                  <c:v>0.41593038287178391</c:v>
                </c:pt>
                <c:pt idx="45">
                  <c:v>0.35386938185056444</c:v>
                </c:pt>
                <c:pt idx="46">
                  <c:v>0.46731396848820694</c:v>
                </c:pt>
                <c:pt idx="47">
                  <c:v>0.20063234051489648</c:v>
                </c:pt>
                <c:pt idx="48">
                  <c:v>0.34792358298245374</c:v>
                </c:pt>
                <c:pt idx="49">
                  <c:v>0.26871693615599446</c:v>
                </c:pt>
                <c:pt idx="50">
                  <c:v>0.26156093159195243</c:v>
                </c:pt>
                <c:pt idx="51">
                  <c:v>0.21063740379004448</c:v>
                </c:pt>
                <c:pt idx="52">
                  <c:v>0.24225950866694698</c:v>
                </c:pt>
                <c:pt idx="53">
                  <c:v>0.24524450411769119</c:v>
                </c:pt>
                <c:pt idx="54">
                  <c:v>0.2406582085825221</c:v>
                </c:pt>
                <c:pt idx="55">
                  <c:v>0.2567232204103686</c:v>
                </c:pt>
                <c:pt idx="56">
                  <c:v>0.1976176839548533</c:v>
                </c:pt>
                <c:pt idx="57">
                  <c:v>0.29551131118065666</c:v>
                </c:pt>
                <c:pt idx="58">
                  <c:v>0.2884126144022881</c:v>
                </c:pt>
                <c:pt idx="59">
                  <c:v>0.2873024786854857</c:v>
                </c:pt>
                <c:pt idx="60">
                  <c:v>0.2265825282111785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</c:valAx>
      <c:valAx>
        <c:axId val="-827566944"/>
        <c:scaling>
          <c:orientation val="minMax"/>
          <c:max val="2.7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1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C31</a:t>
            </a:r>
          </a:p>
          <a:p>
            <a:pPr>
              <a:defRPr/>
            </a:pPr>
            <a:r>
              <a:rPr lang="el-GR"/>
              <a:t>ββ/(ββ+αβ+βα)</a:t>
            </a:r>
            <a:endParaRPr lang="es-ES"/>
          </a:p>
        </c:rich>
      </c:tx>
      <c:layout>
        <c:manualLayout>
          <c:xMode val="edge"/>
          <c:yMode val="edge"/>
          <c:x val="0.30729879474215427"/>
          <c:y val="2.70873143108895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Hopanes!$BA$5:$BA$65</c:f>
              <c:numCache>
                <c:formatCode>0.00</c:formatCode>
                <c:ptCount val="61"/>
                <c:pt idx="0">
                  <c:v>0.38518155896868433</c:v>
                </c:pt>
                <c:pt idx="1">
                  <c:v>0.45295012488989689</c:v>
                </c:pt>
                <c:pt idx="2">
                  <c:v>0.41583859438636306</c:v>
                </c:pt>
                <c:pt idx="3">
                  <c:v>0.39497615689017879</c:v>
                </c:pt>
                <c:pt idx="4">
                  <c:v>0.42416590017288247</c:v>
                </c:pt>
                <c:pt idx="5">
                  <c:v>0.40279504259879495</c:v>
                </c:pt>
                <c:pt idx="6">
                  <c:v>0.66681023231828729</c:v>
                </c:pt>
                <c:pt idx="7">
                  <c:v>0.67004973297454717</c:v>
                </c:pt>
                <c:pt idx="8">
                  <c:v>0.67530321506302105</c:v>
                </c:pt>
                <c:pt idx="9">
                  <c:v>0.66186831295344106</c:v>
                </c:pt>
                <c:pt idx="10">
                  <c:v>0.66493959505446676</c:v>
                </c:pt>
                <c:pt idx="11">
                  <c:v>0.66739051428455565</c:v>
                </c:pt>
                <c:pt idx="12">
                  <c:v>0.68047758558755089</c:v>
                </c:pt>
                <c:pt idx="13">
                  <c:v>0.67331081543193416</c:v>
                </c:pt>
                <c:pt idx="14">
                  <c:v>0.68634935348108428</c:v>
                </c:pt>
                <c:pt idx="15">
                  <c:v>0.68667991742675705</c:v>
                </c:pt>
                <c:pt idx="16">
                  <c:v>0.67285802334623523</c:v>
                </c:pt>
                <c:pt idx="17">
                  <c:v>0.64936720262370851</c:v>
                </c:pt>
                <c:pt idx="18">
                  <c:v>0.67258397671537495</c:v>
                </c:pt>
                <c:pt idx="19">
                  <c:v>0.54356366677811729</c:v>
                </c:pt>
                <c:pt idx="20">
                  <c:v>0.57715283687841479</c:v>
                </c:pt>
                <c:pt idx="21">
                  <c:v>0.52060839945105952</c:v>
                </c:pt>
                <c:pt idx="22">
                  <c:v>0.49470317590844398</c:v>
                </c:pt>
                <c:pt idx="23">
                  <c:v>0.47783559996179986</c:v>
                </c:pt>
                <c:pt idx="24">
                  <c:v>0.49315288877187086</c:v>
                </c:pt>
                <c:pt idx="25">
                  <c:v>0.48762683206482016</c:v>
                </c:pt>
                <c:pt idx="26">
                  <c:v>0.46164983658737918</c:v>
                </c:pt>
                <c:pt idx="27">
                  <c:v>0.42517933873628655</c:v>
                </c:pt>
                <c:pt idx="28">
                  <c:v>0.40168255688679205</c:v>
                </c:pt>
                <c:pt idx="29">
                  <c:v>0.40083133599856413</c:v>
                </c:pt>
                <c:pt idx="30">
                  <c:v>0.38120141071634622</c:v>
                </c:pt>
                <c:pt idx="31">
                  <c:v>0.41355452853034502</c:v>
                </c:pt>
                <c:pt idx="32">
                  <c:v>0.29044761237205574</c:v>
                </c:pt>
                <c:pt idx="33">
                  <c:v>0.23048731087992907</c:v>
                </c:pt>
                <c:pt idx="34">
                  <c:v>0.37403219786958564</c:v>
                </c:pt>
                <c:pt idx="35">
                  <c:v>0.36273707342858036</c:v>
                </c:pt>
                <c:pt idx="37">
                  <c:v>0.32021147795081256</c:v>
                </c:pt>
                <c:pt idx="38">
                  <c:v>0.38404385535934465</c:v>
                </c:pt>
                <c:pt idx="39">
                  <c:v>0.40242631242075827</c:v>
                </c:pt>
                <c:pt idx="40">
                  <c:v>0.3479977972009064</c:v>
                </c:pt>
                <c:pt idx="41">
                  <c:v>0.27063382297257177</c:v>
                </c:pt>
                <c:pt idx="43">
                  <c:v>0.11992373861518023</c:v>
                </c:pt>
                <c:pt idx="44">
                  <c:v>0.35952274599147149</c:v>
                </c:pt>
                <c:pt idx="45">
                  <c:v>0.22884976684281028</c:v>
                </c:pt>
                <c:pt idx="46">
                  <c:v>0.28817939143046928</c:v>
                </c:pt>
                <c:pt idx="47">
                  <c:v>0.70029039348096267</c:v>
                </c:pt>
                <c:pt idx="48">
                  <c:v>0.37980938306401213</c:v>
                </c:pt>
                <c:pt idx="49">
                  <c:v>0.64933040973580114</c:v>
                </c:pt>
                <c:pt idx="50">
                  <c:v>0.63801123634818058</c:v>
                </c:pt>
                <c:pt idx="51">
                  <c:v>0.66612246281019694</c:v>
                </c:pt>
                <c:pt idx="52">
                  <c:v>0.64558022154823602</c:v>
                </c:pt>
                <c:pt idx="53">
                  <c:v>0.67371980405373733</c:v>
                </c:pt>
                <c:pt idx="54">
                  <c:v>0.62828859259725789</c:v>
                </c:pt>
                <c:pt idx="55">
                  <c:v>0.63669356541863442</c:v>
                </c:pt>
                <c:pt idx="56">
                  <c:v>0.62433372726322478</c:v>
                </c:pt>
                <c:pt idx="57">
                  <c:v>0.62166901584597878</c:v>
                </c:pt>
                <c:pt idx="58">
                  <c:v>0.65740406343220559</c:v>
                </c:pt>
                <c:pt idx="59">
                  <c:v>0.6368041359874983</c:v>
                </c:pt>
                <c:pt idx="60">
                  <c:v>0.61773696922149757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  <c:majorUnit val="0.2"/>
      </c:valAx>
      <c:valAx>
        <c:axId val="-82756694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C31</a:t>
            </a:r>
          </a:p>
          <a:p>
            <a:pPr>
              <a:defRPr/>
            </a:pPr>
            <a:r>
              <a:rPr lang="el-GR"/>
              <a:t>αβ</a:t>
            </a:r>
            <a:r>
              <a:rPr lang="en-GB"/>
              <a:t>/(</a:t>
            </a:r>
            <a:r>
              <a:rPr lang="el-GR" sz="1800" b="1" i="0" u="none" strike="noStrike" baseline="0">
                <a:effectLst/>
              </a:rPr>
              <a:t>αβ</a:t>
            </a:r>
            <a:r>
              <a:rPr lang="el-GR" sz="1800" b="1" i="0" u="none" strike="noStrike" baseline="0"/>
              <a:t> </a:t>
            </a:r>
            <a:r>
              <a:rPr lang="en-GB" sz="1800" b="1" i="0" u="none" strike="noStrike" baseline="0"/>
              <a:t>+</a:t>
            </a:r>
            <a:r>
              <a:rPr lang="el-GR" sz="1800" b="1" i="0" u="none" strike="noStrike" baseline="0">
                <a:effectLst/>
              </a:rPr>
              <a:t>ββ</a:t>
            </a:r>
            <a:r>
              <a:rPr lang="el-GR"/>
              <a:t>)</a:t>
            </a:r>
            <a:endParaRPr lang="es-ES"/>
          </a:p>
        </c:rich>
      </c:tx>
      <c:layout>
        <c:manualLayout>
          <c:xMode val="edge"/>
          <c:yMode val="edge"/>
          <c:x val="0.3035606642146359"/>
          <c:y val="2.70873226775511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Hopanes!$AZ$5:$AZ$65</c:f>
              <c:numCache>
                <c:formatCode>0.00</c:formatCode>
                <c:ptCount val="61"/>
                <c:pt idx="0">
                  <c:v>0.51955613287935987</c:v>
                </c:pt>
                <c:pt idx="1">
                  <c:v>0.494370197959838</c:v>
                </c:pt>
                <c:pt idx="2">
                  <c:v>0.50198185103640358</c:v>
                </c:pt>
                <c:pt idx="3">
                  <c:v>0.5379349116167581</c:v>
                </c:pt>
                <c:pt idx="4">
                  <c:v>0.49793583211071019</c:v>
                </c:pt>
                <c:pt idx="5">
                  <c:v>0.47917988815570589</c:v>
                </c:pt>
                <c:pt idx="6">
                  <c:v>0.26970799053391131</c:v>
                </c:pt>
                <c:pt idx="7">
                  <c:v>0.27120398610699281</c:v>
                </c:pt>
                <c:pt idx="8">
                  <c:v>0.28562941296509647</c:v>
                </c:pt>
                <c:pt idx="9">
                  <c:v>0.28216931534835765</c:v>
                </c:pt>
                <c:pt idx="10">
                  <c:v>0.27173656726971007</c:v>
                </c:pt>
                <c:pt idx="11">
                  <c:v>0.26143830156368114</c:v>
                </c:pt>
                <c:pt idx="12">
                  <c:v>0.27300655120414125</c:v>
                </c:pt>
                <c:pt idx="13">
                  <c:v>0.25068532306136304</c:v>
                </c:pt>
                <c:pt idx="14">
                  <c:v>0.25941436106242621</c:v>
                </c:pt>
                <c:pt idx="15">
                  <c:v>0.27261331911578102</c:v>
                </c:pt>
                <c:pt idx="16">
                  <c:v>0.28888757192656445</c:v>
                </c:pt>
                <c:pt idx="17">
                  <c:v>0.27593867151113927</c:v>
                </c:pt>
                <c:pt idx="18">
                  <c:v>0.38541535025558576</c:v>
                </c:pt>
                <c:pt idx="19">
                  <c:v>0.37210758355438739</c:v>
                </c:pt>
                <c:pt idx="20">
                  <c:v>0.38314805372328126</c:v>
                </c:pt>
                <c:pt idx="21">
                  <c:v>0.41740781088603424</c:v>
                </c:pt>
                <c:pt idx="22">
                  <c:v>0.43765104472831573</c:v>
                </c:pt>
                <c:pt idx="23">
                  <c:v>0.43765104472831573</c:v>
                </c:pt>
                <c:pt idx="24">
                  <c:v>0.42050089509954769</c:v>
                </c:pt>
                <c:pt idx="25">
                  <c:v>0.42757750695452862</c:v>
                </c:pt>
                <c:pt idx="26">
                  <c:v>0.4650227580376099</c:v>
                </c:pt>
                <c:pt idx="27">
                  <c:v>0.48704143001576322</c:v>
                </c:pt>
                <c:pt idx="28">
                  <c:v>0.50648615760541982</c:v>
                </c:pt>
                <c:pt idx="29">
                  <c:v>0.52081148682231115</c:v>
                </c:pt>
                <c:pt idx="30">
                  <c:v>0.55002840211796822</c:v>
                </c:pt>
                <c:pt idx="31">
                  <c:v>0.53598501082579675</c:v>
                </c:pt>
                <c:pt idx="32">
                  <c:v>0.68638417672613461</c:v>
                </c:pt>
                <c:pt idx="33">
                  <c:v>0.74384030360644282</c:v>
                </c:pt>
                <c:pt idx="34">
                  <c:v>0.57466885893840924</c:v>
                </c:pt>
                <c:pt idx="35">
                  <c:v>0.60463218662567653</c:v>
                </c:pt>
                <c:pt idx="37">
                  <c:v>0.63281940478750209</c:v>
                </c:pt>
                <c:pt idx="38">
                  <c:v>0.56225874463311742</c:v>
                </c:pt>
                <c:pt idx="39">
                  <c:v>0.56283058462841506</c:v>
                </c:pt>
                <c:pt idx="40">
                  <c:v>0.61342353767199875</c:v>
                </c:pt>
                <c:pt idx="41">
                  <c:v>0.67670121329850152</c:v>
                </c:pt>
                <c:pt idx="43">
                  <c:v>0.8648773448710928</c:v>
                </c:pt>
                <c:pt idx="44">
                  <c:v>0.5939216255562445</c:v>
                </c:pt>
                <c:pt idx="45">
                  <c:v>0.74545770655103827</c:v>
                </c:pt>
                <c:pt idx="46">
                  <c:v>0.6825272449739298</c:v>
                </c:pt>
                <c:pt idx="47">
                  <c:v>0.29376770314361156</c:v>
                </c:pt>
                <c:pt idx="48">
                  <c:v>0.52548406622771193</c:v>
                </c:pt>
                <c:pt idx="49">
                  <c:v>0.31257428650882374</c:v>
                </c:pt>
                <c:pt idx="50">
                  <c:v>0.31934771489752822</c:v>
                </c:pt>
                <c:pt idx="51">
                  <c:v>0.27875131252725399</c:v>
                </c:pt>
                <c:pt idx="52">
                  <c:v>0.30473114679029828</c:v>
                </c:pt>
                <c:pt idx="53">
                  <c:v>0.27638119433936548</c:v>
                </c:pt>
                <c:pt idx="54">
                  <c:v>0.3170394242076387</c:v>
                </c:pt>
                <c:pt idx="55">
                  <c:v>0.31351738033791765</c:v>
                </c:pt>
                <c:pt idx="56">
                  <c:v>0.31322339072954647</c:v>
                </c:pt>
                <c:pt idx="57">
                  <c:v>0.31573047980517144</c:v>
                </c:pt>
                <c:pt idx="58">
                  <c:v>0.29478568144762041</c:v>
                </c:pt>
                <c:pt idx="59">
                  <c:v>0.3234915240859878</c:v>
                </c:pt>
                <c:pt idx="60">
                  <c:v>0.33023172048579363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  <c:min val="0.2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  <c:majorUnit val="0.1"/>
      </c:valAx>
      <c:valAx>
        <c:axId val="-827566944"/>
        <c:scaling>
          <c:orientation val="minMax"/>
          <c:max val="2.7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15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C30</a:t>
            </a:r>
          </a:p>
          <a:p>
            <a:pPr>
              <a:defRPr/>
            </a:pPr>
            <a:r>
              <a:rPr lang="el-GR"/>
              <a:t>ββ/(ββ+αβ+βα)</a:t>
            </a:r>
            <a:endParaRPr lang="es-ES"/>
          </a:p>
        </c:rich>
      </c:tx>
      <c:layout>
        <c:manualLayout>
          <c:xMode val="edge"/>
          <c:yMode val="edge"/>
          <c:x val="0.30729879474215427"/>
          <c:y val="2.70873143108895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Hopanes!$AP$2</c:f>
              <c:strCache>
                <c:ptCount val="1"/>
                <c:pt idx="0">
                  <c:v>ΣAreas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7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Hopanes!$AY$5:$AY$65</c:f>
              <c:numCache>
                <c:formatCode>0.00</c:formatCode>
                <c:ptCount val="61"/>
                <c:pt idx="0">
                  <c:v>0.33137123545684838</c:v>
                </c:pt>
                <c:pt idx="1">
                  <c:v>0.19328223749036233</c:v>
                </c:pt>
                <c:pt idx="2">
                  <c:v>0.33138605944332966</c:v>
                </c:pt>
                <c:pt idx="3">
                  <c:v>0.3921927772661053</c:v>
                </c:pt>
                <c:pt idx="4">
                  <c:v>0.34550265426717297</c:v>
                </c:pt>
                <c:pt idx="5">
                  <c:v>0.3435139066336812</c:v>
                </c:pt>
                <c:pt idx="6">
                  <c:v>0.63653113208099077</c:v>
                </c:pt>
                <c:pt idx="7">
                  <c:v>0.62213074158964954</c:v>
                </c:pt>
                <c:pt idx="8">
                  <c:v>0.60440392983649471</c:v>
                </c:pt>
                <c:pt idx="9">
                  <c:v>0.6182096831520052</c:v>
                </c:pt>
                <c:pt idx="10">
                  <c:v>0.58720364744289677</c:v>
                </c:pt>
                <c:pt idx="11">
                  <c:v>0.59507463846806496</c:v>
                </c:pt>
                <c:pt idx="12">
                  <c:v>0.55908530658991462</c:v>
                </c:pt>
                <c:pt idx="13">
                  <c:v>0.56132922479267011</c:v>
                </c:pt>
                <c:pt idx="14">
                  <c:v>0.52927530347819818</c:v>
                </c:pt>
                <c:pt idx="15">
                  <c:v>0.56248141870624879</c:v>
                </c:pt>
                <c:pt idx="16">
                  <c:v>0.55998254450743901</c:v>
                </c:pt>
                <c:pt idx="17">
                  <c:v>0.57597011379273289</c:v>
                </c:pt>
                <c:pt idx="18">
                  <c:v>0.53559638142448396</c:v>
                </c:pt>
                <c:pt idx="19">
                  <c:v>0.51278072942375619</c:v>
                </c:pt>
                <c:pt idx="20">
                  <c:v>0.42437236669255118</c:v>
                </c:pt>
                <c:pt idx="21">
                  <c:v>0.46761307277963488</c:v>
                </c:pt>
                <c:pt idx="22">
                  <c:v>0.40681631956796072</c:v>
                </c:pt>
                <c:pt idx="23">
                  <c:v>0.41510642597310854</c:v>
                </c:pt>
                <c:pt idx="24">
                  <c:v>0.41510642597310854</c:v>
                </c:pt>
                <c:pt idx="25">
                  <c:v>0.40317706990994967</c:v>
                </c:pt>
                <c:pt idx="26">
                  <c:v>0.46359527766108544</c:v>
                </c:pt>
                <c:pt idx="27">
                  <c:v>0.28971335545751459</c:v>
                </c:pt>
                <c:pt idx="28">
                  <c:v>0.28169695384840876</c:v>
                </c:pt>
                <c:pt idx="29">
                  <c:v>0.28892823696452219</c:v>
                </c:pt>
                <c:pt idx="30">
                  <c:v>0.35919429161608485</c:v>
                </c:pt>
                <c:pt idx="31">
                  <c:v>0.39540885351591104</c:v>
                </c:pt>
                <c:pt idx="32">
                  <c:v>0.22387324443848586</c:v>
                </c:pt>
                <c:pt idx="33">
                  <c:v>0.19736347968578791</c:v>
                </c:pt>
                <c:pt idx="34">
                  <c:v>0.43901499447875936</c:v>
                </c:pt>
                <c:pt idx="35">
                  <c:v>0.36409376998859583</c:v>
                </c:pt>
                <c:pt idx="37">
                  <c:v>0.32846413726139084</c:v>
                </c:pt>
                <c:pt idx="38">
                  <c:v>0.34492284647824495</c:v>
                </c:pt>
                <c:pt idx="39">
                  <c:v>0.40687966509811924</c:v>
                </c:pt>
                <c:pt idx="40">
                  <c:v>0.3367393267574178</c:v>
                </c:pt>
                <c:pt idx="41">
                  <c:v>0.38388005949824039</c:v>
                </c:pt>
                <c:pt idx="43">
                  <c:v>0.19229416064760058</c:v>
                </c:pt>
                <c:pt idx="44">
                  <c:v>0.42369278468354721</c:v>
                </c:pt>
                <c:pt idx="45">
                  <c:v>0.38132817724624163</c:v>
                </c:pt>
                <c:pt idx="46">
                  <c:v>0.30717175066612573</c:v>
                </c:pt>
                <c:pt idx="47">
                  <c:v>0.52052446580566825</c:v>
                </c:pt>
                <c:pt idx="48">
                  <c:v>0.26529035569620191</c:v>
                </c:pt>
                <c:pt idx="49">
                  <c:v>0.5157020965800827</c:v>
                </c:pt>
                <c:pt idx="50">
                  <c:v>0.49723604808349148</c:v>
                </c:pt>
                <c:pt idx="51">
                  <c:v>0.58942291288124138</c:v>
                </c:pt>
                <c:pt idx="52">
                  <c:v>0.53278714193129462</c:v>
                </c:pt>
                <c:pt idx="53">
                  <c:v>0.54846282565314841</c:v>
                </c:pt>
                <c:pt idx="54">
                  <c:v>0.51998327302370473</c:v>
                </c:pt>
                <c:pt idx="55">
                  <c:v>0.5481406431119531</c:v>
                </c:pt>
                <c:pt idx="56">
                  <c:v>0.5291441411081188</c:v>
                </c:pt>
                <c:pt idx="57">
                  <c:v>0.54549406803458367</c:v>
                </c:pt>
                <c:pt idx="58">
                  <c:v>0.54464152359185758</c:v>
                </c:pt>
                <c:pt idx="59">
                  <c:v>0.54800478854476575</c:v>
                </c:pt>
                <c:pt idx="60">
                  <c:v>0.54853702096599344</c:v>
                </c:pt>
              </c:numCache>
            </c:numRef>
          </c:xVal>
          <c:yVal>
            <c:numRef>
              <c:f>Hopanes!$H$5:$H$65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7">
                  <c:v>0.55000000000000004</c:v>
                </c:pt>
                <c:pt idx="38">
                  <c:v>0.52</c:v>
                </c:pt>
                <c:pt idx="39">
                  <c:v>0.45</c:v>
                </c:pt>
                <c:pt idx="40">
                  <c:v>0.4</c:v>
                </c:pt>
                <c:pt idx="41">
                  <c:v>0.37</c:v>
                </c:pt>
                <c:pt idx="42">
                  <c:v>0.35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7D-D145-B9E4-DFEFCBB08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  <c:max val="0.8"/>
          <c:min val="0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  <c:majorUnit val="0.2"/>
      </c:valAx>
      <c:valAx>
        <c:axId val="-82756694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Steranes abundance</a:t>
            </a:r>
          </a:p>
          <a:p>
            <a:pPr>
              <a:defRPr/>
            </a:pPr>
            <a:r>
              <a:rPr lang="es-ES"/>
              <a:t> (AREAS</a:t>
            </a:r>
            <a:r>
              <a:rPr lang="es-ES" baseline="0"/>
              <a:t>)</a:t>
            </a:r>
            <a:endParaRPr lang="el-GR"/>
          </a:p>
        </c:rich>
      </c:tx>
      <c:layout>
        <c:manualLayout>
          <c:xMode val="edge"/>
          <c:yMode val="edge"/>
          <c:x val="0.20598394955523983"/>
          <c:y val="2.04264535977275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Steranes!$AQ$2</c:f>
              <c:strCache>
                <c:ptCount val="1"/>
                <c:pt idx="0">
                  <c:v>Σ Steranes
 (peak area)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circle"/>
            <c:size val="7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Steranes!$AQ$5:$AQ$65</c:f>
              <c:numCache>
                <c:formatCode>0</c:formatCode>
                <c:ptCount val="61"/>
                <c:pt idx="0">
                  <c:v>11916666</c:v>
                </c:pt>
                <c:pt idx="1">
                  <c:v>2420869</c:v>
                </c:pt>
                <c:pt idx="2">
                  <c:v>8702386</c:v>
                </c:pt>
                <c:pt idx="3">
                  <c:v>4129410</c:v>
                </c:pt>
                <c:pt idx="4">
                  <c:v>5697258</c:v>
                </c:pt>
                <c:pt idx="5">
                  <c:v>8164147</c:v>
                </c:pt>
                <c:pt idx="6">
                  <c:v>60428772</c:v>
                </c:pt>
                <c:pt idx="7">
                  <c:v>34355641</c:v>
                </c:pt>
                <c:pt idx="8">
                  <c:v>23807614</c:v>
                </c:pt>
                <c:pt idx="9">
                  <c:v>34708580</c:v>
                </c:pt>
                <c:pt idx="10">
                  <c:v>49338851</c:v>
                </c:pt>
                <c:pt idx="11">
                  <c:v>155313390</c:v>
                </c:pt>
                <c:pt idx="12">
                  <c:v>36604488</c:v>
                </c:pt>
                <c:pt idx="13">
                  <c:v>26683172</c:v>
                </c:pt>
                <c:pt idx="14">
                  <c:v>40508112</c:v>
                </c:pt>
                <c:pt idx="15">
                  <c:v>28355123</c:v>
                </c:pt>
                <c:pt idx="16">
                  <c:v>32894204</c:v>
                </c:pt>
                <c:pt idx="17">
                  <c:v>91333499</c:v>
                </c:pt>
                <c:pt idx="18">
                  <c:v>34682610</c:v>
                </c:pt>
                <c:pt idx="19">
                  <c:v>9204417</c:v>
                </c:pt>
                <c:pt idx="20">
                  <c:v>13537042</c:v>
                </c:pt>
                <c:pt idx="21">
                  <c:v>16041730</c:v>
                </c:pt>
                <c:pt idx="22">
                  <c:v>13127445</c:v>
                </c:pt>
                <c:pt idx="23">
                  <c:v>16123566</c:v>
                </c:pt>
                <c:pt idx="24">
                  <c:v>26083869</c:v>
                </c:pt>
                <c:pt idx="25">
                  <c:v>17066298</c:v>
                </c:pt>
                <c:pt idx="26">
                  <c:v>28136044</c:v>
                </c:pt>
                <c:pt idx="27">
                  <c:v>11362119</c:v>
                </c:pt>
                <c:pt idx="28">
                  <c:v>9154333</c:v>
                </c:pt>
                <c:pt idx="29">
                  <c:v>10645824</c:v>
                </c:pt>
                <c:pt idx="30">
                  <c:v>13476350</c:v>
                </c:pt>
                <c:pt idx="31">
                  <c:v>29128325</c:v>
                </c:pt>
                <c:pt idx="32">
                  <c:v>63709858</c:v>
                </c:pt>
                <c:pt idx="33">
                  <c:v>46924287</c:v>
                </c:pt>
                <c:pt idx="34">
                  <c:v>34815281</c:v>
                </c:pt>
                <c:pt idx="35">
                  <c:v>30967267</c:v>
                </c:pt>
                <c:pt idx="36">
                  <c:v>28832936</c:v>
                </c:pt>
                <c:pt idx="37">
                  <c:v>37815299</c:v>
                </c:pt>
                <c:pt idx="38">
                  <c:v>50255850</c:v>
                </c:pt>
                <c:pt idx="39">
                  <c:v>49220116</c:v>
                </c:pt>
                <c:pt idx="40">
                  <c:v>21820234</c:v>
                </c:pt>
                <c:pt idx="41">
                  <c:v>26943215</c:v>
                </c:pt>
                <c:pt idx="42">
                  <c:v>2608565</c:v>
                </c:pt>
                <c:pt idx="43">
                  <c:v>12368443</c:v>
                </c:pt>
                <c:pt idx="44">
                  <c:v>14987193</c:v>
                </c:pt>
                <c:pt idx="45">
                  <c:v>17903761</c:v>
                </c:pt>
                <c:pt idx="46">
                  <c:v>10785994</c:v>
                </c:pt>
                <c:pt idx="47">
                  <c:v>26338392</c:v>
                </c:pt>
                <c:pt idx="48">
                  <c:v>7247404</c:v>
                </c:pt>
                <c:pt idx="49">
                  <c:v>38963981</c:v>
                </c:pt>
                <c:pt idx="50">
                  <c:v>94223324</c:v>
                </c:pt>
                <c:pt idx="51">
                  <c:v>78482864</c:v>
                </c:pt>
                <c:pt idx="52">
                  <c:v>31282526</c:v>
                </c:pt>
                <c:pt idx="53">
                  <c:v>53669751</c:v>
                </c:pt>
                <c:pt idx="54">
                  <c:v>79397888</c:v>
                </c:pt>
                <c:pt idx="55">
                  <c:v>56991322</c:v>
                </c:pt>
                <c:pt idx="56">
                  <c:v>78447422</c:v>
                </c:pt>
                <c:pt idx="57">
                  <c:v>46852507</c:v>
                </c:pt>
                <c:pt idx="58">
                  <c:v>17196903</c:v>
                </c:pt>
                <c:pt idx="59">
                  <c:v>12022562</c:v>
                </c:pt>
                <c:pt idx="60">
                  <c:v>13092368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A-471F-93C3-1435AB60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-827566944"/>
        <c:crossesAt val="-15"/>
        <c:crossBetween val="midCat"/>
      </c:valAx>
      <c:valAx>
        <c:axId val="-827566944"/>
        <c:scaling>
          <c:orientation val="minMax"/>
          <c:max val="2.8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Steranes abundance</a:t>
            </a:r>
          </a:p>
          <a:p>
            <a:pPr>
              <a:defRPr/>
            </a:pPr>
            <a:r>
              <a:rPr lang="es-ES"/>
              <a:t> (% </a:t>
            </a:r>
            <a:r>
              <a:rPr lang="es-ES" baseline="0"/>
              <a:t>)</a:t>
            </a:r>
            <a:endParaRPr lang="el-GR"/>
          </a:p>
        </c:rich>
      </c:tx>
      <c:layout>
        <c:manualLayout>
          <c:xMode val="edge"/>
          <c:yMode val="edge"/>
          <c:x val="0.1551522948692019"/>
          <c:y val="1.5805734074701153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Steranes!$BJ$2</c:f>
              <c:strCache>
                <c:ptCount val="1"/>
                <c:pt idx="0">
                  <c:v>C27</c:v>
                </c:pt>
              </c:strCache>
            </c:strRef>
          </c:tx>
          <c:spPr>
            <a:ln w="19050">
              <a:solidFill>
                <a:srgbClr val="FF3399"/>
              </a:solidFill>
            </a:ln>
          </c:spPr>
          <c:marker>
            <c:symbol val="circle"/>
            <c:size val="9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Steranes!$BL$5:$BL$65</c:f>
              <c:numCache>
                <c:formatCode>0</c:formatCode>
                <c:ptCount val="61"/>
                <c:pt idx="0">
                  <c:v>29.312133108371082</c:v>
                </c:pt>
                <c:pt idx="1">
                  <c:v>26.381683602045381</c:v>
                </c:pt>
                <c:pt idx="2">
                  <c:v>19.563266901743958</c:v>
                </c:pt>
                <c:pt idx="3">
                  <c:v>37.945105959446991</c:v>
                </c:pt>
                <c:pt idx="4">
                  <c:v>29.537244056702363</c:v>
                </c:pt>
                <c:pt idx="5">
                  <c:v>31.212630051859673</c:v>
                </c:pt>
                <c:pt idx="6">
                  <c:v>23.778191289407633</c:v>
                </c:pt>
                <c:pt idx="7">
                  <c:v>29.8654040540242</c:v>
                </c:pt>
                <c:pt idx="8">
                  <c:v>26.8260985750189</c:v>
                </c:pt>
                <c:pt idx="9">
                  <c:v>23.638518199246413</c:v>
                </c:pt>
                <c:pt idx="10">
                  <c:v>24.204977939190357</c:v>
                </c:pt>
                <c:pt idx="11">
                  <c:v>25.701379642798344</c:v>
                </c:pt>
                <c:pt idx="12">
                  <c:v>26.240978975037159</c:v>
                </c:pt>
                <c:pt idx="13">
                  <c:v>28.38630279788325</c:v>
                </c:pt>
                <c:pt idx="14">
                  <c:v>28.693196068975023</c:v>
                </c:pt>
                <c:pt idx="15">
                  <c:v>31.137022399797033</c:v>
                </c:pt>
                <c:pt idx="16">
                  <c:v>30.740953634263349</c:v>
                </c:pt>
                <c:pt idx="17">
                  <c:v>39.877160514785487</c:v>
                </c:pt>
                <c:pt idx="18">
                  <c:v>31.496283007536054</c:v>
                </c:pt>
                <c:pt idx="19">
                  <c:v>36.28079866438037</c:v>
                </c:pt>
                <c:pt idx="20">
                  <c:v>36.44993492669964</c:v>
                </c:pt>
                <c:pt idx="21">
                  <c:v>47.228266527363317</c:v>
                </c:pt>
                <c:pt idx="22">
                  <c:v>32.419233140950126</c:v>
                </c:pt>
                <c:pt idx="23">
                  <c:v>28.674643065932187</c:v>
                </c:pt>
                <c:pt idx="24">
                  <c:v>30.794484514548053</c:v>
                </c:pt>
                <c:pt idx="25">
                  <c:v>34.012379251786179</c:v>
                </c:pt>
                <c:pt idx="26">
                  <c:v>69.355258329849079</c:v>
                </c:pt>
                <c:pt idx="27">
                  <c:v>30.146137353428529</c:v>
                </c:pt>
                <c:pt idx="28">
                  <c:v>41.499003805083341</c:v>
                </c:pt>
                <c:pt idx="29">
                  <c:v>45.610166014392121</c:v>
                </c:pt>
                <c:pt idx="30">
                  <c:v>66.243574855209317</c:v>
                </c:pt>
                <c:pt idx="31">
                  <c:v>75.595359499730932</c:v>
                </c:pt>
                <c:pt idx="32">
                  <c:v>51.31120367588953</c:v>
                </c:pt>
                <c:pt idx="33">
                  <c:v>39.717110672347566</c:v>
                </c:pt>
                <c:pt idx="34">
                  <c:v>75.665133939318196</c:v>
                </c:pt>
                <c:pt idx="35">
                  <c:v>76.43979366987729</c:v>
                </c:pt>
                <c:pt idx="36">
                  <c:v>78.65967586512869</c:v>
                </c:pt>
                <c:pt idx="37">
                  <c:v>72.07748906071059</c:v>
                </c:pt>
                <c:pt idx="38">
                  <c:v>81.498567828421969</c:v>
                </c:pt>
                <c:pt idx="39">
                  <c:v>78.177960815858299</c:v>
                </c:pt>
                <c:pt idx="40">
                  <c:v>73.645126812113929</c:v>
                </c:pt>
                <c:pt idx="41">
                  <c:v>70.194930337749227</c:v>
                </c:pt>
                <c:pt idx="42">
                  <c:v>29.668917584955715</c:v>
                </c:pt>
                <c:pt idx="43">
                  <c:v>39.847602483190485</c:v>
                </c:pt>
                <c:pt idx="44">
                  <c:v>44.26705521173978</c:v>
                </c:pt>
                <c:pt idx="45">
                  <c:v>74.709749532514422</c:v>
                </c:pt>
                <c:pt idx="46">
                  <c:v>45.532706582258434</c:v>
                </c:pt>
                <c:pt idx="47">
                  <c:v>30.689770279066391</c:v>
                </c:pt>
                <c:pt idx="48">
                  <c:v>37.436025368531958</c:v>
                </c:pt>
                <c:pt idx="49">
                  <c:v>24.841488861212614</c:v>
                </c:pt>
                <c:pt idx="50">
                  <c:v>31.380766189059514</c:v>
                </c:pt>
                <c:pt idx="51">
                  <c:v>31.765726592240568</c:v>
                </c:pt>
                <c:pt idx="52">
                  <c:v>29.31886638566208</c:v>
                </c:pt>
                <c:pt idx="53">
                  <c:v>27.85586055728114</c:v>
                </c:pt>
                <c:pt idx="54">
                  <c:v>29.310152431258626</c:v>
                </c:pt>
                <c:pt idx="55">
                  <c:v>31.110618911419532</c:v>
                </c:pt>
                <c:pt idx="56">
                  <c:v>29.953447036156266</c:v>
                </c:pt>
                <c:pt idx="57">
                  <c:v>33.94606610911984</c:v>
                </c:pt>
                <c:pt idx="58">
                  <c:v>33.697968756351074</c:v>
                </c:pt>
                <c:pt idx="59">
                  <c:v>33.301545876827255</c:v>
                </c:pt>
                <c:pt idx="60">
                  <c:v>33.142148158377459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9-4523-BCC9-E2C8DA22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499376"/>
        <c:axId val="-827495504"/>
      </c:scatterChart>
      <c:valAx>
        <c:axId val="-827499376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crossAx val="-827495504"/>
        <c:crossesAt val="-15"/>
        <c:crossBetween val="midCat"/>
        <c:majorUnit val="10"/>
        <c:minorUnit val="10"/>
      </c:valAx>
      <c:valAx>
        <c:axId val="-82749550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499376"/>
        <c:crossesAt val="-15"/>
        <c:crossBetween val="midCat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Steranes abundance</a:t>
            </a:r>
          </a:p>
          <a:p>
            <a:pPr>
              <a:defRPr/>
            </a:pPr>
            <a:r>
              <a:rPr lang="es-ES"/>
              <a:t> (µg/g</a:t>
            </a:r>
            <a:r>
              <a:rPr lang="es-ES" baseline="0"/>
              <a:t> DW)</a:t>
            </a:r>
            <a:endParaRPr lang="el-GR"/>
          </a:p>
        </c:rich>
      </c:tx>
      <c:layout>
        <c:manualLayout>
          <c:xMode val="edge"/>
          <c:yMode val="edge"/>
          <c:x val="0.20598394955523983"/>
          <c:y val="2.042645359772753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Steranes!$AS$2</c:f>
              <c:strCache>
                <c:ptCount val="1"/>
                <c:pt idx="0">
                  <c:v>Σ Steranes-Abs.Conc.
(µg/g DW) (TIC) 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circle"/>
            <c:size val="7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Steranes!$AV$5:$AV$65</c:f>
              <c:numCache>
                <c:formatCode>0.00</c:formatCode>
                <c:ptCount val="61"/>
                <c:pt idx="0">
                  <c:v>1.9458563065181591E-3</c:v>
                </c:pt>
                <c:pt idx="1">
                  <c:v>7.7926680896953524E-5</c:v>
                </c:pt>
                <c:pt idx="2">
                  <c:v>3.1137275370693906E-4</c:v>
                </c:pt>
                <c:pt idx="3">
                  <c:v>3.5399005017084387E-4</c:v>
                </c:pt>
                <c:pt idx="4">
                  <c:v>3.3782158020286246E-4</c:v>
                </c:pt>
                <c:pt idx="5">
                  <c:v>1.8712298361633976E-4</c:v>
                </c:pt>
                <c:pt idx="6">
                  <c:v>4.2793378702119536E-4</c:v>
                </c:pt>
                <c:pt idx="7">
                  <c:v>1.8772201758194835E-3</c:v>
                </c:pt>
                <c:pt idx="8">
                  <c:v>3.3592229105640071E-4</c:v>
                </c:pt>
                <c:pt idx="9">
                  <c:v>5.7758130787183379E-4</c:v>
                </c:pt>
                <c:pt idx="10">
                  <c:v>2.4884784602973676E-3</c:v>
                </c:pt>
                <c:pt idx="11">
                  <c:v>2.9583177279209043E-3</c:v>
                </c:pt>
                <c:pt idx="12">
                  <c:v>2.1804928131402531E-3</c:v>
                </c:pt>
                <c:pt idx="13">
                  <c:v>8.2439805583959093E-4</c:v>
                </c:pt>
                <c:pt idx="14">
                  <c:v>8.8930799458581756E-4</c:v>
                </c:pt>
                <c:pt idx="15">
                  <c:v>3.707630079572513E-3</c:v>
                </c:pt>
                <c:pt idx="16">
                  <c:v>1.0799071550598022E-3</c:v>
                </c:pt>
                <c:pt idx="17">
                  <c:v>9.1611865004695616E-3</c:v>
                </c:pt>
                <c:pt idx="18">
                  <c:v>8.0089362480174394E-3</c:v>
                </c:pt>
                <c:pt idx="19">
                  <c:v>3.9750664457338953E-3</c:v>
                </c:pt>
                <c:pt idx="20">
                  <c:v>9.8313757506623498E-3</c:v>
                </c:pt>
                <c:pt idx="21">
                  <c:v>1.0062089733998174E-2</c:v>
                </c:pt>
                <c:pt idx="22">
                  <c:v>1.9342771543230529E-3</c:v>
                </c:pt>
                <c:pt idx="23">
                  <c:v>5.0378145236784433E-3</c:v>
                </c:pt>
                <c:pt idx="24">
                  <c:v>8.2684646789229453E-3</c:v>
                </c:pt>
                <c:pt idx="25">
                  <c:v>1.5532343587427142E-2</c:v>
                </c:pt>
                <c:pt idx="26">
                  <c:v>9.7299098744986542E-3</c:v>
                </c:pt>
                <c:pt idx="27">
                  <c:v>9.8343650210918468E-2</c:v>
                </c:pt>
                <c:pt idx="28">
                  <c:v>3.3934526331427391E-3</c:v>
                </c:pt>
                <c:pt idx="29">
                  <c:v>1.3989468527182768E-2</c:v>
                </c:pt>
                <c:pt idx="30">
                  <c:v>2.6259398435236888E-2</c:v>
                </c:pt>
                <c:pt idx="31">
                  <c:v>0.10765728072794756</c:v>
                </c:pt>
                <c:pt idx="32">
                  <c:v>7.8654567867951913E-3</c:v>
                </c:pt>
                <c:pt idx="33">
                  <c:v>2.1386154847217495E-2</c:v>
                </c:pt>
                <c:pt idx="34">
                  <c:v>0.17378224741230983</c:v>
                </c:pt>
                <c:pt idx="35">
                  <c:v>4.3766884683438229E-2</c:v>
                </c:pt>
                <c:pt idx="36">
                  <c:v>0.49395808463513913</c:v>
                </c:pt>
                <c:pt idx="37">
                  <c:v>5.6038426166203593E-3</c:v>
                </c:pt>
                <c:pt idx="38">
                  <c:v>0.99985878244157012</c:v>
                </c:pt>
                <c:pt idx="39">
                  <c:v>5.8094544105579397E-2</c:v>
                </c:pt>
                <c:pt idx="40">
                  <c:v>8.4727736821414122E-3</c:v>
                </c:pt>
                <c:pt idx="41">
                  <c:v>3.0851484125743258E-2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9.8855700265456953E-2</c:v>
                </c:pt>
                <c:pt idx="48">
                  <c:v>0.49824325746801373</c:v>
                </c:pt>
                <c:pt idx="49">
                  <c:v>3.3764849474141767E-2</c:v>
                </c:pt>
                <c:pt idx="50">
                  <c:v>0.21018858070299812</c:v>
                </c:pt>
                <c:pt idx="51">
                  <c:v>1.8412840368021811E-2</c:v>
                </c:pt>
                <c:pt idx="52">
                  <c:v>2.3970986615654454E-2</c:v>
                </c:pt>
                <c:pt idx="53">
                  <c:v>4.195956487388286E-2</c:v>
                </c:pt>
                <c:pt idx="54">
                  <c:v>4.8175104429631854E-2</c:v>
                </c:pt>
                <c:pt idx="55">
                  <c:v>2.516445021996154E-2</c:v>
                </c:pt>
                <c:pt idx="56">
                  <c:v>3.924458347896409E-2</c:v>
                </c:pt>
                <c:pt idx="57">
                  <c:v>2.3395269564600033E-2</c:v>
                </c:pt>
                <c:pt idx="58">
                  <c:v>1.9726338094545139E-2</c:v>
                </c:pt>
                <c:pt idx="59">
                  <c:v>3.9158601249453522E-2</c:v>
                </c:pt>
                <c:pt idx="60">
                  <c:v>4.8791723905452125E-2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A-471F-93C3-1435AB60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crossAx val="-827566944"/>
        <c:crossesAt val="-15"/>
        <c:crossBetween val="midCat"/>
      </c:valAx>
      <c:valAx>
        <c:axId val="-827566944"/>
        <c:scaling>
          <c:orientation val="minMax"/>
          <c:max val="2.7"/>
          <c:min val="-2.7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S/(S+H)</a:t>
            </a:r>
          </a:p>
        </c:rich>
      </c:tx>
      <c:layout>
        <c:manualLayout>
          <c:xMode val="edge"/>
          <c:yMode val="edge"/>
          <c:x val="0.27725186379545724"/>
          <c:y val="2.95288000705003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559188415179"/>
          <c:y val="0.159385747470042"/>
          <c:w val="0.77431272197642398"/>
          <c:h val="0.79433139706592004"/>
        </c:manualLayout>
      </c:layout>
      <c:scatterChart>
        <c:scatterStyle val="lineMarker"/>
        <c:varyColors val="0"/>
        <c:ser>
          <c:idx val="3"/>
          <c:order val="0"/>
          <c:tx>
            <c:strRef>
              <c:f>Steranes!$AQ$2</c:f>
              <c:strCache>
                <c:ptCount val="1"/>
                <c:pt idx="0">
                  <c:v>Σ Steranes
 (peak area)</c:v>
                </c:pt>
              </c:strCache>
            </c:strRef>
          </c:tx>
          <c:spPr>
            <a:ln>
              <a:solidFill>
                <a:srgbClr val="FF3399"/>
              </a:solidFill>
            </a:ln>
          </c:spPr>
          <c:marker>
            <c:symbol val="circle"/>
            <c:size val="7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Steranes!$BR$5:$BR$65</c:f>
              <c:numCache>
                <c:formatCode>0.00</c:formatCode>
                <c:ptCount val="61"/>
                <c:pt idx="0">
                  <c:v>0.20564422503613716</c:v>
                </c:pt>
                <c:pt idx="1">
                  <c:v>0.10199582203180099</c:v>
                </c:pt>
                <c:pt idx="2">
                  <c:v>0.24619723201373755</c:v>
                </c:pt>
                <c:pt idx="3">
                  <c:v>0.11813571344340196</c:v>
                </c:pt>
                <c:pt idx="4">
                  <c:v>8.8811057116579134E-2</c:v>
                </c:pt>
                <c:pt idx="5">
                  <c:v>8.142433897223629E-2</c:v>
                </c:pt>
                <c:pt idx="6">
                  <c:v>0.17254402692506748</c:v>
                </c:pt>
                <c:pt idx="7">
                  <c:v>0.14567344005207325</c:v>
                </c:pt>
                <c:pt idx="8">
                  <c:v>0.15452633156647877</c:v>
                </c:pt>
                <c:pt idx="9">
                  <c:v>0.15541709111836077</c:v>
                </c:pt>
                <c:pt idx="10">
                  <c:v>0.1615836175050249</c:v>
                </c:pt>
                <c:pt idx="11">
                  <c:v>0.1805078840557118</c:v>
                </c:pt>
                <c:pt idx="12">
                  <c:v>0.15269374938674488</c:v>
                </c:pt>
                <c:pt idx="13">
                  <c:v>0.14414370088443634</c:v>
                </c:pt>
                <c:pt idx="14">
                  <c:v>0.12162964890987897</c:v>
                </c:pt>
                <c:pt idx="15">
                  <c:v>0.1238073972893943</c:v>
                </c:pt>
                <c:pt idx="16">
                  <c:v>0.13264805890827711</c:v>
                </c:pt>
                <c:pt idx="17">
                  <c:v>0.14898063429204497</c:v>
                </c:pt>
                <c:pt idx="18">
                  <c:v>0.14139593204347767</c:v>
                </c:pt>
                <c:pt idx="19">
                  <c:v>0.21216272604857841</c:v>
                </c:pt>
                <c:pt idx="20">
                  <c:v>0.18594545456668299</c:v>
                </c:pt>
                <c:pt idx="21">
                  <c:v>0.20178038907893625</c:v>
                </c:pt>
                <c:pt idx="22">
                  <c:v>0.13726771778923044</c:v>
                </c:pt>
                <c:pt idx="23">
                  <c:v>0.12029937084884093</c:v>
                </c:pt>
                <c:pt idx="24">
                  <c:v>0.1530925013731822</c:v>
                </c:pt>
                <c:pt idx="25">
                  <c:v>0.14870237658861463</c:v>
                </c:pt>
                <c:pt idx="26">
                  <c:v>0.32521942422913053</c:v>
                </c:pt>
                <c:pt idx="27">
                  <c:v>0.11648386245862441</c:v>
                </c:pt>
                <c:pt idx="28">
                  <c:v>0.14686346724941887</c:v>
                </c:pt>
                <c:pt idx="29">
                  <c:v>0.18646772616977153</c:v>
                </c:pt>
                <c:pt idx="30">
                  <c:v>0.25963241389895897</c:v>
                </c:pt>
                <c:pt idx="31">
                  <c:v>0.3829311752915075</c:v>
                </c:pt>
                <c:pt idx="32">
                  <c:v>0.36658944564480556</c:v>
                </c:pt>
                <c:pt idx="33">
                  <c:v>0.33719976494753279</c:v>
                </c:pt>
                <c:pt idx="34">
                  <c:v>0.48581683738121845</c:v>
                </c:pt>
                <c:pt idx="35">
                  <c:v>0.42666442711222319</c:v>
                </c:pt>
                <c:pt idx="36">
                  <c:v>0.39161037325795439</c:v>
                </c:pt>
                <c:pt idx="37">
                  <c:v>0.43869131694463281</c:v>
                </c:pt>
                <c:pt idx="38">
                  <c:v>0.52286050411327312</c:v>
                </c:pt>
                <c:pt idx="39">
                  <c:v>0.50183625551835054</c:v>
                </c:pt>
                <c:pt idx="40">
                  <c:v>0.41989416432845661</c:v>
                </c:pt>
                <c:pt idx="41">
                  <c:v>9.4965907816734127E-2</c:v>
                </c:pt>
                <c:pt idx="42">
                  <c:v>5.3305435181002371E-2</c:v>
                </c:pt>
                <c:pt idx="43">
                  <c:v>0.28521187868617037</c:v>
                </c:pt>
                <c:pt idx="44">
                  <c:v>0.1347406348553162</c:v>
                </c:pt>
                <c:pt idx="45">
                  <c:v>0.23669859800348467</c:v>
                </c:pt>
                <c:pt idx="46">
                  <c:v>0.254353938867249</c:v>
                </c:pt>
                <c:pt idx="47">
                  <c:v>0.14631302660073223</c:v>
                </c:pt>
                <c:pt idx="48">
                  <c:v>0.11420877640871635</c:v>
                </c:pt>
                <c:pt idx="49">
                  <c:v>0.17038005567281664</c:v>
                </c:pt>
                <c:pt idx="50">
                  <c:v>0.12894328635378405</c:v>
                </c:pt>
                <c:pt idx="51">
                  <c:v>0.12142533918481235</c:v>
                </c:pt>
                <c:pt idx="52">
                  <c:v>0.14523310547504836</c:v>
                </c:pt>
                <c:pt idx="53">
                  <c:v>0.14555369397354143</c:v>
                </c:pt>
                <c:pt idx="54">
                  <c:v>0.14889289663970418</c:v>
                </c:pt>
                <c:pt idx="55">
                  <c:v>0.11405594250767633</c:v>
                </c:pt>
                <c:pt idx="56">
                  <c:v>0.13663481364424596</c:v>
                </c:pt>
                <c:pt idx="57">
                  <c:v>0.12789475376931259</c:v>
                </c:pt>
                <c:pt idx="58">
                  <c:v>7.1849397461235004E-2</c:v>
                </c:pt>
                <c:pt idx="59">
                  <c:v>0.13063156027008677</c:v>
                </c:pt>
                <c:pt idx="60">
                  <c:v>0.10887332127683062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A-471F-93C3-1435AB60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570720"/>
        <c:axId val="-827566944"/>
      </c:scatterChart>
      <c:valAx>
        <c:axId val="-827570720"/>
        <c:scaling>
          <c:orientation val="minMax"/>
        </c:scaling>
        <c:delete val="0"/>
        <c:axPos val="b"/>
        <c:numFmt formatCode="#,##0.00" sourceLinked="0"/>
        <c:majorTickMark val="out"/>
        <c:minorTickMark val="none"/>
        <c:tickLblPos val="nextTo"/>
        <c:crossAx val="-827566944"/>
        <c:crossesAt val="-15"/>
        <c:crossBetween val="midCat"/>
        <c:majorUnit val="0.2"/>
      </c:valAx>
      <c:valAx>
        <c:axId val="-82756694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570720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20S/20S+20R</a:t>
            </a:r>
            <a:endParaRPr lang="el-GR"/>
          </a:p>
        </c:rich>
      </c:tx>
      <c:layout>
        <c:manualLayout>
          <c:xMode val="edge"/>
          <c:yMode val="edge"/>
          <c:x val="0.28355129131891965"/>
          <c:y val="1.7885737580308848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Steranes!$BP$4</c:f>
              <c:strCache>
                <c:ptCount val="1"/>
                <c:pt idx="0">
                  <c:v>C27-29</c:v>
                </c:pt>
              </c:strCache>
            </c:strRef>
          </c:tx>
          <c:spPr>
            <a:ln w="19050">
              <a:solidFill>
                <a:srgbClr val="FF3399"/>
              </a:solidFill>
            </a:ln>
          </c:spPr>
          <c:marker>
            <c:symbol val="circle"/>
            <c:size val="9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Steranes!$BP$5:$BP$65</c:f>
              <c:numCache>
                <c:formatCode>0.00</c:formatCode>
                <c:ptCount val="61"/>
                <c:pt idx="0">
                  <c:v>0.37146438441758795</c:v>
                </c:pt>
                <c:pt idx="1">
                  <c:v>0.31004899480310583</c:v>
                </c:pt>
                <c:pt idx="2">
                  <c:v>0.35774441630146031</c:v>
                </c:pt>
                <c:pt idx="3">
                  <c:v>0.28887516618596848</c:v>
                </c:pt>
                <c:pt idx="4">
                  <c:v>0.28679252370175268</c:v>
                </c:pt>
                <c:pt idx="5">
                  <c:v>0.28769925382284273</c:v>
                </c:pt>
                <c:pt idx="6">
                  <c:v>0.30347894542685727</c:v>
                </c:pt>
                <c:pt idx="7">
                  <c:v>0.33313041663230791</c:v>
                </c:pt>
                <c:pt idx="8">
                  <c:v>0.32007377975802193</c:v>
                </c:pt>
                <c:pt idx="9">
                  <c:v>0.31315859075767433</c:v>
                </c:pt>
                <c:pt idx="10">
                  <c:v>0.31526360433484762</c:v>
                </c:pt>
                <c:pt idx="11">
                  <c:v>0.30853682995394022</c:v>
                </c:pt>
                <c:pt idx="12">
                  <c:v>0.31416161318797847</c:v>
                </c:pt>
                <c:pt idx="13">
                  <c:v>0.31929123718874203</c:v>
                </c:pt>
                <c:pt idx="14">
                  <c:v>0.31477613669084353</c:v>
                </c:pt>
                <c:pt idx="15">
                  <c:v>0.32773710768244596</c:v>
                </c:pt>
                <c:pt idx="16">
                  <c:v>0.32966023436834041</c:v>
                </c:pt>
                <c:pt idx="17">
                  <c:v>0.2859351090885065</c:v>
                </c:pt>
                <c:pt idx="18">
                  <c:v>0.34378254693057991</c:v>
                </c:pt>
                <c:pt idx="19">
                  <c:v>0.29390139538441162</c:v>
                </c:pt>
                <c:pt idx="20">
                  <c:v>0.31907169971105948</c:v>
                </c:pt>
                <c:pt idx="21">
                  <c:v>0.28801525770599556</c:v>
                </c:pt>
                <c:pt idx="22">
                  <c:v>0.29401700026166555</c:v>
                </c:pt>
                <c:pt idx="23">
                  <c:v>0.28146596106593291</c:v>
                </c:pt>
                <c:pt idx="24">
                  <c:v>0.2926288274182024</c:v>
                </c:pt>
                <c:pt idx="25">
                  <c:v>0.30816999679719642</c:v>
                </c:pt>
                <c:pt idx="26">
                  <c:v>0.25028156054916606</c:v>
                </c:pt>
                <c:pt idx="27">
                  <c:v>0.27836400938944578</c:v>
                </c:pt>
                <c:pt idx="28">
                  <c:v>0.25453673140358779</c:v>
                </c:pt>
                <c:pt idx="29">
                  <c:v>0.26182651526081963</c:v>
                </c:pt>
                <c:pt idx="30">
                  <c:v>0.2593015913062513</c:v>
                </c:pt>
                <c:pt idx="31">
                  <c:v>0.26279042821720783</c:v>
                </c:pt>
                <c:pt idx="32">
                  <c:v>0.36517937302575687</c:v>
                </c:pt>
                <c:pt idx="33">
                  <c:v>0.42266485583467683</c:v>
                </c:pt>
                <c:pt idx="34">
                  <c:v>0.20853544166425081</c:v>
                </c:pt>
                <c:pt idx="35">
                  <c:v>0.2066464567247733</c:v>
                </c:pt>
                <c:pt idx="36">
                  <c:v>0.1972041973110196</c:v>
                </c:pt>
                <c:pt idx="37">
                  <c:v>0.27598271799992907</c:v>
                </c:pt>
                <c:pt idx="38">
                  <c:v>0.20201449184522796</c:v>
                </c:pt>
                <c:pt idx="39">
                  <c:v>0.21902821196114206</c:v>
                </c:pt>
                <c:pt idx="40">
                  <c:v>0.25059566272295702</c:v>
                </c:pt>
                <c:pt idx="41">
                  <c:v>0.2454123236592218</c:v>
                </c:pt>
                <c:pt idx="42">
                  <c:v>0.32129159135386698</c:v>
                </c:pt>
                <c:pt idx="43">
                  <c:v>0.31626688985832735</c:v>
                </c:pt>
                <c:pt idx="44">
                  <c:v>0.31911986454034452</c:v>
                </c:pt>
                <c:pt idx="45">
                  <c:v>0.22368026472203242</c:v>
                </c:pt>
                <c:pt idx="46">
                  <c:v>0.35907010517528565</c:v>
                </c:pt>
                <c:pt idx="47">
                  <c:v>0.34239311192573946</c:v>
                </c:pt>
                <c:pt idx="48">
                  <c:v>0.2913210026652302</c:v>
                </c:pt>
                <c:pt idx="49">
                  <c:v>0.27610248552374561</c:v>
                </c:pt>
                <c:pt idx="50">
                  <c:v>0.34522142309477427</c:v>
                </c:pt>
                <c:pt idx="51">
                  <c:v>0.31373782434851</c:v>
                </c:pt>
                <c:pt idx="52">
                  <c:v>0.29481282937317788</c:v>
                </c:pt>
                <c:pt idx="53">
                  <c:v>0.31074388625354343</c:v>
                </c:pt>
                <c:pt idx="54">
                  <c:v>0.31754306865190168</c:v>
                </c:pt>
                <c:pt idx="55">
                  <c:v>0.32525585211025637</c:v>
                </c:pt>
                <c:pt idx="56">
                  <c:v>0.31809579414859546</c:v>
                </c:pt>
                <c:pt idx="57">
                  <c:v>0.31254210153578332</c:v>
                </c:pt>
                <c:pt idx="58">
                  <c:v>0.29849165282841916</c:v>
                </c:pt>
                <c:pt idx="59">
                  <c:v>0.33466028289145028</c:v>
                </c:pt>
                <c:pt idx="60">
                  <c:v>0.33363383919547634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9-4523-BCC9-E2C8DA22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499376"/>
        <c:axId val="-827495504"/>
      </c:scatterChart>
      <c:valAx>
        <c:axId val="-827499376"/>
        <c:scaling>
          <c:orientation val="minMax"/>
          <c:max val="0.45"/>
          <c:min val="0.15"/>
        </c:scaling>
        <c:delete val="0"/>
        <c:axPos val="b"/>
        <c:numFmt formatCode="0.00" sourceLinked="0"/>
        <c:majorTickMark val="out"/>
        <c:minorTickMark val="none"/>
        <c:tickLblPos val="nextTo"/>
        <c:crossAx val="-827495504"/>
        <c:crossesAt val="-15"/>
        <c:crossBetween val="midCat"/>
        <c:majorUnit val="0.1"/>
      </c:valAx>
      <c:valAx>
        <c:axId val="-827495504"/>
        <c:scaling>
          <c:orientation val="minMax"/>
          <c:max val="2.8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499376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C29/C27</a:t>
            </a:r>
            <a:endParaRPr lang="el-GR"/>
          </a:p>
        </c:rich>
      </c:tx>
      <c:layout>
        <c:manualLayout>
          <c:xMode val="edge"/>
          <c:yMode val="edge"/>
          <c:x val="0.26429133625415718"/>
          <c:y val="1.78857375803088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677691208759793"/>
          <c:y val="8.7642948611974886E-2"/>
          <c:w val="0.61088821633950929"/>
          <c:h val="0.86017719986039709"/>
        </c:manualLayout>
      </c:layout>
      <c:scatterChart>
        <c:scatterStyle val="lineMarker"/>
        <c:varyColors val="0"/>
        <c:ser>
          <c:idx val="0"/>
          <c:order val="0"/>
          <c:tx>
            <c:strRef>
              <c:f>Steranes!$BQ$3</c:f>
              <c:strCache>
                <c:ptCount val="1"/>
                <c:pt idx="0">
                  <c:v>C29/C27</c:v>
                </c:pt>
              </c:strCache>
            </c:strRef>
          </c:tx>
          <c:spPr>
            <a:ln w="19050">
              <a:solidFill>
                <a:srgbClr val="FF3399"/>
              </a:solidFill>
            </a:ln>
          </c:spPr>
          <c:marker>
            <c:symbol val="circle"/>
            <c:size val="9"/>
            <c:spPr>
              <a:solidFill>
                <a:srgbClr val="FF3399"/>
              </a:solidFill>
              <a:ln>
                <a:solidFill>
                  <a:srgbClr val="FF3399"/>
                </a:solidFill>
              </a:ln>
            </c:spPr>
          </c:marker>
          <c:xVal>
            <c:numRef>
              <c:f>Steranes!$BQ$5:$BQ$65</c:f>
              <c:numCache>
                <c:formatCode>0.00</c:formatCode>
                <c:ptCount val="61"/>
                <c:pt idx="0">
                  <c:v>0.55432492528338462</c:v>
                </c:pt>
                <c:pt idx="1">
                  <c:v>0.43567767276934388</c:v>
                </c:pt>
                <c:pt idx="2">
                  <c:v>0.51893702816694909</c:v>
                </c:pt>
                <c:pt idx="3">
                  <c:v>0.76512553524054516</c:v>
                </c:pt>
                <c:pt idx="4">
                  <c:v>0.50374166286747968</c:v>
                </c:pt>
                <c:pt idx="5">
                  <c:v>0.55808986047342846</c:v>
                </c:pt>
                <c:pt idx="6">
                  <c:v>0.375339065998265</c:v>
                </c:pt>
                <c:pt idx="7">
                  <c:v>0.54247386287064447</c:v>
                </c:pt>
                <c:pt idx="8">
                  <c:v>0.4425795546411973</c:v>
                </c:pt>
                <c:pt idx="9">
                  <c:v>0.36977535204761119</c:v>
                </c:pt>
                <c:pt idx="10">
                  <c:v>0.38791659197127903</c:v>
                </c:pt>
                <c:pt idx="11">
                  <c:v>0.41770436348808865</c:v>
                </c:pt>
                <c:pt idx="12">
                  <c:v>0.43726992729038872</c:v>
                </c:pt>
                <c:pt idx="13">
                  <c:v>0.49694805706897743</c:v>
                </c:pt>
                <c:pt idx="14">
                  <c:v>0.50012555771636069</c:v>
                </c:pt>
                <c:pt idx="15">
                  <c:v>0.58003353429559057</c:v>
                </c:pt>
                <c:pt idx="16">
                  <c:v>0.5789493572351665</c:v>
                </c:pt>
                <c:pt idx="17">
                  <c:v>0.89052545301292663</c:v>
                </c:pt>
                <c:pt idx="18">
                  <c:v>0.64778003309783827</c:v>
                </c:pt>
                <c:pt idx="19">
                  <c:v>0.75102642620166526</c:v>
                </c:pt>
                <c:pt idx="20">
                  <c:v>0.73271974732253375</c:v>
                </c:pt>
                <c:pt idx="21">
                  <c:v>1.2086639868199658</c:v>
                </c:pt>
                <c:pt idx="22">
                  <c:v>0.58798838396684572</c:v>
                </c:pt>
                <c:pt idx="23">
                  <c:v>0.47781349691425518</c:v>
                </c:pt>
                <c:pt idx="24">
                  <c:v>0.54483707679093363</c:v>
                </c:pt>
                <c:pt idx="25">
                  <c:v>0.64101008450131858</c:v>
                </c:pt>
                <c:pt idx="26">
                  <c:v>4.0717977395624558</c:v>
                </c:pt>
                <c:pt idx="27">
                  <c:v>0.52202772146369669</c:v>
                </c:pt>
                <c:pt idx="28">
                  <c:v>0.90870334291321775</c:v>
                </c:pt>
                <c:pt idx="29">
                  <c:v>1.1518916292712182</c:v>
                </c:pt>
                <c:pt idx="30">
                  <c:v>3.1826967024394972</c:v>
                </c:pt>
                <c:pt idx="31">
                  <c:v>6.00090923889372</c:v>
                </c:pt>
                <c:pt idx="32">
                  <c:v>1.8097684762877904</c:v>
                </c:pt>
                <c:pt idx="33">
                  <c:v>1.4686528020114227</c:v>
                </c:pt>
                <c:pt idx="34">
                  <c:v>6.6776686817354065</c:v>
                </c:pt>
                <c:pt idx="35">
                  <c:v>7.5796523736090338</c:v>
                </c:pt>
                <c:pt idx="36">
                  <c:v>11.010736975179119</c:v>
                </c:pt>
                <c:pt idx="37">
                  <c:v>5.2123243949463838</c:v>
                </c:pt>
                <c:pt idx="38">
                  <c:v>11.454868301086817</c:v>
                </c:pt>
                <c:pt idx="39">
                  <c:v>8.4102832491050794</c:v>
                </c:pt>
                <c:pt idx="40">
                  <c:v>5.1638398090449158</c:v>
                </c:pt>
                <c:pt idx="41">
                  <c:v>3.746126120380199</c:v>
                </c:pt>
                <c:pt idx="42">
                  <c:v>0.50851374321512322</c:v>
                </c:pt>
                <c:pt idx="43">
                  <c:v>0.94269675730224811</c:v>
                </c:pt>
                <c:pt idx="44">
                  <c:v>1.2111469001824464</c:v>
                </c:pt>
                <c:pt idx="45">
                  <c:v>4.4657769738223703</c:v>
                </c:pt>
                <c:pt idx="46">
                  <c:v>1.223197478265331</c:v>
                </c:pt>
                <c:pt idx="47">
                  <c:v>0.62728212785061055</c:v>
                </c:pt>
                <c:pt idx="48">
                  <c:v>0.86181879169901365</c:v>
                </c:pt>
                <c:pt idx="49">
                  <c:v>0.43726504458898324</c:v>
                </c:pt>
                <c:pt idx="50">
                  <c:v>0.62691550795717066</c:v>
                </c:pt>
                <c:pt idx="51">
                  <c:v>0.61435196089462485</c:v>
                </c:pt>
                <c:pt idx="52">
                  <c:v>0.57717558910671052</c:v>
                </c:pt>
                <c:pt idx="53">
                  <c:v>0.5341971410739198</c:v>
                </c:pt>
                <c:pt idx="54">
                  <c:v>0.62464805967724701</c:v>
                </c:pt>
                <c:pt idx="55">
                  <c:v>0.64604556749600672</c:v>
                </c:pt>
                <c:pt idx="56">
                  <c:v>0.61343330748395097</c:v>
                </c:pt>
                <c:pt idx="57">
                  <c:v>0.78538311602760824</c:v>
                </c:pt>
                <c:pt idx="58">
                  <c:v>0.74978438064520969</c:v>
                </c:pt>
                <c:pt idx="59">
                  <c:v>0.75731548174011798</c:v>
                </c:pt>
                <c:pt idx="60">
                  <c:v>0.72377815193781281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9-4523-BCC9-E2C8DA22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499376"/>
        <c:axId val="-827495504"/>
      </c:scatterChart>
      <c:valAx>
        <c:axId val="-827499376"/>
        <c:scaling>
          <c:orientation val="minMax"/>
          <c:max val="12"/>
        </c:scaling>
        <c:delete val="0"/>
        <c:axPos val="b"/>
        <c:numFmt formatCode="0.00" sourceLinked="0"/>
        <c:majorTickMark val="out"/>
        <c:minorTickMark val="none"/>
        <c:tickLblPos val="nextTo"/>
        <c:crossAx val="-827495504"/>
        <c:crossesAt val="-15"/>
        <c:crossBetween val="midCat"/>
        <c:majorUnit val="3"/>
      </c:valAx>
      <c:valAx>
        <c:axId val="-82749550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499376"/>
        <c:crossesAt val="-15"/>
        <c:crossBetween val="midCat"/>
        <c:majorUnit val="0.2"/>
      </c:valAx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Sterane MAR</a:t>
            </a:r>
            <a:r>
              <a:rPr lang="en-US" baseline="0"/>
              <a:t> </a:t>
            </a:r>
            <a:r>
              <a:rPr lang="en-US"/>
              <a:t>C27</a:t>
            </a:r>
          </a:p>
          <a:p>
            <a:pPr>
              <a:defRPr/>
            </a:pPr>
            <a:r>
              <a:rPr lang="en-US"/>
              <a:t>Normalized</a:t>
            </a:r>
          </a:p>
        </c:rich>
      </c:tx>
      <c:layout>
        <c:manualLayout>
          <c:xMode val="edge"/>
          <c:yMode val="edge"/>
          <c:x val="0.32282994545902799"/>
          <c:y val="1.963175194982938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Steranes!$BA$2</c:f>
              <c:strCache>
                <c:ptCount val="1"/>
                <c:pt idx="0">
                  <c:v>C27-MAR Normalized)</c:v>
                </c:pt>
              </c:strCache>
            </c:strRef>
          </c:tx>
          <c:spPr>
            <a:ln w="19050">
              <a:solidFill>
                <a:schemeClr val="tx1"/>
              </a:solidFill>
              <a:prstDash val="lgDashDotDot"/>
            </a:ln>
          </c:spPr>
          <c:marker>
            <c:symbol val="circle"/>
            <c:size val="9"/>
            <c:spPr>
              <a:solidFill>
                <a:srgbClr val="FF3399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Steranes!$BA$5:$BA$65</c:f>
              <c:numCache>
                <c:formatCode>0.0000</c:formatCode>
                <c:ptCount val="61"/>
                <c:pt idx="0">
                  <c:v>1.2685312536266779E-3</c:v>
                </c:pt>
                <c:pt idx="1">
                  <c:v>5.7882855288932247E-5</c:v>
                </c:pt>
                <c:pt idx="2">
                  <c:v>2.2248086379835568E-4</c:v>
                </c:pt>
                <c:pt idx="3">
                  <c:v>2.1534792564380516E-4</c:v>
                </c:pt>
                <c:pt idx="4">
                  <c:v>2.4298309131578271E-4</c:v>
                </c:pt>
                <c:pt idx="5">
                  <c:v>1.2837484439784012E-4</c:v>
                </c:pt>
                <c:pt idx="6">
                  <c:v>3.3255094674938124E-4</c:v>
                </c:pt>
                <c:pt idx="7">
                  <c:v>1.2677433871150945E-3</c:v>
                </c:pt>
                <c:pt idx="8">
                  <c:v>2.4976498641537736E-4</c:v>
                </c:pt>
                <c:pt idx="9">
                  <c:v>4.5292050565309182E-4</c:v>
                </c:pt>
                <c:pt idx="10">
                  <c:v>1.9047008929884998E-3</c:v>
                </c:pt>
                <c:pt idx="11">
                  <c:v>2.2328461748350155E-3</c:v>
                </c:pt>
                <c:pt idx="12">
                  <c:v>1.6051353026064346E-3</c:v>
                </c:pt>
                <c:pt idx="13">
                  <c:v>5.7764545021484045E-4</c:v>
                </c:pt>
                <c:pt idx="14">
                  <c:v>6.2586207802703138E-4</c:v>
                </c:pt>
                <c:pt idx="15">
                  <c:v>2.4414449554143792E-3</c:v>
                </c:pt>
                <c:pt idx="16">
                  <c:v>7.0337955789931753E-4</c:v>
                </c:pt>
                <c:pt idx="17">
                  <c:v>5.0321801221392395E-3</c:v>
                </c:pt>
                <c:pt idx="18">
                  <c:v>4.7767569851245141E-3</c:v>
                </c:pt>
                <c:pt idx="19">
                  <c:v>2.3555513527378264E-3</c:v>
                </c:pt>
                <c:pt idx="20">
                  <c:v>5.9154275957412792E-3</c:v>
                </c:pt>
                <c:pt idx="21">
                  <c:v>4.8229323846785349E-3</c:v>
                </c:pt>
                <c:pt idx="22">
                  <c:v>1.3082154009910639E-3</c:v>
                </c:pt>
                <c:pt idx="23">
                  <c:v>3.7085859229796254E-3</c:v>
                </c:pt>
                <c:pt idx="24">
                  <c:v>5.7326803159282553E-3</c:v>
                </c:pt>
                <c:pt idx="25">
                  <c:v>1.010964030374162E-2</c:v>
                </c:pt>
                <c:pt idx="26">
                  <c:v>2.0329588044451226E-3</c:v>
                </c:pt>
                <c:pt idx="27">
                  <c:v>6.9664415125455806E-2</c:v>
                </c:pt>
                <c:pt idx="28">
                  <c:v>1.9010078106971497E-3</c:v>
                </c:pt>
                <c:pt idx="29">
                  <c:v>6.7948177126243674E-3</c:v>
                </c:pt>
                <c:pt idx="30">
                  <c:v>6.7043988644344202E-3</c:v>
                </c:pt>
                <c:pt idx="31">
                  <c:v>1.7382259411619909E-2</c:v>
                </c:pt>
                <c:pt idx="32">
                  <c:v>2.7355187556917016E-3</c:v>
                </c:pt>
                <c:pt idx="33">
                  <c:v>8.9685171314259852E-3</c:v>
                </c:pt>
                <c:pt idx="34">
                  <c:v>2.4154770257227013E-2</c:v>
                </c:pt>
                <c:pt idx="35">
                  <c:v>5.4143012586521837E-3</c:v>
                </c:pt>
                <c:pt idx="36">
                  <c:v>4.3286495454599422E-2</c:v>
                </c:pt>
                <c:pt idx="37">
                  <c:v>9.5056256249358877E-4</c:v>
                </c:pt>
                <c:pt idx="38">
                  <c:v>8.7261988673202839E-2</c:v>
                </c:pt>
                <c:pt idx="39">
                  <c:v>6.6242334208021026E-3</c:v>
                </c:pt>
                <c:pt idx="40">
                  <c:v>1.4822567033273637E-3</c:v>
                </c:pt>
                <c:pt idx="41">
                  <c:v>7.0913019393972375E-3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5.9327903866439907E-2</c:v>
                </c:pt>
                <c:pt idx="48">
                  <c:v>0.26548608769353815</c:v>
                </c:pt>
                <c:pt idx="49">
                  <c:v>2.3530125449619566E-2</c:v>
                </c:pt>
                <c:pt idx="50">
                  <c:v>0.12905956933797921</c:v>
                </c:pt>
                <c:pt idx="51">
                  <c:v>1.1678549255927824E-2</c:v>
                </c:pt>
                <c:pt idx="52">
                  <c:v>1.4936598004089087E-2</c:v>
                </c:pt>
                <c:pt idx="53">
                  <c:v>2.6839384999468821E-2</c:v>
                </c:pt>
                <c:pt idx="54">
                  <c:v>2.7728853322783294E-2</c:v>
                </c:pt>
                <c:pt idx="55">
                  <c:v>1.4864815063072133E-2</c:v>
                </c:pt>
                <c:pt idx="56">
                  <c:v>2.3506379482684678E-2</c:v>
                </c:pt>
                <c:pt idx="57">
                  <c:v>1.2404021476697336E-2</c:v>
                </c:pt>
                <c:pt idx="58">
                  <c:v>1.0875278077109071E-2</c:v>
                </c:pt>
                <c:pt idx="59">
                  <c:v>2.1122304216747805E-2</c:v>
                </c:pt>
                <c:pt idx="60">
                  <c:v>2.740614252563206E-2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A-471F-93C3-1435AB60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499376"/>
        <c:axId val="-827495504"/>
      </c:scatterChart>
      <c:valAx>
        <c:axId val="-827499376"/>
        <c:scaling>
          <c:orientation val="minMax"/>
          <c:max val="0.6"/>
        </c:scaling>
        <c:delete val="0"/>
        <c:axPos val="b"/>
        <c:numFmt formatCode="0.0" sourceLinked="0"/>
        <c:majorTickMark val="out"/>
        <c:minorTickMark val="none"/>
        <c:tickLblPos val="nextTo"/>
        <c:crossAx val="-827495504"/>
        <c:crossesAt val="-15"/>
        <c:crossBetween val="midCat"/>
      </c:valAx>
      <c:valAx>
        <c:axId val="-82749550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499376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Sterane MAR</a:t>
            </a:r>
            <a:r>
              <a:rPr lang="en-US" baseline="0"/>
              <a:t> </a:t>
            </a:r>
            <a:r>
              <a:rPr lang="en-US"/>
              <a:t>C29</a:t>
            </a:r>
          </a:p>
          <a:p>
            <a:pPr>
              <a:defRPr/>
            </a:pPr>
            <a:r>
              <a:rPr lang="en-US"/>
              <a:t>Normalized</a:t>
            </a:r>
          </a:p>
        </c:rich>
      </c:tx>
      <c:layout>
        <c:manualLayout>
          <c:xMode val="edge"/>
          <c:yMode val="edge"/>
          <c:x val="0.32282994545902799"/>
          <c:y val="1.963175194982938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Steranes!$BH$2</c:f>
              <c:strCache>
                <c:ptCount val="1"/>
                <c:pt idx="0">
                  <c:v>C29-`MAR
Normalized</c:v>
                </c:pt>
              </c:strCache>
            </c:strRef>
          </c:tx>
          <c:spPr>
            <a:ln w="19050">
              <a:solidFill>
                <a:schemeClr val="tx1"/>
              </a:solidFill>
              <a:prstDash val="lgDashDotDot"/>
            </a:ln>
          </c:spPr>
          <c:marker>
            <c:symbol val="circle"/>
            <c:size val="9"/>
            <c:spPr>
              <a:solidFill>
                <a:srgbClr val="FF3399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Steranes!$BH$5:$BH$65</c:f>
              <c:numCache>
                <c:formatCode>0.00</c:formatCode>
                <c:ptCount val="61"/>
                <c:pt idx="0">
                  <c:v>3.3333333333333335E-3</c:v>
                </c:pt>
                <c:pt idx="1">
                  <c:v>2.5218267685526711E-5</c:v>
                </c:pt>
                <c:pt idx="2">
                  <c:v>7.4722010983517976E-5</c:v>
                </c:pt>
                <c:pt idx="3">
                  <c:v>1.6476819687115754E-4</c:v>
                </c:pt>
                <c:pt idx="4">
                  <c:v>1.2240070646809303E-4</c:v>
                </c:pt>
                <c:pt idx="5">
                  <c:v>7.1644698998288674E-5</c:v>
                </c:pt>
                <c:pt idx="6">
                  <c:v>1.2481936174975152E-4</c:v>
                </c:pt>
                <c:pt idx="7">
                  <c:v>6.8771765233703998E-4</c:v>
                </c:pt>
                <c:pt idx="8">
                  <c:v>1.1054087645268241E-4</c:v>
                </c:pt>
                <c:pt idx="9">
                  <c:v>1.674788394274541E-4</c:v>
                </c:pt>
                <c:pt idx="10">
                  <c:v>7.3886507913275071E-4</c:v>
                </c:pt>
                <c:pt idx="11">
                  <c:v>9.3266959022627368E-4</c:v>
                </c:pt>
                <c:pt idx="12">
                  <c:v>7.0187739706195163E-4</c:v>
                </c:pt>
                <c:pt idx="13">
                  <c:v>2.8705978415899966E-4</c:v>
                </c:pt>
                <c:pt idx="14">
                  <c:v>3.130096208267895E-4</c:v>
                </c:pt>
                <c:pt idx="15">
                  <c:v>1.4161199462771432E-3</c:v>
                </c:pt>
                <c:pt idx="16">
                  <c:v>4.0722114293816552E-4</c:v>
                </c:pt>
                <c:pt idx="17">
                  <c:v>4.4812844829106918E-3</c:v>
                </c:pt>
                <c:pt idx="18">
                  <c:v>3.0942877979242872E-3</c:v>
                </c:pt>
                <c:pt idx="19">
                  <c:v>1.7690813141811885E-3</c:v>
                </c:pt>
                <c:pt idx="20">
                  <c:v>4.3957968779126605E-3</c:v>
                </c:pt>
                <c:pt idx="21">
                  <c:v>5.8293046842286837E-3</c:v>
                </c:pt>
                <c:pt idx="22">
                  <c:v>7.6921545950927488E-4</c:v>
                </c:pt>
                <c:pt idx="23">
                  <c:v>1.7720124084658758E-3</c:v>
                </c:pt>
                <c:pt idx="24">
                  <c:v>3.1233767855072762E-3</c:v>
                </c:pt>
                <c:pt idx="25">
                  <c:v>6.4803813853793503E-3</c:v>
                </c:pt>
                <c:pt idx="26">
                  <c:v>8.2777970645632436E-3</c:v>
                </c:pt>
                <c:pt idx="27">
                  <c:v>3.6366755895042784E-2</c:v>
                </c:pt>
                <c:pt idx="28">
                  <c:v>1.7274521524846371E-3</c:v>
                </c:pt>
                <c:pt idx="29">
                  <c:v>7.8268936455958161E-3</c:v>
                </c:pt>
                <c:pt idx="30">
                  <c:v>2.1338068157674538E-2</c:v>
                </c:pt>
                <c:pt idx="31">
                  <c:v>9.9830927629883201E-2</c:v>
                </c:pt>
                <c:pt idx="32">
                  <c:v>4.9506556103448432E-3</c:v>
                </c:pt>
                <c:pt idx="33">
                  <c:v>1.0419261021454233E-2</c:v>
                </c:pt>
                <c:pt idx="34">
                  <c:v>0.16129755286119871</c:v>
                </c:pt>
                <c:pt idx="35">
                  <c:v>4.103852138657739E-2</c:v>
                </c:pt>
                <c:pt idx="36">
                  <c:v>0.47661621602788079</c:v>
                </c:pt>
                <c:pt idx="37">
                  <c:v>4.9546404334080791E-3</c:v>
                </c:pt>
                <c:pt idx="38">
                  <c:v>0.99957458794246801</c:v>
                </c:pt>
                <c:pt idx="39">
                  <c:v>5.571167937713397E-2</c:v>
                </c:pt>
                <c:pt idx="40">
                  <c:v>7.6541361718655207E-3</c:v>
                </c:pt>
                <c:pt idx="41">
                  <c:v>2.656491142267875E-2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3.7215333778256886E-2</c:v>
                </c:pt>
                <c:pt idx="48">
                  <c:v>0.22880089930894346</c:v>
                </c:pt>
                <c:pt idx="49">
                  <c:v>1.0288901353912269E-2</c:v>
                </c:pt>
                <c:pt idx="50">
                  <c:v>8.0909445468252919E-2</c:v>
                </c:pt>
                <c:pt idx="51">
                  <c:v>7.1747396357837194E-3</c:v>
                </c:pt>
                <c:pt idx="52">
                  <c:v>8.6210397522602372E-3</c:v>
                </c:pt>
                <c:pt idx="53">
                  <c:v>1.4337522734898493E-2</c:v>
                </c:pt>
                <c:pt idx="54">
                  <c:v>1.7320774425151564E-2</c:v>
                </c:pt>
                <c:pt idx="55">
                  <c:v>9.603347883145626E-3</c:v>
                </c:pt>
                <c:pt idx="56">
                  <c:v>1.4419596113036144E-2</c:v>
                </c:pt>
                <c:pt idx="57">
                  <c:v>9.7419090386419282E-3</c:v>
                </c:pt>
                <c:pt idx="58">
                  <c:v>8.1541136373896508E-3</c:v>
                </c:pt>
                <c:pt idx="59">
                  <c:v>1.5996247993367685E-2</c:v>
                </c:pt>
                <c:pt idx="60">
                  <c:v>1.9835967188946271E-2</c:v>
                </c:pt>
              </c:numCache>
            </c:numRef>
          </c:xVal>
          <c:yVal>
            <c:numRef>
              <c:f>Steranes!$H$5:$H$65</c:f>
              <c:numCache>
                <c:formatCode>0.00</c:formatCode>
                <c:ptCount val="61"/>
                <c:pt idx="0">
                  <c:v>3</c:v>
                </c:pt>
                <c:pt idx="1">
                  <c:v>2.9</c:v>
                </c:pt>
                <c:pt idx="2">
                  <c:v>2.8</c:v>
                </c:pt>
                <c:pt idx="3">
                  <c:v>2.7</c:v>
                </c:pt>
                <c:pt idx="4">
                  <c:v>2.6</c:v>
                </c:pt>
                <c:pt idx="5">
                  <c:v>2.5</c:v>
                </c:pt>
                <c:pt idx="6">
                  <c:v>2.4500000000000002</c:v>
                </c:pt>
                <c:pt idx="7">
                  <c:v>2.4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2.0499999999999998</c:v>
                </c:pt>
                <c:pt idx="12">
                  <c:v>2</c:v>
                </c:pt>
                <c:pt idx="13">
                  <c:v>1.9</c:v>
                </c:pt>
                <c:pt idx="14">
                  <c:v>1.85</c:v>
                </c:pt>
                <c:pt idx="15">
                  <c:v>1.8</c:v>
                </c:pt>
                <c:pt idx="16">
                  <c:v>1.7</c:v>
                </c:pt>
                <c:pt idx="17">
                  <c:v>1.65</c:v>
                </c:pt>
                <c:pt idx="18">
                  <c:v>1.45</c:v>
                </c:pt>
                <c:pt idx="19">
                  <c:v>1.35</c:v>
                </c:pt>
                <c:pt idx="20">
                  <c:v>1.3</c:v>
                </c:pt>
                <c:pt idx="21">
                  <c:v>1.3</c:v>
                </c:pt>
                <c:pt idx="22">
                  <c:v>1.25</c:v>
                </c:pt>
                <c:pt idx="23">
                  <c:v>1.2</c:v>
                </c:pt>
                <c:pt idx="24">
                  <c:v>1.1499999999999999</c:v>
                </c:pt>
                <c:pt idx="25">
                  <c:v>1.1000000000000001</c:v>
                </c:pt>
                <c:pt idx="26">
                  <c:v>1.05</c:v>
                </c:pt>
                <c:pt idx="27">
                  <c:v>1.05</c:v>
                </c:pt>
                <c:pt idx="28">
                  <c:v>1</c:v>
                </c:pt>
                <c:pt idx="29">
                  <c:v>0.95</c:v>
                </c:pt>
                <c:pt idx="30">
                  <c:v>0.9</c:v>
                </c:pt>
                <c:pt idx="31">
                  <c:v>0.85</c:v>
                </c:pt>
                <c:pt idx="32">
                  <c:v>0.8</c:v>
                </c:pt>
                <c:pt idx="33">
                  <c:v>0.7</c:v>
                </c:pt>
                <c:pt idx="34">
                  <c:v>0.65</c:v>
                </c:pt>
                <c:pt idx="35">
                  <c:v>0.6</c:v>
                </c:pt>
                <c:pt idx="36">
                  <c:v>0.55000000000000004</c:v>
                </c:pt>
                <c:pt idx="37">
                  <c:v>0.52</c:v>
                </c:pt>
                <c:pt idx="38">
                  <c:v>0.45</c:v>
                </c:pt>
                <c:pt idx="39">
                  <c:v>0.4</c:v>
                </c:pt>
                <c:pt idx="40">
                  <c:v>0.37</c:v>
                </c:pt>
                <c:pt idx="41">
                  <c:v>0.35</c:v>
                </c:pt>
                <c:pt idx="42">
                  <c:v>0.3</c:v>
                </c:pt>
                <c:pt idx="43">
                  <c:v>0.25</c:v>
                </c:pt>
                <c:pt idx="44">
                  <c:v>0.2</c:v>
                </c:pt>
                <c:pt idx="45">
                  <c:v>0.1</c:v>
                </c:pt>
                <c:pt idx="46">
                  <c:v>0.05</c:v>
                </c:pt>
                <c:pt idx="47">
                  <c:v>-0.06</c:v>
                </c:pt>
                <c:pt idx="48">
                  <c:v>-0.1</c:v>
                </c:pt>
                <c:pt idx="49">
                  <c:v>-0.3</c:v>
                </c:pt>
                <c:pt idx="50">
                  <c:v>-0.7</c:v>
                </c:pt>
                <c:pt idx="51">
                  <c:v>-0.76</c:v>
                </c:pt>
                <c:pt idx="52">
                  <c:v>-0.9</c:v>
                </c:pt>
                <c:pt idx="53">
                  <c:v>-1.1000000000000001</c:v>
                </c:pt>
                <c:pt idx="54">
                  <c:v>-1.3</c:v>
                </c:pt>
                <c:pt idx="55">
                  <c:v>-1.7</c:v>
                </c:pt>
                <c:pt idx="56">
                  <c:v>-1.9</c:v>
                </c:pt>
                <c:pt idx="57">
                  <c:v>-2.1</c:v>
                </c:pt>
                <c:pt idx="58">
                  <c:v>-2.2999999999999998</c:v>
                </c:pt>
                <c:pt idx="59">
                  <c:v>-2.5</c:v>
                </c:pt>
                <c:pt idx="60">
                  <c:v>-2.7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A-471F-93C3-1435AB60B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27499376"/>
        <c:axId val="-827495504"/>
      </c:scatterChart>
      <c:valAx>
        <c:axId val="-827499376"/>
        <c:scaling>
          <c:orientation val="minMax"/>
          <c:max val="0.6"/>
        </c:scaling>
        <c:delete val="0"/>
        <c:axPos val="b"/>
        <c:numFmt formatCode="0.0" sourceLinked="0"/>
        <c:majorTickMark val="out"/>
        <c:minorTickMark val="none"/>
        <c:tickLblPos val="nextTo"/>
        <c:crossAx val="-827495504"/>
        <c:crossesAt val="-15"/>
        <c:crossBetween val="midCat"/>
      </c:valAx>
      <c:valAx>
        <c:axId val="-827495504"/>
        <c:scaling>
          <c:orientation val="minMax"/>
          <c:max val="3"/>
          <c:min val="-2.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-827499376"/>
        <c:crossesAt val="-15"/>
        <c:crossBetween val="midCat"/>
        <c:majorUnit val="0.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865945</xdr:colOff>
      <xdr:row>1</xdr:row>
      <xdr:rowOff>29805</xdr:rowOff>
    </xdr:from>
    <xdr:to>
      <xdr:col>124</xdr:col>
      <xdr:colOff>280798</xdr:colOff>
      <xdr:row>27</xdr:row>
      <xdr:rowOff>21166</xdr:rowOff>
    </xdr:to>
    <xdr:graphicFrame macro="">
      <xdr:nvGraphicFramePr>
        <xdr:cNvPr id="7" name="Gráfico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124</xdr:col>
      <xdr:colOff>362286</xdr:colOff>
      <xdr:row>1</xdr:row>
      <xdr:rowOff>29670</xdr:rowOff>
    </xdr:from>
    <xdr:to>
      <xdr:col>127</xdr:col>
      <xdr:colOff>649587</xdr:colOff>
      <xdr:row>27</xdr:row>
      <xdr:rowOff>26458</xdr:rowOff>
    </xdr:to>
    <xdr:graphicFrame macro="">
      <xdr:nvGraphicFramePr>
        <xdr:cNvPr id="15" name="Gráfico 5">
          <a:extLst>
            <a:ext uri="{FF2B5EF4-FFF2-40B4-BE49-F238E27FC236}">
              <a16:creationId xmlns:a16="http://schemas.microsoft.com/office/drawing/2014/main" id="{0C04DFE5-3E9F-F488-B1D8-5BF3B153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127</xdr:col>
      <xdr:colOff>735349</xdr:colOff>
      <xdr:row>1</xdr:row>
      <xdr:rowOff>13795</xdr:rowOff>
    </xdr:from>
    <xdr:to>
      <xdr:col>131</xdr:col>
      <xdr:colOff>149525</xdr:colOff>
      <xdr:row>27</xdr:row>
      <xdr:rowOff>10583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81253D33-2223-7D2C-0C4D-0513B41A1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114</xdr:col>
      <xdr:colOff>98653</xdr:colOff>
      <xdr:row>1</xdr:row>
      <xdr:rowOff>40389</xdr:rowOff>
    </xdr:from>
    <xdr:to>
      <xdr:col>117</xdr:col>
      <xdr:colOff>386631</xdr:colOff>
      <xdr:row>27</xdr:row>
      <xdr:rowOff>31750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F369629D-6DB9-DCE5-1FEC-EB42B6B4D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117</xdr:col>
      <xdr:colOff>462891</xdr:colOff>
      <xdr:row>0</xdr:row>
      <xdr:rowOff>134020</xdr:rowOff>
    </xdr:from>
    <xdr:to>
      <xdr:col>120</xdr:col>
      <xdr:colOff>739829</xdr:colOff>
      <xdr:row>27</xdr:row>
      <xdr:rowOff>28906</xdr:rowOff>
    </xdr:to>
    <xdr:graphicFrame macro="">
      <xdr:nvGraphicFramePr>
        <xdr:cNvPr id="5" name="Gráfico 5">
          <a:extLst>
            <a:ext uri="{FF2B5EF4-FFF2-40B4-BE49-F238E27FC236}">
              <a16:creationId xmlns:a16="http://schemas.microsoft.com/office/drawing/2014/main" id="{E4F5FB02-D2E5-37F3-4153-C1E55B06C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138</xdr:col>
      <xdr:colOff>44257</xdr:colOff>
      <xdr:row>0</xdr:row>
      <xdr:rowOff>160374</xdr:rowOff>
    </xdr:from>
    <xdr:to>
      <xdr:col>141</xdr:col>
      <xdr:colOff>331558</xdr:colOff>
      <xdr:row>26</xdr:row>
      <xdr:rowOff>157162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A88C38-51E0-DE51-E446-0BAFB8ABB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134</xdr:col>
      <xdr:colOff>524211</xdr:colOff>
      <xdr:row>1</xdr:row>
      <xdr:rowOff>24173</xdr:rowOff>
    </xdr:from>
    <xdr:to>
      <xdr:col>137</xdr:col>
      <xdr:colOff>811512</xdr:colOff>
      <xdr:row>27</xdr:row>
      <xdr:rowOff>20961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213B1E69-BC52-0F12-F89D-0CBA0FD02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131</xdr:col>
      <xdr:colOff>192954</xdr:colOff>
      <xdr:row>0</xdr:row>
      <xdr:rowOff>169899</xdr:rowOff>
    </xdr:from>
    <xdr:to>
      <xdr:col>134</xdr:col>
      <xdr:colOff>480255</xdr:colOff>
      <xdr:row>26</xdr:row>
      <xdr:rowOff>166687</xdr:rowOff>
    </xdr:to>
    <xdr:graphicFrame macro="">
      <xdr:nvGraphicFramePr>
        <xdr:cNvPr id="9" name="Gráfico 5">
          <a:extLst>
            <a:ext uri="{FF2B5EF4-FFF2-40B4-BE49-F238E27FC236}">
              <a16:creationId xmlns:a16="http://schemas.microsoft.com/office/drawing/2014/main" id="{92B1E903-5733-9B11-E02F-73AA3AD0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114</xdr:col>
      <xdr:colOff>85424</xdr:colOff>
      <xdr:row>28</xdr:row>
      <xdr:rowOff>32451</xdr:rowOff>
    </xdr:from>
    <xdr:to>
      <xdr:col>117</xdr:col>
      <xdr:colOff>373402</xdr:colOff>
      <xdr:row>56</xdr:row>
      <xdr:rowOff>0</xdr:rowOff>
    </xdr:to>
    <xdr:graphicFrame macro="">
      <xdr:nvGraphicFramePr>
        <xdr:cNvPr id="10" name="Gráfico 5">
          <a:extLst>
            <a:ext uri="{FF2B5EF4-FFF2-40B4-BE49-F238E27FC236}">
              <a16:creationId xmlns:a16="http://schemas.microsoft.com/office/drawing/2014/main" id="{9FA43B98-0DE0-7360-4DD6-7268D9920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117</xdr:col>
      <xdr:colOff>490237</xdr:colOff>
      <xdr:row>28</xdr:row>
      <xdr:rowOff>37743</xdr:rowOff>
    </xdr:from>
    <xdr:to>
      <xdr:col>120</xdr:col>
      <xdr:colOff>778215</xdr:colOff>
      <xdr:row>56</xdr:row>
      <xdr:rowOff>0</xdr:rowOff>
    </xdr:to>
    <xdr:graphicFrame macro="">
      <xdr:nvGraphicFramePr>
        <xdr:cNvPr id="11" name="Gráfico 5">
          <a:extLst>
            <a:ext uri="{FF2B5EF4-FFF2-40B4-BE49-F238E27FC236}">
              <a16:creationId xmlns:a16="http://schemas.microsoft.com/office/drawing/2014/main" id="{8EF2B8C3-A104-DF0C-5122-F4607746E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124</xdr:col>
      <xdr:colOff>389695</xdr:colOff>
      <xdr:row>28</xdr:row>
      <xdr:rowOff>27160</xdr:rowOff>
    </xdr:from>
    <xdr:to>
      <xdr:col>127</xdr:col>
      <xdr:colOff>677673</xdr:colOff>
      <xdr:row>56</xdr:row>
      <xdr:rowOff>0</xdr:rowOff>
    </xdr:to>
    <xdr:graphicFrame macro="">
      <xdr:nvGraphicFramePr>
        <xdr:cNvPr id="12" name="Gráfico 5">
          <a:extLst>
            <a:ext uri="{FF2B5EF4-FFF2-40B4-BE49-F238E27FC236}">
              <a16:creationId xmlns:a16="http://schemas.microsoft.com/office/drawing/2014/main" id="{6455B623-149B-1BEB-8D77-E328FE912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131</xdr:col>
      <xdr:colOff>249466</xdr:colOff>
      <xdr:row>28</xdr:row>
      <xdr:rowOff>50972</xdr:rowOff>
    </xdr:from>
    <xdr:to>
      <xdr:col>134</xdr:col>
      <xdr:colOff>537444</xdr:colOff>
      <xdr:row>56</xdr:row>
      <xdr:rowOff>0</xdr:rowOff>
    </xdr:to>
    <xdr:graphicFrame macro="">
      <xdr:nvGraphicFramePr>
        <xdr:cNvPr id="13" name="Gráfico 5">
          <a:extLst>
            <a:ext uri="{FF2B5EF4-FFF2-40B4-BE49-F238E27FC236}">
              <a16:creationId xmlns:a16="http://schemas.microsoft.com/office/drawing/2014/main" id="{07E5A4D1-89E5-4707-F209-73D9684A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127</xdr:col>
      <xdr:colOff>768050</xdr:colOff>
      <xdr:row>28</xdr:row>
      <xdr:rowOff>21868</xdr:rowOff>
    </xdr:from>
    <xdr:to>
      <xdr:col>131</xdr:col>
      <xdr:colOff>182903</xdr:colOff>
      <xdr:row>56</xdr:row>
      <xdr:rowOff>0</xdr:rowOff>
    </xdr:to>
    <xdr:graphicFrame macro="">
      <xdr:nvGraphicFramePr>
        <xdr:cNvPr id="21" name="Gráfico 5">
          <a:extLst>
            <a:ext uri="{FF2B5EF4-FFF2-40B4-BE49-F238E27FC236}">
              <a16:creationId xmlns:a16="http://schemas.microsoft.com/office/drawing/2014/main" id="{761643AF-B32E-313D-C020-74318E237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121</xdr:col>
      <xdr:colOff>19279</xdr:colOff>
      <xdr:row>28</xdr:row>
      <xdr:rowOff>40389</xdr:rowOff>
    </xdr:from>
    <xdr:to>
      <xdr:col>124</xdr:col>
      <xdr:colOff>307257</xdr:colOff>
      <xdr:row>56</xdr:row>
      <xdr:rowOff>0</xdr:rowOff>
    </xdr:to>
    <xdr:graphicFrame macro="">
      <xdr:nvGraphicFramePr>
        <xdr:cNvPr id="14" name="Gráfico 5">
          <a:extLst>
            <a:ext uri="{FF2B5EF4-FFF2-40B4-BE49-F238E27FC236}">
              <a16:creationId xmlns:a16="http://schemas.microsoft.com/office/drawing/2014/main" id="{94866034-28E6-A90E-A900-1E8360765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134</xdr:col>
      <xdr:colOff>697605</xdr:colOff>
      <xdr:row>28</xdr:row>
      <xdr:rowOff>57820</xdr:rowOff>
    </xdr:from>
    <xdr:to>
      <xdr:col>138</xdr:col>
      <xdr:colOff>104358</xdr:colOff>
      <xdr:row>55</xdr:row>
      <xdr:rowOff>70299</xdr:rowOff>
    </xdr:to>
    <xdr:graphicFrame macro="">
      <xdr:nvGraphicFramePr>
        <xdr:cNvPr id="2" name="Gráfico 5">
          <a:extLst>
            <a:ext uri="{FF2B5EF4-FFF2-40B4-BE49-F238E27FC236}">
              <a16:creationId xmlns:a16="http://schemas.microsoft.com/office/drawing/2014/main" id="{192B53C0-794F-D2EE-8B4A-953F7EA8F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141</xdr:col>
      <xdr:colOff>536576</xdr:colOff>
      <xdr:row>28</xdr:row>
      <xdr:rowOff>33085</xdr:rowOff>
    </xdr:from>
    <xdr:to>
      <xdr:col>144</xdr:col>
      <xdr:colOff>824554</xdr:colOff>
      <xdr:row>55</xdr:row>
      <xdr:rowOff>182206</xdr:rowOff>
    </xdr:to>
    <xdr:graphicFrame macro="">
      <xdr:nvGraphicFramePr>
        <xdr:cNvPr id="20" name="Gráfico 5">
          <a:extLst>
            <a:ext uri="{FF2B5EF4-FFF2-40B4-BE49-F238E27FC236}">
              <a16:creationId xmlns:a16="http://schemas.microsoft.com/office/drawing/2014/main" id="{28D55F2C-92A8-4C70-99FB-88B0CDBAD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138</xdr:col>
      <xdr:colOff>152400</xdr:colOff>
      <xdr:row>28</xdr:row>
      <xdr:rowOff>38100</xdr:rowOff>
    </xdr:from>
    <xdr:to>
      <xdr:col>141</xdr:col>
      <xdr:colOff>368778</xdr:colOff>
      <xdr:row>55</xdr:row>
      <xdr:rowOff>50579</xdr:rowOff>
    </xdr:to>
    <xdr:graphicFrame macro="">
      <xdr:nvGraphicFramePr>
        <xdr:cNvPr id="17" name="Gráfico 5">
          <a:extLst>
            <a:ext uri="{FF2B5EF4-FFF2-40B4-BE49-F238E27FC236}">
              <a16:creationId xmlns:a16="http://schemas.microsoft.com/office/drawing/2014/main" id="{2B1D3FBA-FA02-4AE5-948E-8F6973742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145</xdr:col>
      <xdr:colOff>204240</xdr:colOff>
      <xdr:row>28</xdr:row>
      <xdr:rowOff>9347</xdr:rowOff>
    </xdr:from>
    <xdr:to>
      <xdr:col>148</xdr:col>
      <xdr:colOff>492218</xdr:colOff>
      <xdr:row>55</xdr:row>
      <xdr:rowOff>158468</xdr:rowOff>
    </xdr:to>
    <xdr:graphicFrame macro="">
      <xdr:nvGraphicFramePr>
        <xdr:cNvPr id="16" name="Gráfico 5">
          <a:extLst>
            <a:ext uri="{FF2B5EF4-FFF2-40B4-BE49-F238E27FC236}">
              <a16:creationId xmlns:a16="http://schemas.microsoft.com/office/drawing/2014/main" id="{69F308C8-1FFE-262C-2576-96EC3787C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114</xdr:col>
      <xdr:colOff>109163</xdr:colOff>
      <xdr:row>56</xdr:row>
      <xdr:rowOff>198619</xdr:rowOff>
    </xdr:from>
    <xdr:to>
      <xdr:col>116</xdr:col>
      <xdr:colOff>700282</xdr:colOff>
      <xdr:row>82</xdr:row>
      <xdr:rowOff>142429</xdr:rowOff>
    </xdr:to>
    <xdr:graphicFrame macro="">
      <xdr:nvGraphicFramePr>
        <xdr:cNvPr id="18" name="Gráfico 5">
          <a:extLst>
            <a:ext uri="{FF2B5EF4-FFF2-40B4-BE49-F238E27FC236}">
              <a16:creationId xmlns:a16="http://schemas.microsoft.com/office/drawing/2014/main" id="{5C18141A-7E89-C7C9-1414-66C7E9D76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635000</xdr:colOff>
      <xdr:row>1</xdr:row>
      <xdr:rowOff>95250</xdr:rowOff>
    </xdr:from>
    <xdr:to>
      <xdr:col>60</xdr:col>
      <xdr:colOff>524443</xdr:colOff>
      <xdr:row>30</xdr:row>
      <xdr:rowOff>106305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31240CCE-73CD-A641-80C5-F2F229016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39380</xdr:colOff>
      <xdr:row>1</xdr:row>
      <xdr:rowOff>145386</xdr:rowOff>
    </xdr:from>
    <xdr:to>
      <xdr:col>65</xdr:col>
      <xdr:colOff>1848</xdr:colOff>
      <xdr:row>30</xdr:row>
      <xdr:rowOff>152995</xdr:rowOff>
    </xdr:to>
    <xdr:graphicFrame macro="">
      <xdr:nvGraphicFramePr>
        <xdr:cNvPr id="9" name="1 Gráfico">
          <a:extLst>
            <a:ext uri="{FF2B5EF4-FFF2-40B4-BE49-F238E27FC236}">
              <a16:creationId xmlns:a16="http://schemas.microsoft.com/office/drawing/2014/main" id="{D27D4089-1F7B-6ECE-30AD-BD64468FD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65</xdr:col>
      <xdr:colOff>123221</xdr:colOff>
      <xdr:row>1</xdr:row>
      <xdr:rowOff>121582</xdr:rowOff>
    </xdr:from>
    <xdr:to>
      <xdr:col>69</xdr:col>
      <xdr:colOff>11811</xdr:colOff>
      <xdr:row>30</xdr:row>
      <xdr:rowOff>129191</xdr:rowOff>
    </xdr:to>
    <xdr:graphicFrame macro="">
      <xdr:nvGraphicFramePr>
        <xdr:cNvPr id="5" name="1 Gráfico">
          <a:extLst>
            <a:ext uri="{FF2B5EF4-FFF2-40B4-BE49-F238E27FC236}">
              <a16:creationId xmlns:a16="http://schemas.microsoft.com/office/drawing/2014/main" id="{2A42D470-E482-19C3-63C4-F338D6ECF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69</xdr:col>
      <xdr:colOff>169228</xdr:colOff>
      <xdr:row>1</xdr:row>
      <xdr:rowOff>129522</xdr:rowOff>
    </xdr:from>
    <xdr:to>
      <xdr:col>73</xdr:col>
      <xdr:colOff>57818</xdr:colOff>
      <xdr:row>30</xdr:row>
      <xdr:rowOff>140624</xdr:rowOff>
    </xdr:to>
    <xdr:graphicFrame macro="">
      <xdr:nvGraphicFramePr>
        <xdr:cNvPr id="7" name="1 Gráfico">
          <a:extLst>
            <a:ext uri="{FF2B5EF4-FFF2-40B4-BE49-F238E27FC236}">
              <a16:creationId xmlns:a16="http://schemas.microsoft.com/office/drawing/2014/main" id="{0E11C5B6-6B10-6EE8-809A-05482B151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73</xdr:col>
      <xdr:colOff>168143</xdr:colOff>
      <xdr:row>1</xdr:row>
      <xdr:rowOff>140955</xdr:rowOff>
    </xdr:from>
    <xdr:to>
      <xdr:col>77</xdr:col>
      <xdr:colOff>56733</xdr:colOff>
      <xdr:row>30</xdr:row>
      <xdr:rowOff>152057</xdr:rowOff>
    </xdr:to>
    <xdr:graphicFrame macro="">
      <xdr:nvGraphicFramePr>
        <xdr:cNvPr id="8" name="1 Gráfico">
          <a:extLst>
            <a:ext uri="{FF2B5EF4-FFF2-40B4-BE49-F238E27FC236}">
              <a16:creationId xmlns:a16="http://schemas.microsoft.com/office/drawing/2014/main" id="{4F3C3719-814A-65CD-2170-658F02D80B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81</xdr:col>
      <xdr:colOff>257857</xdr:colOff>
      <xdr:row>1</xdr:row>
      <xdr:rowOff>235267</xdr:rowOff>
    </xdr:from>
    <xdr:to>
      <xdr:col>85</xdr:col>
      <xdr:colOff>146447</xdr:colOff>
      <xdr:row>31</xdr:row>
      <xdr:rowOff>50985</xdr:rowOff>
    </xdr:to>
    <xdr:graphicFrame macro="">
      <xdr:nvGraphicFramePr>
        <xdr:cNvPr id="6" name="1 Gráfico">
          <a:extLst>
            <a:ext uri="{FF2B5EF4-FFF2-40B4-BE49-F238E27FC236}">
              <a16:creationId xmlns:a16="http://schemas.microsoft.com/office/drawing/2014/main" id="{B822C02D-26B1-BCD4-2C2B-D27A203C3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197451</xdr:colOff>
      <xdr:row>1</xdr:row>
      <xdr:rowOff>160493</xdr:rowOff>
    </xdr:from>
    <xdr:to>
      <xdr:col>81</xdr:col>
      <xdr:colOff>86041</xdr:colOff>
      <xdr:row>30</xdr:row>
      <xdr:rowOff>171595</xdr:rowOff>
    </xdr:to>
    <xdr:graphicFrame macro="">
      <xdr:nvGraphicFramePr>
        <xdr:cNvPr id="4" name="1 Gráfico">
          <a:extLst>
            <a:ext uri="{FF2B5EF4-FFF2-40B4-BE49-F238E27FC236}">
              <a16:creationId xmlns:a16="http://schemas.microsoft.com/office/drawing/2014/main" id="{293C138C-EF94-F974-0F6E-977ED1769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152642</xdr:colOff>
      <xdr:row>1</xdr:row>
      <xdr:rowOff>5166</xdr:rowOff>
    </xdr:from>
    <xdr:to>
      <xdr:col>75</xdr:col>
      <xdr:colOff>29384</xdr:colOff>
      <xdr:row>31</xdr:row>
      <xdr:rowOff>25746</xdr:rowOff>
    </xdr:to>
    <xdr:graphicFrame macro="">
      <xdr:nvGraphicFramePr>
        <xdr:cNvPr id="11" name="1 Gráfico">
          <a:extLst>
            <a:ext uri="{FF2B5EF4-FFF2-40B4-BE49-F238E27FC236}">
              <a16:creationId xmlns:a16="http://schemas.microsoft.com/office/drawing/2014/main" id="{BA54A68C-F69C-4DB3-B43A-562296778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84</xdr:col>
      <xdr:colOff>65880</xdr:colOff>
      <xdr:row>1</xdr:row>
      <xdr:rowOff>70074</xdr:rowOff>
    </xdr:from>
    <xdr:to>
      <xdr:col>88</xdr:col>
      <xdr:colOff>515926</xdr:colOff>
      <xdr:row>31</xdr:row>
      <xdr:rowOff>152395</xdr:rowOff>
    </xdr:to>
    <xdr:graphicFrame macro="">
      <xdr:nvGraphicFramePr>
        <xdr:cNvPr id="5" name="1 Gráfico">
          <a:extLst>
            <a:ext uri="{FF2B5EF4-FFF2-40B4-BE49-F238E27FC236}">
              <a16:creationId xmlns:a16="http://schemas.microsoft.com/office/drawing/2014/main" id="{7CC9D684-C9B8-F443-876C-8B4F663FC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296393</xdr:colOff>
      <xdr:row>1</xdr:row>
      <xdr:rowOff>35797</xdr:rowOff>
    </xdr:from>
    <xdr:to>
      <xdr:col>79</xdr:col>
      <xdr:colOff>173136</xdr:colOff>
      <xdr:row>31</xdr:row>
      <xdr:rowOff>56377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30EC1298-5FA3-9B30-5783-B1D6D8E09F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152795</xdr:colOff>
      <xdr:row>32</xdr:row>
      <xdr:rowOff>113132</xdr:rowOff>
    </xdr:from>
    <xdr:to>
      <xdr:col>75</xdr:col>
      <xdr:colOff>29538</xdr:colOff>
      <xdr:row>72</xdr:row>
      <xdr:rowOff>171812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EA3E1D8B-46BD-D34B-A497-AF799E9D7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88</xdr:col>
      <xdr:colOff>789229</xdr:colOff>
      <xdr:row>1</xdr:row>
      <xdr:rowOff>81117</xdr:rowOff>
    </xdr:from>
    <xdr:to>
      <xdr:col>93</xdr:col>
      <xdr:colOff>372249</xdr:colOff>
      <xdr:row>31</xdr:row>
      <xdr:rowOff>163885</xdr:rowOff>
    </xdr:to>
    <xdr:graphicFrame macro="">
      <xdr:nvGraphicFramePr>
        <xdr:cNvPr id="4" name="1 Gráfico">
          <a:extLst>
            <a:ext uri="{FF2B5EF4-FFF2-40B4-BE49-F238E27FC236}">
              <a16:creationId xmlns:a16="http://schemas.microsoft.com/office/drawing/2014/main" id="{BF0225A6-F192-272C-3479-6C2B3E0C0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620145</xdr:colOff>
      <xdr:row>1</xdr:row>
      <xdr:rowOff>48796</xdr:rowOff>
    </xdr:from>
    <xdr:to>
      <xdr:col>98</xdr:col>
      <xdr:colOff>199820</xdr:colOff>
      <xdr:row>31</xdr:row>
      <xdr:rowOff>131564</xdr:rowOff>
    </xdr:to>
    <xdr:graphicFrame macro="">
      <xdr:nvGraphicFramePr>
        <xdr:cNvPr id="6" name="1 Gráfico">
          <a:extLst>
            <a:ext uri="{FF2B5EF4-FFF2-40B4-BE49-F238E27FC236}">
              <a16:creationId xmlns:a16="http://schemas.microsoft.com/office/drawing/2014/main" id="{16DF40FD-E1D1-B406-F2A9-0AC8E3D42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80</xdr:col>
      <xdr:colOff>179324</xdr:colOff>
      <xdr:row>32</xdr:row>
      <xdr:rowOff>56259</xdr:rowOff>
    </xdr:from>
    <xdr:to>
      <xdr:col>84</xdr:col>
      <xdr:colOff>632715</xdr:colOff>
      <xdr:row>61</xdr:row>
      <xdr:rowOff>213114</xdr:rowOff>
    </xdr:to>
    <xdr:graphicFrame macro="">
      <xdr:nvGraphicFramePr>
        <xdr:cNvPr id="9" name="1 Gráfico">
          <a:extLst>
            <a:ext uri="{FF2B5EF4-FFF2-40B4-BE49-F238E27FC236}">
              <a16:creationId xmlns:a16="http://schemas.microsoft.com/office/drawing/2014/main" id="{5080332E-F777-8C13-7EEA-F0FDB8230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75</xdr:col>
      <xdr:colOff>331119</xdr:colOff>
      <xdr:row>32</xdr:row>
      <xdr:rowOff>62759</xdr:rowOff>
    </xdr:from>
    <xdr:to>
      <xdr:col>79</xdr:col>
      <xdr:colOff>784509</xdr:colOff>
      <xdr:row>61</xdr:row>
      <xdr:rowOff>159399</xdr:rowOff>
    </xdr:to>
    <xdr:graphicFrame macro="">
      <xdr:nvGraphicFramePr>
        <xdr:cNvPr id="7" name="1 Gráfico">
          <a:extLst>
            <a:ext uri="{FF2B5EF4-FFF2-40B4-BE49-F238E27FC236}">
              <a16:creationId xmlns:a16="http://schemas.microsoft.com/office/drawing/2014/main" id="{A0664444-309C-ADBF-3FBC-B881C8CEF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J66"/>
  <sheetViews>
    <sheetView view="pageBreakPreview" zoomScale="107" zoomScaleSheetLayoutView="107" workbookViewId="0">
      <pane xSplit="8" ySplit="1" topLeftCell="I2" activePane="bottomRight" state="frozen"/>
      <selection pane="topRight" activeCell="D1" sqref="D1"/>
      <selection pane="bottomLeft" activeCell="A2" sqref="A2"/>
      <selection pane="bottomRight" activeCell="F40" sqref="F40"/>
    </sheetView>
  </sheetViews>
  <sheetFormatPr baseColWidth="10" defaultColWidth="11.5" defaultRowHeight="15" x14ac:dyDescent="0.2"/>
  <cols>
    <col min="1" max="2" width="3.1640625" bestFit="1" customWidth="1"/>
    <col min="3" max="3" width="13" customWidth="1"/>
    <col min="4" max="4" width="3.5" customWidth="1"/>
    <col min="5" max="5" width="14.83203125" customWidth="1"/>
    <col min="6" max="6" width="9.83203125" customWidth="1"/>
    <col min="7" max="7" width="7.83203125" bestFit="1" customWidth="1"/>
    <col min="8" max="8" width="6.5" customWidth="1"/>
    <col min="9" max="9" width="10.1640625" bestFit="1" customWidth="1"/>
    <col min="10" max="10" width="7.6640625" bestFit="1" customWidth="1"/>
    <col min="11" max="11" width="9.6640625" bestFit="1" customWidth="1"/>
    <col min="12" max="12" width="10.6640625" bestFit="1" customWidth="1"/>
    <col min="13" max="13" width="8.6640625" bestFit="1" customWidth="1"/>
    <col min="14" max="14" width="9.5" customWidth="1"/>
    <col min="15" max="15" width="5.6640625" bestFit="1" customWidth="1"/>
    <col min="16" max="16" width="9.1640625" bestFit="1" customWidth="1"/>
    <col min="17" max="17" width="10.6640625" customWidth="1"/>
    <col min="18" max="18" width="6.33203125" bestFit="1" customWidth="1"/>
    <col min="19" max="19" width="7.6640625" bestFit="1" customWidth="1"/>
    <col min="20" max="20" width="9.1640625" bestFit="1" customWidth="1"/>
    <col min="21" max="21" width="6.6640625" bestFit="1" customWidth="1"/>
    <col min="22" max="22" width="9.1640625" bestFit="1" customWidth="1"/>
    <col min="23" max="23" width="10.1640625" bestFit="1" customWidth="1"/>
    <col min="24" max="24" width="7" bestFit="1" customWidth="1"/>
    <col min="25" max="25" width="6.6640625" bestFit="1" customWidth="1"/>
    <col min="26" max="26" width="10.1640625" bestFit="1" customWidth="1"/>
    <col min="27" max="27" width="6.6640625" bestFit="1" customWidth="1"/>
    <col min="28" max="28" width="10.6640625" customWidth="1"/>
    <col min="29" max="29" width="12.1640625" customWidth="1"/>
    <col min="30" max="30" width="8.33203125" bestFit="1" customWidth="1"/>
    <col min="31" max="31" width="6.1640625" bestFit="1" customWidth="1"/>
    <col min="32" max="32" width="10.1640625" customWidth="1"/>
    <col min="33" max="33" width="8.6640625" bestFit="1" customWidth="1"/>
    <col min="34" max="34" width="10.1640625" bestFit="1" customWidth="1"/>
    <col min="35" max="35" width="6.1640625" bestFit="1" customWidth="1"/>
    <col min="36" max="36" width="10.1640625" customWidth="1"/>
    <col min="37" max="37" width="6.1640625" bestFit="1" customWidth="1"/>
    <col min="38" max="38" width="10.1640625" bestFit="1" customWidth="1"/>
    <col min="39" max="39" width="6.1640625" bestFit="1" customWidth="1"/>
    <col min="40" max="40" width="10.1640625" bestFit="1" customWidth="1"/>
    <col min="41" max="41" width="5.83203125" customWidth="1"/>
    <col min="42" max="42" width="10.5" customWidth="1"/>
    <col min="43" max="43" width="11.83203125" customWidth="1"/>
    <col min="44" max="44" width="6.6640625" bestFit="1" customWidth="1"/>
    <col min="45" max="45" width="6.5" bestFit="1" customWidth="1"/>
    <col min="46" max="46" width="9.5" customWidth="1"/>
    <col min="47" max="47" width="6.5" bestFit="1" customWidth="1"/>
    <col min="48" max="48" width="9.5" customWidth="1"/>
    <col min="49" max="49" width="6.5" bestFit="1" customWidth="1"/>
    <col min="50" max="50" width="9.5" customWidth="1"/>
    <col min="51" max="51" width="6.5" bestFit="1" customWidth="1"/>
    <col min="52" max="52" width="10.1640625" bestFit="1" customWidth="1"/>
    <col min="53" max="53" width="6.5" bestFit="1" customWidth="1"/>
    <col min="54" max="54" width="10.1640625" bestFit="1" customWidth="1"/>
    <col min="55" max="55" width="6.5" bestFit="1" customWidth="1"/>
    <col min="56" max="56" width="10.1640625" bestFit="1" customWidth="1"/>
    <col min="57" max="57" width="6.5" bestFit="1" customWidth="1"/>
    <col min="58" max="58" width="9.1640625" bestFit="1" customWidth="1"/>
    <col min="59" max="59" width="6.5" bestFit="1" customWidth="1"/>
    <col min="60" max="60" width="10.1640625" customWidth="1"/>
    <col min="61" max="61" width="6.5" bestFit="1" customWidth="1"/>
    <col min="62" max="62" width="9.1640625" bestFit="1" customWidth="1"/>
    <col min="63" max="63" width="6.5" bestFit="1" customWidth="1"/>
    <col min="64" max="64" width="9.5" customWidth="1"/>
    <col min="65" max="65" width="6.5" bestFit="1" customWidth="1"/>
    <col min="66" max="66" width="9.5" customWidth="1"/>
    <col min="67" max="67" width="6.1640625" customWidth="1"/>
    <col min="68" max="68" width="9.5" customWidth="1"/>
    <col min="69" max="69" width="6.33203125" customWidth="1"/>
    <col min="70" max="70" width="9.5" customWidth="1"/>
    <col min="71" max="71" width="6.33203125" bestFit="1" customWidth="1"/>
    <col min="72" max="72" width="9.5" customWidth="1"/>
    <col min="73" max="73" width="11.6640625" bestFit="1" customWidth="1"/>
    <col min="74" max="74" width="11.1640625" bestFit="1" customWidth="1"/>
    <col min="75" max="77" width="12.83203125" customWidth="1"/>
    <col min="78" max="78" width="13.6640625" bestFit="1" customWidth="1"/>
    <col min="79" max="79" width="10.33203125" bestFit="1" customWidth="1"/>
    <col min="80" max="80" width="10.33203125" customWidth="1"/>
    <col min="81" max="81" width="13" customWidth="1"/>
    <col min="82" max="82" width="11.83203125" bestFit="1" customWidth="1"/>
    <col min="83" max="83" width="11.83203125" customWidth="1"/>
    <col min="84" max="84" width="10.33203125" customWidth="1"/>
    <col min="85" max="85" width="11.6640625" bestFit="1" customWidth="1"/>
    <col min="86" max="86" width="11.6640625" customWidth="1"/>
    <col min="87" max="87" width="14.33203125" customWidth="1"/>
    <col min="88" max="88" width="11.83203125" bestFit="1" customWidth="1"/>
    <col min="89" max="89" width="11.83203125" customWidth="1"/>
    <col min="90" max="90" width="10.33203125" bestFit="1" customWidth="1"/>
    <col min="91" max="91" width="8.5" customWidth="1"/>
    <col min="92" max="92" width="9.83203125" customWidth="1"/>
    <col min="93" max="93" width="11.33203125" bestFit="1" customWidth="1"/>
    <col min="94" max="94" width="10" customWidth="1"/>
    <col min="95" max="95" width="8.5" customWidth="1"/>
    <col min="96" max="96" width="12.5" customWidth="1"/>
    <col min="97" max="98" width="8.5" customWidth="1"/>
    <col min="99" max="99" width="6" bestFit="1" customWidth="1"/>
    <col min="100" max="100" width="8.33203125" bestFit="1" customWidth="1"/>
    <col min="101" max="101" width="9.1640625" bestFit="1" customWidth="1"/>
    <col min="102" max="102" width="9.83203125" bestFit="1" customWidth="1"/>
    <col min="103" max="103" width="11.6640625" bestFit="1" customWidth="1"/>
    <col min="104" max="104" width="11" bestFit="1" customWidth="1"/>
    <col min="105" max="105" width="9.6640625" bestFit="1" customWidth="1"/>
    <col min="106" max="106" width="11.6640625" bestFit="1" customWidth="1"/>
    <col min="107" max="107" width="10.5" customWidth="1"/>
    <col min="108" max="109" width="8" bestFit="1" customWidth="1"/>
    <col min="110" max="110" width="4.83203125" customWidth="1"/>
    <col min="111" max="111" width="4.6640625" bestFit="1" customWidth="1"/>
    <col min="112" max="112" width="8.1640625" bestFit="1" customWidth="1"/>
    <col min="113" max="113" width="8.6640625" bestFit="1" customWidth="1"/>
    <col min="114" max="114" width="7" bestFit="1" customWidth="1"/>
  </cols>
  <sheetData>
    <row r="1" spans="1:114" ht="15" customHeight="1" x14ac:dyDescent="0.2">
      <c r="F1" s="153"/>
      <c r="G1" s="154"/>
      <c r="CV1" s="2"/>
    </row>
    <row r="2" spans="1:114" ht="15" customHeight="1" x14ac:dyDescent="0.2">
      <c r="A2" s="209" t="s">
        <v>28</v>
      </c>
      <c r="B2" s="209"/>
      <c r="C2" s="210"/>
      <c r="D2" s="214" t="s">
        <v>149</v>
      </c>
      <c r="E2" s="214"/>
      <c r="F2" s="215" t="s">
        <v>370</v>
      </c>
      <c r="G2" s="217" t="s">
        <v>369</v>
      </c>
      <c r="H2" s="220" t="s">
        <v>156</v>
      </c>
      <c r="I2" s="220" t="s">
        <v>157</v>
      </c>
      <c r="J2" s="219" t="s">
        <v>27</v>
      </c>
      <c r="K2" s="203" t="s">
        <v>221</v>
      </c>
      <c r="L2" s="203"/>
      <c r="M2" s="203" t="s">
        <v>222</v>
      </c>
      <c r="N2" s="203"/>
      <c r="O2" s="206" t="s">
        <v>8</v>
      </c>
      <c r="P2" s="207"/>
      <c r="Q2" s="207"/>
      <c r="R2" s="208"/>
      <c r="S2" s="203" t="s">
        <v>223</v>
      </c>
      <c r="T2" s="203"/>
      <c r="U2" s="206" t="s">
        <v>7</v>
      </c>
      <c r="V2" s="207"/>
      <c r="W2" s="207"/>
      <c r="X2" s="208"/>
      <c r="Y2" s="203" t="s">
        <v>224</v>
      </c>
      <c r="Z2" s="203"/>
      <c r="AA2" s="206" t="s">
        <v>5</v>
      </c>
      <c r="AB2" s="207"/>
      <c r="AC2" s="207"/>
      <c r="AD2" s="208"/>
      <c r="AE2" s="203" t="s">
        <v>225</v>
      </c>
      <c r="AF2" s="203"/>
      <c r="AG2" s="203" t="s">
        <v>226</v>
      </c>
      <c r="AH2" s="203"/>
      <c r="AI2" s="203" t="s">
        <v>227</v>
      </c>
      <c r="AJ2" s="203"/>
      <c r="AK2" s="203" t="s">
        <v>228</v>
      </c>
      <c r="AL2" s="203"/>
      <c r="AM2" s="203" t="s">
        <v>229</v>
      </c>
      <c r="AN2" s="203"/>
      <c r="AO2" s="206" t="s">
        <v>230</v>
      </c>
      <c r="AP2" s="207"/>
      <c r="AQ2" s="207"/>
      <c r="AR2" s="208"/>
      <c r="AS2" s="203" t="s">
        <v>231</v>
      </c>
      <c r="AT2" s="203"/>
      <c r="AU2" s="203" t="s">
        <v>232</v>
      </c>
      <c r="AV2" s="203"/>
      <c r="AW2" s="203" t="s">
        <v>233</v>
      </c>
      <c r="AX2" s="203"/>
      <c r="AY2" s="203" t="s">
        <v>234</v>
      </c>
      <c r="AZ2" s="203"/>
      <c r="BA2" s="203" t="s">
        <v>235</v>
      </c>
      <c r="BB2" s="203"/>
      <c r="BC2" s="203" t="s">
        <v>236</v>
      </c>
      <c r="BD2" s="203"/>
      <c r="BE2" s="203" t="s">
        <v>237</v>
      </c>
      <c r="BF2" s="203"/>
      <c r="BG2" s="203" t="s">
        <v>238</v>
      </c>
      <c r="BH2" s="203"/>
      <c r="BI2" s="203" t="s">
        <v>239</v>
      </c>
      <c r="BJ2" s="203"/>
      <c r="BK2" s="203" t="s">
        <v>240</v>
      </c>
      <c r="BL2" s="203"/>
      <c r="BM2" s="203" t="s">
        <v>241</v>
      </c>
      <c r="BN2" s="203"/>
      <c r="BO2" s="203" t="s">
        <v>242</v>
      </c>
      <c r="BP2" s="203"/>
      <c r="BQ2" s="203" t="s">
        <v>243</v>
      </c>
      <c r="BR2" s="203"/>
      <c r="BS2" s="203" t="s">
        <v>244</v>
      </c>
      <c r="BT2" s="203"/>
      <c r="BU2" s="52">
        <v>57</v>
      </c>
      <c r="BV2" s="204" t="s">
        <v>297</v>
      </c>
      <c r="BW2" s="204" t="s">
        <v>298</v>
      </c>
      <c r="BX2" s="199" t="s">
        <v>378</v>
      </c>
      <c r="BY2" s="199" t="s">
        <v>394</v>
      </c>
      <c r="BZ2" s="201" t="s">
        <v>373</v>
      </c>
      <c r="CA2" s="204" t="s">
        <v>296</v>
      </c>
      <c r="CB2" s="204" t="s">
        <v>354</v>
      </c>
      <c r="CC2" s="204" t="s">
        <v>375</v>
      </c>
      <c r="CD2" s="199" t="s">
        <v>376</v>
      </c>
      <c r="CE2" s="178"/>
      <c r="CF2" s="225" t="s">
        <v>371</v>
      </c>
      <c r="CG2" s="204" t="s">
        <v>245</v>
      </c>
      <c r="CH2" s="204" t="s">
        <v>355</v>
      </c>
      <c r="CI2" s="204" t="s">
        <v>374</v>
      </c>
      <c r="CJ2" s="199" t="s">
        <v>377</v>
      </c>
      <c r="CK2" s="178"/>
      <c r="CL2" s="225" t="s">
        <v>372</v>
      </c>
      <c r="CM2" s="204" t="s">
        <v>300</v>
      </c>
      <c r="CN2" s="204" t="s">
        <v>301</v>
      </c>
      <c r="CO2" s="204" t="s">
        <v>299</v>
      </c>
      <c r="CP2" s="204" t="s">
        <v>302</v>
      </c>
      <c r="CQ2" s="204" t="s">
        <v>26</v>
      </c>
      <c r="CR2" s="199" t="s">
        <v>398</v>
      </c>
      <c r="CS2" s="178"/>
      <c r="CT2" s="201" t="s">
        <v>391</v>
      </c>
      <c r="CU2" s="224" t="s">
        <v>38</v>
      </c>
      <c r="CV2" s="224"/>
      <c r="CW2" s="224"/>
      <c r="CX2" s="224"/>
      <c r="CY2" s="224"/>
      <c r="CZ2" s="224"/>
      <c r="DA2" s="224"/>
      <c r="DB2" s="224"/>
      <c r="DC2" s="224"/>
      <c r="DD2" s="224"/>
      <c r="DE2" s="224"/>
      <c r="DF2" s="224"/>
      <c r="DG2" s="224"/>
      <c r="DH2" s="224"/>
      <c r="DI2" s="224"/>
      <c r="DJ2" s="224"/>
    </row>
    <row r="3" spans="1:114" s="1" customFormat="1" ht="42" customHeight="1" x14ac:dyDescent="0.2">
      <c r="A3" s="211"/>
      <c r="B3" s="211"/>
      <c r="C3" s="212"/>
      <c r="D3" s="214"/>
      <c r="E3" s="214"/>
      <c r="F3" s="216"/>
      <c r="G3" s="218"/>
      <c r="H3" s="220"/>
      <c r="I3" s="214"/>
      <c r="J3" s="216"/>
      <c r="K3" s="52" t="s">
        <v>3</v>
      </c>
      <c r="L3" s="51" t="s">
        <v>2</v>
      </c>
      <c r="M3" s="52" t="s">
        <v>3</v>
      </c>
      <c r="N3" s="51" t="s">
        <v>2</v>
      </c>
      <c r="O3" s="51" t="s">
        <v>3</v>
      </c>
      <c r="P3" s="51" t="s">
        <v>2</v>
      </c>
      <c r="Q3" s="51" t="s">
        <v>106</v>
      </c>
      <c r="R3" s="93" t="s">
        <v>109</v>
      </c>
      <c r="S3" s="52" t="s">
        <v>3</v>
      </c>
      <c r="T3" s="51" t="s">
        <v>2</v>
      </c>
      <c r="U3" s="51" t="s">
        <v>3</v>
      </c>
      <c r="V3" s="51" t="s">
        <v>2</v>
      </c>
      <c r="W3" s="51" t="s">
        <v>106</v>
      </c>
      <c r="X3" s="93" t="s">
        <v>109</v>
      </c>
      <c r="Y3" s="52" t="s">
        <v>3</v>
      </c>
      <c r="Z3" s="51" t="s">
        <v>2</v>
      </c>
      <c r="AA3" s="51" t="s">
        <v>3</v>
      </c>
      <c r="AB3" s="51" t="s">
        <v>105</v>
      </c>
      <c r="AC3" s="51" t="s">
        <v>106</v>
      </c>
      <c r="AD3" s="93" t="s">
        <v>109</v>
      </c>
      <c r="AE3" s="52" t="s">
        <v>3</v>
      </c>
      <c r="AF3" s="51" t="s">
        <v>105</v>
      </c>
      <c r="AG3" s="52" t="s">
        <v>3</v>
      </c>
      <c r="AH3" s="51" t="s">
        <v>2</v>
      </c>
      <c r="AI3" s="52" t="s">
        <v>3</v>
      </c>
      <c r="AJ3" s="51" t="s">
        <v>2</v>
      </c>
      <c r="AK3" s="52" t="s">
        <v>3</v>
      </c>
      <c r="AL3" s="51" t="s">
        <v>2</v>
      </c>
      <c r="AM3" s="52" t="s">
        <v>3</v>
      </c>
      <c r="AN3" s="51" t="s">
        <v>2</v>
      </c>
      <c r="AO3" s="52" t="s">
        <v>3</v>
      </c>
      <c r="AP3" s="51" t="s">
        <v>105</v>
      </c>
      <c r="AQ3" s="51" t="s">
        <v>106</v>
      </c>
      <c r="AR3" s="93" t="s">
        <v>109</v>
      </c>
      <c r="AS3" s="52" t="s">
        <v>3</v>
      </c>
      <c r="AT3" s="51" t="s">
        <v>2</v>
      </c>
      <c r="AU3" s="52" t="s">
        <v>3</v>
      </c>
      <c r="AV3" s="51" t="s">
        <v>2</v>
      </c>
      <c r="AW3" s="52" t="s">
        <v>3</v>
      </c>
      <c r="AX3" s="51" t="s">
        <v>2</v>
      </c>
      <c r="AY3" s="52" t="s">
        <v>3</v>
      </c>
      <c r="AZ3" s="51" t="s">
        <v>2</v>
      </c>
      <c r="BA3" s="52" t="s">
        <v>3</v>
      </c>
      <c r="BB3" s="51" t="s">
        <v>2</v>
      </c>
      <c r="BC3" s="52" t="s">
        <v>3</v>
      </c>
      <c r="BD3" s="51" t="s">
        <v>2</v>
      </c>
      <c r="BE3" s="52" t="s">
        <v>3</v>
      </c>
      <c r="BF3" s="51" t="s">
        <v>2</v>
      </c>
      <c r="BG3" s="52" t="s">
        <v>3</v>
      </c>
      <c r="BH3" s="51" t="s">
        <v>2</v>
      </c>
      <c r="BI3" s="52" t="s">
        <v>3</v>
      </c>
      <c r="BJ3" s="51" t="s">
        <v>2</v>
      </c>
      <c r="BK3" s="52" t="s">
        <v>3</v>
      </c>
      <c r="BL3" s="51" t="s">
        <v>2</v>
      </c>
      <c r="BM3" s="52" t="s">
        <v>3</v>
      </c>
      <c r="BN3" s="51" t="s">
        <v>2</v>
      </c>
      <c r="BO3" s="52" t="s">
        <v>3</v>
      </c>
      <c r="BP3" s="51" t="s">
        <v>2</v>
      </c>
      <c r="BQ3" s="52" t="s">
        <v>3</v>
      </c>
      <c r="BR3" s="51" t="s">
        <v>2</v>
      </c>
      <c r="BS3" s="52" t="s">
        <v>3</v>
      </c>
      <c r="BT3" s="51" t="s">
        <v>2</v>
      </c>
      <c r="BU3" s="52" t="s">
        <v>108</v>
      </c>
      <c r="BV3" s="205"/>
      <c r="BW3" s="205"/>
      <c r="BX3" s="200"/>
      <c r="BY3" s="200"/>
      <c r="BZ3" s="202"/>
      <c r="CA3" s="205"/>
      <c r="CB3" s="205"/>
      <c r="CC3" s="205"/>
      <c r="CD3" s="200"/>
      <c r="CE3" s="179" t="s">
        <v>394</v>
      </c>
      <c r="CF3" s="226"/>
      <c r="CG3" s="205"/>
      <c r="CH3" s="205"/>
      <c r="CI3" s="205"/>
      <c r="CJ3" s="200"/>
      <c r="CK3" s="179" t="s">
        <v>395</v>
      </c>
      <c r="CL3" s="226"/>
      <c r="CM3" s="205"/>
      <c r="CN3" s="205"/>
      <c r="CO3" s="205"/>
      <c r="CP3" s="205"/>
      <c r="CQ3" s="205"/>
      <c r="CR3" s="200"/>
      <c r="CS3" s="179" t="s">
        <v>397</v>
      </c>
      <c r="CT3" s="202"/>
      <c r="CU3" s="70" t="s">
        <v>37</v>
      </c>
      <c r="CV3" s="71" t="s">
        <v>246</v>
      </c>
      <c r="CW3" s="70" t="s">
        <v>29</v>
      </c>
      <c r="CX3" s="71" t="s">
        <v>247</v>
      </c>
      <c r="CY3" s="71" t="s">
        <v>248</v>
      </c>
      <c r="CZ3" s="71" t="s">
        <v>30</v>
      </c>
      <c r="DA3" s="71" t="s">
        <v>249</v>
      </c>
      <c r="DB3" s="71" t="s">
        <v>39</v>
      </c>
      <c r="DC3" s="71" t="s">
        <v>36</v>
      </c>
      <c r="DD3" s="71" t="s">
        <v>31</v>
      </c>
      <c r="DE3" s="71" t="s">
        <v>32</v>
      </c>
      <c r="DF3" s="71" t="s">
        <v>33</v>
      </c>
      <c r="DG3" s="70" t="s">
        <v>34</v>
      </c>
      <c r="DH3" s="70" t="s">
        <v>250</v>
      </c>
      <c r="DI3" s="70" t="s">
        <v>251</v>
      </c>
      <c r="DJ3" s="70" t="s">
        <v>295</v>
      </c>
    </row>
    <row r="4" spans="1:114" s="1" customFormat="1" ht="18" x14ac:dyDescent="0.2">
      <c r="A4" s="55">
        <v>61</v>
      </c>
      <c r="B4" s="51">
        <v>32</v>
      </c>
      <c r="C4" s="51" t="s">
        <v>111</v>
      </c>
      <c r="D4" s="246" t="s">
        <v>152</v>
      </c>
      <c r="E4" s="247"/>
      <c r="F4" s="155">
        <v>0.03</v>
      </c>
      <c r="G4" s="221" t="s">
        <v>362</v>
      </c>
      <c r="H4" s="168">
        <v>3</v>
      </c>
      <c r="I4" s="9">
        <v>30.751000000000001</v>
      </c>
      <c r="J4" s="108">
        <f t="shared" ref="J4:J32" si="0">3.01176/I4</f>
        <v>9.7940229586029728E-2</v>
      </c>
      <c r="K4" s="8"/>
      <c r="L4" s="8"/>
      <c r="M4" s="13"/>
      <c r="N4" s="11"/>
      <c r="O4" s="8"/>
      <c r="P4" s="11"/>
      <c r="Q4" s="11"/>
      <c r="R4" s="94"/>
      <c r="S4" s="8"/>
      <c r="T4" s="11"/>
      <c r="U4" s="8"/>
      <c r="V4" s="11"/>
      <c r="W4" s="11"/>
      <c r="X4" s="94"/>
      <c r="Y4" s="11"/>
      <c r="Z4" s="11"/>
      <c r="AA4" s="8" t="s">
        <v>350</v>
      </c>
      <c r="AB4" s="11">
        <v>417181</v>
      </c>
      <c r="AC4" s="11">
        <v>126545094</v>
      </c>
      <c r="AD4" s="102">
        <f t="shared" ref="AD4:AD11" si="1">AB4/AC4</f>
        <v>3.2966983295298672E-3</v>
      </c>
      <c r="AE4" s="8">
        <v>20.6</v>
      </c>
      <c r="AF4" s="11">
        <v>3388807</v>
      </c>
      <c r="AG4" s="8">
        <v>22.77</v>
      </c>
      <c r="AH4" s="11">
        <v>9943652</v>
      </c>
      <c r="AI4" s="8">
        <v>24.9</v>
      </c>
      <c r="AJ4" s="11">
        <v>15736500</v>
      </c>
      <c r="AK4" s="8">
        <v>26.96</v>
      </c>
      <c r="AL4" s="11">
        <v>24504789</v>
      </c>
      <c r="AM4" s="8">
        <v>28.94</v>
      </c>
      <c r="AN4" s="11">
        <v>19470732</v>
      </c>
      <c r="AO4" s="8">
        <v>30.85</v>
      </c>
      <c r="AP4" s="11">
        <v>36468114</v>
      </c>
      <c r="AQ4" s="11">
        <v>370135203</v>
      </c>
      <c r="AR4" s="95">
        <f>AP4/AQ4</f>
        <v>9.8526467367655385E-2</v>
      </c>
      <c r="AS4" s="8">
        <v>32.71</v>
      </c>
      <c r="AT4" s="11">
        <v>14865818</v>
      </c>
      <c r="AU4" s="8">
        <v>34.5</v>
      </c>
      <c r="AV4" s="11">
        <v>25098334</v>
      </c>
      <c r="AW4" s="8">
        <v>36.229999999999997</v>
      </c>
      <c r="AX4" s="11">
        <v>12034269</v>
      </c>
      <c r="AY4" s="8">
        <v>37.909999999999997</v>
      </c>
      <c r="AZ4" s="11">
        <v>30992408</v>
      </c>
      <c r="BA4" s="8">
        <v>39.54</v>
      </c>
      <c r="BB4" s="11">
        <v>7844083</v>
      </c>
      <c r="BC4" s="8">
        <v>41.1</v>
      </c>
      <c r="BD4" s="11">
        <v>39655595</v>
      </c>
      <c r="BE4" s="8">
        <v>42.63</v>
      </c>
      <c r="BF4" s="11">
        <v>5589279</v>
      </c>
      <c r="BG4" s="8">
        <v>44.1</v>
      </c>
      <c r="BH4" s="11">
        <v>17289948</v>
      </c>
      <c r="BI4" s="8">
        <v>45.56</v>
      </c>
      <c r="BJ4" s="11">
        <v>4549338</v>
      </c>
      <c r="BK4" s="8">
        <v>46.95</v>
      </c>
      <c r="BL4" s="11">
        <v>8073768</v>
      </c>
      <c r="BM4" s="8">
        <v>48.48</v>
      </c>
      <c r="BN4" s="11">
        <v>2875306</v>
      </c>
      <c r="BO4" s="8">
        <v>50.29</v>
      </c>
      <c r="BP4" s="11">
        <v>3026726</v>
      </c>
      <c r="BQ4" s="8"/>
      <c r="BR4" s="11"/>
      <c r="BS4" s="8"/>
      <c r="BT4" s="11"/>
      <c r="BU4" s="17">
        <f t="shared" ref="BU4:BU64" si="2">SUM(L4,N4,T4,Z4,AF4,AH4,AJ4,AL4,AN4,AP4,AT4,AV4,AX4,AZ4,BB4,BD4,BF4,BH4,BJ4,BL4,BN4,BP4,BR4,BT4)</f>
        <v>281407466</v>
      </c>
      <c r="BV4" s="8">
        <f>(BU4*J4)/AB4</f>
        <v>66.065117604260152</v>
      </c>
      <c r="BW4" s="8">
        <f>(BV4*0.002)/0.1</f>
        <v>1.321302352085203</v>
      </c>
      <c r="BX4" s="159">
        <f t="shared" ref="BX4:BX32" si="3">BW4*F4</f>
        <v>3.963907056255609E-2</v>
      </c>
      <c r="BY4" s="159">
        <f>(BX4/108.03)*100</f>
        <v>3.6692650710502719E-2</v>
      </c>
      <c r="BZ4" s="160">
        <f>BX4/33.16</f>
        <v>1.1953881351796168E-3</v>
      </c>
      <c r="CA4" s="16">
        <f t="shared" ref="CA4:CA64" si="4">(L4+N4+T4+Z4+AF4+AH4)</f>
        <v>13332459</v>
      </c>
      <c r="CB4" s="9">
        <f>(CA4*J4)/AB4</f>
        <v>3.1300181345898501</v>
      </c>
      <c r="CC4" s="9">
        <f>CB4*0.002/0.1</f>
        <v>6.2600362691797001E-2</v>
      </c>
      <c r="CD4" s="158">
        <f t="shared" ref="CD4:CD32" si="5">CC4*F4</f>
        <v>1.87801088075391E-3</v>
      </c>
      <c r="CE4" s="158">
        <f>(CD4/4.515)*100</f>
        <v>4.1594925376609304E-2</v>
      </c>
      <c r="CF4" s="171">
        <f>CD4/29</f>
        <v>6.4758995888065867E-5</v>
      </c>
      <c r="CG4" s="16">
        <f t="shared" ref="CG4:CG64" si="6">AP4+AT4+AV4+AX4+AZ4+BB4+BD4+BF4+BH4+BJ4+BL4+BN4+BP4+BR4+BT4</f>
        <v>208362986</v>
      </c>
      <c r="CH4" s="8">
        <f>(CG4*J4)/AB4</f>
        <v>48.916702069535042</v>
      </c>
      <c r="CI4" s="8">
        <f>(CH4*0.002)/0.1</f>
        <v>0.97833404139070079</v>
      </c>
      <c r="CJ4" s="159">
        <f t="shared" ref="CJ4:CJ32" si="7">CI4*F4</f>
        <v>2.9350021241721022E-2</v>
      </c>
      <c r="CK4" s="159">
        <f>(CJ4/88.13)*100</f>
        <v>3.330309910554978E-2</v>
      </c>
      <c r="CL4" s="157">
        <f>CJ4/29</f>
        <v>1.0120696979903801E-3</v>
      </c>
      <c r="CM4" s="8">
        <f>(P4*J4/AB4)</f>
        <v>0</v>
      </c>
      <c r="CN4" s="9">
        <f t="shared" ref="CN4:CN64" si="8">CM4*0.002/0.2</f>
        <v>0</v>
      </c>
      <c r="CO4" s="8">
        <f t="shared" ref="CO4:CO64" si="9">(V4*P4/AC4)</f>
        <v>0</v>
      </c>
      <c r="CP4" s="8">
        <f t="shared" ref="CP4:CP64" si="10">CO4*0.002/0.2</f>
        <v>0</v>
      </c>
      <c r="CQ4" s="8">
        <f>CN4+CP4</f>
        <v>0</v>
      </c>
      <c r="CR4" s="159">
        <f t="shared" ref="CR4:CR32" si="11">CQ4*F4</f>
        <v>0</v>
      </c>
      <c r="CS4" s="159">
        <f>(CR4/5970.02)*100</f>
        <v>0</v>
      </c>
      <c r="CT4" s="166">
        <f>CR4/2872</f>
        <v>0</v>
      </c>
      <c r="CU4" s="42" t="s">
        <v>217</v>
      </c>
      <c r="CV4" s="43">
        <v>31</v>
      </c>
      <c r="CW4" s="44">
        <f t="shared" ref="CW4:CW64" si="12">BD4/(AZ4+BD4)</f>
        <v>0.56131232754024196</v>
      </c>
      <c r="CX4" s="44">
        <f t="shared" ref="CX4:CX64" si="13">CG4/BU4</f>
        <v>0.74043162024706199</v>
      </c>
      <c r="CY4" s="43">
        <f t="shared" ref="CY4:CY64" si="14">CG4</f>
        <v>208362986</v>
      </c>
      <c r="CZ4" s="44">
        <f>CG4/CA4</f>
        <v>15.628248772413251</v>
      </c>
      <c r="DA4" s="45">
        <f t="shared" ref="DA4:DA64" si="15">CA4/BU4</f>
        <v>4.7377772841321844E-2</v>
      </c>
      <c r="DB4" s="43">
        <f t="shared" ref="DB4:DB64" si="16">CA4</f>
        <v>13332459</v>
      </c>
      <c r="DC4" s="45">
        <f t="shared" ref="DC4:DC64" si="17">DB4/CY4</f>
        <v>6.3986695794424828E-2</v>
      </c>
      <c r="DD4" s="44">
        <f t="shared" ref="DD4:DD64" si="18">CN4+CP4</f>
        <v>0</v>
      </c>
      <c r="DE4" s="44"/>
      <c r="DF4" s="46">
        <f t="shared" ref="DF4:DF64" si="19">((AV4+(6*AZ4)+BD4)/((4*AX4)+(4+BB4)))</f>
        <v>4.4784417394115232</v>
      </c>
      <c r="DG4" s="44">
        <f>((2*(AP4+AV4+AZ4+BD4))/(AN4+(2*(AT4+AX4+BB4))+BF4))</f>
        <v>2.7967584754598205</v>
      </c>
      <c r="DH4" s="44"/>
      <c r="DI4" s="44"/>
      <c r="DJ4" s="92"/>
    </row>
    <row r="5" spans="1:114" ht="15" customHeight="1" x14ac:dyDescent="0.2">
      <c r="A5" s="58">
        <v>60</v>
      </c>
      <c r="B5" s="51">
        <v>31</v>
      </c>
      <c r="C5" s="51" t="s">
        <v>112</v>
      </c>
      <c r="D5" s="248"/>
      <c r="E5" s="249"/>
      <c r="F5" s="155">
        <v>0.03</v>
      </c>
      <c r="G5" s="222"/>
      <c r="H5" s="168">
        <v>2.9</v>
      </c>
      <c r="I5" s="9">
        <v>30.834399999999999</v>
      </c>
      <c r="J5" s="108">
        <f t="shared" si="0"/>
        <v>9.7675323664478647E-2</v>
      </c>
      <c r="K5" s="8"/>
      <c r="L5" s="8"/>
      <c r="M5" s="8">
        <v>13.96</v>
      </c>
      <c r="N5" s="11">
        <v>1350289</v>
      </c>
      <c r="O5" s="8">
        <v>14.16</v>
      </c>
      <c r="P5" s="11">
        <v>3811068</v>
      </c>
      <c r="Q5" s="11">
        <v>13119254</v>
      </c>
      <c r="R5" s="95">
        <f>P5/Q5</f>
        <v>0.29049426133528627</v>
      </c>
      <c r="S5" s="8">
        <v>16.059999999999999</v>
      </c>
      <c r="T5" s="11">
        <v>766566</v>
      </c>
      <c r="U5" s="8">
        <v>16.260000000000002</v>
      </c>
      <c r="V5" s="11">
        <v>1778191</v>
      </c>
      <c r="W5" s="11">
        <v>12318380</v>
      </c>
      <c r="X5" s="95">
        <f t="shared" ref="X5:X30" si="20">V5/W5</f>
        <v>0.14435266650322526</v>
      </c>
      <c r="Y5" s="11">
        <v>18.25</v>
      </c>
      <c r="Z5" s="11">
        <v>2217999</v>
      </c>
      <c r="AA5" s="8">
        <v>19.920000000000002</v>
      </c>
      <c r="AB5" s="11">
        <v>1651982</v>
      </c>
      <c r="AC5" s="11">
        <v>748636524</v>
      </c>
      <c r="AD5" s="102">
        <f t="shared" si="1"/>
        <v>2.2066542935594204E-3</v>
      </c>
      <c r="AE5" s="8">
        <v>20.46</v>
      </c>
      <c r="AF5" s="11">
        <v>3653410</v>
      </c>
      <c r="AG5" s="8">
        <v>22.67</v>
      </c>
      <c r="AH5" s="11">
        <v>5300704</v>
      </c>
      <c r="AI5" s="8">
        <v>24.77</v>
      </c>
      <c r="AJ5" s="11">
        <v>4302494</v>
      </c>
      <c r="AK5" s="8">
        <v>26.82</v>
      </c>
      <c r="AL5" s="11">
        <v>4813841</v>
      </c>
      <c r="AM5" s="8">
        <v>28.81</v>
      </c>
      <c r="AN5" s="11">
        <v>5469727</v>
      </c>
      <c r="AO5" s="8">
        <v>30.7</v>
      </c>
      <c r="AP5" s="11">
        <v>6811757</v>
      </c>
      <c r="AQ5" s="11">
        <v>104278874</v>
      </c>
      <c r="AR5" s="95">
        <f t="shared" ref="AR5:AR64" si="21">AP5/AQ5</f>
        <v>6.5322502427481138E-2</v>
      </c>
      <c r="AS5" s="8">
        <v>32.57</v>
      </c>
      <c r="AT5" s="11">
        <v>1283916</v>
      </c>
      <c r="AU5" s="8">
        <v>34.340000000000003</v>
      </c>
      <c r="AV5" s="11">
        <v>2630172</v>
      </c>
      <c r="AW5" s="8">
        <v>36.090000000000003</v>
      </c>
      <c r="AX5" s="11">
        <v>956700</v>
      </c>
      <c r="AY5" s="8">
        <v>37.72</v>
      </c>
      <c r="AZ5" s="11">
        <v>1814880</v>
      </c>
      <c r="BA5" s="8">
        <v>39.36</v>
      </c>
      <c r="BB5" s="11">
        <v>489693</v>
      </c>
      <c r="BC5" s="8">
        <v>40.94</v>
      </c>
      <c r="BD5" s="11">
        <v>985743</v>
      </c>
      <c r="BE5" s="8"/>
      <c r="BF5" s="11"/>
      <c r="BG5" s="8"/>
      <c r="BH5" s="11"/>
      <c r="BI5" s="8"/>
      <c r="BJ5" s="11"/>
      <c r="BK5" s="8"/>
      <c r="BL5" s="11"/>
      <c r="BM5" s="8"/>
      <c r="BN5" s="11"/>
      <c r="BO5" s="8"/>
      <c r="BP5" s="11"/>
      <c r="BQ5" s="8"/>
      <c r="BR5" s="11"/>
      <c r="BS5" s="8"/>
      <c r="BT5" s="11"/>
      <c r="BU5" s="17">
        <f t="shared" si="2"/>
        <v>42847891</v>
      </c>
      <c r="BV5" s="8">
        <f t="shared" ref="BV5:BV64" si="22">(BU5*J5)/AB5</f>
        <v>2.5334305227086622</v>
      </c>
      <c r="BW5" s="8">
        <f t="shared" ref="BW5:BW64" si="23">(BV5*0.002)/0.1</f>
        <v>5.0668610454173237E-2</v>
      </c>
      <c r="BX5" s="159">
        <f t="shared" si="3"/>
        <v>1.5200583136251971E-3</v>
      </c>
      <c r="BY5" s="159">
        <f t="shared" ref="BY5:BY64" si="24">(BX5/108.03)*100</f>
        <v>1.4070705485746526E-3</v>
      </c>
      <c r="BZ5" s="160">
        <f t="shared" ref="BZ5:BZ65" si="25">BX5/33.16</f>
        <v>4.5840118022472778E-5</v>
      </c>
      <c r="CA5" s="16">
        <f t="shared" si="4"/>
        <v>13288968</v>
      </c>
      <c r="CB5" s="9">
        <f t="shared" ref="CB5:CB64" si="26">(CA5*J5)/AB5</f>
        <v>0.78572541986952615</v>
      </c>
      <c r="CC5" s="9">
        <f t="shared" ref="CC5:CC64" si="27">CB5*0.002/0.1</f>
        <v>1.5714508397390522E-2</v>
      </c>
      <c r="CD5" s="158">
        <f t="shared" si="5"/>
        <v>4.7143525192171561E-4</v>
      </c>
      <c r="CE5" s="158">
        <f t="shared" ref="CE5:CE64" si="28">(CD5/4.515)*100</f>
        <v>1.0441533818864134E-2</v>
      </c>
      <c r="CF5" s="171">
        <f t="shared" ref="CF5:CF64" si="29">CD5/29</f>
        <v>1.6256387997300539E-5</v>
      </c>
      <c r="CG5" s="16">
        <f t="shared" si="6"/>
        <v>14972861</v>
      </c>
      <c r="CH5" s="8">
        <f t="shared" ref="CH5:CH64" si="30">(CG5*J5)/AB5</f>
        <v>0.88528751787746451</v>
      </c>
      <c r="CI5" s="8">
        <f t="shared" ref="CI5:CI64" si="31">(CH5*0.002)/0.1</f>
        <v>1.7705750357549292E-2</v>
      </c>
      <c r="CJ5" s="159">
        <f t="shared" si="7"/>
        <v>5.3117251072647869E-4</v>
      </c>
      <c r="CK5" s="159">
        <f t="shared" ref="CK5:CK64" si="32">(CJ5/88.13)*100</f>
        <v>6.0271475176044335E-4</v>
      </c>
      <c r="CL5" s="157">
        <f t="shared" ref="CL5:CL64" si="33">CJ5/29</f>
        <v>1.8316293473326853E-5</v>
      </c>
      <c r="CM5" s="8">
        <f t="shared" ref="CM5:CM64" si="34">(P5*J5/AB5)</f>
        <v>0.22533375085644838</v>
      </c>
      <c r="CN5" s="9">
        <f t="shared" si="8"/>
        <v>2.2533375085644837E-3</v>
      </c>
      <c r="CO5" s="8">
        <f t="shared" si="9"/>
        <v>9052.199032154087</v>
      </c>
      <c r="CP5" s="8">
        <f t="shared" si="10"/>
        <v>90.521990321540869</v>
      </c>
      <c r="CQ5" s="8">
        <f t="shared" ref="CQ5:CQ64" si="35">CN5+CP5</f>
        <v>90.524243659049432</v>
      </c>
      <c r="CR5" s="159">
        <f t="shared" si="11"/>
        <v>2.7157273097714829</v>
      </c>
      <c r="CS5" s="159">
        <f t="shared" ref="CS5:CS64" si="36">(CR5/5970.02)*100</f>
        <v>4.5489417284556542E-2</v>
      </c>
      <c r="CT5" s="166">
        <f t="shared" ref="CT5:CT64" si="37">CR5/2872</f>
        <v>9.4558750340232689E-4</v>
      </c>
      <c r="CU5" s="42" t="s">
        <v>211</v>
      </c>
      <c r="CV5" s="43">
        <v>31</v>
      </c>
      <c r="CW5" s="44">
        <f t="shared" si="12"/>
        <v>0.35197275749002987</v>
      </c>
      <c r="CX5" s="44">
        <f t="shared" si="13"/>
        <v>0.34944219308250202</v>
      </c>
      <c r="CY5" s="43">
        <f t="shared" si="14"/>
        <v>14972861</v>
      </c>
      <c r="CZ5" s="44">
        <f t="shared" ref="CZ5:CZ64" si="38">CG5/CA5</f>
        <v>1.1267136018387582</v>
      </c>
      <c r="DA5" s="45">
        <f t="shared" si="15"/>
        <v>0.31014287260952939</v>
      </c>
      <c r="DB5" s="43">
        <f t="shared" si="16"/>
        <v>13288968</v>
      </c>
      <c r="DC5" s="45">
        <f t="shared" si="17"/>
        <v>0.88753699109341899</v>
      </c>
      <c r="DD5" s="44">
        <f t="shared" si="18"/>
        <v>90.524243659049432</v>
      </c>
      <c r="DE5" s="44">
        <f t="shared" ref="DE5:DE64" si="39">((AV5+AZ5+BD5)/(N5+Z5))</f>
        <v>1.5219609515823835</v>
      </c>
      <c r="DF5" s="46">
        <f t="shared" si="19"/>
        <v>3.3604089149141076</v>
      </c>
      <c r="DG5" s="44">
        <f t="shared" ref="DG5:DG64" si="40">((2*(AP5+AV5+AZ5+BD5))/(AN5+(2*(AT5+AX5+BB5))+BF5))</f>
        <v>2.2401034917013143</v>
      </c>
      <c r="DH5" s="44">
        <f>P5/N5</f>
        <v>2.822409128712446</v>
      </c>
      <c r="DI5" s="44">
        <f t="shared" ref="DI5:DI64" si="41">V5/T5</f>
        <v>2.3196841498318475</v>
      </c>
      <c r="DJ5" s="92">
        <f>P5/V5</f>
        <v>2.1432275835385513</v>
      </c>
    </row>
    <row r="6" spans="1:114" ht="15" customHeight="1" x14ac:dyDescent="0.2">
      <c r="A6" s="58">
        <v>59</v>
      </c>
      <c r="B6" s="51">
        <v>30</v>
      </c>
      <c r="C6" s="51" t="s">
        <v>113</v>
      </c>
      <c r="D6" s="248"/>
      <c r="E6" s="249"/>
      <c r="F6" s="155">
        <v>0.03</v>
      </c>
      <c r="G6" s="222"/>
      <c r="H6" s="168">
        <v>2.8</v>
      </c>
      <c r="I6" s="9">
        <v>30.790299999999998</v>
      </c>
      <c r="J6" s="108">
        <f t="shared" si="0"/>
        <v>9.7815221027401505E-2</v>
      </c>
      <c r="K6" s="8"/>
      <c r="L6" s="8"/>
      <c r="M6" s="8">
        <v>14.01</v>
      </c>
      <c r="N6" s="11">
        <v>150693</v>
      </c>
      <c r="O6" s="8">
        <v>14.18</v>
      </c>
      <c r="P6" s="11">
        <v>270258</v>
      </c>
      <c r="Q6" s="11">
        <v>844360</v>
      </c>
      <c r="R6" s="95">
        <f t="shared" ref="R6:R24" si="42">P6/Q6</f>
        <v>0.32007437585863852</v>
      </c>
      <c r="S6" s="8">
        <v>16.11</v>
      </c>
      <c r="T6" s="11">
        <v>192714</v>
      </c>
      <c r="U6" s="8">
        <v>16.260000000000002</v>
      </c>
      <c r="V6" s="11">
        <v>516963</v>
      </c>
      <c r="W6" s="11">
        <v>3410456</v>
      </c>
      <c r="X6" s="95">
        <f t="shared" si="20"/>
        <v>0.15158178261206126</v>
      </c>
      <c r="Y6" s="11">
        <v>18.260000000000002</v>
      </c>
      <c r="Z6" s="11">
        <v>1045206</v>
      </c>
      <c r="AA6" s="8">
        <v>19.920000000000002</v>
      </c>
      <c r="AB6" s="11">
        <v>908538</v>
      </c>
      <c r="AC6" s="11">
        <v>629507661</v>
      </c>
      <c r="AD6" s="102">
        <f t="shared" si="1"/>
        <v>1.443251696979745E-3</v>
      </c>
      <c r="AE6" s="8">
        <v>20.47</v>
      </c>
      <c r="AF6" s="11">
        <v>3203246</v>
      </c>
      <c r="AG6" s="8">
        <v>22.64</v>
      </c>
      <c r="AH6" s="11">
        <v>7908303</v>
      </c>
      <c r="AI6" s="8">
        <v>24.75</v>
      </c>
      <c r="AJ6" s="11">
        <v>8265697</v>
      </c>
      <c r="AK6" s="8">
        <v>26.81</v>
      </c>
      <c r="AL6" s="11">
        <v>10572906</v>
      </c>
      <c r="AM6" s="8">
        <v>28.78</v>
      </c>
      <c r="AN6" s="11">
        <v>7425281</v>
      </c>
      <c r="AO6" s="8">
        <v>30.7</v>
      </c>
      <c r="AP6" s="11">
        <v>31022979</v>
      </c>
      <c r="AQ6" s="11">
        <v>243496418</v>
      </c>
      <c r="AR6" s="95">
        <f t="shared" si="21"/>
        <v>0.12740630541842304</v>
      </c>
      <c r="AS6" s="8">
        <v>32.54</v>
      </c>
      <c r="AT6" s="11">
        <v>4694875</v>
      </c>
      <c r="AU6" s="8">
        <v>34.32</v>
      </c>
      <c r="AV6" s="11">
        <v>7783803</v>
      </c>
      <c r="AW6" s="8">
        <v>36.049999999999997</v>
      </c>
      <c r="AX6" s="11">
        <v>3009605</v>
      </c>
      <c r="AY6" s="8">
        <v>37.72</v>
      </c>
      <c r="AZ6" s="11">
        <v>7003088</v>
      </c>
      <c r="BA6" s="8">
        <v>39.35</v>
      </c>
      <c r="BB6" s="11">
        <v>1165936</v>
      </c>
      <c r="BC6" s="8">
        <v>40.92</v>
      </c>
      <c r="BD6" s="11">
        <v>4350360</v>
      </c>
      <c r="BE6" s="8">
        <v>42.43</v>
      </c>
      <c r="BF6" s="11">
        <v>479960</v>
      </c>
      <c r="BG6" s="8">
        <v>43.93</v>
      </c>
      <c r="BH6" s="11">
        <v>807734</v>
      </c>
      <c r="BI6" s="8">
        <v>45.38</v>
      </c>
      <c r="BJ6" s="11">
        <v>603400</v>
      </c>
      <c r="BK6" s="8">
        <v>46.84</v>
      </c>
      <c r="BL6" s="11">
        <v>528648</v>
      </c>
      <c r="BM6" s="8"/>
      <c r="BN6" s="11"/>
      <c r="BO6" s="8"/>
      <c r="BP6" s="11"/>
      <c r="BQ6" s="8"/>
      <c r="BR6" s="11"/>
      <c r="BS6" s="8"/>
      <c r="BT6" s="11"/>
      <c r="BU6" s="17">
        <f t="shared" si="2"/>
        <v>100214434</v>
      </c>
      <c r="BV6" s="8">
        <f t="shared" si="22"/>
        <v>10.789308770624828</v>
      </c>
      <c r="BW6" s="8">
        <f t="shared" si="23"/>
        <v>0.21578617541249656</v>
      </c>
      <c r="BX6" s="159">
        <f t="shared" si="3"/>
        <v>6.4735852623748966E-3</v>
      </c>
      <c r="BY6" s="159">
        <f t="shared" si="24"/>
        <v>5.9923958737155385E-3</v>
      </c>
      <c r="BZ6" s="160">
        <f t="shared" si="25"/>
        <v>1.9522271599441788E-4</v>
      </c>
      <c r="CA6" s="16">
        <f t="shared" si="4"/>
        <v>12500162</v>
      </c>
      <c r="CB6" s="9">
        <f t="shared" si="26"/>
        <v>1.3457952324595397</v>
      </c>
      <c r="CC6" s="9">
        <f t="shared" si="27"/>
        <v>2.6915904649190796E-2</v>
      </c>
      <c r="CD6" s="158">
        <f t="shared" si="5"/>
        <v>8.0747713947572385E-4</v>
      </c>
      <c r="CE6" s="158">
        <f t="shared" si="28"/>
        <v>1.7884322026040397E-2</v>
      </c>
      <c r="CF6" s="171">
        <f t="shared" si="29"/>
        <v>2.784403929226634E-5</v>
      </c>
      <c r="CG6" s="16">
        <f t="shared" si="6"/>
        <v>61450388</v>
      </c>
      <c r="CH6" s="8">
        <f t="shared" si="30"/>
        <v>6.6158853943804017</v>
      </c>
      <c r="CI6" s="8">
        <f t="shared" si="31"/>
        <v>0.13231770788760802</v>
      </c>
      <c r="CJ6" s="159">
        <f t="shared" si="7"/>
        <v>3.9695312366282405E-3</v>
      </c>
      <c r="CK6" s="159">
        <f t="shared" si="32"/>
        <v>4.5041770527950086E-3</v>
      </c>
      <c r="CL6" s="157">
        <f t="shared" si="33"/>
        <v>1.3688038746993933E-4</v>
      </c>
      <c r="CM6" s="8">
        <f t="shared" si="34"/>
        <v>2.9096577143084244E-2</v>
      </c>
      <c r="CN6" s="9">
        <f t="shared" si="8"/>
        <v>2.909657714308424E-4</v>
      </c>
      <c r="CO6" s="8">
        <f t="shared" si="9"/>
        <v>221.94072464830575</v>
      </c>
      <c r="CP6" s="8">
        <f t="shared" si="10"/>
        <v>2.2194072464830574</v>
      </c>
      <c r="CQ6" s="8">
        <f t="shared" si="35"/>
        <v>2.2196982122544884</v>
      </c>
      <c r="CR6" s="159">
        <f t="shared" si="11"/>
        <v>6.6590946367634643E-2</v>
      </c>
      <c r="CS6" s="159">
        <f t="shared" si="36"/>
        <v>1.1154225005550172E-3</v>
      </c>
      <c r="CT6" s="166">
        <f t="shared" si="37"/>
        <v>2.3186262662825434E-5</v>
      </c>
      <c r="CU6" s="42" t="s">
        <v>73</v>
      </c>
      <c r="CV6" s="43">
        <v>31</v>
      </c>
      <c r="CW6" s="44">
        <f t="shared" si="12"/>
        <v>0.38317522571116719</v>
      </c>
      <c r="CX6" s="44">
        <f t="shared" si="13"/>
        <v>0.61318899431193719</v>
      </c>
      <c r="CY6" s="43">
        <f t="shared" si="14"/>
        <v>61450388</v>
      </c>
      <c r="CZ6" s="44">
        <f t="shared" si="38"/>
        <v>4.9159673290634149</v>
      </c>
      <c r="DA6" s="45">
        <f t="shared" si="15"/>
        <v>0.12473414757798262</v>
      </c>
      <c r="DB6" s="43">
        <f t="shared" si="16"/>
        <v>12500162</v>
      </c>
      <c r="DC6" s="45">
        <f t="shared" si="17"/>
        <v>0.20341876441854201</v>
      </c>
      <c r="DD6" s="44">
        <f t="shared" si="18"/>
        <v>2.2196982122544884</v>
      </c>
      <c r="DE6" s="44">
        <f t="shared" si="39"/>
        <v>16.002397359643247</v>
      </c>
      <c r="DF6" s="46">
        <f t="shared" si="19"/>
        <v>4.1011219778921504</v>
      </c>
      <c r="DG6" s="44">
        <f t="shared" si="40"/>
        <v>3.9117279280925388</v>
      </c>
      <c r="DH6" s="44">
        <f t="shared" ref="DH6:DH64" si="43">P6/N6</f>
        <v>1.7934343333797853</v>
      </c>
      <c r="DI6" s="44">
        <f t="shared" si="41"/>
        <v>2.6825399296366639</v>
      </c>
      <c r="DJ6" s="92">
        <f t="shared" ref="DJ6:DJ64" si="44">P6/V6</f>
        <v>0.52278016028226393</v>
      </c>
    </row>
    <row r="7" spans="1:114" ht="15" customHeight="1" x14ac:dyDescent="0.2">
      <c r="A7" s="58">
        <v>58</v>
      </c>
      <c r="B7" s="51">
        <v>29</v>
      </c>
      <c r="C7" s="51" t="s">
        <v>114</v>
      </c>
      <c r="D7" s="248"/>
      <c r="E7" s="249"/>
      <c r="F7" s="155">
        <v>0.03</v>
      </c>
      <c r="G7" s="223"/>
      <c r="H7" s="168">
        <v>2.7</v>
      </c>
      <c r="I7" s="9">
        <v>30.7911</v>
      </c>
      <c r="J7" s="108">
        <f t="shared" si="0"/>
        <v>9.7812679637947333E-2</v>
      </c>
      <c r="K7" s="72"/>
      <c r="L7" s="8"/>
      <c r="M7" s="8"/>
      <c r="N7" s="11"/>
      <c r="O7" s="8"/>
      <c r="P7" s="11"/>
      <c r="Q7" s="11"/>
      <c r="R7" s="95"/>
      <c r="S7" s="8">
        <v>16.12</v>
      </c>
      <c r="T7" s="11">
        <v>55529</v>
      </c>
      <c r="U7" s="8">
        <v>16.28</v>
      </c>
      <c r="V7" s="11">
        <v>122930</v>
      </c>
      <c r="W7" s="11">
        <v>698916</v>
      </c>
      <c r="X7" s="95">
        <f t="shared" si="20"/>
        <v>0.17588665876872184</v>
      </c>
      <c r="Y7" s="8">
        <v>18.3</v>
      </c>
      <c r="Z7" s="11">
        <v>447411</v>
      </c>
      <c r="AA7" s="8">
        <v>19.93</v>
      </c>
      <c r="AB7" s="11">
        <v>387228</v>
      </c>
      <c r="AC7" s="11">
        <v>248162144</v>
      </c>
      <c r="AD7" s="102">
        <f t="shared" si="1"/>
        <v>1.5603830373096712E-3</v>
      </c>
      <c r="AE7" s="8">
        <v>20.49</v>
      </c>
      <c r="AF7" s="11">
        <v>1406438</v>
      </c>
      <c r="AG7" s="8">
        <v>22.67</v>
      </c>
      <c r="AH7" s="11">
        <v>3298821</v>
      </c>
      <c r="AI7" s="8">
        <v>24.77</v>
      </c>
      <c r="AJ7" s="11">
        <v>5399690</v>
      </c>
      <c r="AK7" s="8">
        <v>26.81</v>
      </c>
      <c r="AL7" s="11">
        <v>7800813</v>
      </c>
      <c r="AM7" s="8">
        <v>28.79</v>
      </c>
      <c r="AN7" s="11">
        <v>6538708</v>
      </c>
      <c r="AO7" s="8">
        <v>30.71</v>
      </c>
      <c r="AP7" s="11">
        <v>14110956</v>
      </c>
      <c r="AQ7" s="11">
        <v>168653897</v>
      </c>
      <c r="AR7" s="95">
        <f t="shared" si="21"/>
        <v>8.3668128937453484E-2</v>
      </c>
      <c r="AS7" s="8">
        <v>32.549999999999997</v>
      </c>
      <c r="AT7" s="11">
        <v>4860149</v>
      </c>
      <c r="AU7" s="8">
        <v>34.33</v>
      </c>
      <c r="AV7" s="11">
        <v>5797279</v>
      </c>
      <c r="AW7" s="8">
        <v>36.049999999999997</v>
      </c>
      <c r="AX7" s="11">
        <v>2546771</v>
      </c>
      <c r="AY7" s="8">
        <v>37.72</v>
      </c>
      <c r="AZ7" s="11">
        <v>5393692</v>
      </c>
      <c r="BA7" s="8">
        <v>39.340000000000003</v>
      </c>
      <c r="BB7" s="11">
        <v>1433332</v>
      </c>
      <c r="BC7" s="8">
        <v>40.92</v>
      </c>
      <c r="BD7" s="11">
        <v>33440252</v>
      </c>
      <c r="BE7" s="8">
        <v>42.46</v>
      </c>
      <c r="BF7" s="11">
        <v>466832</v>
      </c>
      <c r="BG7" s="8">
        <v>43.92</v>
      </c>
      <c r="BH7" s="11">
        <v>1254656</v>
      </c>
      <c r="BI7" s="8">
        <v>45.41</v>
      </c>
      <c r="BJ7" s="11">
        <v>693591</v>
      </c>
      <c r="BK7" s="8">
        <v>46.84</v>
      </c>
      <c r="BL7" s="11">
        <v>761650</v>
      </c>
      <c r="BM7" s="8"/>
      <c r="BN7" s="11"/>
      <c r="BO7" s="8"/>
      <c r="BP7" s="11"/>
      <c r="BQ7" s="8"/>
      <c r="BR7" s="11"/>
      <c r="BS7" s="8"/>
      <c r="BT7" s="11"/>
      <c r="BU7" s="17">
        <f t="shared" si="2"/>
        <v>95706570</v>
      </c>
      <c r="BV7" s="8">
        <f t="shared" si="22"/>
        <v>24.17520445488648</v>
      </c>
      <c r="BW7" s="8">
        <f t="shared" si="23"/>
        <v>0.48350408909772963</v>
      </c>
      <c r="BX7" s="159">
        <f t="shared" si="3"/>
        <v>1.4505122672931888E-2</v>
      </c>
      <c r="BY7" s="159">
        <f t="shared" si="24"/>
        <v>1.3426939436204653E-2</v>
      </c>
      <c r="BZ7" s="160">
        <f t="shared" si="25"/>
        <v>4.3742830738636578E-4</v>
      </c>
      <c r="CA7" s="16">
        <f t="shared" si="4"/>
        <v>5208199</v>
      </c>
      <c r="CB7" s="9">
        <f t="shared" si="26"/>
        <v>1.3155760954209863</v>
      </c>
      <c r="CC7" s="9">
        <f t="shared" si="27"/>
        <v>2.6311521908419726E-2</v>
      </c>
      <c r="CD7" s="158">
        <f t="shared" si="5"/>
        <v>7.8934565725259176E-4</v>
      </c>
      <c r="CE7" s="158">
        <f t="shared" si="28"/>
        <v>1.7482738809581216E-2</v>
      </c>
      <c r="CF7" s="171">
        <f t="shared" si="29"/>
        <v>2.7218815767330751E-5</v>
      </c>
      <c r="CG7" s="16">
        <f t="shared" si="6"/>
        <v>70759160</v>
      </c>
      <c r="CH7" s="8">
        <f t="shared" si="30"/>
        <v>17.873560405059184</v>
      </c>
      <c r="CI7" s="8">
        <f t="shared" si="31"/>
        <v>0.35747120810118366</v>
      </c>
      <c r="CJ7" s="159">
        <f t="shared" si="7"/>
        <v>1.0724136243035509E-2</v>
      </c>
      <c r="CK7" s="159">
        <f t="shared" si="32"/>
        <v>1.2168542202468522E-2</v>
      </c>
      <c r="CL7" s="157">
        <f t="shared" si="33"/>
        <v>3.6979780148398307E-4</v>
      </c>
      <c r="CM7" s="8">
        <f t="shared" si="34"/>
        <v>0</v>
      </c>
      <c r="CN7" s="9">
        <f t="shared" si="8"/>
        <v>0</v>
      </c>
      <c r="CO7" s="8">
        <f t="shared" si="9"/>
        <v>0</v>
      </c>
      <c r="CP7" s="8">
        <f t="shared" si="10"/>
        <v>0</v>
      </c>
      <c r="CQ7" s="8">
        <f t="shared" si="35"/>
        <v>0</v>
      </c>
      <c r="CR7" s="159">
        <f t="shared" si="11"/>
        <v>0</v>
      </c>
      <c r="CS7" s="159">
        <f t="shared" si="36"/>
        <v>0</v>
      </c>
      <c r="CT7" s="166">
        <f t="shared" si="37"/>
        <v>0</v>
      </c>
      <c r="CU7" s="42" t="s">
        <v>73</v>
      </c>
      <c r="CV7" s="43">
        <v>31</v>
      </c>
      <c r="CW7" s="44">
        <f t="shared" si="12"/>
        <v>0.86110882788521304</v>
      </c>
      <c r="CX7" s="44">
        <f t="shared" si="13"/>
        <v>0.73933440515107796</v>
      </c>
      <c r="CY7" s="43">
        <f t="shared" si="14"/>
        <v>70759160</v>
      </c>
      <c r="CZ7" s="44">
        <f t="shared" si="38"/>
        <v>13.586109132926756</v>
      </c>
      <c r="DA7" s="45">
        <f t="shared" si="15"/>
        <v>5.4418406176294898E-2</v>
      </c>
      <c r="DB7" s="43">
        <f t="shared" si="16"/>
        <v>5208199</v>
      </c>
      <c r="DC7" s="45">
        <f t="shared" si="17"/>
        <v>7.3604590557604127E-2</v>
      </c>
      <c r="DD7" s="44">
        <f t="shared" si="18"/>
        <v>0</v>
      </c>
      <c r="DE7" s="44">
        <f t="shared" si="39"/>
        <v>99.754415962057251</v>
      </c>
      <c r="DF7" s="46">
        <f t="shared" si="19"/>
        <v>6.1615400303947707</v>
      </c>
      <c r="DG7" s="44">
        <f t="shared" si="40"/>
        <v>4.7591407517543107</v>
      </c>
      <c r="DH7" s="44"/>
      <c r="DI7" s="44">
        <f t="shared" si="41"/>
        <v>2.2137981955374668</v>
      </c>
      <c r="DJ7" s="92">
        <f t="shared" si="44"/>
        <v>0</v>
      </c>
    </row>
    <row r="8" spans="1:114" ht="15" customHeight="1" x14ac:dyDescent="0.2">
      <c r="A8" s="58">
        <v>57</v>
      </c>
      <c r="B8" s="51">
        <v>28</v>
      </c>
      <c r="C8" s="51" t="s">
        <v>115</v>
      </c>
      <c r="D8" s="248"/>
      <c r="E8" s="249"/>
      <c r="F8" s="155">
        <v>0.03</v>
      </c>
      <c r="G8" s="239" t="s">
        <v>363</v>
      </c>
      <c r="H8" s="168">
        <v>2.6</v>
      </c>
      <c r="I8" s="9">
        <v>30.9315</v>
      </c>
      <c r="J8" s="108">
        <f t="shared" si="0"/>
        <v>9.7368701808835667E-2</v>
      </c>
      <c r="K8" s="8"/>
      <c r="L8" s="8"/>
      <c r="M8" s="8">
        <v>13.97</v>
      </c>
      <c r="N8" s="11">
        <v>390732</v>
      </c>
      <c r="O8" s="8">
        <v>14.18</v>
      </c>
      <c r="P8" s="11">
        <v>1158609</v>
      </c>
      <c r="Q8" s="11">
        <v>3023637</v>
      </c>
      <c r="R8" s="95">
        <f t="shared" si="42"/>
        <v>0.3831838940983987</v>
      </c>
      <c r="S8" s="8">
        <v>16.059999999999999</v>
      </c>
      <c r="T8" s="11">
        <v>720249</v>
      </c>
      <c r="U8" s="8">
        <v>16.27</v>
      </c>
      <c r="V8" s="11">
        <v>810111</v>
      </c>
      <c r="W8" s="11">
        <v>6333669</v>
      </c>
      <c r="X8" s="95">
        <f t="shared" si="20"/>
        <v>0.12790548416723388</v>
      </c>
      <c r="Y8" s="11">
        <v>18.27</v>
      </c>
      <c r="Z8" s="11">
        <v>1009880</v>
      </c>
      <c r="AA8" s="8">
        <v>19.920000000000002</v>
      </c>
      <c r="AB8" s="11">
        <v>1210728</v>
      </c>
      <c r="AC8" s="11">
        <v>369629607</v>
      </c>
      <c r="AD8" s="102">
        <f t="shared" si="1"/>
        <v>3.2755168338016818E-3</v>
      </c>
      <c r="AE8" s="8">
        <v>20.47</v>
      </c>
      <c r="AF8" s="11">
        <v>3677630</v>
      </c>
      <c r="AG8" s="8">
        <v>22.63</v>
      </c>
      <c r="AH8" s="11">
        <v>9301570</v>
      </c>
      <c r="AI8" s="8">
        <v>24.75</v>
      </c>
      <c r="AJ8" s="11">
        <v>12613649</v>
      </c>
      <c r="AK8" s="8">
        <v>26.8</v>
      </c>
      <c r="AL8" s="11">
        <v>30087752</v>
      </c>
      <c r="AM8" s="8">
        <v>28.79</v>
      </c>
      <c r="AN8" s="11">
        <v>17227811</v>
      </c>
      <c r="AO8" s="8">
        <v>30.7</v>
      </c>
      <c r="AP8" s="11">
        <v>38443094</v>
      </c>
      <c r="AQ8" s="11">
        <v>275392064</v>
      </c>
      <c r="AR8" s="95">
        <f t="shared" si="21"/>
        <v>0.13959405162815439</v>
      </c>
      <c r="AS8" s="37">
        <v>32.549999999999997</v>
      </c>
      <c r="AT8" s="37">
        <v>8963434</v>
      </c>
      <c r="AU8" s="8">
        <v>34.33</v>
      </c>
      <c r="AV8" s="11">
        <v>30931121</v>
      </c>
      <c r="AW8" s="8">
        <v>36.06</v>
      </c>
      <c r="AX8" s="11">
        <v>5070866</v>
      </c>
      <c r="AY8" s="8">
        <v>37.72</v>
      </c>
      <c r="AZ8" s="11">
        <v>46661100</v>
      </c>
      <c r="BA8" s="8">
        <v>39.35</v>
      </c>
      <c r="BB8" s="11">
        <v>3845603</v>
      </c>
      <c r="BC8" s="8">
        <v>40.909999999999997</v>
      </c>
      <c r="BD8" s="11">
        <v>32958576</v>
      </c>
      <c r="BE8" s="8">
        <v>42.44</v>
      </c>
      <c r="BF8" s="11">
        <v>2030223</v>
      </c>
      <c r="BG8" s="8">
        <v>43.93</v>
      </c>
      <c r="BH8" s="11">
        <v>5722071</v>
      </c>
      <c r="BI8" s="8">
        <v>45.36</v>
      </c>
      <c r="BJ8" s="11">
        <v>534227</v>
      </c>
      <c r="BK8" s="8">
        <v>46.77</v>
      </c>
      <c r="BL8" s="11">
        <v>587738</v>
      </c>
      <c r="BM8" s="8"/>
      <c r="BN8" s="11"/>
      <c r="BO8" s="8"/>
      <c r="BP8" s="11"/>
      <c r="BQ8" s="8"/>
      <c r="BR8" s="11"/>
      <c r="BS8" s="8"/>
      <c r="BT8" s="11"/>
      <c r="BU8" s="17">
        <f t="shared" si="2"/>
        <v>250777326</v>
      </c>
      <c r="BV8" s="8">
        <f t="shared" si="22"/>
        <v>20.167917712079984</v>
      </c>
      <c r="BW8" s="8">
        <f t="shared" si="23"/>
        <v>0.4033583542415996</v>
      </c>
      <c r="BX8" s="159">
        <f t="shared" si="3"/>
        <v>1.2100750627247988E-2</v>
      </c>
      <c r="BY8" s="159">
        <f t="shared" si="24"/>
        <v>1.120128726024992E-2</v>
      </c>
      <c r="BZ8" s="160">
        <f t="shared" si="25"/>
        <v>3.6492010335488511E-4</v>
      </c>
      <c r="CA8" s="16">
        <f t="shared" si="4"/>
        <v>15100061</v>
      </c>
      <c r="CB8" s="9">
        <f t="shared" si="26"/>
        <v>1.2143713012371307</v>
      </c>
      <c r="CC8" s="9">
        <f t="shared" si="27"/>
        <v>2.4287426024742612E-2</v>
      </c>
      <c r="CD8" s="158">
        <f t="shared" si="5"/>
        <v>7.2862278074227829E-4</v>
      </c>
      <c r="CE8" s="158">
        <f t="shared" si="28"/>
        <v>1.6137824601157882E-2</v>
      </c>
      <c r="CF8" s="171">
        <f t="shared" si="29"/>
        <v>2.5124923473871664E-5</v>
      </c>
      <c r="CG8" s="16">
        <f t="shared" si="6"/>
        <v>175748053</v>
      </c>
      <c r="CH8" s="8">
        <f t="shared" si="30"/>
        <v>14.133942360332336</v>
      </c>
      <c r="CI8" s="8">
        <f t="shared" si="31"/>
        <v>0.28267884720664671</v>
      </c>
      <c r="CJ8" s="159">
        <f t="shared" si="7"/>
        <v>8.4803654161994015E-3</v>
      </c>
      <c r="CK8" s="159">
        <f t="shared" si="32"/>
        <v>9.6225637310784103E-3</v>
      </c>
      <c r="CL8" s="157">
        <f t="shared" si="33"/>
        <v>2.9242639366204831E-4</v>
      </c>
      <c r="CM8" s="8">
        <f t="shared" si="34"/>
        <v>9.3177207625522243E-2</v>
      </c>
      <c r="CN8" s="9">
        <f t="shared" si="8"/>
        <v>9.317720762552225E-4</v>
      </c>
      <c r="CO8" s="8">
        <f t="shared" si="9"/>
        <v>2539.303881030829</v>
      </c>
      <c r="CP8" s="8">
        <f t="shared" si="10"/>
        <v>25.39303881030829</v>
      </c>
      <c r="CQ8" s="8">
        <f t="shared" si="35"/>
        <v>25.393970582384547</v>
      </c>
      <c r="CR8" s="159">
        <f t="shared" si="11"/>
        <v>0.76181911747153641</v>
      </c>
      <c r="CS8" s="159">
        <f t="shared" si="36"/>
        <v>1.2760746487809694E-2</v>
      </c>
      <c r="CT8" s="166">
        <f t="shared" si="37"/>
        <v>2.6525735288006141E-4</v>
      </c>
      <c r="CU8" s="42" t="s">
        <v>212</v>
      </c>
      <c r="CV8" s="43">
        <v>31</v>
      </c>
      <c r="CW8" s="44">
        <f t="shared" si="12"/>
        <v>0.41395013966145755</v>
      </c>
      <c r="CX8" s="44">
        <f t="shared" si="13"/>
        <v>0.70081317080476402</v>
      </c>
      <c r="CY8" s="43">
        <f t="shared" si="14"/>
        <v>175748053</v>
      </c>
      <c r="CZ8" s="44">
        <f t="shared" si="38"/>
        <v>11.638896889224487</v>
      </c>
      <c r="DA8" s="45">
        <f t="shared" si="15"/>
        <v>6.021302340547327E-2</v>
      </c>
      <c r="DB8" s="43">
        <f t="shared" si="16"/>
        <v>15100061</v>
      </c>
      <c r="DC8" s="45">
        <f t="shared" si="17"/>
        <v>8.5918795356441299E-2</v>
      </c>
      <c r="DD8" s="44">
        <f t="shared" si="18"/>
        <v>25.393970582384547</v>
      </c>
      <c r="DE8" s="44">
        <f t="shared" si="39"/>
        <v>78.930351160778287</v>
      </c>
      <c r="DF8" s="46">
        <f t="shared" si="19"/>
        <v>14.250706005216696</v>
      </c>
      <c r="DG8" s="44">
        <f t="shared" si="40"/>
        <v>5.4162028534744371</v>
      </c>
      <c r="DH8" s="44">
        <f t="shared" si="43"/>
        <v>2.9652268050735544</v>
      </c>
      <c r="DI8" s="44">
        <f t="shared" si="41"/>
        <v>1.1247651853733918</v>
      </c>
      <c r="DJ8" s="92">
        <f t="shared" si="44"/>
        <v>1.4301854930990938</v>
      </c>
    </row>
    <row r="9" spans="1:114" ht="15" customHeight="1" x14ac:dyDescent="0.2">
      <c r="A9" s="58">
        <v>56</v>
      </c>
      <c r="B9" s="51">
        <v>27</v>
      </c>
      <c r="C9" s="51" t="s">
        <v>116</v>
      </c>
      <c r="D9" s="248"/>
      <c r="E9" s="249"/>
      <c r="F9" s="155">
        <v>0.03</v>
      </c>
      <c r="G9" s="239"/>
      <c r="H9" s="168">
        <v>2.5</v>
      </c>
      <c r="I9" s="9">
        <v>30.470800000000001</v>
      </c>
      <c r="J9" s="108">
        <f t="shared" si="0"/>
        <v>9.8840857476666197E-2</v>
      </c>
      <c r="K9" s="8"/>
      <c r="L9" s="8"/>
      <c r="M9" s="8" t="s">
        <v>169</v>
      </c>
      <c r="N9" s="11">
        <v>2339286</v>
      </c>
      <c r="O9" s="8" t="s">
        <v>170</v>
      </c>
      <c r="P9" s="11">
        <v>2339286</v>
      </c>
      <c r="Q9" s="11">
        <v>7243232</v>
      </c>
      <c r="R9" s="95">
        <f t="shared" si="42"/>
        <v>0.32296162817924373</v>
      </c>
      <c r="S9" s="8" t="s">
        <v>199</v>
      </c>
      <c r="T9" s="11">
        <v>2192368</v>
      </c>
      <c r="U9" s="8" t="s">
        <v>172</v>
      </c>
      <c r="V9" s="11">
        <v>1437169</v>
      </c>
      <c r="W9" s="11">
        <v>6542291</v>
      </c>
      <c r="X9" s="95">
        <f t="shared" si="20"/>
        <v>0.2196736586617746</v>
      </c>
      <c r="Y9" s="11">
        <v>18.23</v>
      </c>
      <c r="Z9" s="11">
        <v>5224097</v>
      </c>
      <c r="AA9" s="8" t="s">
        <v>198</v>
      </c>
      <c r="AB9" s="11">
        <v>1356036</v>
      </c>
      <c r="AC9" s="11">
        <v>926107920</v>
      </c>
      <c r="AD9" s="102">
        <f t="shared" si="1"/>
        <v>1.4642310801099726E-3</v>
      </c>
      <c r="AE9" s="8" t="s">
        <v>201</v>
      </c>
      <c r="AF9" s="11">
        <v>12684855</v>
      </c>
      <c r="AG9" s="8" t="s">
        <v>204</v>
      </c>
      <c r="AH9" s="11">
        <v>20126260</v>
      </c>
      <c r="AI9" s="8" t="s">
        <v>205</v>
      </c>
      <c r="AJ9" s="11">
        <v>25233300</v>
      </c>
      <c r="AK9" s="8" t="s">
        <v>176</v>
      </c>
      <c r="AL9" s="11">
        <v>30148414</v>
      </c>
      <c r="AM9" s="8" t="s">
        <v>206</v>
      </c>
      <c r="AN9" s="11">
        <v>20768042</v>
      </c>
      <c r="AO9" s="8" t="s">
        <v>203</v>
      </c>
      <c r="AP9" s="11">
        <v>30062286</v>
      </c>
      <c r="AQ9" s="11">
        <v>212605843</v>
      </c>
      <c r="AR9" s="95">
        <f t="shared" si="21"/>
        <v>0.14139915242122486</v>
      </c>
      <c r="AS9" s="8">
        <v>32.549999999999997</v>
      </c>
      <c r="AT9" s="11">
        <v>11286082</v>
      </c>
      <c r="AU9" s="8">
        <v>34.33</v>
      </c>
      <c r="AV9" s="11">
        <v>19068429</v>
      </c>
      <c r="AW9" s="8">
        <v>36.06</v>
      </c>
      <c r="AX9" s="11">
        <v>7045132</v>
      </c>
      <c r="AY9" s="8">
        <v>37.72</v>
      </c>
      <c r="AZ9" s="11">
        <v>16760974</v>
      </c>
      <c r="BA9" s="8">
        <v>39.35</v>
      </c>
      <c r="BB9" s="11">
        <v>3910851</v>
      </c>
      <c r="BC9" s="8">
        <v>40.92</v>
      </c>
      <c r="BD9" s="11">
        <v>15181893</v>
      </c>
      <c r="BE9" s="8">
        <v>42.44</v>
      </c>
      <c r="BF9" s="11">
        <v>1612427</v>
      </c>
      <c r="BG9" s="8">
        <v>43.92</v>
      </c>
      <c r="BH9" s="11">
        <v>5610927</v>
      </c>
      <c r="BI9" s="8">
        <v>45.35</v>
      </c>
      <c r="BJ9" s="11">
        <v>931911</v>
      </c>
      <c r="BK9" s="8">
        <v>46.77</v>
      </c>
      <c r="BL9" s="11">
        <v>1133609</v>
      </c>
      <c r="BM9" s="8">
        <v>48.27</v>
      </c>
      <c r="BN9" s="11">
        <v>322254</v>
      </c>
      <c r="BO9" s="8">
        <v>50.01</v>
      </c>
      <c r="BP9" s="11">
        <v>235288</v>
      </c>
      <c r="BQ9" s="8"/>
      <c r="BR9" s="11"/>
      <c r="BS9" s="8"/>
      <c r="BT9" s="11"/>
      <c r="BU9" s="17">
        <f t="shared" si="2"/>
        <v>231878685</v>
      </c>
      <c r="BV9" s="8">
        <f t="shared" si="22"/>
        <v>16.901533628872521</v>
      </c>
      <c r="BW9" s="8">
        <f t="shared" si="23"/>
        <v>0.3380306725774504</v>
      </c>
      <c r="BX9" s="159">
        <f t="shared" si="3"/>
        <v>1.0140920177323511E-2</v>
      </c>
      <c r="BY9" s="159">
        <f t="shared" si="24"/>
        <v>9.3871333678825428E-3</v>
      </c>
      <c r="BZ9" s="160">
        <f t="shared" si="25"/>
        <v>3.0581785818225307E-4</v>
      </c>
      <c r="CA9" s="16">
        <f t="shared" si="4"/>
        <v>42566866</v>
      </c>
      <c r="CB9" s="9">
        <f t="shared" si="26"/>
        <v>3.1026798223161838</v>
      </c>
      <c r="CC9" s="9">
        <f t="shared" si="27"/>
        <v>6.2053596446323675E-2</v>
      </c>
      <c r="CD9" s="158">
        <f t="shared" si="5"/>
        <v>1.8616078933897102E-3</v>
      </c>
      <c r="CE9" s="158">
        <f t="shared" si="28"/>
        <v>4.1231625545730018E-2</v>
      </c>
      <c r="CF9" s="171">
        <f t="shared" si="29"/>
        <v>6.4193375634127942E-5</v>
      </c>
      <c r="CG9" s="16">
        <f t="shared" si="6"/>
        <v>113162063</v>
      </c>
      <c r="CH9" s="8">
        <f t="shared" si="30"/>
        <v>8.2483321539756478</v>
      </c>
      <c r="CI9" s="8">
        <f t="shared" si="31"/>
        <v>0.16496664307951298</v>
      </c>
      <c r="CJ9" s="159">
        <f t="shared" si="7"/>
        <v>4.9489992923853893E-3</v>
      </c>
      <c r="CK9" s="159">
        <f t="shared" si="32"/>
        <v>5.6155671081191301E-3</v>
      </c>
      <c r="CL9" s="157">
        <f t="shared" si="33"/>
        <v>1.7065514801328929E-4</v>
      </c>
      <c r="CM9" s="8">
        <f t="shared" si="34"/>
        <v>0.17050951016282795</v>
      </c>
      <c r="CN9" s="9">
        <f t="shared" si="8"/>
        <v>1.7050951016282794E-3</v>
      </c>
      <c r="CO9" s="8">
        <f t="shared" si="9"/>
        <v>3630.191739785575</v>
      </c>
      <c r="CP9" s="8">
        <f t="shared" si="10"/>
        <v>36.301917397855746</v>
      </c>
      <c r="CQ9" s="8">
        <f t="shared" si="35"/>
        <v>36.303622492957373</v>
      </c>
      <c r="CR9" s="159">
        <f t="shared" si="11"/>
        <v>1.0891086747887211</v>
      </c>
      <c r="CS9" s="159">
        <f t="shared" si="36"/>
        <v>1.8242965262909017E-2</v>
      </c>
      <c r="CT9" s="166">
        <f t="shared" si="37"/>
        <v>3.7921611239161596E-4</v>
      </c>
      <c r="CU9" s="42" t="s">
        <v>10</v>
      </c>
      <c r="CV9" s="43">
        <v>31</v>
      </c>
      <c r="CW9" s="44">
        <f t="shared" si="12"/>
        <v>0.47528272900488239</v>
      </c>
      <c r="CX9" s="44">
        <f t="shared" si="13"/>
        <v>0.4880227046310876</v>
      </c>
      <c r="CY9" s="43">
        <f t="shared" si="14"/>
        <v>113162063</v>
      </c>
      <c r="CZ9" s="44">
        <f t="shared" si="38"/>
        <v>2.6584541835896491</v>
      </c>
      <c r="DA9" s="45">
        <f t="shared" si="15"/>
        <v>0.18357386320351093</v>
      </c>
      <c r="DB9" s="43">
        <f t="shared" si="16"/>
        <v>42566866</v>
      </c>
      <c r="DC9" s="45">
        <f t="shared" si="17"/>
        <v>0.3761584480834359</v>
      </c>
      <c r="DD9" s="44">
        <f t="shared" si="18"/>
        <v>36.303622492957373</v>
      </c>
      <c r="DE9" s="44">
        <f t="shared" si="39"/>
        <v>6.7445078478770677</v>
      </c>
      <c r="DF9" s="46">
        <f t="shared" si="19"/>
        <v>4.201008289359172</v>
      </c>
      <c r="DG9" s="44">
        <f t="shared" si="40"/>
        <v>2.4250076486662246</v>
      </c>
      <c r="DH9" s="44">
        <f t="shared" si="43"/>
        <v>1</v>
      </c>
      <c r="DI9" s="44">
        <f t="shared" si="41"/>
        <v>0.65553273902921405</v>
      </c>
      <c r="DJ9" s="92">
        <f t="shared" si="44"/>
        <v>1.6277041878860454</v>
      </c>
    </row>
    <row r="10" spans="1:114" ht="15" customHeight="1" x14ac:dyDescent="0.2">
      <c r="A10" s="58">
        <v>55</v>
      </c>
      <c r="B10" s="70">
        <v>16</v>
      </c>
      <c r="C10" s="70" t="s">
        <v>40</v>
      </c>
      <c r="D10" s="248"/>
      <c r="E10" s="249"/>
      <c r="F10" s="155">
        <v>0.03</v>
      </c>
      <c r="G10" s="239"/>
      <c r="H10" s="168">
        <v>2.4500000000000002</v>
      </c>
      <c r="I10" s="9">
        <v>30.62</v>
      </c>
      <c r="J10" s="108">
        <f t="shared" si="0"/>
        <v>9.8359242325277596E-2</v>
      </c>
      <c r="K10" s="8"/>
      <c r="L10" s="8"/>
      <c r="M10" s="13">
        <v>14</v>
      </c>
      <c r="N10" s="11">
        <v>1116766</v>
      </c>
      <c r="O10" s="8">
        <v>14.22</v>
      </c>
      <c r="P10" s="11">
        <v>1433453</v>
      </c>
      <c r="Q10" s="11">
        <v>15427238</v>
      </c>
      <c r="R10" s="95">
        <f t="shared" ref="R10" si="45">P10/Q10</f>
        <v>9.2917021180330531E-2</v>
      </c>
      <c r="S10" s="8">
        <v>16.21</v>
      </c>
      <c r="T10" s="11">
        <v>3162918</v>
      </c>
      <c r="U10" s="8">
        <v>16.52</v>
      </c>
      <c r="V10" s="11">
        <v>1574706</v>
      </c>
      <c r="W10" s="11">
        <v>44106041</v>
      </c>
      <c r="X10" s="95">
        <f t="shared" ref="X10" si="46">V10/W10</f>
        <v>3.5702728340546365E-2</v>
      </c>
      <c r="Y10" s="11">
        <v>18.47</v>
      </c>
      <c r="Z10" s="11">
        <v>9952777</v>
      </c>
      <c r="AA10" s="8">
        <v>20.190000000000001</v>
      </c>
      <c r="AB10" s="11">
        <v>2664854</v>
      </c>
      <c r="AC10" s="11">
        <v>2582249711</v>
      </c>
      <c r="AD10" s="102">
        <f>AB10/AC10</f>
        <v>1.0319892722412236E-3</v>
      </c>
      <c r="AE10" s="8">
        <v>20.71</v>
      </c>
      <c r="AF10" s="11">
        <v>18997303</v>
      </c>
      <c r="AG10" s="8">
        <v>22.9</v>
      </c>
      <c r="AH10" s="11">
        <v>35765356</v>
      </c>
      <c r="AI10" s="8">
        <v>25.03</v>
      </c>
      <c r="AJ10" s="11">
        <v>39622688</v>
      </c>
      <c r="AK10" s="8">
        <v>27.08</v>
      </c>
      <c r="AL10" s="11">
        <v>64872328</v>
      </c>
      <c r="AM10" s="8">
        <v>29.07</v>
      </c>
      <c r="AN10" s="11">
        <v>57812844</v>
      </c>
      <c r="AO10" s="8">
        <v>30.99</v>
      </c>
      <c r="AP10" s="11">
        <v>87491836</v>
      </c>
      <c r="AQ10" s="11">
        <v>530444868</v>
      </c>
      <c r="AR10" s="95">
        <f t="shared" ref="AR10" si="47">AP10/AQ10</f>
        <v>0.16494048915937481</v>
      </c>
      <c r="AS10" s="8">
        <v>32.840000000000003</v>
      </c>
      <c r="AT10" s="11">
        <v>72170224</v>
      </c>
      <c r="AU10" s="8">
        <v>34.630000000000003</v>
      </c>
      <c r="AV10" s="11">
        <v>110238838</v>
      </c>
      <c r="AW10" s="8">
        <v>36.35</v>
      </c>
      <c r="AX10" s="11">
        <v>77877043</v>
      </c>
      <c r="AY10" s="8">
        <v>38.020000000000003</v>
      </c>
      <c r="AZ10" s="11">
        <v>117289309</v>
      </c>
      <c r="BA10" s="8">
        <v>39.64</v>
      </c>
      <c r="BB10" s="11">
        <v>43458491</v>
      </c>
      <c r="BC10" s="8">
        <v>41.21</v>
      </c>
      <c r="BD10" s="11">
        <v>95662741</v>
      </c>
      <c r="BE10" s="8">
        <v>42.73</v>
      </c>
      <c r="BF10" s="11">
        <v>14279959</v>
      </c>
      <c r="BG10" s="8">
        <v>44.22</v>
      </c>
      <c r="BH10" s="11">
        <v>29280471</v>
      </c>
      <c r="BI10" s="8">
        <v>45.64</v>
      </c>
      <c r="BJ10" s="11">
        <v>4811081</v>
      </c>
      <c r="BK10" s="8">
        <v>47.06</v>
      </c>
      <c r="BL10" s="11">
        <v>4790312</v>
      </c>
      <c r="BM10" s="8"/>
      <c r="BN10" s="11"/>
      <c r="BO10" s="8"/>
      <c r="BP10" s="11"/>
      <c r="BQ10" s="14"/>
      <c r="BR10" s="15"/>
      <c r="BS10" s="14"/>
      <c r="BT10" s="15"/>
      <c r="BU10" s="17">
        <f t="shared" si="2"/>
        <v>888653285</v>
      </c>
      <c r="BV10" s="8">
        <f t="shared" si="22"/>
        <v>32.800019739343682</v>
      </c>
      <c r="BW10" s="8">
        <f t="shared" si="23"/>
        <v>0.65600039478687366</v>
      </c>
      <c r="BX10" s="159">
        <f t="shared" si="3"/>
        <v>1.968001184360621E-2</v>
      </c>
      <c r="BY10" s="159">
        <f t="shared" si="24"/>
        <v>1.8217172862729065E-2</v>
      </c>
      <c r="BZ10" s="160">
        <f t="shared" si="25"/>
        <v>5.9348648503034418E-4</v>
      </c>
      <c r="CA10" s="16">
        <f t="shared" si="4"/>
        <v>68995120</v>
      </c>
      <c r="CB10" s="9">
        <f t="shared" si="26"/>
        <v>2.5465964466877389</v>
      </c>
      <c r="CC10" s="9">
        <f t="shared" si="27"/>
        <v>5.0931928933754776E-2</v>
      </c>
      <c r="CD10" s="158">
        <f t="shared" si="5"/>
        <v>1.5279578680126432E-3</v>
      </c>
      <c r="CE10" s="158">
        <f t="shared" si="28"/>
        <v>3.3841813245019788E-2</v>
      </c>
      <c r="CF10" s="171">
        <f t="shared" si="29"/>
        <v>5.2688202345263559E-5</v>
      </c>
      <c r="CG10" s="16">
        <f t="shared" si="6"/>
        <v>657350305</v>
      </c>
      <c r="CH10" s="8">
        <f t="shared" si="30"/>
        <v>24.262671779425865</v>
      </c>
      <c r="CI10" s="8">
        <f t="shared" si="31"/>
        <v>0.4852534355885173</v>
      </c>
      <c r="CJ10" s="159">
        <f t="shared" si="7"/>
        <v>1.4557603067655519E-2</v>
      </c>
      <c r="CK10" s="159">
        <f t="shared" si="32"/>
        <v>1.6518328682237057E-2</v>
      </c>
      <c r="CL10" s="157">
        <f t="shared" si="33"/>
        <v>5.0198631267777652E-4</v>
      </c>
      <c r="CM10" s="8">
        <f t="shared" si="34"/>
        <v>5.2908471154103062E-2</v>
      </c>
      <c r="CN10" s="9">
        <f t="shared" si="8"/>
        <v>5.2908471154103061E-4</v>
      </c>
      <c r="CO10" s="8">
        <f t="shared" si="9"/>
        <v>874.14746536803852</v>
      </c>
      <c r="CP10" s="8">
        <f t="shared" si="10"/>
        <v>8.7414746536803847</v>
      </c>
      <c r="CQ10" s="8">
        <f t="shared" si="35"/>
        <v>8.7420037383919258</v>
      </c>
      <c r="CR10" s="159">
        <f t="shared" si="11"/>
        <v>0.26226011215175776</v>
      </c>
      <c r="CS10" s="159">
        <f t="shared" si="36"/>
        <v>4.3929519859524377E-3</v>
      </c>
      <c r="CT10" s="166">
        <f t="shared" si="37"/>
        <v>9.1316195038912868E-5</v>
      </c>
      <c r="CU10" s="42"/>
      <c r="CV10" s="43">
        <v>31</v>
      </c>
      <c r="CW10" s="44">
        <f t="shared" si="12"/>
        <v>0.44922197743576547</v>
      </c>
      <c r="CX10" s="44">
        <f t="shared" si="13"/>
        <v>0.73971515786384567</v>
      </c>
      <c r="CY10" s="43">
        <f t="shared" si="14"/>
        <v>657350305</v>
      </c>
      <c r="CZ10" s="44">
        <f t="shared" si="38"/>
        <v>9.5274898427598931</v>
      </c>
      <c r="DA10" s="45">
        <f t="shared" si="15"/>
        <v>7.7640088845223817E-2</v>
      </c>
      <c r="DB10" s="43">
        <f t="shared" si="16"/>
        <v>68995120</v>
      </c>
      <c r="DC10" s="45">
        <f t="shared" si="17"/>
        <v>0.10495944015725375</v>
      </c>
      <c r="DD10" s="44">
        <f t="shared" si="18"/>
        <v>8.7420037383919258</v>
      </c>
      <c r="DE10" s="44">
        <f t="shared" si="39"/>
        <v>29.196407475900315</v>
      </c>
      <c r="DF10" s="46">
        <f t="shared" si="19"/>
        <v>2.5625995834701856</v>
      </c>
      <c r="DG10" s="44">
        <f t="shared" si="40"/>
        <v>1.7890605991010073</v>
      </c>
      <c r="DH10" s="44">
        <f t="shared" si="43"/>
        <v>1.2835750730233548</v>
      </c>
      <c r="DI10" s="44">
        <f t="shared" si="41"/>
        <v>0.49786494623003191</v>
      </c>
      <c r="DJ10" s="92">
        <f t="shared" si="44"/>
        <v>0.91029881133367119</v>
      </c>
    </row>
    <row r="11" spans="1:114" ht="15" customHeight="1" x14ac:dyDescent="0.2">
      <c r="A11" s="58">
        <v>54</v>
      </c>
      <c r="B11" s="51">
        <v>26</v>
      </c>
      <c r="C11" s="51" t="s">
        <v>117</v>
      </c>
      <c r="D11" s="248"/>
      <c r="E11" s="249"/>
      <c r="F11" s="155">
        <v>0.03</v>
      </c>
      <c r="G11" s="239"/>
      <c r="H11" s="168">
        <v>2.4</v>
      </c>
      <c r="I11" s="9">
        <v>30.5273</v>
      </c>
      <c r="J11" s="108">
        <f t="shared" si="0"/>
        <v>9.8657922580771967E-2</v>
      </c>
      <c r="K11" s="8"/>
      <c r="L11" s="8"/>
      <c r="M11" s="73"/>
      <c r="N11" s="73"/>
      <c r="O11" s="73"/>
      <c r="P11" s="73"/>
      <c r="Q11" s="73"/>
      <c r="R11" s="64"/>
      <c r="S11" s="8" t="s">
        <v>199</v>
      </c>
      <c r="T11" s="11">
        <v>370189</v>
      </c>
      <c r="U11" s="8" t="s">
        <v>200</v>
      </c>
      <c r="V11" s="11">
        <v>561696</v>
      </c>
      <c r="W11" s="11">
        <v>1952575</v>
      </c>
      <c r="X11" s="95">
        <f t="shared" si="20"/>
        <v>0.28766935969168916</v>
      </c>
      <c r="Y11" s="13">
        <v>18.239999999999998</v>
      </c>
      <c r="Z11" s="11">
        <v>2258404</v>
      </c>
      <c r="AA11" s="8" t="s">
        <v>198</v>
      </c>
      <c r="AB11" s="11">
        <v>1156721</v>
      </c>
      <c r="AC11" s="11">
        <v>403276777</v>
      </c>
      <c r="AD11" s="102">
        <f t="shared" si="1"/>
        <v>2.8683055062206073E-3</v>
      </c>
      <c r="AE11" s="8" t="s">
        <v>201</v>
      </c>
      <c r="AF11" s="11">
        <v>7163249</v>
      </c>
      <c r="AG11" s="8" t="s">
        <v>174</v>
      </c>
      <c r="AH11" s="11">
        <v>18668853</v>
      </c>
      <c r="AI11" s="8" t="s">
        <v>175</v>
      </c>
      <c r="AJ11" s="11">
        <v>24851279</v>
      </c>
      <c r="AK11" s="8" t="s">
        <v>190</v>
      </c>
      <c r="AL11" s="11">
        <v>39973921</v>
      </c>
      <c r="AM11" s="8" t="s">
        <v>191</v>
      </c>
      <c r="AN11" s="11">
        <v>29611004</v>
      </c>
      <c r="AO11" s="8" t="s">
        <v>184</v>
      </c>
      <c r="AP11" s="11">
        <v>39430809</v>
      </c>
      <c r="AQ11" s="11">
        <v>322660139</v>
      </c>
      <c r="AR11" s="95">
        <f t="shared" si="21"/>
        <v>0.12220539271508837</v>
      </c>
      <c r="AS11" s="8">
        <v>32.54</v>
      </c>
      <c r="AT11" s="11">
        <v>13002807</v>
      </c>
      <c r="AU11" s="8">
        <v>34.32</v>
      </c>
      <c r="AV11" s="11">
        <v>27424818</v>
      </c>
      <c r="AW11" s="8">
        <v>36.049999999999997</v>
      </c>
      <c r="AX11" s="11">
        <v>6933260</v>
      </c>
      <c r="AY11" s="8">
        <v>37.72</v>
      </c>
      <c r="AZ11" s="11">
        <v>30563715</v>
      </c>
      <c r="BA11" s="8" t="s">
        <v>197</v>
      </c>
      <c r="BB11" s="11">
        <v>7694230</v>
      </c>
      <c r="BC11" s="8" t="s">
        <v>179</v>
      </c>
      <c r="BD11" s="11">
        <v>24334261</v>
      </c>
      <c r="BE11" s="8" t="s">
        <v>202</v>
      </c>
      <c r="BF11" s="11">
        <v>2679130</v>
      </c>
      <c r="BG11" s="8">
        <v>43.91</v>
      </c>
      <c r="BH11" s="11">
        <v>9477152</v>
      </c>
      <c r="BI11" s="8">
        <v>45.34</v>
      </c>
      <c r="BJ11" s="11">
        <v>1951075</v>
      </c>
      <c r="BK11" s="8">
        <v>46.76</v>
      </c>
      <c r="BL11" s="11">
        <v>2221660</v>
      </c>
      <c r="BM11" s="8">
        <v>48.26</v>
      </c>
      <c r="BN11" s="11">
        <v>536424</v>
      </c>
      <c r="BO11" s="8" t="s">
        <v>180</v>
      </c>
      <c r="BP11" s="11">
        <v>670977</v>
      </c>
      <c r="BQ11" s="8"/>
      <c r="BR11" s="11"/>
      <c r="BS11" s="8"/>
      <c r="BT11" s="11"/>
      <c r="BU11" s="17">
        <f t="shared" si="2"/>
        <v>289817217</v>
      </c>
      <c r="BV11" s="8">
        <f t="shared" si="22"/>
        <v>24.718808215084529</v>
      </c>
      <c r="BW11" s="8">
        <f t="shared" si="23"/>
        <v>0.49437616430169057</v>
      </c>
      <c r="BX11" s="159">
        <f t="shared" si="3"/>
        <v>1.4831284929050717E-2</v>
      </c>
      <c r="BY11" s="159">
        <f t="shared" si="24"/>
        <v>1.3728857659030562E-2</v>
      </c>
      <c r="BZ11" s="160">
        <f t="shared" si="25"/>
        <v>4.4726432234772973E-4</v>
      </c>
      <c r="CA11" s="16">
        <f t="shared" si="4"/>
        <v>28460695</v>
      </c>
      <c r="CB11" s="9">
        <f t="shared" si="26"/>
        <v>2.4274419189285608</v>
      </c>
      <c r="CC11" s="9">
        <f t="shared" si="27"/>
        <v>4.8548838378571213E-2</v>
      </c>
      <c r="CD11" s="158">
        <f t="shared" si="5"/>
        <v>1.4564651513571363E-3</v>
      </c>
      <c r="CE11" s="158">
        <f t="shared" si="28"/>
        <v>3.2258364371143662E-2</v>
      </c>
      <c r="CF11" s="171">
        <f t="shared" si="29"/>
        <v>5.0222936253694359E-5</v>
      </c>
      <c r="CG11" s="16">
        <f t="shared" si="6"/>
        <v>166920318</v>
      </c>
      <c r="CH11" s="8">
        <f t="shared" si="30"/>
        <v>14.236805427066543</v>
      </c>
      <c r="CI11" s="8">
        <f t="shared" si="31"/>
        <v>0.28473610854133086</v>
      </c>
      <c r="CJ11" s="159">
        <f t="shared" si="7"/>
        <v>8.5420832562399258E-3</v>
      </c>
      <c r="CK11" s="159">
        <f t="shared" si="32"/>
        <v>9.6925941861340376E-3</v>
      </c>
      <c r="CL11" s="157">
        <f t="shared" si="33"/>
        <v>2.9455459504275605E-4</v>
      </c>
      <c r="CM11" s="8">
        <f t="shared" si="34"/>
        <v>0</v>
      </c>
      <c r="CN11" s="9">
        <f t="shared" si="8"/>
        <v>0</v>
      </c>
      <c r="CO11" s="8">
        <f t="shared" si="9"/>
        <v>0</v>
      </c>
      <c r="CP11" s="8">
        <f t="shared" si="10"/>
        <v>0</v>
      </c>
      <c r="CQ11" s="8">
        <f t="shared" si="35"/>
        <v>0</v>
      </c>
      <c r="CR11" s="159">
        <f t="shared" si="11"/>
        <v>0</v>
      </c>
      <c r="CS11" s="159">
        <f t="shared" si="36"/>
        <v>0</v>
      </c>
      <c r="CT11" s="166">
        <f t="shared" si="37"/>
        <v>0</v>
      </c>
      <c r="CU11" s="42" t="s">
        <v>10</v>
      </c>
      <c r="CV11" s="43">
        <v>31</v>
      </c>
      <c r="CW11" s="44">
        <f t="shared" si="12"/>
        <v>0.44326335455427357</v>
      </c>
      <c r="CX11" s="44">
        <f t="shared" si="13"/>
        <v>0.57595031698893173</v>
      </c>
      <c r="CY11" s="43">
        <f t="shared" si="14"/>
        <v>166920318</v>
      </c>
      <c r="CZ11" s="44">
        <f t="shared" si="38"/>
        <v>5.864941738070697</v>
      </c>
      <c r="DA11" s="45">
        <f t="shared" si="15"/>
        <v>9.8202223092908936E-2</v>
      </c>
      <c r="DB11" s="43">
        <f t="shared" si="16"/>
        <v>28460695</v>
      </c>
      <c r="DC11" s="45">
        <f t="shared" si="17"/>
        <v>0.17050467756717311</v>
      </c>
      <c r="DD11" s="44">
        <f t="shared" si="18"/>
        <v>0</v>
      </c>
      <c r="DE11" s="44">
        <f t="shared" si="39"/>
        <v>36.451757081549623</v>
      </c>
      <c r="DF11" s="46">
        <f t="shared" si="19"/>
        <v>6.6372978344311786</v>
      </c>
      <c r="DG11" s="44">
        <f t="shared" si="40"/>
        <v>2.7813270267724102</v>
      </c>
      <c r="DH11" s="44"/>
      <c r="DI11" s="44">
        <f t="shared" si="41"/>
        <v>1.5173222326973519</v>
      </c>
      <c r="DJ11" s="92">
        <f t="shared" si="44"/>
        <v>0</v>
      </c>
    </row>
    <row r="12" spans="1:114" ht="15" customHeight="1" x14ac:dyDescent="0.2">
      <c r="A12" s="58">
        <v>53</v>
      </c>
      <c r="B12" s="51">
        <v>25</v>
      </c>
      <c r="C12" s="51" t="s">
        <v>118</v>
      </c>
      <c r="D12" s="248"/>
      <c r="E12" s="249"/>
      <c r="F12" s="155">
        <v>0.03</v>
      </c>
      <c r="G12" s="239"/>
      <c r="H12" s="168">
        <v>2.2999999999999998</v>
      </c>
      <c r="I12" s="9">
        <v>30.357399999999998</v>
      </c>
      <c r="J12" s="108">
        <f t="shared" si="0"/>
        <v>9.9210077279345416E-2</v>
      </c>
      <c r="K12" s="8" t="s">
        <v>195</v>
      </c>
      <c r="L12" s="16">
        <v>2013587</v>
      </c>
      <c r="M12" s="8">
        <v>13.97</v>
      </c>
      <c r="N12" s="11">
        <v>3092667</v>
      </c>
      <c r="O12" s="8" t="s">
        <v>187</v>
      </c>
      <c r="P12" s="11">
        <v>6092192</v>
      </c>
      <c r="Q12" s="11">
        <v>17518692</v>
      </c>
      <c r="R12" s="95">
        <f t="shared" si="42"/>
        <v>0.34775381632373009</v>
      </c>
      <c r="S12" s="8" t="s">
        <v>188</v>
      </c>
      <c r="T12" s="11">
        <v>3368185</v>
      </c>
      <c r="U12" s="8" t="s">
        <v>196</v>
      </c>
      <c r="V12" s="11">
        <v>2774724</v>
      </c>
      <c r="W12" s="11">
        <v>17838359</v>
      </c>
      <c r="X12" s="95">
        <f t="shared" si="20"/>
        <v>0.15554816449203651</v>
      </c>
      <c r="Y12" s="11">
        <v>18.21</v>
      </c>
      <c r="Z12" s="11">
        <v>5568201</v>
      </c>
      <c r="AA12" s="8" t="s">
        <v>183</v>
      </c>
      <c r="AB12" s="11">
        <v>2628338</v>
      </c>
      <c r="AC12" s="11">
        <v>1541851475</v>
      </c>
      <c r="AD12" s="102">
        <f t="shared" ref="AD12:AD15" si="48">AB12/AC12</f>
        <v>1.7046635441977315E-3</v>
      </c>
      <c r="AE12" s="8" t="s">
        <v>173</v>
      </c>
      <c r="AF12" s="11">
        <v>7328281</v>
      </c>
      <c r="AG12" s="8" t="s">
        <v>174</v>
      </c>
      <c r="AH12" s="11">
        <v>13783518</v>
      </c>
      <c r="AI12" s="8" t="s">
        <v>175</v>
      </c>
      <c r="AJ12" s="11">
        <v>13044453</v>
      </c>
      <c r="AK12" s="8" t="s">
        <v>176</v>
      </c>
      <c r="AL12" s="11">
        <v>21952600</v>
      </c>
      <c r="AM12" s="8" t="s">
        <v>191</v>
      </c>
      <c r="AN12" s="11">
        <v>12468925</v>
      </c>
      <c r="AO12" s="8" t="s">
        <v>184</v>
      </c>
      <c r="AP12" s="11">
        <v>24804746</v>
      </c>
      <c r="AQ12" s="11">
        <v>207133092</v>
      </c>
      <c r="AR12" s="95">
        <f t="shared" si="21"/>
        <v>0.11975269504498103</v>
      </c>
      <c r="AS12" s="8">
        <v>32.54</v>
      </c>
      <c r="AT12" s="11">
        <v>8535788</v>
      </c>
      <c r="AU12" s="8">
        <v>34.32</v>
      </c>
      <c r="AV12" s="11">
        <v>19533626</v>
      </c>
      <c r="AW12" s="8">
        <v>36.049999999999997</v>
      </c>
      <c r="AX12" s="11">
        <v>6004245</v>
      </c>
      <c r="AY12" s="8">
        <v>37.72</v>
      </c>
      <c r="AZ12" s="11">
        <v>16395331</v>
      </c>
      <c r="BA12" s="8" t="s">
        <v>197</v>
      </c>
      <c r="BB12" s="11">
        <v>5160650</v>
      </c>
      <c r="BC12" s="8" t="s">
        <v>179</v>
      </c>
      <c r="BD12" s="11">
        <v>10420060</v>
      </c>
      <c r="BE12" s="8">
        <v>42.43</v>
      </c>
      <c r="BF12" s="11">
        <v>1807043</v>
      </c>
      <c r="BG12" s="8">
        <v>43.91</v>
      </c>
      <c r="BH12" s="11">
        <v>4734900</v>
      </c>
      <c r="BI12" s="8">
        <v>45.35</v>
      </c>
      <c r="BJ12" s="11">
        <v>1160778</v>
      </c>
      <c r="BK12" s="8">
        <v>46.74</v>
      </c>
      <c r="BL12" s="11">
        <v>1336717</v>
      </c>
      <c r="BM12" s="8">
        <v>48.27</v>
      </c>
      <c r="BN12" s="11">
        <v>318438</v>
      </c>
      <c r="BO12" s="8" t="s">
        <v>193</v>
      </c>
      <c r="BP12" s="11">
        <v>500910</v>
      </c>
      <c r="BQ12" s="8"/>
      <c r="BR12" s="11"/>
      <c r="BS12" s="8"/>
      <c r="BT12" s="11"/>
      <c r="BU12" s="17">
        <f t="shared" si="2"/>
        <v>183333649</v>
      </c>
      <c r="BV12" s="8">
        <f t="shared" si="22"/>
        <v>6.9201698888021212</v>
      </c>
      <c r="BW12" s="8">
        <f t="shared" si="23"/>
        <v>0.13840339777604244</v>
      </c>
      <c r="BX12" s="159">
        <f t="shared" si="3"/>
        <v>4.1521019332812726E-3</v>
      </c>
      <c r="BY12" s="159">
        <f t="shared" si="24"/>
        <v>3.8434711962244497E-3</v>
      </c>
      <c r="BZ12" s="160">
        <f t="shared" si="25"/>
        <v>1.2521417169123261E-4</v>
      </c>
      <c r="CA12" s="16">
        <f t="shared" si="4"/>
        <v>35154439</v>
      </c>
      <c r="CB12" s="9">
        <f t="shared" si="26"/>
        <v>1.3269505710080038</v>
      </c>
      <c r="CC12" s="9">
        <f t="shared" si="27"/>
        <v>2.6539011420160075E-2</v>
      </c>
      <c r="CD12" s="158">
        <f t="shared" si="5"/>
        <v>7.9617034260480218E-4</v>
      </c>
      <c r="CE12" s="158">
        <f t="shared" si="28"/>
        <v>1.7633894631335596E-2</v>
      </c>
      <c r="CF12" s="171">
        <f t="shared" si="29"/>
        <v>2.7454149744993178E-5</v>
      </c>
      <c r="CG12" s="16">
        <f t="shared" si="6"/>
        <v>100713232</v>
      </c>
      <c r="CH12" s="8">
        <f t="shared" si="30"/>
        <v>3.801553502545199</v>
      </c>
      <c r="CI12" s="8">
        <f t="shared" si="31"/>
        <v>7.6031070050903982E-2</v>
      </c>
      <c r="CJ12" s="159">
        <f t="shared" si="7"/>
        <v>2.2809321015271194E-3</v>
      </c>
      <c r="CK12" s="159">
        <f t="shared" si="32"/>
        <v>2.5881449013129688E-3</v>
      </c>
      <c r="CL12" s="157">
        <f t="shared" si="33"/>
        <v>7.865283108714205E-5</v>
      </c>
      <c r="CM12" s="8">
        <f t="shared" si="34"/>
        <v>0.22995780570102092</v>
      </c>
      <c r="CN12" s="9">
        <f t="shared" si="8"/>
        <v>2.2995780570102091E-3</v>
      </c>
      <c r="CO12" s="8">
        <f t="shared" si="9"/>
        <v>10963.540671132412</v>
      </c>
      <c r="CP12" s="8">
        <f t="shared" si="10"/>
        <v>109.63540671132411</v>
      </c>
      <c r="CQ12" s="8">
        <f t="shared" si="35"/>
        <v>109.63770628938111</v>
      </c>
      <c r="CR12" s="159">
        <f t="shared" si="11"/>
        <v>3.2891311886814334</v>
      </c>
      <c r="CS12" s="159">
        <f t="shared" si="36"/>
        <v>5.5094140198549309E-2</v>
      </c>
      <c r="CT12" s="166">
        <f t="shared" si="37"/>
        <v>1.1452406645826717E-3</v>
      </c>
      <c r="CU12" s="42" t="s">
        <v>213</v>
      </c>
      <c r="CV12" s="43">
        <v>31</v>
      </c>
      <c r="CW12" s="44">
        <f t="shared" si="12"/>
        <v>0.38858504804199945</v>
      </c>
      <c r="CX12" s="44">
        <f t="shared" si="13"/>
        <v>0.54934395594777041</v>
      </c>
      <c r="CY12" s="43">
        <f t="shared" si="14"/>
        <v>100713232</v>
      </c>
      <c r="CZ12" s="44">
        <f t="shared" si="38"/>
        <v>2.8648795106643572</v>
      </c>
      <c r="DA12" s="45">
        <f t="shared" si="15"/>
        <v>0.19175115529391989</v>
      </c>
      <c r="DB12" s="43">
        <f t="shared" si="16"/>
        <v>35154439</v>
      </c>
      <c r="DC12" s="45">
        <f t="shared" si="17"/>
        <v>0.3490548193309892</v>
      </c>
      <c r="DD12" s="44">
        <f t="shared" si="18"/>
        <v>109.63770628938111</v>
      </c>
      <c r="DE12" s="44">
        <f t="shared" si="39"/>
        <v>5.3515440946565631</v>
      </c>
      <c r="DF12" s="46">
        <f t="shared" si="19"/>
        <v>4.3980835457734511</v>
      </c>
      <c r="DG12" s="44">
        <f t="shared" si="40"/>
        <v>2.6511660582844891</v>
      </c>
      <c r="DH12" s="44">
        <f t="shared" si="43"/>
        <v>1.9698829521574743</v>
      </c>
      <c r="DI12" s="44">
        <f t="shared" si="41"/>
        <v>0.82380391813395049</v>
      </c>
      <c r="DJ12" s="92">
        <f t="shared" si="44"/>
        <v>2.1956028779799359</v>
      </c>
    </row>
    <row r="13" spans="1:114" ht="15" customHeight="1" x14ac:dyDescent="0.2">
      <c r="A13" s="58">
        <v>52</v>
      </c>
      <c r="B13" s="51">
        <v>24</v>
      </c>
      <c r="C13" s="51" t="s">
        <v>119</v>
      </c>
      <c r="D13" s="248"/>
      <c r="E13" s="249"/>
      <c r="F13" s="155">
        <v>0.03</v>
      </c>
      <c r="G13" s="239"/>
      <c r="H13" s="168">
        <v>2.2000000000000002</v>
      </c>
      <c r="I13" s="9">
        <v>30.9955</v>
      </c>
      <c r="J13" s="108">
        <f t="shared" si="0"/>
        <v>9.7167653369037446E-2</v>
      </c>
      <c r="K13" s="8"/>
      <c r="L13" s="16"/>
      <c r="M13" s="8" t="s">
        <v>186</v>
      </c>
      <c r="N13" s="11">
        <v>4247553</v>
      </c>
      <c r="O13" s="8" t="s">
        <v>187</v>
      </c>
      <c r="P13" s="11">
        <v>14622744</v>
      </c>
      <c r="Q13" s="11">
        <v>33072797</v>
      </c>
      <c r="R13" s="95">
        <f t="shared" si="42"/>
        <v>0.44213811127011726</v>
      </c>
      <c r="S13" s="8" t="s">
        <v>188</v>
      </c>
      <c r="T13" s="11">
        <v>7196287</v>
      </c>
      <c r="U13" s="8" t="s">
        <v>98</v>
      </c>
      <c r="V13" s="11">
        <v>7317081</v>
      </c>
      <c r="W13" s="11">
        <v>40598484</v>
      </c>
      <c r="X13" s="95">
        <f t="shared" si="20"/>
        <v>0.18023039973610838</v>
      </c>
      <c r="Y13" s="11">
        <v>18.21</v>
      </c>
      <c r="Z13" s="11">
        <v>9539521</v>
      </c>
      <c r="AA13" s="8" t="s">
        <v>183</v>
      </c>
      <c r="AB13" s="11">
        <v>4427577</v>
      </c>
      <c r="AC13" s="11">
        <v>1287343133</v>
      </c>
      <c r="AD13" s="102">
        <f t="shared" si="48"/>
        <v>3.4393137979320701E-3</v>
      </c>
      <c r="AE13" s="8" t="s">
        <v>185</v>
      </c>
      <c r="AF13" s="11">
        <v>15363437</v>
      </c>
      <c r="AG13" s="8" t="s">
        <v>189</v>
      </c>
      <c r="AH13" s="11">
        <v>25996948</v>
      </c>
      <c r="AI13" s="8" t="s">
        <v>175</v>
      </c>
      <c r="AJ13" s="11">
        <v>32772212</v>
      </c>
      <c r="AK13" s="8" t="s">
        <v>190</v>
      </c>
      <c r="AL13" s="11">
        <v>48937729</v>
      </c>
      <c r="AM13" s="8" t="s">
        <v>191</v>
      </c>
      <c r="AN13" s="11">
        <v>36989980</v>
      </c>
      <c r="AO13" s="8" t="s">
        <v>184</v>
      </c>
      <c r="AP13" s="11">
        <v>42565375</v>
      </c>
      <c r="AQ13" s="11">
        <v>309906627</v>
      </c>
      <c r="AR13" s="95">
        <f t="shared" si="21"/>
        <v>0.13734903126159997</v>
      </c>
      <c r="AS13" s="8">
        <v>32.54</v>
      </c>
      <c r="AT13" s="11">
        <v>15280917</v>
      </c>
      <c r="AU13" s="8">
        <v>34.32</v>
      </c>
      <c r="AV13" s="11">
        <v>30358656</v>
      </c>
      <c r="AW13" s="8">
        <v>36.049999999999997</v>
      </c>
      <c r="AX13" s="11">
        <v>10032896</v>
      </c>
      <c r="AY13" s="8">
        <v>37.72</v>
      </c>
      <c r="AZ13" s="11">
        <v>31116141</v>
      </c>
      <c r="BA13" s="8" t="s">
        <v>178</v>
      </c>
      <c r="BB13" s="11">
        <v>8760422</v>
      </c>
      <c r="BC13" s="8" t="s">
        <v>192</v>
      </c>
      <c r="BD13" s="11">
        <v>24791296</v>
      </c>
      <c r="BE13" s="8">
        <v>42.42</v>
      </c>
      <c r="BF13" s="11">
        <v>3196777</v>
      </c>
      <c r="BG13" s="8">
        <v>43.9</v>
      </c>
      <c r="BH13" s="11">
        <v>11875518</v>
      </c>
      <c r="BI13" s="8">
        <v>45.34</v>
      </c>
      <c r="BJ13" s="11">
        <v>2294007</v>
      </c>
      <c r="BK13" s="8">
        <v>46.75</v>
      </c>
      <c r="BL13" s="11">
        <v>4255504</v>
      </c>
      <c r="BM13" s="8">
        <v>48.25</v>
      </c>
      <c r="BN13" s="11">
        <v>1100093</v>
      </c>
      <c r="BO13" s="8" t="s">
        <v>193</v>
      </c>
      <c r="BP13" s="11">
        <v>1585997</v>
      </c>
      <c r="BQ13" s="8" t="s">
        <v>181</v>
      </c>
      <c r="BR13" s="11">
        <v>517909</v>
      </c>
      <c r="BS13" s="8" t="s">
        <v>194</v>
      </c>
      <c r="BT13" s="11">
        <v>405304</v>
      </c>
      <c r="BU13" s="17">
        <f t="shared" si="2"/>
        <v>369180479</v>
      </c>
      <c r="BV13" s="8">
        <f t="shared" si="22"/>
        <v>8.1020388384182151</v>
      </c>
      <c r="BW13" s="8">
        <f t="shared" si="23"/>
        <v>0.16204077676836431</v>
      </c>
      <c r="BX13" s="159">
        <f t="shared" si="3"/>
        <v>4.8612233030509294E-3</v>
      </c>
      <c r="BY13" s="159">
        <f t="shared" si="24"/>
        <v>4.4998827205877338E-3</v>
      </c>
      <c r="BZ13" s="160">
        <f t="shared" si="25"/>
        <v>1.4659901396414144E-4</v>
      </c>
      <c r="CA13" s="16">
        <f t="shared" si="4"/>
        <v>62343746</v>
      </c>
      <c r="CB13" s="9">
        <f t="shared" si="26"/>
        <v>1.3681965330146297</v>
      </c>
      <c r="CC13" s="9">
        <f t="shared" si="27"/>
        <v>2.7363930660292593E-2</v>
      </c>
      <c r="CD13" s="158">
        <f t="shared" si="5"/>
        <v>8.2091791980877776E-4</v>
      </c>
      <c r="CE13" s="158">
        <f t="shared" si="28"/>
        <v>1.8182013727769165E-2</v>
      </c>
      <c r="CF13" s="171">
        <f t="shared" si="29"/>
        <v>2.830751447616475E-5</v>
      </c>
      <c r="CG13" s="16">
        <f t="shared" si="6"/>
        <v>188136812</v>
      </c>
      <c r="CH13" s="8">
        <f t="shared" si="30"/>
        <v>4.1288525381651775</v>
      </c>
      <c r="CI13" s="8">
        <f t="shared" si="31"/>
        <v>8.2577050763303558E-2</v>
      </c>
      <c r="CJ13" s="159">
        <f t="shared" si="7"/>
        <v>2.4773115228991067E-3</v>
      </c>
      <c r="CK13" s="159">
        <f t="shared" si="32"/>
        <v>2.8109741551107532E-3</v>
      </c>
      <c r="CL13" s="157">
        <f t="shared" si="33"/>
        <v>8.5424535272382991E-5</v>
      </c>
      <c r="CM13" s="8">
        <f t="shared" si="34"/>
        <v>0.32091090009189499</v>
      </c>
      <c r="CN13" s="9">
        <f t="shared" si="8"/>
        <v>3.2091090009189497E-3</v>
      </c>
      <c r="CO13" s="8">
        <f t="shared" si="9"/>
        <v>83113.662198922058</v>
      </c>
      <c r="CP13" s="8">
        <f t="shared" si="10"/>
        <v>831.13662198922054</v>
      </c>
      <c r="CQ13" s="8">
        <f t="shared" si="35"/>
        <v>831.13983109822141</v>
      </c>
      <c r="CR13" s="159">
        <f t="shared" si="11"/>
        <v>24.934194932946642</v>
      </c>
      <c r="CS13" s="159">
        <f t="shared" si="36"/>
        <v>0.41765680739673638</v>
      </c>
      <c r="CT13" s="166">
        <f t="shared" si="37"/>
        <v>8.6818227482404736E-3</v>
      </c>
      <c r="CU13" s="42" t="s">
        <v>9</v>
      </c>
      <c r="CV13" s="43">
        <v>31</v>
      </c>
      <c r="CW13" s="44">
        <f t="shared" si="12"/>
        <v>0.44343467220649019</v>
      </c>
      <c r="CX13" s="44">
        <f t="shared" si="13"/>
        <v>0.5096066089669925</v>
      </c>
      <c r="CY13" s="43">
        <f t="shared" si="14"/>
        <v>188136812</v>
      </c>
      <c r="CZ13" s="44">
        <f t="shared" si="38"/>
        <v>3.017733518932276</v>
      </c>
      <c r="DA13" s="45">
        <f t="shared" si="15"/>
        <v>0.16887064605601751</v>
      </c>
      <c r="DB13" s="43">
        <f t="shared" si="16"/>
        <v>62343746</v>
      </c>
      <c r="DC13" s="45">
        <f t="shared" si="17"/>
        <v>0.33137452121810163</v>
      </c>
      <c r="DD13" s="44">
        <f t="shared" si="18"/>
        <v>831.13983109822141</v>
      </c>
      <c r="DE13" s="44">
        <f t="shared" si="39"/>
        <v>6.2570269079574103</v>
      </c>
      <c r="DF13" s="46">
        <f t="shared" si="19"/>
        <v>4.9465505304445454</v>
      </c>
      <c r="DG13" s="44">
        <f t="shared" si="40"/>
        <v>2.3783855273594434</v>
      </c>
      <c r="DH13" s="44">
        <f t="shared" si="43"/>
        <v>3.4426277906361618</v>
      </c>
      <c r="DI13" s="44">
        <f t="shared" si="41"/>
        <v>1.0167856006854645</v>
      </c>
      <c r="DJ13" s="92">
        <f t="shared" si="44"/>
        <v>1.9984395416696905</v>
      </c>
    </row>
    <row r="14" spans="1:114" ht="15" customHeight="1" x14ac:dyDescent="0.2">
      <c r="A14" s="58">
        <v>51</v>
      </c>
      <c r="B14" s="51">
        <v>23</v>
      </c>
      <c r="C14" s="51" t="s">
        <v>120</v>
      </c>
      <c r="D14" s="248"/>
      <c r="E14" s="249"/>
      <c r="F14" s="167">
        <v>0.29399999999999998</v>
      </c>
      <c r="G14" s="222" t="s">
        <v>364</v>
      </c>
      <c r="H14" s="168">
        <v>2.1</v>
      </c>
      <c r="I14" s="9">
        <v>30.536200000000001</v>
      </c>
      <c r="J14" s="108">
        <f t="shared" si="0"/>
        <v>9.8629168003877374E-2</v>
      </c>
      <c r="K14" s="8"/>
      <c r="L14" s="16"/>
      <c r="M14" s="8" t="s">
        <v>169</v>
      </c>
      <c r="N14" s="11">
        <v>712725</v>
      </c>
      <c r="O14" s="8" t="s">
        <v>170</v>
      </c>
      <c r="P14" s="11">
        <v>904832</v>
      </c>
      <c r="Q14" s="11">
        <v>3714972</v>
      </c>
      <c r="R14" s="95">
        <f t="shared" si="42"/>
        <v>0.24356361232332302</v>
      </c>
      <c r="S14" s="8" t="s">
        <v>171</v>
      </c>
      <c r="T14" s="11">
        <v>1632985</v>
      </c>
      <c r="U14" s="8" t="s">
        <v>172</v>
      </c>
      <c r="V14" s="11">
        <v>1305831</v>
      </c>
      <c r="W14" s="11">
        <v>7540167</v>
      </c>
      <c r="X14" s="95">
        <f t="shared" si="20"/>
        <v>0.17318329952108488</v>
      </c>
      <c r="Y14" s="11">
        <v>18.22</v>
      </c>
      <c r="Z14" s="11">
        <v>4662971</v>
      </c>
      <c r="AA14" s="8">
        <v>19.920000000000002</v>
      </c>
      <c r="AB14" s="11">
        <v>934154</v>
      </c>
      <c r="AC14" s="11">
        <v>1112848412</v>
      </c>
      <c r="AD14" s="102">
        <f t="shared" si="48"/>
        <v>8.3942609786462092E-4</v>
      </c>
      <c r="AE14" s="8" t="s">
        <v>173</v>
      </c>
      <c r="AF14" s="11">
        <v>11346908</v>
      </c>
      <c r="AG14" s="8" t="s">
        <v>174</v>
      </c>
      <c r="AH14" s="11">
        <v>23447348</v>
      </c>
      <c r="AI14" s="8" t="s">
        <v>175</v>
      </c>
      <c r="AJ14" s="11">
        <v>29318127</v>
      </c>
      <c r="AK14" s="8" t="s">
        <v>176</v>
      </c>
      <c r="AL14" s="11">
        <v>44809687</v>
      </c>
      <c r="AM14" s="8" t="s">
        <v>177</v>
      </c>
      <c r="AN14" s="11">
        <v>32597871</v>
      </c>
      <c r="AO14" s="8">
        <v>30.68</v>
      </c>
      <c r="AP14" s="11">
        <v>51374278</v>
      </c>
      <c r="AQ14" s="11">
        <v>363825792</v>
      </c>
      <c r="AR14" s="95">
        <f t="shared" si="21"/>
        <v>0.14120570649372763</v>
      </c>
      <c r="AS14" s="8">
        <v>32.53</v>
      </c>
      <c r="AT14" s="11">
        <v>25386196</v>
      </c>
      <c r="AU14" s="8">
        <v>34.33</v>
      </c>
      <c r="AV14" s="11">
        <v>49822593</v>
      </c>
      <c r="AW14" s="8">
        <v>36.049999999999997</v>
      </c>
      <c r="AX14" s="11">
        <v>23415898</v>
      </c>
      <c r="AY14" s="8">
        <v>37.729999999999997</v>
      </c>
      <c r="AZ14" s="11">
        <v>48842941</v>
      </c>
      <c r="BA14" s="8" t="s">
        <v>178</v>
      </c>
      <c r="BB14" s="11">
        <v>23161144</v>
      </c>
      <c r="BC14" s="8" t="s">
        <v>179</v>
      </c>
      <c r="BD14" s="11">
        <v>42689301</v>
      </c>
      <c r="BE14" s="8">
        <v>42.43</v>
      </c>
      <c r="BF14" s="11">
        <v>13987240</v>
      </c>
      <c r="BG14" s="8">
        <v>43.91</v>
      </c>
      <c r="BH14" s="11">
        <v>26176317</v>
      </c>
      <c r="BI14" s="8">
        <v>45.34</v>
      </c>
      <c r="BJ14" s="11">
        <v>12018036</v>
      </c>
      <c r="BK14" s="8">
        <v>46.75</v>
      </c>
      <c r="BL14" s="11">
        <v>13580492</v>
      </c>
      <c r="BM14" s="8">
        <v>48.26</v>
      </c>
      <c r="BN14" s="11">
        <v>7440770</v>
      </c>
      <c r="BO14" s="8" t="s">
        <v>180</v>
      </c>
      <c r="BP14" s="11">
        <v>9600963</v>
      </c>
      <c r="BQ14" s="8" t="s">
        <v>181</v>
      </c>
      <c r="BR14" s="11">
        <v>5398540</v>
      </c>
      <c r="BS14" s="8" t="s">
        <v>182</v>
      </c>
      <c r="BT14" s="11">
        <v>3296086</v>
      </c>
      <c r="BU14" s="17">
        <f t="shared" si="2"/>
        <v>504719417</v>
      </c>
      <c r="BV14" s="8">
        <f t="shared" si="22"/>
        <v>53.288918287682804</v>
      </c>
      <c r="BW14" s="8">
        <f t="shared" si="23"/>
        <v>1.0657783657536561</v>
      </c>
      <c r="BX14" s="159">
        <f t="shared" si="3"/>
        <v>0.31333883953157488</v>
      </c>
      <c r="BY14" s="159">
        <f t="shared" si="24"/>
        <v>0.29004798623676281</v>
      </c>
      <c r="BZ14" s="160">
        <f t="shared" si="25"/>
        <v>9.4493015540281933E-3</v>
      </c>
      <c r="CA14" s="16">
        <f t="shared" si="4"/>
        <v>41802937</v>
      </c>
      <c r="CB14" s="9">
        <f t="shared" si="26"/>
        <v>4.4136072814851746</v>
      </c>
      <c r="CC14" s="9">
        <f t="shared" si="27"/>
        <v>8.827214562970348E-2</v>
      </c>
      <c r="CD14" s="158">
        <f t="shared" si="5"/>
        <v>2.5952010815132823E-2</v>
      </c>
      <c r="CE14" s="158">
        <f t="shared" si="28"/>
        <v>0.57479536689109245</v>
      </c>
      <c r="CF14" s="171">
        <f t="shared" si="29"/>
        <v>8.9489692465975258E-4</v>
      </c>
      <c r="CG14" s="16">
        <f t="shared" si="6"/>
        <v>356190795</v>
      </c>
      <c r="CH14" s="8">
        <f t="shared" si="30"/>
        <v>37.607077378558188</v>
      </c>
      <c r="CI14" s="8">
        <f t="shared" si="31"/>
        <v>0.75214154757116369</v>
      </c>
      <c r="CJ14" s="159">
        <f t="shared" si="7"/>
        <v>0.22112961498592212</v>
      </c>
      <c r="CK14" s="159">
        <f t="shared" si="32"/>
        <v>0.25091298648124605</v>
      </c>
      <c r="CL14" s="157">
        <f t="shared" si="33"/>
        <v>7.6251591374455908E-3</v>
      </c>
      <c r="CM14" s="8">
        <f t="shared" si="34"/>
        <v>9.5533313932482627E-2</v>
      </c>
      <c r="CN14" s="9">
        <f t="shared" si="8"/>
        <v>9.5533313932482625E-4</v>
      </c>
      <c r="CO14" s="8">
        <f t="shared" si="9"/>
        <v>1061.7417993781528</v>
      </c>
      <c r="CP14" s="8">
        <f t="shared" si="10"/>
        <v>10.617417993781528</v>
      </c>
      <c r="CQ14" s="8">
        <f t="shared" si="35"/>
        <v>10.618373326920853</v>
      </c>
      <c r="CR14" s="159">
        <f t="shared" si="11"/>
        <v>3.1218017581147306</v>
      </c>
      <c r="CS14" s="159">
        <f t="shared" si="36"/>
        <v>5.2291311555316911E-2</v>
      </c>
      <c r="CT14" s="166">
        <f t="shared" si="37"/>
        <v>1.086978328034377E-3</v>
      </c>
      <c r="CU14" s="42" t="s">
        <v>214</v>
      </c>
      <c r="CV14" s="43">
        <v>31</v>
      </c>
      <c r="CW14" s="44">
        <f t="shared" si="12"/>
        <v>0.46638539674358681</v>
      </c>
      <c r="CX14" s="44">
        <f t="shared" si="13"/>
        <v>0.70572041217903059</v>
      </c>
      <c r="CY14" s="43">
        <f t="shared" si="14"/>
        <v>356190795</v>
      </c>
      <c r="CZ14" s="44">
        <f t="shared" si="38"/>
        <v>8.5207121930212697</v>
      </c>
      <c r="DA14" s="45">
        <f t="shared" si="15"/>
        <v>8.2824110965400016E-2</v>
      </c>
      <c r="DB14" s="43">
        <f t="shared" si="16"/>
        <v>41802937</v>
      </c>
      <c r="DC14" s="45">
        <f t="shared" si="17"/>
        <v>0.11736108172026175</v>
      </c>
      <c r="DD14" s="44">
        <f t="shared" si="18"/>
        <v>10.618373326920853</v>
      </c>
      <c r="DE14" s="44">
        <f t="shared" si="39"/>
        <v>26.295169034856137</v>
      </c>
      <c r="DF14" s="46">
        <f t="shared" si="19"/>
        <v>3.3004099987725204</v>
      </c>
      <c r="DG14" s="44">
        <f t="shared" si="40"/>
        <v>2.0232796968931868</v>
      </c>
      <c r="DH14" s="44">
        <f t="shared" si="43"/>
        <v>1.2695387421516013</v>
      </c>
      <c r="DI14" s="44">
        <f t="shared" si="41"/>
        <v>0.79965890684850138</v>
      </c>
      <c r="DJ14" s="92">
        <f t="shared" si="44"/>
        <v>0.69291661784717928</v>
      </c>
    </row>
    <row r="15" spans="1:114" s="30" customFormat="1" ht="15" customHeight="1" x14ac:dyDescent="0.2">
      <c r="A15" s="58">
        <v>50</v>
      </c>
      <c r="B15" s="70">
        <v>15</v>
      </c>
      <c r="C15" s="70" t="s">
        <v>41</v>
      </c>
      <c r="D15" s="248"/>
      <c r="E15" s="249"/>
      <c r="F15" s="167">
        <v>0.29399999999999998</v>
      </c>
      <c r="G15" s="222"/>
      <c r="H15" s="168">
        <v>2.0499999999999998</v>
      </c>
      <c r="I15" s="9">
        <v>30.864999999999998</v>
      </c>
      <c r="J15" s="108">
        <f t="shared" si="0"/>
        <v>9.7578486959339072E-2</v>
      </c>
      <c r="K15" s="8">
        <v>11.86</v>
      </c>
      <c r="L15" s="8">
        <v>1442636</v>
      </c>
      <c r="M15" s="8">
        <v>13.99</v>
      </c>
      <c r="N15" s="11">
        <v>3401094</v>
      </c>
      <c r="O15" s="8">
        <v>14.22</v>
      </c>
      <c r="P15" s="11">
        <v>5613678</v>
      </c>
      <c r="Q15" s="11">
        <v>76530187</v>
      </c>
      <c r="R15" s="95">
        <f t="shared" si="42"/>
        <v>7.335246678542677E-2</v>
      </c>
      <c r="S15" s="8">
        <v>16.21</v>
      </c>
      <c r="T15" s="11">
        <v>5786599</v>
      </c>
      <c r="U15" s="8">
        <v>16.52</v>
      </c>
      <c r="V15" s="11">
        <v>4098981</v>
      </c>
      <c r="W15" s="11">
        <v>73953373</v>
      </c>
      <c r="X15" s="95">
        <f t="shared" si="20"/>
        <v>5.5426559110427591E-2</v>
      </c>
      <c r="Y15" s="11">
        <v>18.48</v>
      </c>
      <c r="Z15" s="11">
        <v>14520163</v>
      </c>
      <c r="AA15" s="8">
        <v>20.2</v>
      </c>
      <c r="AB15" s="11">
        <v>2433770</v>
      </c>
      <c r="AC15" s="11">
        <v>2438969716</v>
      </c>
      <c r="AD15" s="102">
        <f t="shared" si="48"/>
        <v>9.9786806864968886E-4</v>
      </c>
      <c r="AE15" s="8">
        <v>20.71</v>
      </c>
      <c r="AF15" s="11">
        <v>28737421</v>
      </c>
      <c r="AG15" s="8">
        <v>22.9</v>
      </c>
      <c r="AH15" s="11">
        <v>72029699</v>
      </c>
      <c r="AI15" s="8">
        <v>25.03</v>
      </c>
      <c r="AJ15" s="11">
        <v>73963610</v>
      </c>
      <c r="AK15" s="8">
        <v>27.09</v>
      </c>
      <c r="AL15" s="11">
        <v>116385730</v>
      </c>
      <c r="AM15" s="8">
        <v>29.07</v>
      </c>
      <c r="AN15" s="11">
        <v>76513918</v>
      </c>
      <c r="AO15" s="8">
        <v>30.99</v>
      </c>
      <c r="AP15" s="11">
        <v>113531065</v>
      </c>
      <c r="AQ15" s="11">
        <v>610852173</v>
      </c>
      <c r="AR15" s="96">
        <f t="shared" si="21"/>
        <v>0.18585685705664176</v>
      </c>
      <c r="AS15" s="8">
        <v>32.840000000000003</v>
      </c>
      <c r="AT15" s="11">
        <v>53598655</v>
      </c>
      <c r="AU15" s="8">
        <v>34.630000000000003</v>
      </c>
      <c r="AV15" s="11">
        <v>139978978</v>
      </c>
      <c r="AW15" s="8">
        <v>36.36</v>
      </c>
      <c r="AX15" s="11">
        <v>41966140</v>
      </c>
      <c r="AY15" s="8">
        <v>38.03</v>
      </c>
      <c r="AZ15" s="11">
        <v>158655629</v>
      </c>
      <c r="BA15" s="8">
        <v>39.65</v>
      </c>
      <c r="BB15" s="11">
        <v>41500640</v>
      </c>
      <c r="BC15" s="8">
        <v>41.22</v>
      </c>
      <c r="BD15" s="11">
        <v>179687237</v>
      </c>
      <c r="BE15" s="8">
        <v>42.72</v>
      </c>
      <c r="BF15" s="11">
        <v>15871970</v>
      </c>
      <c r="BG15" s="8">
        <v>44.21</v>
      </c>
      <c r="BH15" s="11">
        <v>79280497</v>
      </c>
      <c r="BI15" s="8">
        <v>45.65</v>
      </c>
      <c r="BJ15" s="11">
        <v>12821024</v>
      </c>
      <c r="BK15" s="8">
        <v>47.08</v>
      </c>
      <c r="BL15" s="11">
        <v>23393392</v>
      </c>
      <c r="BM15" s="8">
        <v>48.62</v>
      </c>
      <c r="BN15" s="11">
        <v>6122180</v>
      </c>
      <c r="BO15" s="8">
        <v>50.43</v>
      </c>
      <c r="BP15" s="11">
        <v>9956035</v>
      </c>
      <c r="BQ15" s="14"/>
      <c r="BR15" s="15"/>
      <c r="BS15" s="14"/>
      <c r="BT15" s="15"/>
      <c r="BU15" s="17">
        <f t="shared" si="2"/>
        <v>1269144312</v>
      </c>
      <c r="BV15" s="8">
        <f t="shared" si="22"/>
        <v>50.884504985274432</v>
      </c>
      <c r="BW15" s="8">
        <f t="shared" si="23"/>
        <v>1.0176900997054887</v>
      </c>
      <c r="BX15" s="159">
        <f t="shared" si="3"/>
        <v>0.29920088931341365</v>
      </c>
      <c r="BY15" s="159">
        <f t="shared" si="24"/>
        <v>0.27696092688458174</v>
      </c>
      <c r="BZ15" s="160">
        <f t="shared" si="25"/>
        <v>9.0229459985951051E-3</v>
      </c>
      <c r="CA15" s="16">
        <f t="shared" si="4"/>
        <v>125917612</v>
      </c>
      <c r="CB15" s="9">
        <f t="shared" si="26"/>
        <v>5.048484474906469</v>
      </c>
      <c r="CC15" s="9">
        <f t="shared" si="27"/>
        <v>0.10096968949812937</v>
      </c>
      <c r="CD15" s="158">
        <f t="shared" si="5"/>
        <v>2.9685088712450035E-2</v>
      </c>
      <c r="CE15" s="158">
        <f t="shared" si="28"/>
        <v>0.65747704789479589</v>
      </c>
      <c r="CF15" s="171">
        <f t="shared" si="29"/>
        <v>1.0236237487051736E-3</v>
      </c>
      <c r="CG15" s="16">
        <f t="shared" si="6"/>
        <v>876363442</v>
      </c>
      <c r="CH15" s="8">
        <f t="shared" si="30"/>
        <v>35.136524279960099</v>
      </c>
      <c r="CI15" s="8">
        <f t="shared" si="31"/>
        <v>0.70273048559920193</v>
      </c>
      <c r="CJ15" s="159">
        <f t="shared" si="7"/>
        <v>0.20660276276616535</v>
      </c>
      <c r="CK15" s="159">
        <f t="shared" si="32"/>
        <v>0.23442955039846289</v>
      </c>
      <c r="CL15" s="157">
        <f t="shared" si="33"/>
        <v>7.1242331988332882E-3</v>
      </c>
      <c r="CM15" s="8">
        <f t="shared" si="34"/>
        <v>0.22507229751247187</v>
      </c>
      <c r="CN15" s="9">
        <f t="shared" si="8"/>
        <v>2.2507229751247185E-3</v>
      </c>
      <c r="CO15" s="8">
        <f t="shared" si="9"/>
        <v>9434.4588664494913</v>
      </c>
      <c r="CP15" s="8">
        <f t="shared" si="10"/>
        <v>94.344588664494907</v>
      </c>
      <c r="CQ15" s="8">
        <f t="shared" si="35"/>
        <v>94.346839387470027</v>
      </c>
      <c r="CR15" s="159">
        <f t="shared" si="11"/>
        <v>27.737970779916186</v>
      </c>
      <c r="CS15" s="159">
        <f t="shared" si="36"/>
        <v>0.46462106960975313</v>
      </c>
      <c r="CT15" s="166">
        <f t="shared" si="37"/>
        <v>9.6580678203050784E-3</v>
      </c>
      <c r="CU15" s="42" t="s">
        <v>74</v>
      </c>
      <c r="CV15" s="43">
        <v>31</v>
      </c>
      <c r="CW15" s="44">
        <f t="shared" si="12"/>
        <v>0.53108031838921643</v>
      </c>
      <c r="CX15" s="44">
        <f t="shared" si="13"/>
        <v>0.69051520281327949</v>
      </c>
      <c r="CY15" s="43">
        <f t="shared" si="14"/>
        <v>876363442</v>
      </c>
      <c r="CZ15" s="44">
        <f t="shared" si="38"/>
        <v>6.9598162487388979</v>
      </c>
      <c r="DA15" s="45">
        <f t="shared" si="15"/>
        <v>9.9214573795450303E-2</v>
      </c>
      <c r="DB15" s="43">
        <f t="shared" si="16"/>
        <v>125917612</v>
      </c>
      <c r="DC15" s="45">
        <f t="shared" si="17"/>
        <v>0.14368195427303093</v>
      </c>
      <c r="DD15" s="44">
        <f t="shared" si="18"/>
        <v>94.346839387470027</v>
      </c>
      <c r="DE15" s="44">
        <f t="shared" si="39"/>
        <v>26.690195001388574</v>
      </c>
      <c r="DF15" s="46">
        <f t="shared" si="19"/>
        <v>6.0735975448909842</v>
      </c>
      <c r="DG15" s="44">
        <f t="shared" si="40"/>
        <v>3.2296089937584793</v>
      </c>
      <c r="DH15" s="44">
        <f t="shared" si="43"/>
        <v>1.6505506757531547</v>
      </c>
      <c r="DI15" s="44">
        <f t="shared" si="41"/>
        <v>0.70835753436517723</v>
      </c>
      <c r="DJ15" s="92">
        <f t="shared" si="44"/>
        <v>1.3695301344407305</v>
      </c>
    </row>
    <row r="16" spans="1:114" ht="15" customHeight="1" x14ac:dyDescent="0.2">
      <c r="A16" s="58">
        <v>49</v>
      </c>
      <c r="B16" s="51">
        <v>22</v>
      </c>
      <c r="C16" s="51" t="s">
        <v>121</v>
      </c>
      <c r="D16" s="248"/>
      <c r="E16" s="249"/>
      <c r="F16" s="167">
        <v>0.29399999999999998</v>
      </c>
      <c r="G16" s="222"/>
      <c r="H16" s="168">
        <v>2</v>
      </c>
      <c r="I16" s="9">
        <v>30.536200000000001</v>
      </c>
      <c r="J16" s="108">
        <f t="shared" si="0"/>
        <v>9.8629168003877374E-2</v>
      </c>
      <c r="K16" s="8"/>
      <c r="L16" s="16"/>
      <c r="M16" s="8">
        <v>13.98</v>
      </c>
      <c r="N16" s="11">
        <v>402043</v>
      </c>
      <c r="O16" s="8">
        <v>14.16</v>
      </c>
      <c r="P16" s="11">
        <v>587149</v>
      </c>
      <c r="Q16" s="11">
        <v>2487265</v>
      </c>
      <c r="R16" s="95">
        <f t="shared" si="42"/>
        <v>0.23606210033912753</v>
      </c>
      <c r="S16" s="8">
        <v>16</v>
      </c>
      <c r="T16" s="11">
        <v>1154108</v>
      </c>
      <c r="U16" s="8">
        <v>16.260000000000002</v>
      </c>
      <c r="V16" s="11">
        <v>557344</v>
      </c>
      <c r="W16" s="11">
        <v>4798283</v>
      </c>
      <c r="X16" s="95">
        <f t="shared" si="20"/>
        <v>0.11615488290290506</v>
      </c>
      <c r="Y16" s="11">
        <v>18.23</v>
      </c>
      <c r="Z16" s="11">
        <v>2805715</v>
      </c>
      <c r="AA16" s="8">
        <v>19.91</v>
      </c>
      <c r="AB16" s="11">
        <v>848841</v>
      </c>
      <c r="AC16" s="11">
        <v>898260591</v>
      </c>
      <c r="AD16" s="102">
        <f t="shared" ref="AD16:AD21" si="49">AB16/AC16</f>
        <v>9.4498301328684248E-4</v>
      </c>
      <c r="AE16" s="8">
        <v>20.45</v>
      </c>
      <c r="AF16" s="11">
        <v>7210261</v>
      </c>
      <c r="AG16" s="8">
        <v>22.63</v>
      </c>
      <c r="AH16" s="11">
        <v>18193366</v>
      </c>
      <c r="AI16" s="8">
        <v>24.74</v>
      </c>
      <c r="AJ16" s="11">
        <v>21611573</v>
      </c>
      <c r="AK16" s="8">
        <v>26.8</v>
      </c>
      <c r="AL16" s="11">
        <v>35848127</v>
      </c>
      <c r="AM16" s="8">
        <v>28.78</v>
      </c>
      <c r="AN16" s="11">
        <v>23942591</v>
      </c>
      <c r="AO16" s="8">
        <v>30.69</v>
      </c>
      <c r="AP16" s="11">
        <v>45015768</v>
      </c>
      <c r="AQ16" s="11">
        <v>333366235</v>
      </c>
      <c r="AR16" s="96">
        <f t="shared" si="21"/>
        <v>0.1350339754714511</v>
      </c>
      <c r="AS16" s="8">
        <v>32.54</v>
      </c>
      <c r="AT16" s="11">
        <v>19302471</v>
      </c>
      <c r="AU16" s="8">
        <v>34.33</v>
      </c>
      <c r="AV16" s="11">
        <v>43617400</v>
      </c>
      <c r="AW16" s="8">
        <v>36.06</v>
      </c>
      <c r="AX16" s="11">
        <v>21307856</v>
      </c>
      <c r="AY16" s="8">
        <v>37.72</v>
      </c>
      <c r="AZ16" s="11">
        <v>45709303</v>
      </c>
      <c r="BA16" s="8">
        <v>39.35</v>
      </c>
      <c r="BB16" s="11">
        <v>12587787</v>
      </c>
      <c r="BC16" s="8">
        <v>40.9</v>
      </c>
      <c r="BD16" s="11">
        <v>32906197</v>
      </c>
      <c r="BE16" s="8">
        <v>42.44</v>
      </c>
      <c r="BF16" s="11">
        <v>4305901</v>
      </c>
      <c r="BG16" s="8">
        <v>43.91</v>
      </c>
      <c r="BH16" s="11">
        <v>17859808</v>
      </c>
      <c r="BI16" s="8">
        <v>45.35</v>
      </c>
      <c r="BJ16" s="11">
        <v>4768268</v>
      </c>
      <c r="BK16" s="8">
        <v>46.75</v>
      </c>
      <c r="BL16" s="11">
        <v>5264659</v>
      </c>
      <c r="BM16" s="8">
        <v>48.27</v>
      </c>
      <c r="BN16" s="11">
        <v>2052116</v>
      </c>
      <c r="BO16" s="8">
        <v>50.01</v>
      </c>
      <c r="BP16" s="11">
        <v>3372721</v>
      </c>
      <c r="BQ16" s="8"/>
      <c r="BR16" s="11"/>
      <c r="BS16" s="8"/>
      <c r="BT16" s="11"/>
      <c r="BU16" s="17">
        <f t="shared" si="2"/>
        <v>369238039</v>
      </c>
      <c r="BV16" s="8">
        <f t="shared" si="22"/>
        <v>42.902782243026934</v>
      </c>
      <c r="BW16" s="8">
        <f t="shared" si="23"/>
        <v>0.85805564486053865</v>
      </c>
      <c r="BX16" s="159">
        <f t="shared" si="3"/>
        <v>0.25226835958899835</v>
      </c>
      <c r="BY16" s="159">
        <f t="shared" si="24"/>
        <v>0.23351694861519795</v>
      </c>
      <c r="BZ16" s="160">
        <f t="shared" si="25"/>
        <v>7.6076103615500112E-3</v>
      </c>
      <c r="CA16" s="16">
        <f t="shared" si="4"/>
        <v>29765493</v>
      </c>
      <c r="CB16" s="9">
        <f t="shared" si="26"/>
        <v>3.4585344131765972</v>
      </c>
      <c r="CC16" s="9">
        <f t="shared" si="27"/>
        <v>6.917068826353194E-2</v>
      </c>
      <c r="CD16" s="158">
        <f t="shared" si="5"/>
        <v>2.0336182349478388E-2</v>
      </c>
      <c r="CE16" s="158">
        <f t="shared" si="28"/>
        <v>0.45041378404160326</v>
      </c>
      <c r="CF16" s="171">
        <f t="shared" si="29"/>
        <v>7.0124766722339275E-4</v>
      </c>
      <c r="CG16" s="16">
        <f t="shared" si="6"/>
        <v>258070255</v>
      </c>
      <c r="CH16" s="8">
        <f t="shared" si="30"/>
        <v>29.985891983538114</v>
      </c>
      <c r="CI16" s="8">
        <f t="shared" si="31"/>
        <v>0.5997178396707622</v>
      </c>
      <c r="CJ16" s="159">
        <f t="shared" si="7"/>
        <v>0.17631704486320407</v>
      </c>
      <c r="CK16" s="159">
        <f t="shared" si="32"/>
        <v>0.20006472808714862</v>
      </c>
      <c r="CL16" s="157">
        <f t="shared" si="33"/>
        <v>6.0798980987311745E-3</v>
      </c>
      <c r="CM16" s="8">
        <f t="shared" si="34"/>
        <v>6.8222455517945757E-2</v>
      </c>
      <c r="CN16" s="9">
        <f t="shared" si="8"/>
        <v>6.8222455517945757E-4</v>
      </c>
      <c r="CO16" s="8">
        <f t="shared" si="9"/>
        <v>364.30850416324233</v>
      </c>
      <c r="CP16" s="8">
        <f t="shared" si="10"/>
        <v>3.6430850416324234</v>
      </c>
      <c r="CQ16" s="8">
        <f t="shared" si="35"/>
        <v>3.643767266187603</v>
      </c>
      <c r="CR16" s="159">
        <f t="shared" si="11"/>
        <v>1.0712675762591553</v>
      </c>
      <c r="CS16" s="159">
        <f t="shared" si="36"/>
        <v>1.7944120392547346E-2</v>
      </c>
      <c r="CT16" s="166">
        <f t="shared" si="37"/>
        <v>3.7300403073090363E-4</v>
      </c>
      <c r="CU16" s="42" t="s">
        <v>73</v>
      </c>
      <c r="CV16" s="43">
        <v>31</v>
      </c>
      <c r="CW16" s="44">
        <f t="shared" si="12"/>
        <v>0.41857136315357657</v>
      </c>
      <c r="CX16" s="44">
        <f t="shared" si="13"/>
        <v>0.69892651282334428</v>
      </c>
      <c r="CY16" s="43">
        <f t="shared" si="14"/>
        <v>258070255</v>
      </c>
      <c r="CZ16" s="44">
        <f t="shared" si="38"/>
        <v>8.6701152572880282</v>
      </c>
      <c r="DA16" s="45">
        <f t="shared" si="15"/>
        <v>8.0613289683298311E-2</v>
      </c>
      <c r="DB16" s="43">
        <f t="shared" si="16"/>
        <v>29765493</v>
      </c>
      <c r="DC16" s="45">
        <f t="shared" si="17"/>
        <v>0.11533872045811711</v>
      </c>
      <c r="DD16" s="44">
        <f t="shared" si="18"/>
        <v>3.643767266187603</v>
      </c>
      <c r="DE16" s="44">
        <f t="shared" si="39"/>
        <v>38.105399472154694</v>
      </c>
      <c r="DF16" s="46">
        <f t="shared" si="19"/>
        <v>3.5859970354495281</v>
      </c>
      <c r="DG16" s="44">
        <f t="shared" si="40"/>
        <v>2.484295975363906</v>
      </c>
      <c r="DH16" s="44">
        <f t="shared" si="43"/>
        <v>1.4604134383635581</v>
      </c>
      <c r="DI16" s="44">
        <f t="shared" si="41"/>
        <v>0.48292187559569816</v>
      </c>
      <c r="DJ16" s="92">
        <f t="shared" si="44"/>
        <v>1.0534768473330653</v>
      </c>
    </row>
    <row r="17" spans="1:114" ht="15" customHeight="1" x14ac:dyDescent="0.2">
      <c r="A17" s="58">
        <v>48</v>
      </c>
      <c r="B17" s="51">
        <v>21</v>
      </c>
      <c r="C17" s="51" t="s">
        <v>122</v>
      </c>
      <c r="D17" s="248"/>
      <c r="E17" s="249"/>
      <c r="F17" s="167">
        <v>0.29399999999999998</v>
      </c>
      <c r="G17" s="222"/>
      <c r="H17" s="168">
        <v>1.9</v>
      </c>
      <c r="I17" s="9">
        <v>30.8704</v>
      </c>
      <c r="J17" s="108">
        <f t="shared" si="0"/>
        <v>9.7561418057427185E-2</v>
      </c>
      <c r="K17" s="8"/>
      <c r="L17" s="8"/>
      <c r="M17" s="8">
        <v>13.98</v>
      </c>
      <c r="N17" s="11">
        <v>2712577</v>
      </c>
      <c r="O17" s="8">
        <v>14.16</v>
      </c>
      <c r="P17" s="11">
        <v>3770221</v>
      </c>
      <c r="Q17" s="11">
        <v>18361464</v>
      </c>
      <c r="R17" s="95">
        <f t="shared" si="42"/>
        <v>0.20533335468239353</v>
      </c>
      <c r="S17" s="8">
        <v>15.98</v>
      </c>
      <c r="T17" s="11">
        <v>2617112</v>
      </c>
      <c r="U17" s="8">
        <v>16.25</v>
      </c>
      <c r="V17" s="11">
        <v>2020928</v>
      </c>
      <c r="W17" s="11">
        <v>19699321</v>
      </c>
      <c r="X17" s="95">
        <f t="shared" si="20"/>
        <v>0.10258871359068671</v>
      </c>
      <c r="Y17" s="11">
        <v>18.22</v>
      </c>
      <c r="Z17" s="11">
        <v>5402166</v>
      </c>
      <c r="AA17" s="8">
        <v>19.920000000000002</v>
      </c>
      <c r="AB17" s="11">
        <v>2262642</v>
      </c>
      <c r="AC17" s="16">
        <v>1771669959</v>
      </c>
      <c r="AD17" s="102">
        <f t="shared" si="49"/>
        <v>1.277123873160396E-3</v>
      </c>
      <c r="AE17" s="8">
        <v>20.45</v>
      </c>
      <c r="AF17" s="11">
        <v>9580625</v>
      </c>
      <c r="AG17" s="8">
        <v>22.63</v>
      </c>
      <c r="AH17" s="11">
        <v>18820662</v>
      </c>
      <c r="AI17" s="8">
        <v>24.75</v>
      </c>
      <c r="AJ17" s="11">
        <v>19965115</v>
      </c>
      <c r="AK17" s="8">
        <v>26.8</v>
      </c>
      <c r="AL17" s="11">
        <v>32558584</v>
      </c>
      <c r="AM17" s="11">
        <v>28.78</v>
      </c>
      <c r="AN17" s="11">
        <v>22024162</v>
      </c>
      <c r="AO17" s="11">
        <v>30.69</v>
      </c>
      <c r="AP17" s="11">
        <v>40497979</v>
      </c>
      <c r="AQ17" s="11">
        <v>299033158</v>
      </c>
      <c r="AR17" s="96">
        <f t="shared" si="21"/>
        <v>0.1354297271608923</v>
      </c>
      <c r="AS17" s="11">
        <v>32.549999999999997</v>
      </c>
      <c r="AT17" s="11">
        <v>19396532</v>
      </c>
      <c r="AU17" s="11">
        <v>34.33</v>
      </c>
      <c r="AV17" s="11">
        <v>35965748</v>
      </c>
      <c r="AW17" s="11">
        <v>36.049999999999997</v>
      </c>
      <c r="AX17" s="11">
        <v>19435126</v>
      </c>
      <c r="AY17" s="11">
        <v>37.729999999999997</v>
      </c>
      <c r="AZ17" s="11">
        <v>39969631</v>
      </c>
      <c r="BA17" s="11">
        <v>39.35</v>
      </c>
      <c r="BB17" s="11">
        <v>12529058</v>
      </c>
      <c r="BC17" s="11">
        <v>40.909999999999997</v>
      </c>
      <c r="BD17" s="11">
        <v>29544620</v>
      </c>
      <c r="BE17" s="11">
        <v>42.43</v>
      </c>
      <c r="BF17" s="11">
        <v>4625385</v>
      </c>
      <c r="BG17" s="11">
        <v>43.91</v>
      </c>
      <c r="BH17" s="11">
        <v>15568113</v>
      </c>
      <c r="BI17" s="11">
        <v>45.35</v>
      </c>
      <c r="BJ17" s="11">
        <v>4978971</v>
      </c>
      <c r="BK17" s="11">
        <v>46.77</v>
      </c>
      <c r="BL17" s="11">
        <v>6800822</v>
      </c>
      <c r="BM17" s="11">
        <v>48.25</v>
      </c>
      <c r="BN17" s="11">
        <v>1585095</v>
      </c>
      <c r="BO17" s="8">
        <v>50</v>
      </c>
      <c r="BP17" s="11">
        <v>4446349</v>
      </c>
      <c r="BQ17" s="8">
        <v>52</v>
      </c>
      <c r="BR17" s="11">
        <v>914792</v>
      </c>
      <c r="BS17" s="11"/>
      <c r="BT17" s="11"/>
      <c r="BU17" s="17">
        <f t="shared" si="2"/>
        <v>349939224</v>
      </c>
      <c r="BV17" s="8">
        <f t="shared" si="22"/>
        <v>15.088806327892637</v>
      </c>
      <c r="BW17" s="8">
        <f t="shared" si="23"/>
        <v>0.30177612655785274</v>
      </c>
      <c r="BX17" s="159">
        <f t="shared" si="3"/>
        <v>8.8722181208008705E-2</v>
      </c>
      <c r="BY17" s="159">
        <f t="shared" si="24"/>
        <v>8.2127354631129051E-2</v>
      </c>
      <c r="BZ17" s="160">
        <f t="shared" si="25"/>
        <v>2.6755784441498407E-3</v>
      </c>
      <c r="CA17" s="16">
        <f t="shared" si="4"/>
        <v>39133142</v>
      </c>
      <c r="CB17" s="9">
        <f t="shared" si="26"/>
        <v>1.6873570041405852</v>
      </c>
      <c r="CC17" s="9">
        <f t="shared" si="27"/>
        <v>3.3747140082811704E-2</v>
      </c>
      <c r="CD17" s="158">
        <f t="shared" si="5"/>
        <v>9.9216591843466397E-3</v>
      </c>
      <c r="CE17" s="158">
        <f t="shared" si="28"/>
        <v>0.21974881914389016</v>
      </c>
      <c r="CF17" s="171">
        <f t="shared" si="29"/>
        <v>3.4212617877057381E-4</v>
      </c>
      <c r="CG17" s="16">
        <f t="shared" si="6"/>
        <v>236258221</v>
      </c>
      <c r="CH17" s="8">
        <f t="shared" si="30"/>
        <v>10.18706762646721</v>
      </c>
      <c r="CI17" s="8">
        <f t="shared" si="31"/>
        <v>0.20374135252934417</v>
      </c>
      <c r="CJ17" s="159">
        <f t="shared" si="7"/>
        <v>5.9899957643627183E-2</v>
      </c>
      <c r="CK17" s="159">
        <f t="shared" si="32"/>
        <v>6.7967726816778845E-2</v>
      </c>
      <c r="CL17" s="157">
        <f t="shared" si="33"/>
        <v>2.0655157808147306E-3</v>
      </c>
      <c r="CM17" s="8">
        <f t="shared" si="34"/>
        <v>0.16256575593924766</v>
      </c>
      <c r="CN17" s="9">
        <f t="shared" si="8"/>
        <v>1.6256575593924765E-3</v>
      </c>
      <c r="CO17" s="8">
        <f t="shared" si="9"/>
        <v>4300.6572112272297</v>
      </c>
      <c r="CP17" s="8">
        <f t="shared" si="10"/>
        <v>43.006572112272295</v>
      </c>
      <c r="CQ17" s="8">
        <f t="shared" si="35"/>
        <v>43.008197769831689</v>
      </c>
      <c r="CR17" s="159">
        <f t="shared" si="11"/>
        <v>12.644410144330516</v>
      </c>
      <c r="CS17" s="159">
        <f t="shared" si="36"/>
        <v>0.21179845535409456</v>
      </c>
      <c r="CT17" s="166">
        <f t="shared" si="37"/>
        <v>4.4026497717028256E-3</v>
      </c>
      <c r="CU17" s="42" t="s">
        <v>215</v>
      </c>
      <c r="CV17" s="43">
        <v>31</v>
      </c>
      <c r="CW17" s="44">
        <f t="shared" si="12"/>
        <v>0.42501529650373415</v>
      </c>
      <c r="CX17" s="44">
        <f t="shared" si="13"/>
        <v>0.67514072386466739</v>
      </c>
      <c r="CY17" s="43">
        <f t="shared" si="14"/>
        <v>236258221</v>
      </c>
      <c r="CZ17" s="44">
        <f t="shared" si="38"/>
        <v>6.0372924055011987</v>
      </c>
      <c r="DA17" s="45">
        <f t="shared" si="15"/>
        <v>0.11182839566449973</v>
      </c>
      <c r="DB17" s="43">
        <f t="shared" si="16"/>
        <v>39133142</v>
      </c>
      <c r="DC17" s="45">
        <f t="shared" si="17"/>
        <v>0.16563716527773228</v>
      </c>
      <c r="DD17" s="44">
        <f t="shared" si="18"/>
        <v>43.008197769831689</v>
      </c>
      <c r="DE17" s="44">
        <f t="shared" si="39"/>
        <v>12.998563109145909</v>
      </c>
      <c r="DF17" s="46">
        <f t="shared" si="19"/>
        <v>3.3824041427207039</v>
      </c>
      <c r="DG17" s="44">
        <f t="shared" si="40"/>
        <v>2.2567345339482978</v>
      </c>
      <c r="DH17" s="44">
        <f t="shared" si="43"/>
        <v>1.3899037704736124</v>
      </c>
      <c r="DI17" s="44">
        <f t="shared" si="41"/>
        <v>0.77219775080317543</v>
      </c>
      <c r="DJ17" s="92">
        <f t="shared" si="44"/>
        <v>1.8655889769452449</v>
      </c>
    </row>
    <row r="18" spans="1:114" ht="15" customHeight="1" x14ac:dyDescent="0.2">
      <c r="A18" s="58">
        <v>47</v>
      </c>
      <c r="B18" s="117">
        <v>43</v>
      </c>
      <c r="C18" s="117" t="s">
        <v>168</v>
      </c>
      <c r="D18" s="248"/>
      <c r="E18" s="249"/>
      <c r="F18" s="167">
        <v>0.29399999999999998</v>
      </c>
      <c r="G18" s="222"/>
      <c r="H18" s="168">
        <v>1.85</v>
      </c>
      <c r="I18" s="9">
        <v>30.978000000000002</v>
      </c>
      <c r="J18" s="108">
        <f t="shared" si="0"/>
        <v>9.7222545031958166E-2</v>
      </c>
      <c r="K18" s="8"/>
      <c r="L18" s="8"/>
      <c r="M18" s="8">
        <v>13.88</v>
      </c>
      <c r="N18" s="11">
        <v>3560844</v>
      </c>
      <c r="O18" s="8">
        <v>14.1</v>
      </c>
      <c r="P18" s="11">
        <v>3816180</v>
      </c>
      <c r="Q18" s="11"/>
      <c r="R18" s="95"/>
      <c r="S18" s="8">
        <v>16.12</v>
      </c>
      <c r="T18" s="11">
        <v>5713370</v>
      </c>
      <c r="U18" s="8">
        <v>16.39</v>
      </c>
      <c r="V18" s="11">
        <v>3467524</v>
      </c>
      <c r="W18" s="11"/>
      <c r="X18" s="95"/>
      <c r="Y18" s="11">
        <v>18.36</v>
      </c>
      <c r="Z18" s="11">
        <v>8718451</v>
      </c>
      <c r="AA18" s="8">
        <v>20.059999999999999</v>
      </c>
      <c r="AB18" s="11">
        <v>2662509</v>
      </c>
      <c r="AC18" s="16">
        <v>2232069400</v>
      </c>
      <c r="AD18" s="102">
        <f t="shared" si="49"/>
        <v>1.1928432870411646E-3</v>
      </c>
      <c r="AE18" s="8">
        <v>20.58</v>
      </c>
      <c r="AF18" s="11">
        <v>13428242</v>
      </c>
      <c r="AG18" s="8">
        <v>22.7</v>
      </c>
      <c r="AH18" s="11">
        <v>24492880</v>
      </c>
      <c r="AI18" s="8">
        <v>24.91</v>
      </c>
      <c r="AJ18" s="11">
        <v>24561563</v>
      </c>
      <c r="AK18" s="8">
        <v>26.96</v>
      </c>
      <c r="AL18" s="11">
        <v>42284474</v>
      </c>
      <c r="AM18" s="11">
        <v>28.94</v>
      </c>
      <c r="AN18" s="11">
        <v>24669949</v>
      </c>
      <c r="AO18" s="11">
        <v>30.86</v>
      </c>
      <c r="AP18" s="11">
        <v>57934424</v>
      </c>
      <c r="AQ18" s="11">
        <v>513271757</v>
      </c>
      <c r="AR18" s="96">
        <f t="shared" si="21"/>
        <v>0.11287280706543922</v>
      </c>
      <c r="AS18" s="11">
        <v>32.72</v>
      </c>
      <c r="AT18" s="11">
        <v>19116248</v>
      </c>
      <c r="AU18" s="11">
        <v>34.5</v>
      </c>
      <c r="AV18" s="11">
        <v>46909402</v>
      </c>
      <c r="AW18" s="11">
        <v>36.24</v>
      </c>
      <c r="AX18" s="11">
        <v>21325415</v>
      </c>
      <c r="AY18" s="11">
        <v>37.909999999999997</v>
      </c>
      <c r="AZ18" s="11">
        <v>61960135</v>
      </c>
      <c r="BA18" s="11">
        <v>39.53</v>
      </c>
      <c r="BB18" s="11">
        <v>15645941</v>
      </c>
      <c r="BC18" s="8">
        <v>41.1</v>
      </c>
      <c r="BD18" s="11">
        <v>61792733</v>
      </c>
      <c r="BE18" s="11">
        <v>42.63</v>
      </c>
      <c r="BF18" s="11">
        <v>6745208</v>
      </c>
      <c r="BG18" s="8">
        <v>44.12</v>
      </c>
      <c r="BH18" s="11">
        <v>36000327</v>
      </c>
      <c r="BI18" s="11">
        <v>45.54</v>
      </c>
      <c r="BJ18" s="11">
        <v>8589034</v>
      </c>
      <c r="BK18" s="8">
        <v>46.96</v>
      </c>
      <c r="BL18" s="11">
        <v>15650818</v>
      </c>
      <c r="BM18" s="11">
        <v>48.49</v>
      </c>
      <c r="BN18" s="11">
        <v>3722672</v>
      </c>
      <c r="BO18" s="11">
        <v>50.28</v>
      </c>
      <c r="BP18" s="11">
        <v>13725416</v>
      </c>
      <c r="BQ18" s="11"/>
      <c r="BR18" s="11"/>
      <c r="BS18" s="11"/>
      <c r="BT18" s="11"/>
      <c r="BU18" s="17">
        <f t="shared" si="2"/>
        <v>516547546</v>
      </c>
      <c r="BV18" s="8">
        <f t="shared" si="22"/>
        <v>18.861933256237812</v>
      </c>
      <c r="BW18" s="8">
        <f t="shared" si="23"/>
        <v>0.37723866512475623</v>
      </c>
      <c r="BX18" s="159">
        <f t="shared" si="3"/>
        <v>0.11090816754667833</v>
      </c>
      <c r="BY18" s="159">
        <f t="shared" si="24"/>
        <v>0.10266422988677065</v>
      </c>
      <c r="BZ18" s="160">
        <f t="shared" si="25"/>
        <v>3.3446371395258849E-3</v>
      </c>
      <c r="CA18" s="16">
        <f t="shared" si="4"/>
        <v>55913787</v>
      </c>
      <c r="CB18" s="9">
        <f t="shared" si="26"/>
        <v>2.0417135395654316</v>
      </c>
      <c r="CC18" s="9">
        <f t="shared" si="27"/>
        <v>4.0834270791308629E-2</v>
      </c>
      <c r="CD18" s="158">
        <f t="shared" si="5"/>
        <v>1.2005275612644736E-2</v>
      </c>
      <c r="CE18" s="158">
        <f t="shared" si="28"/>
        <v>0.2658975772457306</v>
      </c>
      <c r="CF18" s="171">
        <f t="shared" si="29"/>
        <v>4.1397502112568054E-4</v>
      </c>
      <c r="CG18" s="16">
        <f t="shared" si="6"/>
        <v>369117773</v>
      </c>
      <c r="CH18" s="8">
        <f t="shared" si="30"/>
        <v>13.478478122548548</v>
      </c>
      <c r="CI18" s="8">
        <f t="shared" si="31"/>
        <v>0.26956956245097097</v>
      </c>
      <c r="CJ18" s="159">
        <f t="shared" si="7"/>
        <v>7.9253451360585467E-2</v>
      </c>
      <c r="CK18" s="159">
        <f t="shared" si="32"/>
        <v>8.9927892159974432E-2</v>
      </c>
      <c r="CL18" s="157">
        <f t="shared" si="33"/>
        <v>2.7328776331236367E-3</v>
      </c>
      <c r="CM18" s="8">
        <f t="shared" si="34"/>
        <v>0.13934928742027092</v>
      </c>
      <c r="CN18" s="9">
        <f t="shared" si="8"/>
        <v>1.393492874202709E-3</v>
      </c>
      <c r="CO18" s="8">
        <f t="shared" si="9"/>
        <v>5928.4427887054053</v>
      </c>
      <c r="CP18" s="8">
        <f t="shared" si="10"/>
        <v>59.284427887054051</v>
      </c>
      <c r="CQ18" s="8">
        <f t="shared" si="35"/>
        <v>59.285821379928251</v>
      </c>
      <c r="CR18" s="159">
        <f t="shared" si="11"/>
        <v>17.430031485698905</v>
      </c>
      <c r="CS18" s="159">
        <f t="shared" si="36"/>
        <v>0.29195934830534742</v>
      </c>
      <c r="CT18" s="166">
        <f t="shared" si="37"/>
        <v>6.0689524671653566E-3</v>
      </c>
      <c r="CU18" s="42" t="s">
        <v>303</v>
      </c>
      <c r="CV18" s="43">
        <v>31</v>
      </c>
      <c r="CW18" s="44">
        <f t="shared" si="12"/>
        <v>0.49932364395789197</v>
      </c>
      <c r="CX18" s="44">
        <f t="shared" si="13"/>
        <v>0.71458624836831575</v>
      </c>
      <c r="CY18" s="43">
        <f t="shared" si="14"/>
        <v>369117773</v>
      </c>
      <c r="CZ18" s="44">
        <f t="shared" si="38"/>
        <v>6.601552010776877</v>
      </c>
      <c r="DA18" s="45">
        <f t="shared" si="15"/>
        <v>0.10824518949510216</v>
      </c>
      <c r="DB18" s="43">
        <f t="shared" si="16"/>
        <v>55913787</v>
      </c>
      <c r="DC18" s="45">
        <f t="shared" si="17"/>
        <v>0.15147953062666533</v>
      </c>
      <c r="DD18" s="44">
        <f t="shared" si="18"/>
        <v>59.285821379928251</v>
      </c>
      <c r="DE18" s="44">
        <f t="shared" si="39"/>
        <v>13.898376901931259</v>
      </c>
      <c r="DF18" s="46">
        <f t="shared" si="19"/>
        <v>4.75952792540249</v>
      </c>
      <c r="DG18" s="44">
        <f t="shared" si="40"/>
        <v>3.1840116013355075</v>
      </c>
      <c r="DH18" s="44">
        <f t="shared" si="43"/>
        <v>1.071706595402663</v>
      </c>
      <c r="DI18" s="44">
        <f t="shared" si="41"/>
        <v>0.6069139579617634</v>
      </c>
      <c r="DJ18" s="92">
        <f t="shared" si="44"/>
        <v>1.100548979617733</v>
      </c>
    </row>
    <row r="19" spans="1:114" ht="15" customHeight="1" x14ac:dyDescent="0.2">
      <c r="A19" s="58">
        <v>46</v>
      </c>
      <c r="B19" s="51">
        <v>20</v>
      </c>
      <c r="C19" s="51" t="s">
        <v>123</v>
      </c>
      <c r="D19" s="248"/>
      <c r="E19" s="249"/>
      <c r="F19" s="167">
        <v>0.29399999999999998</v>
      </c>
      <c r="G19" s="222"/>
      <c r="H19" s="168">
        <v>1.8</v>
      </c>
      <c r="I19" s="9">
        <v>30.523099999999999</v>
      </c>
      <c r="J19" s="108">
        <f t="shared" si="0"/>
        <v>9.8671497980218265E-2</v>
      </c>
      <c r="K19" s="8"/>
      <c r="L19" s="8"/>
      <c r="M19" s="8">
        <v>13.98</v>
      </c>
      <c r="N19" s="11">
        <v>125642</v>
      </c>
      <c r="O19" s="11">
        <v>14.16</v>
      </c>
      <c r="P19" s="11">
        <v>187072</v>
      </c>
      <c r="Q19" s="11">
        <v>1993565</v>
      </c>
      <c r="R19" s="95">
        <f t="shared" si="42"/>
        <v>9.3837923518922131E-2</v>
      </c>
      <c r="S19" s="11">
        <v>15.99</v>
      </c>
      <c r="T19" s="11">
        <v>567423</v>
      </c>
      <c r="U19" s="11">
        <v>16.260000000000002</v>
      </c>
      <c r="V19" s="11">
        <v>446155</v>
      </c>
      <c r="W19" s="11">
        <v>5362580</v>
      </c>
      <c r="X19" s="95">
        <f t="shared" si="20"/>
        <v>8.3197826419372761E-2</v>
      </c>
      <c r="Y19" s="11">
        <v>18.239999999999998</v>
      </c>
      <c r="Z19" s="11">
        <v>1962313</v>
      </c>
      <c r="AA19" s="8">
        <v>19.920000000000002</v>
      </c>
      <c r="AB19" s="11">
        <v>697149</v>
      </c>
      <c r="AC19" s="16">
        <v>451054738</v>
      </c>
      <c r="AD19" s="102">
        <f t="shared" si="49"/>
        <v>1.5455973328008805E-3</v>
      </c>
      <c r="AE19" s="11">
        <v>20.45</v>
      </c>
      <c r="AF19" s="11">
        <v>6595838</v>
      </c>
      <c r="AG19" s="11">
        <v>22.63</v>
      </c>
      <c r="AH19" s="11">
        <v>20666642</v>
      </c>
      <c r="AI19" s="11">
        <v>24.74</v>
      </c>
      <c r="AJ19" s="11">
        <v>23747909</v>
      </c>
      <c r="AK19" s="11">
        <v>26.8</v>
      </c>
      <c r="AL19" s="11">
        <v>42384097</v>
      </c>
      <c r="AM19" s="11">
        <v>28.77</v>
      </c>
      <c r="AN19" s="11">
        <v>26582949</v>
      </c>
      <c r="AO19" s="8">
        <v>30.69</v>
      </c>
      <c r="AP19" s="11">
        <v>46405994</v>
      </c>
      <c r="AQ19" s="11">
        <v>335772694</v>
      </c>
      <c r="AR19" s="96">
        <f t="shared" si="21"/>
        <v>0.1382065749515653</v>
      </c>
      <c r="AS19" s="11">
        <v>32.54</v>
      </c>
      <c r="AT19" s="11">
        <v>19862395</v>
      </c>
      <c r="AU19" s="13">
        <v>34.32</v>
      </c>
      <c r="AV19" s="11">
        <v>40110267</v>
      </c>
      <c r="AW19" s="11">
        <v>36.06</v>
      </c>
      <c r="AX19" s="11">
        <v>19792366</v>
      </c>
      <c r="AY19" s="11">
        <v>37.72</v>
      </c>
      <c r="AZ19" s="11">
        <v>47936830</v>
      </c>
      <c r="BA19" s="11">
        <v>39.35</v>
      </c>
      <c r="BB19" s="11">
        <v>16491485</v>
      </c>
      <c r="BC19" s="11">
        <v>40.909999999999997</v>
      </c>
      <c r="BD19" s="11">
        <v>33730568</v>
      </c>
      <c r="BE19" s="11">
        <v>42.43</v>
      </c>
      <c r="BF19" s="11">
        <v>7288866</v>
      </c>
      <c r="BG19" s="11">
        <v>43.92</v>
      </c>
      <c r="BH19" s="11">
        <v>17832532</v>
      </c>
      <c r="BI19" s="11">
        <v>45.35</v>
      </c>
      <c r="BJ19" s="11">
        <v>5952910</v>
      </c>
      <c r="BK19" s="11">
        <v>46.75</v>
      </c>
      <c r="BL19" s="11">
        <v>7293500</v>
      </c>
      <c r="BM19" s="11">
        <v>48.25</v>
      </c>
      <c r="BN19" s="11">
        <v>3047684</v>
      </c>
      <c r="BO19" s="11">
        <v>49.99</v>
      </c>
      <c r="BP19" s="11">
        <v>5871804</v>
      </c>
      <c r="BQ19" s="11">
        <v>52.01</v>
      </c>
      <c r="BR19" s="11">
        <v>1722874</v>
      </c>
      <c r="BS19" s="11"/>
      <c r="BT19" s="11"/>
      <c r="BU19" s="17">
        <f t="shared" si="2"/>
        <v>395972888</v>
      </c>
      <c r="BV19" s="8">
        <f t="shared" si="22"/>
        <v>56.04431480001147</v>
      </c>
      <c r="BW19" s="8">
        <f t="shared" si="23"/>
        <v>1.1208862960002293</v>
      </c>
      <c r="BX19" s="159">
        <f t="shared" si="3"/>
        <v>0.32954057102406736</v>
      </c>
      <c r="BY19" s="159">
        <f t="shared" si="24"/>
        <v>0.30504542351575242</v>
      </c>
      <c r="BZ19" s="160">
        <f t="shared" si="25"/>
        <v>9.9378941804604166E-3</v>
      </c>
      <c r="CA19" s="16">
        <f t="shared" si="4"/>
        <v>29917858</v>
      </c>
      <c r="CB19" s="9">
        <f t="shared" si="26"/>
        <v>4.2344461015069337</v>
      </c>
      <c r="CC19" s="9">
        <f t="shared" si="27"/>
        <v>8.4688922030138683E-2</v>
      </c>
      <c r="CD19" s="158">
        <f t="shared" si="5"/>
        <v>2.489854307686077E-2</v>
      </c>
      <c r="CE19" s="158">
        <f t="shared" si="28"/>
        <v>0.55146274810322859</v>
      </c>
      <c r="CF19" s="171">
        <f t="shared" si="29"/>
        <v>8.5857045092623343E-4</v>
      </c>
      <c r="CG19" s="16">
        <f t="shared" si="6"/>
        <v>273340075</v>
      </c>
      <c r="CH19" s="8">
        <f t="shared" si="30"/>
        <v>38.687389149629716</v>
      </c>
      <c r="CI19" s="8">
        <f t="shared" si="31"/>
        <v>0.77374778299259428</v>
      </c>
      <c r="CJ19" s="159">
        <f t="shared" si="7"/>
        <v>0.2274818481998227</v>
      </c>
      <c r="CK19" s="159">
        <f t="shared" si="32"/>
        <v>0.25812078543041267</v>
      </c>
      <c r="CL19" s="157">
        <f t="shared" si="33"/>
        <v>7.844201662062851E-3</v>
      </c>
      <c r="CM19" s="8">
        <f t="shared" si="34"/>
        <v>2.6477373517218544E-2</v>
      </c>
      <c r="CN19" s="9">
        <f t="shared" si="8"/>
        <v>2.6477373517218544E-4</v>
      </c>
      <c r="CO19" s="8">
        <f t="shared" si="9"/>
        <v>185.03986573798056</v>
      </c>
      <c r="CP19" s="8">
        <f t="shared" si="10"/>
        <v>1.8503986573798055</v>
      </c>
      <c r="CQ19" s="8">
        <f t="shared" si="35"/>
        <v>1.8506634311149777</v>
      </c>
      <c r="CR19" s="159">
        <f t="shared" si="11"/>
        <v>0.54409504874780346</v>
      </c>
      <c r="CS19" s="159">
        <f t="shared" si="36"/>
        <v>9.113789380065785E-3</v>
      </c>
      <c r="CT19" s="166">
        <f t="shared" si="37"/>
        <v>1.8944813675062793E-4</v>
      </c>
      <c r="CU19" s="42" t="s">
        <v>215</v>
      </c>
      <c r="CV19" s="43">
        <v>31</v>
      </c>
      <c r="CW19" s="44">
        <f t="shared" si="12"/>
        <v>0.4130236645962444</v>
      </c>
      <c r="CX19" s="44">
        <f t="shared" si="13"/>
        <v>0.6902999757902617</v>
      </c>
      <c r="CY19" s="43">
        <f t="shared" si="14"/>
        <v>273340075</v>
      </c>
      <c r="CZ19" s="44">
        <f t="shared" si="38"/>
        <v>9.1363517735795128</v>
      </c>
      <c r="DA19" s="45">
        <f t="shared" si="15"/>
        <v>7.5555319332873114E-2</v>
      </c>
      <c r="DB19" s="43">
        <f t="shared" si="16"/>
        <v>29917858</v>
      </c>
      <c r="DC19" s="45">
        <f t="shared" si="17"/>
        <v>0.10945287843357766</v>
      </c>
      <c r="DD19" s="44">
        <f t="shared" si="18"/>
        <v>1.8506634311149777</v>
      </c>
      <c r="DE19" s="44">
        <f t="shared" si="39"/>
        <v>58.323893474715689</v>
      </c>
      <c r="DF19" s="46">
        <f t="shared" si="19"/>
        <v>3.7785721724934103</v>
      </c>
      <c r="DG19" s="44">
        <f t="shared" si="40"/>
        <v>2.3012958834060631</v>
      </c>
      <c r="DH19" s="44">
        <f t="shared" si="43"/>
        <v>1.4889288613680138</v>
      </c>
      <c r="DI19" s="44">
        <f t="shared" si="41"/>
        <v>0.78628289653397909</v>
      </c>
      <c r="DJ19" s="92">
        <f t="shared" si="44"/>
        <v>0.41929822595286392</v>
      </c>
    </row>
    <row r="20" spans="1:114" ht="15" customHeight="1" x14ac:dyDescent="0.2">
      <c r="A20" s="58">
        <v>45</v>
      </c>
      <c r="B20" s="51">
        <v>19</v>
      </c>
      <c r="C20" s="51" t="s">
        <v>124</v>
      </c>
      <c r="D20" s="248"/>
      <c r="E20" s="249"/>
      <c r="F20" s="167">
        <v>0.29399999999999998</v>
      </c>
      <c r="G20" s="222"/>
      <c r="H20" s="168">
        <v>1.7</v>
      </c>
      <c r="I20" s="9">
        <v>30.1524</v>
      </c>
      <c r="J20" s="108">
        <f t="shared" si="0"/>
        <v>9.9884586301587946E-2</v>
      </c>
      <c r="K20" s="18"/>
      <c r="L20" s="18"/>
      <c r="M20" s="27">
        <v>13.97</v>
      </c>
      <c r="N20" s="27">
        <v>2095343</v>
      </c>
      <c r="O20" s="27">
        <v>14.15</v>
      </c>
      <c r="P20" s="27">
        <v>3093591</v>
      </c>
      <c r="Q20" s="27">
        <v>15303785</v>
      </c>
      <c r="R20" s="95">
        <f t="shared" si="42"/>
        <v>0.2021454823104219</v>
      </c>
      <c r="S20" s="27">
        <v>15.98</v>
      </c>
      <c r="T20" s="27">
        <v>4302608</v>
      </c>
      <c r="U20" s="27">
        <v>16.260000000000002</v>
      </c>
      <c r="V20" s="27">
        <v>2354859</v>
      </c>
      <c r="W20" s="27">
        <v>15275470</v>
      </c>
      <c r="X20" s="95">
        <f t="shared" si="20"/>
        <v>0.15415951194955049</v>
      </c>
      <c r="Y20" s="27">
        <v>18.22</v>
      </c>
      <c r="Z20" s="27">
        <v>8990931</v>
      </c>
      <c r="AA20" s="8">
        <v>19.93</v>
      </c>
      <c r="AB20" s="11">
        <v>1810248</v>
      </c>
      <c r="AC20" s="16">
        <v>1707835247</v>
      </c>
      <c r="AD20" s="102">
        <f t="shared" si="49"/>
        <v>1.0599664125564214E-3</v>
      </c>
      <c r="AE20" s="27">
        <v>20.45</v>
      </c>
      <c r="AF20" s="27">
        <v>15819111</v>
      </c>
      <c r="AG20" s="27">
        <v>22.63</v>
      </c>
      <c r="AH20" s="27">
        <v>30222945</v>
      </c>
      <c r="AI20" s="27">
        <v>24.74</v>
      </c>
      <c r="AJ20" s="27">
        <v>30651437</v>
      </c>
      <c r="AK20" s="27">
        <v>26.8</v>
      </c>
      <c r="AL20" s="27">
        <v>50257010</v>
      </c>
      <c r="AM20" s="27">
        <v>28.78</v>
      </c>
      <c r="AN20" s="27">
        <v>31264653</v>
      </c>
      <c r="AO20" s="11">
        <v>30.69</v>
      </c>
      <c r="AP20" s="11">
        <v>55737898</v>
      </c>
      <c r="AQ20" s="11">
        <v>440105640</v>
      </c>
      <c r="AR20" s="96">
        <f t="shared" si="21"/>
        <v>0.12664663420355168</v>
      </c>
      <c r="AS20" s="27">
        <v>32.54</v>
      </c>
      <c r="AT20" s="27">
        <v>21743074</v>
      </c>
      <c r="AU20" s="27">
        <v>34.33</v>
      </c>
      <c r="AV20" s="27">
        <v>50820827</v>
      </c>
      <c r="AW20" s="27">
        <v>36.049999999999997</v>
      </c>
      <c r="AX20" s="27">
        <v>23985027</v>
      </c>
      <c r="AY20" s="27">
        <v>37.729999999999997</v>
      </c>
      <c r="AZ20" s="27">
        <v>56755493</v>
      </c>
      <c r="BA20" s="27">
        <v>39.35</v>
      </c>
      <c r="BB20" s="27">
        <v>16237663</v>
      </c>
      <c r="BC20" s="27">
        <v>40.909999999999997</v>
      </c>
      <c r="BD20" s="27">
        <v>41294839</v>
      </c>
      <c r="BE20" s="27">
        <v>42.44</v>
      </c>
      <c r="BF20" s="27">
        <v>5658291</v>
      </c>
      <c r="BG20" s="27">
        <v>43.92</v>
      </c>
      <c r="BH20" s="27">
        <v>19578142</v>
      </c>
      <c r="BI20" s="27">
        <v>45.35</v>
      </c>
      <c r="BJ20" s="27">
        <v>6020271</v>
      </c>
      <c r="BK20" s="27">
        <v>46.73</v>
      </c>
      <c r="BL20" s="27">
        <v>10555359</v>
      </c>
      <c r="BM20" s="27">
        <v>48.26</v>
      </c>
      <c r="BN20" s="27">
        <v>3723015</v>
      </c>
      <c r="BO20" s="28">
        <v>50</v>
      </c>
      <c r="BP20" s="27">
        <v>9210095</v>
      </c>
      <c r="BQ20" s="27">
        <v>52.02</v>
      </c>
      <c r="BR20" s="27">
        <v>2910785</v>
      </c>
      <c r="BS20" s="27">
        <v>54.4</v>
      </c>
      <c r="BT20" s="27">
        <v>1672246</v>
      </c>
      <c r="BU20" s="17">
        <f t="shared" si="2"/>
        <v>499507063</v>
      </c>
      <c r="BV20" s="8">
        <f t="shared" si="22"/>
        <v>27.561448123393163</v>
      </c>
      <c r="BW20" s="8">
        <f t="shared" si="23"/>
        <v>0.55122896246786324</v>
      </c>
      <c r="BX20" s="159">
        <f t="shared" si="3"/>
        <v>0.16206131496555179</v>
      </c>
      <c r="BY20" s="159">
        <f t="shared" si="24"/>
        <v>0.15001510225451431</v>
      </c>
      <c r="BZ20" s="160">
        <f t="shared" si="25"/>
        <v>4.8872531654267732E-3</v>
      </c>
      <c r="CA20" s="16">
        <f t="shared" si="4"/>
        <v>61430938</v>
      </c>
      <c r="CB20" s="9">
        <f t="shared" si="26"/>
        <v>3.3895929332602481</v>
      </c>
      <c r="CC20" s="9">
        <f t="shared" si="27"/>
        <v>6.7791858665204957E-2</v>
      </c>
      <c r="CD20" s="158">
        <f t="shared" si="5"/>
        <v>1.9930806447570257E-2</v>
      </c>
      <c r="CE20" s="158">
        <f t="shared" si="28"/>
        <v>0.44143535875017187</v>
      </c>
      <c r="CF20" s="171">
        <f t="shared" si="29"/>
        <v>6.8726918784725024E-4</v>
      </c>
      <c r="CG20" s="16">
        <f t="shared" si="6"/>
        <v>325903025</v>
      </c>
      <c r="CH20" s="8">
        <f t="shared" si="30"/>
        <v>17.982447060602237</v>
      </c>
      <c r="CI20" s="8">
        <f t="shared" si="31"/>
        <v>0.35964894121204471</v>
      </c>
      <c r="CJ20" s="159">
        <f t="shared" si="7"/>
        <v>0.10573678871634114</v>
      </c>
      <c r="CK20" s="159">
        <f t="shared" si="32"/>
        <v>0.11997820119861698</v>
      </c>
      <c r="CL20" s="157">
        <f t="shared" si="33"/>
        <v>3.6460961626324532E-3</v>
      </c>
      <c r="CM20" s="8">
        <f t="shared" si="34"/>
        <v>0.17069598045202411</v>
      </c>
      <c r="CN20" s="9">
        <f t="shared" si="8"/>
        <v>1.7069598045202411E-3</v>
      </c>
      <c r="CO20" s="8">
        <f t="shared" si="9"/>
        <v>4265.6167340882848</v>
      </c>
      <c r="CP20" s="8">
        <f t="shared" si="10"/>
        <v>42.656167340882845</v>
      </c>
      <c r="CQ20" s="8">
        <f t="shared" si="35"/>
        <v>42.657874300687368</v>
      </c>
      <c r="CR20" s="159">
        <f t="shared" si="11"/>
        <v>12.541415044402086</v>
      </c>
      <c r="CS20" s="159">
        <f t="shared" si="36"/>
        <v>0.21007325007959915</v>
      </c>
      <c r="CT20" s="166">
        <f t="shared" si="37"/>
        <v>4.3667879681065763E-3</v>
      </c>
      <c r="CU20" s="42" t="s">
        <v>9</v>
      </c>
      <c r="CV20" s="43">
        <v>31</v>
      </c>
      <c r="CW20" s="44">
        <f t="shared" si="12"/>
        <v>0.42115960402867375</v>
      </c>
      <c r="CX20" s="44">
        <f t="shared" si="13"/>
        <v>0.65244928278421566</v>
      </c>
      <c r="CY20" s="43">
        <f t="shared" si="14"/>
        <v>325903025</v>
      </c>
      <c r="CZ20" s="44">
        <f t="shared" si="38"/>
        <v>5.3051936957238057</v>
      </c>
      <c r="DA20" s="45">
        <f t="shared" si="15"/>
        <v>0.12298312186228286</v>
      </c>
      <c r="DB20" s="43">
        <f t="shared" si="16"/>
        <v>61430938</v>
      </c>
      <c r="DC20" s="45">
        <f t="shared" si="17"/>
        <v>0.18849453146376902</v>
      </c>
      <c r="DD20" s="44">
        <f t="shared" si="18"/>
        <v>42.657874300687368</v>
      </c>
      <c r="DE20" s="44">
        <f t="shared" si="39"/>
        <v>13.428421397486657</v>
      </c>
      <c r="DF20" s="46">
        <f t="shared" si="19"/>
        <v>3.8568123142039501</v>
      </c>
      <c r="DG20" s="44">
        <f t="shared" si="40"/>
        <v>2.5440269637016995</v>
      </c>
      <c r="DH20" s="44">
        <f t="shared" si="43"/>
        <v>1.4764126923372449</v>
      </c>
      <c r="DI20" s="44">
        <f t="shared" si="41"/>
        <v>0.54730967822306842</v>
      </c>
      <c r="DJ20" s="92">
        <f t="shared" si="44"/>
        <v>1.3137054065657434</v>
      </c>
    </row>
    <row r="21" spans="1:114" s="30" customFormat="1" ht="15" customHeight="1" x14ac:dyDescent="0.2">
      <c r="A21" s="58">
        <v>44</v>
      </c>
      <c r="B21" s="70">
        <v>14</v>
      </c>
      <c r="C21" s="70" t="s">
        <v>42</v>
      </c>
      <c r="D21" s="250"/>
      <c r="E21" s="251"/>
      <c r="F21" s="167">
        <v>0.29399999999999998</v>
      </c>
      <c r="G21" s="223"/>
      <c r="H21" s="168">
        <v>1.65</v>
      </c>
      <c r="I21" s="9">
        <v>32.731999999999999</v>
      </c>
      <c r="J21" s="108">
        <f t="shared" si="0"/>
        <v>9.2012709275326912E-2</v>
      </c>
      <c r="K21" s="8"/>
      <c r="L21" s="8"/>
      <c r="M21" s="8">
        <v>14</v>
      </c>
      <c r="N21" s="11">
        <v>268650</v>
      </c>
      <c r="O21" s="8">
        <v>14.24</v>
      </c>
      <c r="P21" s="11">
        <v>128882</v>
      </c>
      <c r="Q21" s="11">
        <v>1261934</v>
      </c>
      <c r="R21" s="95">
        <f t="shared" si="42"/>
        <v>0.10213053931505134</v>
      </c>
      <c r="S21" s="8">
        <v>16.22</v>
      </c>
      <c r="T21" s="11">
        <v>651382</v>
      </c>
      <c r="U21" s="8">
        <v>16.52</v>
      </c>
      <c r="V21" s="11">
        <v>374112</v>
      </c>
      <c r="W21" s="11">
        <v>5335257</v>
      </c>
      <c r="X21" s="95">
        <f t="shared" si="20"/>
        <v>7.01207083370117E-2</v>
      </c>
      <c r="Y21" s="11">
        <v>18.47</v>
      </c>
      <c r="Z21" s="11">
        <v>1949516</v>
      </c>
      <c r="AA21" s="8">
        <v>20.2</v>
      </c>
      <c r="AB21" s="11">
        <v>585639</v>
      </c>
      <c r="AC21" s="16">
        <v>422895963</v>
      </c>
      <c r="AD21" s="102">
        <f t="shared" si="49"/>
        <v>1.3848299611221402E-3</v>
      </c>
      <c r="AE21" s="8">
        <v>20.71</v>
      </c>
      <c r="AF21" s="11">
        <v>7274578</v>
      </c>
      <c r="AG21" s="8">
        <v>22.9</v>
      </c>
      <c r="AH21" s="11">
        <v>26635644</v>
      </c>
      <c r="AI21" s="8">
        <v>25.02</v>
      </c>
      <c r="AJ21" s="11">
        <v>43860935</v>
      </c>
      <c r="AK21" s="8">
        <v>27.09</v>
      </c>
      <c r="AL21" s="11">
        <v>89171612</v>
      </c>
      <c r="AM21" s="8">
        <v>29.07</v>
      </c>
      <c r="AN21" s="11">
        <v>65732759</v>
      </c>
      <c r="AO21" s="8">
        <v>30.99</v>
      </c>
      <c r="AP21" s="11">
        <v>95455346</v>
      </c>
      <c r="AQ21" s="11">
        <v>505144399</v>
      </c>
      <c r="AR21" s="96">
        <f t="shared" si="21"/>
        <v>0.18896645432269754</v>
      </c>
      <c r="AS21" s="8">
        <v>32.840000000000003</v>
      </c>
      <c r="AT21" s="11">
        <v>42141078</v>
      </c>
      <c r="AU21" s="8">
        <v>34.630000000000003</v>
      </c>
      <c r="AV21" s="11">
        <v>115606583</v>
      </c>
      <c r="AW21" s="8">
        <v>36.36</v>
      </c>
      <c r="AX21" s="11">
        <v>27510571</v>
      </c>
      <c r="AY21" s="8">
        <v>38.03</v>
      </c>
      <c r="AZ21" s="11">
        <v>124986789</v>
      </c>
      <c r="BA21" s="8">
        <v>39.65</v>
      </c>
      <c r="BB21" s="11">
        <v>31248790</v>
      </c>
      <c r="BC21" s="8">
        <v>41.21</v>
      </c>
      <c r="BD21" s="11">
        <v>89685391</v>
      </c>
      <c r="BE21" s="8">
        <v>42.72</v>
      </c>
      <c r="BF21" s="11">
        <v>7906674</v>
      </c>
      <c r="BG21" s="8">
        <v>44.21</v>
      </c>
      <c r="BH21" s="11">
        <v>21103251</v>
      </c>
      <c r="BI21" s="8"/>
      <c r="BJ21" s="11"/>
      <c r="BK21" s="8"/>
      <c r="BL21" s="11"/>
      <c r="BM21" s="8"/>
      <c r="BN21" s="11"/>
      <c r="BO21" s="8"/>
      <c r="BP21" s="11"/>
      <c r="BQ21" s="14"/>
      <c r="BR21" s="15"/>
      <c r="BS21" s="14"/>
      <c r="BT21" s="15"/>
      <c r="BU21" s="17">
        <f t="shared" si="2"/>
        <v>791189549</v>
      </c>
      <c r="BV21" s="8">
        <f t="shared" si="22"/>
        <v>124.30779704530268</v>
      </c>
      <c r="BW21" s="8">
        <f t="shared" si="23"/>
        <v>2.4861559409060532</v>
      </c>
      <c r="BX21" s="159">
        <f t="shared" si="3"/>
        <v>0.73092984662637961</v>
      </c>
      <c r="BY21" s="159">
        <f t="shared" si="24"/>
        <v>0.67659895087140565</v>
      </c>
      <c r="BZ21" s="160">
        <f t="shared" si="25"/>
        <v>2.2042516484510846E-2</v>
      </c>
      <c r="CA21" s="16">
        <f t="shared" si="4"/>
        <v>36779770</v>
      </c>
      <c r="CB21" s="9">
        <f t="shared" si="26"/>
        <v>5.7786559368884074</v>
      </c>
      <c r="CC21" s="9">
        <f t="shared" si="27"/>
        <v>0.11557311873776815</v>
      </c>
      <c r="CD21" s="158">
        <f t="shared" si="5"/>
        <v>3.3978496908903838E-2</v>
      </c>
      <c r="CE21" s="158">
        <f t="shared" si="28"/>
        <v>0.75256914526918806</v>
      </c>
      <c r="CF21" s="171">
        <f t="shared" si="29"/>
        <v>1.1716723072035806E-3</v>
      </c>
      <c r="CG21" s="16">
        <f t="shared" si="6"/>
        <v>555644473</v>
      </c>
      <c r="CH21" s="8">
        <f t="shared" si="30"/>
        <v>87.300117230224146</v>
      </c>
      <c r="CI21" s="8">
        <f t="shared" si="31"/>
        <v>1.7460023446044828</v>
      </c>
      <c r="CJ21" s="159">
        <f t="shared" si="7"/>
        <v>0.51332468931371789</v>
      </c>
      <c r="CK21" s="159">
        <f t="shared" si="32"/>
        <v>0.58246305379974794</v>
      </c>
      <c r="CL21" s="157">
        <f t="shared" si="33"/>
        <v>1.7700851355645444E-2</v>
      </c>
      <c r="CM21" s="8">
        <f t="shared" si="34"/>
        <v>2.0249303746544687E-2</v>
      </c>
      <c r="CN21" s="9">
        <f t="shared" si="8"/>
        <v>2.0249303746544686E-4</v>
      </c>
      <c r="CO21" s="8">
        <f t="shared" si="9"/>
        <v>114.01457332899629</v>
      </c>
      <c r="CP21" s="8">
        <f t="shared" si="10"/>
        <v>1.1401457332899629</v>
      </c>
      <c r="CQ21" s="8">
        <f t="shared" si="35"/>
        <v>1.1403482263274285</v>
      </c>
      <c r="CR21" s="159">
        <f t="shared" si="11"/>
        <v>0.33526237854026397</v>
      </c>
      <c r="CS21" s="159">
        <f t="shared" si="36"/>
        <v>5.6157664218924553E-3</v>
      </c>
      <c r="CT21" s="166">
        <f t="shared" si="37"/>
        <v>1.1673481146945124E-4</v>
      </c>
      <c r="CU21" s="42" t="s">
        <v>104</v>
      </c>
      <c r="CV21" s="43">
        <v>31</v>
      </c>
      <c r="CW21" s="44">
        <f t="shared" si="12"/>
        <v>0.41777835861172136</v>
      </c>
      <c r="CX21" s="44">
        <f t="shared" si="13"/>
        <v>0.70228995529868909</v>
      </c>
      <c r="CY21" s="43">
        <f t="shared" si="14"/>
        <v>555644473</v>
      </c>
      <c r="CZ21" s="44">
        <f t="shared" si="38"/>
        <v>15.107339523874129</v>
      </c>
      <c r="DA21" s="45">
        <f t="shared" si="15"/>
        <v>4.6486673195426653E-2</v>
      </c>
      <c r="DB21" s="43">
        <f t="shared" si="16"/>
        <v>36779770</v>
      </c>
      <c r="DC21" s="45">
        <f t="shared" si="17"/>
        <v>6.6192991719005181E-2</v>
      </c>
      <c r="DD21" s="44">
        <f t="shared" si="18"/>
        <v>1.1403482263274285</v>
      </c>
      <c r="DE21" s="44">
        <f t="shared" si="39"/>
        <v>148.89722545562415</v>
      </c>
      <c r="DF21" s="46">
        <f t="shared" si="19"/>
        <v>6.7606017416046607</v>
      </c>
      <c r="DG21" s="44">
        <f t="shared" si="40"/>
        <v>3.0912984918899542</v>
      </c>
      <c r="DH21" s="44">
        <f t="shared" si="43"/>
        <v>0.4797394379303927</v>
      </c>
      <c r="DI21" s="44">
        <f t="shared" si="41"/>
        <v>0.57433579681354407</v>
      </c>
      <c r="DJ21" s="92">
        <f t="shared" si="44"/>
        <v>0.34450111196646993</v>
      </c>
    </row>
    <row r="22" spans="1:114" ht="15" customHeight="1" x14ac:dyDescent="0.2">
      <c r="A22" s="58">
        <v>43</v>
      </c>
      <c r="B22" s="51">
        <v>18</v>
      </c>
      <c r="C22" s="51" t="s">
        <v>125</v>
      </c>
      <c r="D22" s="243" t="s">
        <v>150</v>
      </c>
      <c r="E22" s="240" t="s">
        <v>155</v>
      </c>
      <c r="F22" s="167">
        <v>0.29599999999999999</v>
      </c>
      <c r="G22" s="236" t="s">
        <v>365</v>
      </c>
      <c r="H22" s="168">
        <v>1.45</v>
      </c>
      <c r="I22" s="33">
        <v>30.4681</v>
      </c>
      <c r="J22" s="108">
        <f t="shared" si="0"/>
        <v>9.8849616484126032E-2</v>
      </c>
      <c r="K22" s="27"/>
      <c r="L22" s="27"/>
      <c r="M22" s="27">
        <v>13.99</v>
      </c>
      <c r="N22" s="27">
        <v>484674</v>
      </c>
      <c r="O22" s="27">
        <v>14.16</v>
      </c>
      <c r="P22" s="27">
        <v>490030</v>
      </c>
      <c r="Q22" s="27">
        <v>4805989</v>
      </c>
      <c r="R22" s="95">
        <f t="shared" si="42"/>
        <v>0.10196236404203173</v>
      </c>
      <c r="S22" s="27">
        <v>15.99</v>
      </c>
      <c r="T22" s="27">
        <v>1167498</v>
      </c>
      <c r="U22" s="27">
        <v>16.25</v>
      </c>
      <c r="V22" s="27">
        <v>1159780</v>
      </c>
      <c r="W22" s="27">
        <v>9563424</v>
      </c>
      <c r="X22" s="95">
        <f t="shared" si="20"/>
        <v>0.12127246475739233</v>
      </c>
      <c r="Y22" s="27">
        <v>18.22</v>
      </c>
      <c r="Z22" s="27">
        <v>4116902</v>
      </c>
      <c r="AA22" s="8">
        <v>19.920000000000002</v>
      </c>
      <c r="AB22" s="11">
        <v>1460371</v>
      </c>
      <c r="AC22" s="16">
        <v>758401006</v>
      </c>
      <c r="AD22" s="103">
        <f t="shared" ref="AD22:AD23" si="50">AB22/AC22</f>
        <v>1.9255921187425217E-3</v>
      </c>
      <c r="AE22" s="27">
        <v>20.45</v>
      </c>
      <c r="AF22" s="27">
        <v>11744290</v>
      </c>
      <c r="AG22" s="27">
        <v>22.63</v>
      </c>
      <c r="AH22" s="27">
        <v>26760378</v>
      </c>
      <c r="AI22" s="27">
        <v>24.74</v>
      </c>
      <c r="AJ22" s="27">
        <v>28965533</v>
      </c>
      <c r="AK22" s="27">
        <v>26.8</v>
      </c>
      <c r="AL22" s="27">
        <v>50830161</v>
      </c>
      <c r="AM22" s="27">
        <v>28.78</v>
      </c>
      <c r="AN22" s="27">
        <v>31815276</v>
      </c>
      <c r="AO22" s="27">
        <v>30.7</v>
      </c>
      <c r="AP22" s="27">
        <v>56991757</v>
      </c>
      <c r="AQ22" s="27">
        <v>361143550</v>
      </c>
      <c r="AR22" s="96">
        <f t="shared" si="21"/>
        <v>0.15780915095950074</v>
      </c>
      <c r="AS22" s="27">
        <v>32.54</v>
      </c>
      <c r="AT22" s="27">
        <v>22405320</v>
      </c>
      <c r="AU22" s="27">
        <v>34.33</v>
      </c>
      <c r="AV22" s="27">
        <v>73059446</v>
      </c>
      <c r="AW22" s="27">
        <v>36.06</v>
      </c>
      <c r="AX22" s="27">
        <v>23276357</v>
      </c>
      <c r="AY22" s="27">
        <v>37.729999999999997</v>
      </c>
      <c r="AZ22" s="27">
        <v>71241585</v>
      </c>
      <c r="BA22" s="27">
        <v>39.35</v>
      </c>
      <c r="BB22" s="27">
        <v>18842390</v>
      </c>
      <c r="BC22" s="27">
        <v>40.92</v>
      </c>
      <c r="BD22" s="27">
        <v>48636749</v>
      </c>
      <c r="BE22" s="27">
        <v>42.44</v>
      </c>
      <c r="BF22" s="27">
        <v>6063970</v>
      </c>
      <c r="BG22" s="27">
        <v>43.91</v>
      </c>
      <c r="BH22" s="27">
        <v>19211885</v>
      </c>
      <c r="BI22" s="27">
        <v>45.36</v>
      </c>
      <c r="BJ22" s="27">
        <v>4004133</v>
      </c>
      <c r="BK22" s="27">
        <v>46.76</v>
      </c>
      <c r="BL22" s="27">
        <v>8948344</v>
      </c>
      <c r="BM22" s="27">
        <v>48.27</v>
      </c>
      <c r="BN22" s="27">
        <v>2293607</v>
      </c>
      <c r="BO22" s="27">
        <v>50.01</v>
      </c>
      <c r="BP22" s="27">
        <v>7109015</v>
      </c>
      <c r="BQ22" s="27">
        <v>52.03</v>
      </c>
      <c r="BR22" s="27">
        <v>1795348</v>
      </c>
      <c r="BS22" s="27">
        <v>54.41</v>
      </c>
      <c r="BT22" s="27">
        <v>1329838</v>
      </c>
      <c r="BU22" s="17">
        <f t="shared" si="2"/>
        <v>521094456</v>
      </c>
      <c r="BV22" s="8">
        <f t="shared" si="22"/>
        <v>35.271850185743411</v>
      </c>
      <c r="BW22" s="8">
        <f t="shared" si="23"/>
        <v>0.70543700371486828</v>
      </c>
      <c r="BX22" s="159">
        <f t="shared" si="3"/>
        <v>0.208809353099601</v>
      </c>
      <c r="BY22" s="159">
        <f t="shared" si="24"/>
        <v>0.19328830241562622</v>
      </c>
      <c r="BZ22" s="160">
        <f t="shared" si="25"/>
        <v>6.2970251236309114E-3</v>
      </c>
      <c r="CA22" s="16">
        <f t="shared" si="4"/>
        <v>44273742</v>
      </c>
      <c r="CB22" s="9">
        <f t="shared" si="26"/>
        <v>2.9968017832572293</v>
      </c>
      <c r="CC22" s="9">
        <f t="shared" si="27"/>
        <v>5.9936035665144584E-2</v>
      </c>
      <c r="CD22" s="158">
        <f t="shared" si="5"/>
        <v>1.7741066556882797E-2</v>
      </c>
      <c r="CE22" s="158">
        <f t="shared" si="28"/>
        <v>0.39293613636506747</v>
      </c>
      <c r="CF22" s="171">
        <f t="shared" si="29"/>
        <v>6.1176091575457919E-4</v>
      </c>
      <c r="CG22" s="16">
        <f t="shared" si="6"/>
        <v>365209744</v>
      </c>
      <c r="CH22" s="8">
        <f t="shared" si="30"/>
        <v>24.720323212845123</v>
      </c>
      <c r="CI22" s="8">
        <f t="shared" si="31"/>
        <v>0.49440646425690243</v>
      </c>
      <c r="CJ22" s="159">
        <f t="shared" si="7"/>
        <v>0.14634431342004312</v>
      </c>
      <c r="CK22" s="159">
        <f t="shared" si="32"/>
        <v>0.16605504756614448</v>
      </c>
      <c r="CL22" s="157">
        <f t="shared" si="33"/>
        <v>5.0463556351739002E-3</v>
      </c>
      <c r="CM22" s="8">
        <f t="shared" si="34"/>
        <v>3.3169158772473763E-2</v>
      </c>
      <c r="CN22" s="9">
        <f t="shared" si="8"/>
        <v>3.3169158772473764E-4</v>
      </c>
      <c r="CO22" s="8">
        <f t="shared" si="9"/>
        <v>749.3753158339033</v>
      </c>
      <c r="CP22" s="8">
        <f t="shared" si="10"/>
        <v>7.4937531583390324</v>
      </c>
      <c r="CQ22" s="8">
        <f t="shared" si="35"/>
        <v>7.4940848499267574</v>
      </c>
      <c r="CR22" s="159">
        <f t="shared" si="11"/>
        <v>2.2182491155783199</v>
      </c>
      <c r="CS22" s="159">
        <f t="shared" si="36"/>
        <v>3.7156477123666584E-2</v>
      </c>
      <c r="CT22" s="166">
        <f t="shared" si="37"/>
        <v>7.723708619701671E-4</v>
      </c>
      <c r="CU22" s="42" t="s">
        <v>9</v>
      </c>
      <c r="CV22" s="43">
        <v>31</v>
      </c>
      <c r="CW22" s="44">
        <f t="shared" si="12"/>
        <v>0.40571759197120638</v>
      </c>
      <c r="CX22" s="44">
        <f t="shared" si="13"/>
        <v>0.70085133279560352</v>
      </c>
      <c r="CY22" s="43">
        <f t="shared" si="14"/>
        <v>365209744</v>
      </c>
      <c r="CZ22" s="44">
        <f t="shared" si="38"/>
        <v>8.2489016627508018</v>
      </c>
      <c r="DA22" s="45">
        <f t="shared" si="15"/>
        <v>8.4962987976982041E-2</v>
      </c>
      <c r="DB22" s="43">
        <f t="shared" si="16"/>
        <v>44273742</v>
      </c>
      <c r="DC22" s="45">
        <f t="shared" si="17"/>
        <v>0.12122826054717752</v>
      </c>
      <c r="DD22" s="44">
        <f t="shared" si="18"/>
        <v>7.4940848499267574</v>
      </c>
      <c r="DE22" s="44">
        <f t="shared" si="39"/>
        <v>41.928630538754547</v>
      </c>
      <c r="DF22" s="46">
        <f t="shared" si="19"/>
        <v>4.9053719419391655</v>
      </c>
      <c r="DG22" s="44">
        <f t="shared" si="40"/>
        <v>2.9944702540709618</v>
      </c>
      <c r="DH22" s="44">
        <f t="shared" si="43"/>
        <v>1.0110507268803361</v>
      </c>
      <c r="DI22" s="44">
        <f t="shared" si="41"/>
        <v>0.99338928203731403</v>
      </c>
      <c r="DJ22" s="92">
        <f t="shared" si="44"/>
        <v>0.42251978823569986</v>
      </c>
    </row>
    <row r="23" spans="1:114" ht="15" customHeight="1" x14ac:dyDescent="0.2">
      <c r="A23" s="58">
        <v>42</v>
      </c>
      <c r="B23" s="51">
        <v>17</v>
      </c>
      <c r="C23" s="51" t="s">
        <v>126</v>
      </c>
      <c r="D23" s="244"/>
      <c r="E23" s="241"/>
      <c r="F23" s="167">
        <v>0.29599999999999999</v>
      </c>
      <c r="G23" s="237"/>
      <c r="H23" s="168">
        <v>1.35</v>
      </c>
      <c r="I23" s="33">
        <v>30.2959</v>
      </c>
      <c r="J23" s="108">
        <f t="shared" si="0"/>
        <v>9.9411471519248493E-2</v>
      </c>
      <c r="K23" s="27"/>
      <c r="L23" s="27"/>
      <c r="M23" s="27">
        <v>13.98</v>
      </c>
      <c r="N23" s="27">
        <v>1697552</v>
      </c>
      <c r="O23" s="27">
        <v>14.15</v>
      </c>
      <c r="P23" s="27">
        <v>8496462</v>
      </c>
      <c r="Q23" s="27">
        <v>20638975</v>
      </c>
      <c r="R23" s="95">
        <f t="shared" si="42"/>
        <v>0.41167073461739256</v>
      </c>
      <c r="S23" s="27">
        <v>15.99</v>
      </c>
      <c r="T23" s="27">
        <v>3278677</v>
      </c>
      <c r="U23" s="27">
        <v>16.25</v>
      </c>
      <c r="V23" s="27">
        <v>2494912</v>
      </c>
      <c r="W23" s="27">
        <v>13942260</v>
      </c>
      <c r="X23" s="95">
        <f t="shared" si="20"/>
        <v>0.17894602453260805</v>
      </c>
      <c r="Y23" s="27">
        <v>18.22</v>
      </c>
      <c r="Z23" s="27">
        <v>3358127</v>
      </c>
      <c r="AA23" s="8">
        <v>19.93</v>
      </c>
      <c r="AB23" s="11">
        <v>1317383</v>
      </c>
      <c r="AC23" s="16">
        <v>421886255</v>
      </c>
      <c r="AD23" s="103">
        <f t="shared" si="50"/>
        <v>3.1226023232257235E-3</v>
      </c>
      <c r="AE23" s="27">
        <v>20.45</v>
      </c>
      <c r="AF23" s="27">
        <v>6752954</v>
      </c>
      <c r="AG23" s="27">
        <v>22.63</v>
      </c>
      <c r="AH23" s="27">
        <v>11555754</v>
      </c>
      <c r="AI23" s="27">
        <v>24.75</v>
      </c>
      <c r="AJ23" s="27">
        <v>19273958</v>
      </c>
      <c r="AK23" s="27">
        <v>26.81</v>
      </c>
      <c r="AL23" s="27">
        <v>32014962</v>
      </c>
      <c r="AM23" s="27">
        <v>28.78</v>
      </c>
      <c r="AN23" s="27">
        <v>33414599</v>
      </c>
      <c r="AO23" s="28">
        <v>30.7</v>
      </c>
      <c r="AP23" s="27">
        <v>43024428</v>
      </c>
      <c r="AQ23" s="27">
        <v>318117247</v>
      </c>
      <c r="AR23" s="96">
        <f t="shared" si="21"/>
        <v>0.13524707762858265</v>
      </c>
      <c r="AS23" s="27">
        <v>32.549999999999997</v>
      </c>
      <c r="AT23" s="27">
        <v>21389796</v>
      </c>
      <c r="AU23" s="27">
        <v>34.340000000000003</v>
      </c>
      <c r="AV23" s="27">
        <v>31464077</v>
      </c>
      <c r="AW23" s="27">
        <v>36.06</v>
      </c>
      <c r="AX23" s="27">
        <v>13931071</v>
      </c>
      <c r="AY23" s="27">
        <v>37.729999999999997</v>
      </c>
      <c r="AZ23" s="27">
        <v>30127324</v>
      </c>
      <c r="BA23" s="27">
        <v>39.35</v>
      </c>
      <c r="BB23" s="27">
        <v>9320119</v>
      </c>
      <c r="BC23" s="27">
        <v>40.92</v>
      </c>
      <c r="BD23" s="27">
        <v>32331524</v>
      </c>
      <c r="BE23" s="27">
        <v>42.44</v>
      </c>
      <c r="BF23" s="27">
        <v>5626469</v>
      </c>
      <c r="BG23" s="27">
        <v>43.92</v>
      </c>
      <c r="BH23" s="27">
        <v>21603495</v>
      </c>
      <c r="BI23" s="27">
        <v>45.35</v>
      </c>
      <c r="BJ23" s="27">
        <v>6753291</v>
      </c>
      <c r="BK23" s="27">
        <v>46.75</v>
      </c>
      <c r="BL23" s="27">
        <v>15012811</v>
      </c>
      <c r="BM23" s="27">
        <v>48.27</v>
      </c>
      <c r="BN23" s="27">
        <v>4094575</v>
      </c>
      <c r="BO23" s="27">
        <v>50.01</v>
      </c>
      <c r="BP23" s="27">
        <v>11383843</v>
      </c>
      <c r="BQ23" s="27">
        <v>52.04</v>
      </c>
      <c r="BR23" s="27">
        <v>2944746</v>
      </c>
      <c r="BS23" s="27">
        <v>54.41</v>
      </c>
      <c r="BT23" s="27">
        <v>2316981</v>
      </c>
      <c r="BU23" s="17">
        <f t="shared" si="2"/>
        <v>362671133</v>
      </c>
      <c r="BV23" s="8">
        <f t="shared" si="22"/>
        <v>27.367645558719889</v>
      </c>
      <c r="BW23" s="8">
        <f t="shared" si="23"/>
        <v>0.54735291117439777</v>
      </c>
      <c r="BX23" s="159">
        <f t="shared" si="3"/>
        <v>0.16201646170762174</v>
      </c>
      <c r="BY23" s="159">
        <f t="shared" si="24"/>
        <v>0.14997358299326274</v>
      </c>
      <c r="BZ23" s="160">
        <f t="shared" si="25"/>
        <v>4.8859005340054808E-3</v>
      </c>
      <c r="CA23" s="16">
        <f t="shared" si="4"/>
        <v>26643064</v>
      </c>
      <c r="CB23" s="9">
        <f t="shared" si="26"/>
        <v>2.0105210087131189</v>
      </c>
      <c r="CC23" s="9">
        <f t="shared" si="27"/>
        <v>4.0210420174262379E-2</v>
      </c>
      <c r="CD23" s="158">
        <f t="shared" si="5"/>
        <v>1.1902284371581664E-2</v>
      </c>
      <c r="CE23" s="158">
        <f t="shared" si="28"/>
        <v>0.26361648663525283</v>
      </c>
      <c r="CF23" s="171">
        <f t="shared" si="29"/>
        <v>4.1042359902005739E-4</v>
      </c>
      <c r="CG23" s="16">
        <f t="shared" si="6"/>
        <v>251324550</v>
      </c>
      <c r="CH23" s="8">
        <f t="shared" si="30"/>
        <v>18.965284465043911</v>
      </c>
      <c r="CI23" s="8">
        <f t="shared" si="31"/>
        <v>0.37930568930087821</v>
      </c>
      <c r="CJ23" s="159">
        <f t="shared" si="7"/>
        <v>0.11227448403305995</v>
      </c>
      <c r="CK23" s="159">
        <f t="shared" si="32"/>
        <v>0.1273964416578463</v>
      </c>
      <c r="CL23" s="157">
        <f t="shared" si="33"/>
        <v>3.8715339321744812E-3</v>
      </c>
      <c r="CM23" s="8">
        <f t="shared" si="34"/>
        <v>0.64115431133343692</v>
      </c>
      <c r="CN23" s="9">
        <f t="shared" si="8"/>
        <v>6.4115431133343684E-3</v>
      </c>
      <c r="CO23" s="8">
        <f t="shared" si="9"/>
        <v>50245.59285853956</v>
      </c>
      <c r="CP23" s="8">
        <f t="shared" si="10"/>
        <v>502.45592858539555</v>
      </c>
      <c r="CQ23" s="8">
        <f t="shared" si="35"/>
        <v>502.46234012850891</v>
      </c>
      <c r="CR23" s="159">
        <f t="shared" si="11"/>
        <v>148.72885267803863</v>
      </c>
      <c r="CS23" s="159">
        <f t="shared" si="36"/>
        <v>2.4912622181841706</v>
      </c>
      <c r="CT23" s="166">
        <f t="shared" si="37"/>
        <v>5.1785812213801755E-2</v>
      </c>
      <c r="CU23" s="91" t="s">
        <v>9</v>
      </c>
      <c r="CV23" s="43">
        <v>31</v>
      </c>
      <c r="CW23" s="44">
        <f t="shared" si="12"/>
        <v>0.51764521817629428</v>
      </c>
      <c r="CX23" s="44">
        <f t="shared" si="13"/>
        <v>0.6929819528812623</v>
      </c>
      <c r="CY23" s="43">
        <f t="shared" si="14"/>
        <v>251324550</v>
      </c>
      <c r="CZ23" s="44">
        <f t="shared" si="38"/>
        <v>9.4330197908168518</v>
      </c>
      <c r="DA23" s="45">
        <f t="shared" si="15"/>
        <v>7.3463426161353734E-2</v>
      </c>
      <c r="DB23" s="43">
        <f t="shared" si="16"/>
        <v>26643064</v>
      </c>
      <c r="DC23" s="45">
        <f t="shared" si="17"/>
        <v>0.10601059068841465</v>
      </c>
      <c r="DD23" s="44">
        <f t="shared" si="18"/>
        <v>502.46234012850891</v>
      </c>
      <c r="DE23" s="44">
        <f t="shared" si="39"/>
        <v>18.577707366310243</v>
      </c>
      <c r="DF23" s="46">
        <f t="shared" si="19"/>
        <v>3.7598858422984778</v>
      </c>
      <c r="DG23" s="44">
        <f t="shared" si="40"/>
        <v>2.1344156591053327</v>
      </c>
      <c r="DH23" s="44">
        <f t="shared" si="43"/>
        <v>5.0051262052649932</v>
      </c>
      <c r="DI23" s="44">
        <f t="shared" si="41"/>
        <v>0.76095083474218417</v>
      </c>
      <c r="DJ23" s="92">
        <f t="shared" si="44"/>
        <v>3.405515705563964</v>
      </c>
    </row>
    <row r="24" spans="1:114" ht="15" customHeight="1" x14ac:dyDescent="0.2">
      <c r="A24" s="58">
        <v>41</v>
      </c>
      <c r="B24" s="51">
        <v>16</v>
      </c>
      <c r="C24" s="51" t="s">
        <v>127</v>
      </c>
      <c r="D24" s="244"/>
      <c r="E24" s="241"/>
      <c r="F24" s="167">
        <v>0.29599999999999999</v>
      </c>
      <c r="G24" s="237"/>
      <c r="H24" s="168">
        <v>1.3</v>
      </c>
      <c r="I24" s="9">
        <v>30.429400000000001</v>
      </c>
      <c r="J24" s="108">
        <f t="shared" si="0"/>
        <v>9.8975333066047971E-2</v>
      </c>
      <c r="K24" s="18"/>
      <c r="L24" s="18"/>
      <c r="M24" s="27">
        <v>13.96</v>
      </c>
      <c r="N24" s="27">
        <v>378098</v>
      </c>
      <c r="O24" s="27">
        <v>14.15</v>
      </c>
      <c r="P24" s="27">
        <v>2218070</v>
      </c>
      <c r="Q24" s="27">
        <v>6489255</v>
      </c>
      <c r="R24" s="95">
        <f t="shared" si="42"/>
        <v>0.34180657101624146</v>
      </c>
      <c r="S24" s="27">
        <v>16.07</v>
      </c>
      <c r="T24" s="27">
        <v>1269194</v>
      </c>
      <c r="U24" s="27">
        <v>16.25</v>
      </c>
      <c r="V24" s="27">
        <v>963271</v>
      </c>
      <c r="W24" s="27">
        <v>8281084</v>
      </c>
      <c r="X24" s="95">
        <f t="shared" si="20"/>
        <v>0.11632184868551025</v>
      </c>
      <c r="Y24" s="27">
        <v>18.22</v>
      </c>
      <c r="Z24" s="11">
        <v>1897212</v>
      </c>
      <c r="AA24" s="8">
        <v>19.91</v>
      </c>
      <c r="AB24" s="11">
        <v>1119962</v>
      </c>
      <c r="AC24" s="16">
        <v>288923280</v>
      </c>
      <c r="AD24" s="102">
        <f t="shared" ref="AD24:AD29" si="51">AB24/AC24</f>
        <v>3.8763300762749199E-3</v>
      </c>
      <c r="AE24" s="11">
        <v>20.440000000000001</v>
      </c>
      <c r="AF24" s="11">
        <v>9577902</v>
      </c>
      <c r="AG24" s="11">
        <v>22.61</v>
      </c>
      <c r="AH24" s="11">
        <v>29268930</v>
      </c>
      <c r="AI24" s="11">
        <v>24.73</v>
      </c>
      <c r="AJ24" s="11">
        <v>65949422</v>
      </c>
      <c r="AK24" s="11">
        <v>26.78</v>
      </c>
      <c r="AL24" s="11">
        <v>109387557</v>
      </c>
      <c r="AM24" s="11">
        <v>28.77</v>
      </c>
      <c r="AN24" s="11">
        <v>114695206</v>
      </c>
      <c r="AO24" s="11">
        <v>30.68</v>
      </c>
      <c r="AP24" s="11">
        <v>93752547</v>
      </c>
      <c r="AQ24" s="11">
        <v>615797119</v>
      </c>
      <c r="AR24" s="95">
        <f t="shared" si="21"/>
        <v>0.15224583569381719</v>
      </c>
      <c r="AS24" s="11">
        <v>32.53</v>
      </c>
      <c r="AT24" s="11">
        <v>51447158</v>
      </c>
      <c r="AU24" s="11">
        <v>34.31</v>
      </c>
      <c r="AV24" s="11">
        <v>49489674</v>
      </c>
      <c r="AW24" s="11">
        <v>36.03</v>
      </c>
      <c r="AX24" s="11">
        <v>23532241</v>
      </c>
      <c r="AY24" s="11">
        <v>37.700000000000003</v>
      </c>
      <c r="AZ24" s="11">
        <v>40566897</v>
      </c>
      <c r="BA24" s="11">
        <v>39.33</v>
      </c>
      <c r="BB24" s="11">
        <v>13720785</v>
      </c>
      <c r="BC24" s="11">
        <v>40.89</v>
      </c>
      <c r="BD24" s="11">
        <v>43606042</v>
      </c>
      <c r="BE24" s="11">
        <v>42.41</v>
      </c>
      <c r="BF24" s="11">
        <v>9026354</v>
      </c>
      <c r="BG24" s="11">
        <v>43.89</v>
      </c>
      <c r="BH24" s="11">
        <v>28674256</v>
      </c>
      <c r="BI24" s="11">
        <v>45.33</v>
      </c>
      <c r="BJ24" s="11">
        <v>9046326</v>
      </c>
      <c r="BK24" s="11">
        <v>46.73</v>
      </c>
      <c r="BL24" s="11">
        <v>20563203</v>
      </c>
      <c r="BM24" s="11">
        <v>48.24</v>
      </c>
      <c r="BN24" s="11">
        <v>5882137</v>
      </c>
      <c r="BO24" s="11">
        <v>49.96</v>
      </c>
      <c r="BP24" s="11">
        <v>14580571</v>
      </c>
      <c r="BQ24" s="11">
        <v>51.98</v>
      </c>
      <c r="BR24" s="11">
        <v>3421474</v>
      </c>
      <c r="BS24" s="11">
        <v>54.34</v>
      </c>
      <c r="BT24" s="11">
        <v>2839428</v>
      </c>
      <c r="BU24" s="17">
        <f t="shared" si="2"/>
        <v>742572614</v>
      </c>
      <c r="BV24" s="8">
        <f t="shared" si="22"/>
        <v>65.623987060610872</v>
      </c>
      <c r="BW24" s="8">
        <f t="shared" si="23"/>
        <v>1.3124797412122173</v>
      </c>
      <c r="BX24" s="159">
        <f t="shared" si="3"/>
        <v>0.38849400339881629</v>
      </c>
      <c r="BY24" s="159">
        <f t="shared" si="24"/>
        <v>0.35961677626475635</v>
      </c>
      <c r="BZ24" s="160">
        <f t="shared" si="25"/>
        <v>1.1715741960157308E-2</v>
      </c>
      <c r="CA24" s="16">
        <f t="shared" si="4"/>
        <v>42391336</v>
      </c>
      <c r="CB24" s="9">
        <f t="shared" si="26"/>
        <v>3.7462847844076403</v>
      </c>
      <c r="CC24" s="9">
        <f t="shared" si="27"/>
        <v>7.4925695688152799E-2</v>
      </c>
      <c r="CD24" s="158">
        <f t="shared" si="5"/>
        <v>2.2178005923693227E-2</v>
      </c>
      <c r="CE24" s="158">
        <f t="shared" si="28"/>
        <v>0.49120721868645023</v>
      </c>
      <c r="CF24" s="171">
        <f t="shared" si="29"/>
        <v>7.6475882495493882E-4</v>
      </c>
      <c r="CG24" s="16">
        <f t="shared" si="6"/>
        <v>410149093</v>
      </c>
      <c r="CH24" s="8">
        <f t="shared" si="30"/>
        <v>36.246446831600075</v>
      </c>
      <c r="CI24" s="8">
        <f t="shared" si="31"/>
        <v>0.72492893663200142</v>
      </c>
      <c r="CJ24" s="159">
        <f t="shared" si="7"/>
        <v>0.21457896524307241</v>
      </c>
      <c r="CK24" s="159">
        <f t="shared" si="32"/>
        <v>0.24348004679799434</v>
      </c>
      <c r="CL24" s="157">
        <f t="shared" si="33"/>
        <v>7.3992746635542211E-3</v>
      </c>
      <c r="CM24" s="8">
        <f t="shared" si="34"/>
        <v>0.19601934441865798</v>
      </c>
      <c r="CN24" s="9">
        <f t="shared" si="8"/>
        <v>1.9601934441865797E-3</v>
      </c>
      <c r="CO24" s="8">
        <f t="shared" si="9"/>
        <v>7395.0514024691956</v>
      </c>
      <c r="CP24" s="8">
        <f t="shared" si="10"/>
        <v>73.950514024691955</v>
      </c>
      <c r="CQ24" s="8">
        <f t="shared" si="35"/>
        <v>73.952474218136146</v>
      </c>
      <c r="CR24" s="159">
        <f t="shared" si="11"/>
        <v>21.889932368568299</v>
      </c>
      <c r="CS24" s="159">
        <f t="shared" si="36"/>
        <v>0.36666430545573214</v>
      </c>
      <c r="CT24" s="166">
        <f t="shared" si="37"/>
        <v>7.6218427467159818E-3</v>
      </c>
      <c r="CU24" s="91">
        <v>17.39</v>
      </c>
      <c r="CV24" s="43">
        <v>31</v>
      </c>
      <c r="CW24" s="44">
        <f t="shared" si="12"/>
        <v>0.51805298137445333</v>
      </c>
      <c r="CX24" s="44">
        <f t="shared" si="13"/>
        <v>0.55233533430577064</v>
      </c>
      <c r="CY24" s="43">
        <f t="shared" si="14"/>
        <v>410149093</v>
      </c>
      <c r="CZ24" s="44">
        <f t="shared" si="38"/>
        <v>9.6753047132083783</v>
      </c>
      <c r="DA24" s="45">
        <f t="shared" si="15"/>
        <v>5.7087125488848152E-2</v>
      </c>
      <c r="DB24" s="43">
        <f t="shared" si="16"/>
        <v>42391336</v>
      </c>
      <c r="DC24" s="45">
        <f t="shared" si="17"/>
        <v>0.10335591794177149</v>
      </c>
      <c r="DD24" s="44">
        <f t="shared" si="18"/>
        <v>73.952474218136146</v>
      </c>
      <c r="DE24" s="44">
        <f t="shared" si="39"/>
        <v>58.74479213821413</v>
      </c>
      <c r="DF24" s="46">
        <f t="shared" si="19"/>
        <v>3.1200544149600415</v>
      </c>
      <c r="DG24" s="44">
        <f t="shared" si="40"/>
        <v>1.5104523374332275</v>
      </c>
      <c r="DH24" s="44">
        <f t="shared" si="43"/>
        <v>5.8663891372078139</v>
      </c>
      <c r="DI24" s="44">
        <f t="shared" si="41"/>
        <v>0.7589627748003851</v>
      </c>
      <c r="DJ24" s="92">
        <f t="shared" si="44"/>
        <v>2.3026438042876824</v>
      </c>
    </row>
    <row r="25" spans="1:114" ht="15" customHeight="1" x14ac:dyDescent="0.2">
      <c r="A25" s="58">
        <v>40</v>
      </c>
      <c r="B25" s="70">
        <v>13</v>
      </c>
      <c r="C25" s="70" t="s">
        <v>43</v>
      </c>
      <c r="D25" s="244"/>
      <c r="E25" s="241"/>
      <c r="F25" s="167">
        <v>0.29599999999999999</v>
      </c>
      <c r="G25" s="237"/>
      <c r="H25" s="168">
        <v>1.3</v>
      </c>
      <c r="I25" s="9">
        <v>30.36</v>
      </c>
      <c r="J25" s="108">
        <f t="shared" si="0"/>
        <v>9.920158102766799E-2</v>
      </c>
      <c r="K25" s="8"/>
      <c r="L25" s="8"/>
      <c r="M25" s="8" t="s">
        <v>97</v>
      </c>
      <c r="N25" s="11">
        <v>252864</v>
      </c>
      <c r="O25" s="8">
        <v>14.24</v>
      </c>
      <c r="P25" s="11">
        <v>144446</v>
      </c>
      <c r="Q25" s="11">
        <v>957414</v>
      </c>
      <c r="R25" s="95">
        <f t="shared" ref="R25" si="52">P25/Q25</f>
        <v>0.15087099206821708</v>
      </c>
      <c r="S25" s="8" t="s">
        <v>98</v>
      </c>
      <c r="T25" s="11">
        <v>378215</v>
      </c>
      <c r="U25" s="8">
        <v>16.54</v>
      </c>
      <c r="V25" s="11">
        <v>120373</v>
      </c>
      <c r="W25" s="11">
        <v>1423152</v>
      </c>
      <c r="X25" s="95">
        <f t="shared" ref="X25" si="53">V25/W25</f>
        <v>8.4581970162006595E-2</v>
      </c>
      <c r="Y25" s="8">
        <v>18.5</v>
      </c>
      <c r="Z25" s="11">
        <v>541358</v>
      </c>
      <c r="AA25" s="8">
        <v>20.190000000000001</v>
      </c>
      <c r="AB25" s="11">
        <v>336966</v>
      </c>
      <c r="AC25" s="16">
        <v>228754966</v>
      </c>
      <c r="AD25" s="102">
        <f t="shared" si="51"/>
        <v>1.4730434311096005E-3</v>
      </c>
      <c r="AE25" s="8">
        <v>20.72</v>
      </c>
      <c r="AF25" s="11">
        <v>1864785</v>
      </c>
      <c r="AG25" s="8">
        <v>22.91</v>
      </c>
      <c r="AH25" s="11">
        <v>5487007</v>
      </c>
      <c r="AI25" s="8">
        <v>25.04</v>
      </c>
      <c r="AJ25" s="11">
        <v>8371898</v>
      </c>
      <c r="AK25" s="8">
        <v>27.09</v>
      </c>
      <c r="AL25" s="11">
        <v>15689101</v>
      </c>
      <c r="AM25" s="8">
        <v>29.08</v>
      </c>
      <c r="AN25" s="11">
        <v>19202369</v>
      </c>
      <c r="AO25" s="8">
        <v>30.99</v>
      </c>
      <c r="AP25" s="11">
        <v>25784937</v>
      </c>
      <c r="AQ25" s="11">
        <v>141916064</v>
      </c>
      <c r="AR25" s="95">
        <f t="shared" ref="AR25" si="54">AP25/AQ25</f>
        <v>0.18169146094694397</v>
      </c>
      <c r="AS25" s="8" t="s">
        <v>57</v>
      </c>
      <c r="AT25" s="11">
        <v>20599769</v>
      </c>
      <c r="AU25" s="8">
        <v>34.619999999999997</v>
      </c>
      <c r="AV25" s="11">
        <v>39802063</v>
      </c>
      <c r="AW25" s="8">
        <v>36.35</v>
      </c>
      <c r="AX25" s="11">
        <v>17688031</v>
      </c>
      <c r="AY25" s="8" t="s">
        <v>62</v>
      </c>
      <c r="AZ25" s="11">
        <v>48332609</v>
      </c>
      <c r="BA25" s="8">
        <v>39.64</v>
      </c>
      <c r="BB25" s="11">
        <v>11843878</v>
      </c>
      <c r="BC25" s="8">
        <v>41.21</v>
      </c>
      <c r="BD25" s="11">
        <v>47791201</v>
      </c>
      <c r="BE25" s="8">
        <v>42.74</v>
      </c>
      <c r="BF25" s="11">
        <v>4983825</v>
      </c>
      <c r="BG25" s="8">
        <v>44.21</v>
      </c>
      <c r="BH25" s="11">
        <v>13898187</v>
      </c>
      <c r="BI25" s="8" t="s">
        <v>99</v>
      </c>
      <c r="BJ25" s="11">
        <v>2011456</v>
      </c>
      <c r="BK25" s="8" t="s">
        <v>60</v>
      </c>
      <c r="BL25" s="11">
        <v>2938159</v>
      </c>
      <c r="BM25" s="8" t="s">
        <v>61</v>
      </c>
      <c r="BN25" s="11">
        <v>719867</v>
      </c>
      <c r="BO25" s="8" t="s">
        <v>71</v>
      </c>
      <c r="BP25" s="11">
        <v>1625869</v>
      </c>
      <c r="BQ25" s="14"/>
      <c r="BR25" s="15"/>
      <c r="BS25" s="14"/>
      <c r="BT25" s="15"/>
      <c r="BU25" s="17">
        <f t="shared" si="2"/>
        <v>289807448</v>
      </c>
      <c r="BV25" s="8">
        <f t="shared" si="22"/>
        <v>85.318272571101176</v>
      </c>
      <c r="BW25" s="8">
        <f t="shared" si="23"/>
        <v>1.7063654514220234</v>
      </c>
      <c r="BX25" s="159">
        <f t="shared" si="3"/>
        <v>0.50508417362091895</v>
      </c>
      <c r="BY25" s="159">
        <f t="shared" si="24"/>
        <v>0.46754065872527906</v>
      </c>
      <c r="BZ25" s="160">
        <f t="shared" si="25"/>
        <v>1.5231730205697196E-2</v>
      </c>
      <c r="CA25" s="16">
        <f t="shared" si="4"/>
        <v>8524229</v>
      </c>
      <c r="CB25" s="9">
        <f t="shared" si="26"/>
        <v>2.5095024241077653</v>
      </c>
      <c r="CC25" s="9">
        <f t="shared" si="27"/>
        <v>5.0190048482155303E-2</v>
      </c>
      <c r="CD25" s="158">
        <f t="shared" si="5"/>
        <v>1.485625435071797E-2</v>
      </c>
      <c r="CE25" s="158">
        <f t="shared" si="28"/>
        <v>0.32904217831047555</v>
      </c>
      <c r="CF25" s="171">
        <f t="shared" si="29"/>
        <v>5.1228463278337822E-4</v>
      </c>
      <c r="CG25" s="16">
        <f t="shared" si="6"/>
        <v>238019851</v>
      </c>
      <c r="CH25" s="8">
        <f t="shared" si="30"/>
        <v>70.072189880195523</v>
      </c>
      <c r="CI25" s="8">
        <f t="shared" si="31"/>
        <v>1.4014437976039102</v>
      </c>
      <c r="CJ25" s="159">
        <f t="shared" si="7"/>
        <v>0.41482736409075743</v>
      </c>
      <c r="CK25" s="159">
        <f t="shared" si="32"/>
        <v>0.47069938056366439</v>
      </c>
      <c r="CL25" s="157">
        <f t="shared" si="33"/>
        <v>1.4304391865198532E-2</v>
      </c>
      <c r="CM25" s="8">
        <f t="shared" si="34"/>
        <v>4.2524383982723866E-2</v>
      </c>
      <c r="CN25" s="9">
        <f t="shared" si="8"/>
        <v>4.2524383982723863E-4</v>
      </c>
      <c r="CO25" s="8">
        <f t="shared" si="9"/>
        <v>76.008834527334372</v>
      </c>
      <c r="CP25" s="8">
        <f t="shared" si="10"/>
        <v>0.76008834527334368</v>
      </c>
      <c r="CQ25" s="8">
        <f t="shared" si="35"/>
        <v>0.76051358911317091</v>
      </c>
      <c r="CR25" s="159">
        <f t="shared" si="11"/>
        <v>0.22511202237749858</v>
      </c>
      <c r="CS25" s="159">
        <f t="shared" si="36"/>
        <v>3.7707080106515315E-3</v>
      </c>
      <c r="CT25" s="166">
        <f t="shared" si="37"/>
        <v>7.8381623390493937E-5</v>
      </c>
      <c r="CU25" s="91"/>
      <c r="CV25" s="43">
        <v>31</v>
      </c>
      <c r="CW25" s="44">
        <f t="shared" si="12"/>
        <v>0.49718379868629842</v>
      </c>
      <c r="CX25" s="44">
        <f t="shared" si="13"/>
        <v>0.82130342971723769</v>
      </c>
      <c r="CY25" s="43">
        <f t="shared" si="14"/>
        <v>238019851</v>
      </c>
      <c r="CZ25" s="44">
        <f t="shared" si="38"/>
        <v>27.922742455651999</v>
      </c>
      <c r="DA25" s="45">
        <f t="shared" si="15"/>
        <v>2.9413422804785885E-2</v>
      </c>
      <c r="DB25" s="43">
        <f t="shared" si="16"/>
        <v>8524229</v>
      </c>
      <c r="DC25" s="45">
        <f t="shared" si="17"/>
        <v>3.5813101151802668E-2</v>
      </c>
      <c r="DD25" s="44">
        <f t="shared" si="18"/>
        <v>0.76051358911317091</v>
      </c>
      <c r="DE25" s="44">
        <f t="shared" si="39"/>
        <v>171.1434246344221</v>
      </c>
      <c r="DF25" s="46">
        <f t="shared" si="19"/>
        <v>4.5715154556020545</v>
      </c>
      <c r="DG25" s="44">
        <f t="shared" si="40"/>
        <v>2.5988171110301321</v>
      </c>
      <c r="DH25" s="44">
        <f t="shared" si="43"/>
        <v>0.57123987598076431</v>
      </c>
      <c r="DI25" s="44">
        <f t="shared" si="41"/>
        <v>0.31826606559760984</v>
      </c>
      <c r="DJ25" s="92">
        <f t="shared" si="44"/>
        <v>1.1999867079826871</v>
      </c>
    </row>
    <row r="26" spans="1:114" ht="15" customHeight="1" x14ac:dyDescent="0.2">
      <c r="A26" s="58">
        <v>39</v>
      </c>
      <c r="B26" s="51">
        <v>15</v>
      </c>
      <c r="C26" s="51" t="s">
        <v>128</v>
      </c>
      <c r="D26" s="244"/>
      <c r="E26" s="241"/>
      <c r="F26" s="167">
        <v>0.29599999999999999</v>
      </c>
      <c r="G26" s="237"/>
      <c r="H26" s="168">
        <v>1.25</v>
      </c>
      <c r="I26" s="9">
        <v>30.040600000000001</v>
      </c>
      <c r="J26" s="108">
        <f t="shared" si="0"/>
        <v>0.10025631978056364</v>
      </c>
      <c r="K26" s="11"/>
      <c r="L26" s="11"/>
      <c r="M26" s="11">
        <v>13.99</v>
      </c>
      <c r="N26" s="11">
        <v>498840</v>
      </c>
      <c r="O26" s="11">
        <v>14.14</v>
      </c>
      <c r="P26" s="11">
        <v>1799188</v>
      </c>
      <c r="Q26" s="11">
        <v>8799677</v>
      </c>
      <c r="R26" s="95">
        <f>P26/Q26</f>
        <v>0.20446068645474147</v>
      </c>
      <c r="S26" s="8">
        <v>16</v>
      </c>
      <c r="T26" s="11">
        <v>1186634</v>
      </c>
      <c r="U26" s="11">
        <v>16.260000000000002</v>
      </c>
      <c r="V26" s="11">
        <v>1068078</v>
      </c>
      <c r="W26" s="11">
        <v>15148785</v>
      </c>
      <c r="X26" s="95">
        <f t="shared" si="20"/>
        <v>7.0505852449552889E-2</v>
      </c>
      <c r="Y26" s="11">
        <v>18.23</v>
      </c>
      <c r="Z26" s="11">
        <v>1229772</v>
      </c>
      <c r="AA26" s="8">
        <v>19.899999999999999</v>
      </c>
      <c r="AB26" s="11">
        <v>2770765</v>
      </c>
      <c r="AC26" s="11">
        <v>1185885852</v>
      </c>
      <c r="AD26" s="102">
        <f t="shared" si="51"/>
        <v>2.3364516874259836E-3</v>
      </c>
      <c r="AE26" s="11">
        <v>20.440000000000001</v>
      </c>
      <c r="AF26" s="11">
        <v>3092464</v>
      </c>
      <c r="AG26" s="11">
        <v>22.61</v>
      </c>
      <c r="AH26" s="11">
        <v>8174613</v>
      </c>
      <c r="AI26" s="11">
        <v>24.74</v>
      </c>
      <c r="AJ26" s="11">
        <v>15723959</v>
      </c>
      <c r="AK26" s="11">
        <v>26.8</v>
      </c>
      <c r="AL26" s="11">
        <v>25330557</v>
      </c>
      <c r="AM26" s="11">
        <v>28.77</v>
      </c>
      <c r="AN26" s="11">
        <v>30244862</v>
      </c>
      <c r="AO26" s="11">
        <v>30.68</v>
      </c>
      <c r="AP26" s="11">
        <v>53677509</v>
      </c>
      <c r="AQ26" s="11">
        <v>362744633</v>
      </c>
      <c r="AR26" s="95">
        <f t="shared" si="21"/>
        <v>0.14797602532688608</v>
      </c>
      <c r="AS26" s="11">
        <v>32.53</v>
      </c>
      <c r="AT26" s="11">
        <v>32120774</v>
      </c>
      <c r="AU26" s="11">
        <v>34.31</v>
      </c>
      <c r="AV26" s="11">
        <v>48623421</v>
      </c>
      <c r="AW26" s="11">
        <v>36.04</v>
      </c>
      <c r="AX26" s="11">
        <v>24925331</v>
      </c>
      <c r="AY26" s="11">
        <v>37.71</v>
      </c>
      <c r="AZ26" s="11">
        <v>54345979</v>
      </c>
      <c r="BA26" s="11">
        <v>39.32</v>
      </c>
      <c r="BB26" s="11">
        <v>18474690</v>
      </c>
      <c r="BC26" s="8">
        <v>40.9</v>
      </c>
      <c r="BD26" s="11">
        <v>53720619</v>
      </c>
      <c r="BE26" s="11">
        <v>42.43</v>
      </c>
      <c r="BF26" s="11">
        <v>9764377</v>
      </c>
      <c r="BG26" s="11">
        <v>43.89</v>
      </c>
      <c r="BH26" s="11">
        <v>37929572</v>
      </c>
      <c r="BI26" s="11">
        <v>45.33</v>
      </c>
      <c r="BJ26" s="11">
        <v>13434808</v>
      </c>
      <c r="BK26" s="11">
        <v>46.73</v>
      </c>
      <c r="BL26" s="11">
        <v>25177807</v>
      </c>
      <c r="BM26" s="11">
        <v>48.25</v>
      </c>
      <c r="BN26" s="11">
        <v>8272707</v>
      </c>
      <c r="BO26" s="11">
        <v>49.96</v>
      </c>
      <c r="BP26" s="11">
        <v>27068199</v>
      </c>
      <c r="BQ26" s="11">
        <v>51.98</v>
      </c>
      <c r="BR26" s="11">
        <v>6669025</v>
      </c>
      <c r="BS26" s="11">
        <v>54.34</v>
      </c>
      <c r="BT26" s="11">
        <v>5662017</v>
      </c>
      <c r="BU26" s="17">
        <f t="shared" si="2"/>
        <v>505348536</v>
      </c>
      <c r="BV26" s="8">
        <f t="shared" si="22"/>
        <v>18.285341566627149</v>
      </c>
      <c r="BW26" s="8">
        <f t="shared" si="23"/>
        <v>0.365706831332543</v>
      </c>
      <c r="BX26" s="159">
        <f t="shared" si="3"/>
        <v>0.10824922207443273</v>
      </c>
      <c r="BY26" s="159">
        <f t="shared" si="24"/>
        <v>0.10020292703363208</v>
      </c>
      <c r="BZ26" s="160">
        <f t="shared" si="25"/>
        <v>3.264451811653581E-3</v>
      </c>
      <c r="CA26" s="16">
        <f t="shared" si="4"/>
        <v>14182323</v>
      </c>
      <c r="CB26" s="9">
        <f t="shared" si="26"/>
        <v>0.51316784711776087</v>
      </c>
      <c r="CC26" s="9">
        <f t="shared" si="27"/>
        <v>1.0263356942355216E-2</v>
      </c>
      <c r="CD26" s="158">
        <f t="shared" si="5"/>
        <v>3.0379536549371439E-3</v>
      </c>
      <c r="CE26" s="158">
        <f t="shared" si="28"/>
        <v>6.7285795236703083E-2</v>
      </c>
      <c r="CF26" s="171">
        <f t="shared" si="29"/>
        <v>1.0475702258403944E-4</v>
      </c>
      <c r="CG26" s="16">
        <f t="shared" si="6"/>
        <v>419866835</v>
      </c>
      <c r="CH26" s="8">
        <f t="shared" si="30"/>
        <v>15.192303813211566</v>
      </c>
      <c r="CI26" s="8">
        <f t="shared" si="31"/>
        <v>0.30384607626423132</v>
      </c>
      <c r="CJ26" s="159">
        <f t="shared" si="7"/>
        <v>8.9938438574212465E-2</v>
      </c>
      <c r="CK26" s="159">
        <f t="shared" si="32"/>
        <v>0.10205201245230054</v>
      </c>
      <c r="CL26" s="157">
        <f t="shared" si="33"/>
        <v>3.101325468076292E-3</v>
      </c>
      <c r="CM26" s="8">
        <f t="shared" si="34"/>
        <v>6.5101142635103568E-2</v>
      </c>
      <c r="CN26" s="9">
        <f t="shared" si="8"/>
        <v>6.510114263510357E-4</v>
      </c>
      <c r="CO26" s="8">
        <f t="shared" si="9"/>
        <v>1620.453703383924</v>
      </c>
      <c r="CP26" s="8">
        <f t="shared" si="10"/>
        <v>16.204537033839241</v>
      </c>
      <c r="CQ26" s="8">
        <f t="shared" si="35"/>
        <v>16.205188045265594</v>
      </c>
      <c r="CR26" s="159">
        <f t="shared" si="11"/>
        <v>4.7967356613986158</v>
      </c>
      <c r="CS26" s="159">
        <f t="shared" si="36"/>
        <v>8.0347061842315701E-2</v>
      </c>
      <c r="CT26" s="166">
        <f t="shared" si="37"/>
        <v>1.6701725840524428E-3</v>
      </c>
      <c r="CU26" s="91" t="s">
        <v>9</v>
      </c>
      <c r="CV26" s="43">
        <v>31</v>
      </c>
      <c r="CW26" s="44">
        <f t="shared" si="12"/>
        <v>0.49710659902516779</v>
      </c>
      <c r="CX26" s="44">
        <f t="shared" si="13"/>
        <v>0.8308460499824224</v>
      </c>
      <c r="CY26" s="43">
        <f t="shared" si="14"/>
        <v>419866835</v>
      </c>
      <c r="CZ26" s="44">
        <f t="shared" si="38"/>
        <v>29.604940953608235</v>
      </c>
      <c r="DA26" s="45">
        <f t="shared" si="15"/>
        <v>2.8064438678813152E-2</v>
      </c>
      <c r="DB26" s="43">
        <f t="shared" si="16"/>
        <v>14182323</v>
      </c>
      <c r="DC26" s="45">
        <f t="shared" si="17"/>
        <v>3.3778145396980451E-2</v>
      </c>
      <c r="DD26" s="44">
        <f t="shared" si="18"/>
        <v>16.205188045265594</v>
      </c>
      <c r="DE26" s="44">
        <f t="shared" si="39"/>
        <v>90.644990894428588</v>
      </c>
      <c r="DF26" s="46">
        <f t="shared" si="19"/>
        <v>3.6252695026498523</v>
      </c>
      <c r="DG26" s="44">
        <f t="shared" si="40"/>
        <v>2.2022152858598694</v>
      </c>
      <c r="DH26" s="44">
        <f t="shared" si="43"/>
        <v>3.6067436452569961</v>
      </c>
      <c r="DI26" s="44">
        <f t="shared" si="41"/>
        <v>0.90009050810949287</v>
      </c>
      <c r="DJ26" s="92">
        <f t="shared" si="44"/>
        <v>1.6845099327951705</v>
      </c>
    </row>
    <row r="27" spans="1:114" ht="15" customHeight="1" x14ac:dyDescent="0.2">
      <c r="A27" s="58">
        <v>38</v>
      </c>
      <c r="B27" s="51">
        <v>14</v>
      </c>
      <c r="C27" s="51" t="s">
        <v>129</v>
      </c>
      <c r="D27" s="244"/>
      <c r="E27" s="241"/>
      <c r="F27" s="167">
        <v>0.29599999999999999</v>
      </c>
      <c r="G27" s="237"/>
      <c r="H27" s="168">
        <v>1.2</v>
      </c>
      <c r="I27" s="9">
        <v>30.5273</v>
      </c>
      <c r="J27" s="108">
        <f t="shared" si="0"/>
        <v>9.8657922580771967E-2</v>
      </c>
      <c r="K27" s="18"/>
      <c r="L27" s="18"/>
      <c r="M27" s="11">
        <v>13.97</v>
      </c>
      <c r="N27" s="11">
        <v>475533</v>
      </c>
      <c r="O27" s="11">
        <v>14.14</v>
      </c>
      <c r="P27" s="11">
        <v>1790473</v>
      </c>
      <c r="Q27" s="11">
        <v>12103048</v>
      </c>
      <c r="R27" s="95">
        <f>P27/Q27</f>
        <v>0.14793571007898176</v>
      </c>
      <c r="S27" s="11">
        <v>15.97</v>
      </c>
      <c r="T27" s="11">
        <v>1168558</v>
      </c>
      <c r="U27" s="11">
        <v>16.260000000000002</v>
      </c>
      <c r="V27" s="11">
        <v>1020925</v>
      </c>
      <c r="W27" s="11">
        <v>16203966</v>
      </c>
      <c r="X27" s="95">
        <f t="shared" si="20"/>
        <v>6.3004637259791829E-2</v>
      </c>
      <c r="Y27" s="8">
        <v>18.2</v>
      </c>
      <c r="Z27" s="11">
        <v>3579600</v>
      </c>
      <c r="AA27" s="8">
        <v>19.899999999999999</v>
      </c>
      <c r="AB27" s="11">
        <v>3046953</v>
      </c>
      <c r="AC27" s="11">
        <v>652617497</v>
      </c>
      <c r="AD27" s="102">
        <f t="shared" si="51"/>
        <v>4.6688190463885157E-3</v>
      </c>
      <c r="AE27" s="11">
        <v>20.43</v>
      </c>
      <c r="AF27" s="11">
        <v>11687954</v>
      </c>
      <c r="AG27" s="8">
        <v>22.6</v>
      </c>
      <c r="AH27" s="11">
        <v>22267099</v>
      </c>
      <c r="AI27" s="11">
        <v>24.73</v>
      </c>
      <c r="AJ27" s="11">
        <v>30594128</v>
      </c>
      <c r="AK27" s="11">
        <v>26.78</v>
      </c>
      <c r="AL27" s="11">
        <v>36489958</v>
      </c>
      <c r="AM27" s="11">
        <v>28.77</v>
      </c>
      <c r="AN27" s="11">
        <v>35592759</v>
      </c>
      <c r="AO27" s="11">
        <v>30.68</v>
      </c>
      <c r="AP27" s="11">
        <v>49867708</v>
      </c>
      <c r="AQ27" s="11">
        <v>435508562</v>
      </c>
      <c r="AR27" s="95">
        <f t="shared" si="21"/>
        <v>0.11450454101520052</v>
      </c>
      <c r="AS27" s="27">
        <v>32.53</v>
      </c>
      <c r="AT27" s="27">
        <v>26614164</v>
      </c>
      <c r="AU27" s="28">
        <v>34.299999999999997</v>
      </c>
      <c r="AV27" s="27">
        <v>43908763</v>
      </c>
      <c r="AW27" s="27">
        <v>36.03</v>
      </c>
      <c r="AX27" s="27">
        <v>23052155</v>
      </c>
      <c r="AY27" s="27">
        <v>37.71</v>
      </c>
      <c r="AZ27" s="27">
        <v>51095456</v>
      </c>
      <c r="BA27" s="27">
        <v>39.33</v>
      </c>
      <c r="BB27" s="27">
        <v>14176236</v>
      </c>
      <c r="BC27" s="27">
        <v>40.89</v>
      </c>
      <c r="BD27" s="27">
        <v>47196118</v>
      </c>
      <c r="BE27" s="27">
        <v>42.43</v>
      </c>
      <c r="BF27" s="27">
        <v>9844757</v>
      </c>
      <c r="BG27" s="27">
        <v>43.89</v>
      </c>
      <c r="BH27" s="27">
        <v>32648827</v>
      </c>
      <c r="BI27" s="27">
        <v>45.33</v>
      </c>
      <c r="BJ27" s="27">
        <v>10782197</v>
      </c>
      <c r="BK27" s="27">
        <v>46.73</v>
      </c>
      <c r="BL27" s="27">
        <v>19646971</v>
      </c>
      <c r="BM27" s="27">
        <v>48.25</v>
      </c>
      <c r="BN27" s="27">
        <v>6995486</v>
      </c>
      <c r="BO27" s="27">
        <v>49.98</v>
      </c>
      <c r="BP27" s="27">
        <v>26991416</v>
      </c>
      <c r="BQ27" s="27">
        <v>52</v>
      </c>
      <c r="BR27" s="27">
        <v>7176098</v>
      </c>
      <c r="BS27" s="27">
        <v>54.36</v>
      </c>
      <c r="BT27" s="27">
        <v>3653031</v>
      </c>
      <c r="BU27" s="17">
        <f t="shared" si="2"/>
        <v>515504972</v>
      </c>
      <c r="BV27" s="8">
        <f t="shared" si="22"/>
        <v>16.69164231203403</v>
      </c>
      <c r="BW27" s="8">
        <f t="shared" si="23"/>
        <v>0.3338328462406806</v>
      </c>
      <c r="BX27" s="159">
        <f t="shared" si="3"/>
        <v>9.8814522487241457E-2</v>
      </c>
      <c r="BY27" s="159">
        <f t="shared" si="24"/>
        <v>9.1469520028919241E-2</v>
      </c>
      <c r="BZ27" s="160">
        <f t="shared" si="25"/>
        <v>2.9799313174680782E-3</v>
      </c>
      <c r="CA27" s="16">
        <f t="shared" si="4"/>
        <v>39178744</v>
      </c>
      <c r="CB27" s="9">
        <f t="shared" si="26"/>
        <v>1.2685766706489676</v>
      </c>
      <c r="CC27" s="9">
        <f t="shared" si="27"/>
        <v>2.537153341297935E-2</v>
      </c>
      <c r="CD27" s="158">
        <f t="shared" si="5"/>
        <v>7.5099738902418877E-3</v>
      </c>
      <c r="CE27" s="158">
        <f t="shared" si="28"/>
        <v>0.1663338624638292</v>
      </c>
      <c r="CF27" s="171">
        <f t="shared" si="29"/>
        <v>2.5896461690489266E-4</v>
      </c>
      <c r="CG27" s="16">
        <f t="shared" si="6"/>
        <v>373649383</v>
      </c>
      <c r="CH27" s="8">
        <f t="shared" si="30"/>
        <v>12.098470800293676</v>
      </c>
      <c r="CI27" s="8">
        <f t="shared" si="31"/>
        <v>0.24196941600587349</v>
      </c>
      <c r="CJ27" s="159">
        <f t="shared" si="7"/>
        <v>7.1622947137738549E-2</v>
      </c>
      <c r="CK27" s="159">
        <f t="shared" si="32"/>
        <v>8.1269655211322539E-2</v>
      </c>
      <c r="CL27" s="157">
        <f t="shared" si="33"/>
        <v>2.4697567978530536E-3</v>
      </c>
      <c r="CM27" s="8">
        <f t="shared" si="34"/>
        <v>5.7974096291266229E-2</v>
      </c>
      <c r="CN27" s="9">
        <f t="shared" si="8"/>
        <v>5.7974096291266229E-4</v>
      </c>
      <c r="CO27" s="8">
        <f t="shared" si="9"/>
        <v>2800.9341703644209</v>
      </c>
      <c r="CP27" s="8">
        <f t="shared" si="10"/>
        <v>28.00934170364421</v>
      </c>
      <c r="CQ27" s="8">
        <f t="shared" si="35"/>
        <v>28.009921444607123</v>
      </c>
      <c r="CR27" s="159">
        <f t="shared" si="11"/>
        <v>8.2909367476037072</v>
      </c>
      <c r="CS27" s="159">
        <f t="shared" si="36"/>
        <v>0.13887619719203129</v>
      </c>
      <c r="CT27" s="166">
        <f t="shared" si="37"/>
        <v>2.8868164162965553E-3</v>
      </c>
      <c r="CU27" s="91" t="s">
        <v>9</v>
      </c>
      <c r="CV27" s="43">
        <v>31</v>
      </c>
      <c r="CW27" s="44">
        <f t="shared" si="12"/>
        <v>0.48016443403378606</v>
      </c>
      <c r="CX27" s="44">
        <f t="shared" si="13"/>
        <v>0.72482207407303145</v>
      </c>
      <c r="CY27" s="43">
        <f t="shared" si="14"/>
        <v>373649383</v>
      </c>
      <c r="CZ27" s="44">
        <f t="shared" si="38"/>
        <v>9.5370434284468129</v>
      </c>
      <c r="DA27" s="45">
        <f t="shared" si="15"/>
        <v>7.6000710231753116E-2</v>
      </c>
      <c r="DB27" s="43">
        <f t="shared" si="16"/>
        <v>39178744</v>
      </c>
      <c r="DC27" s="45">
        <f t="shared" si="17"/>
        <v>0.10485429866212304</v>
      </c>
      <c r="DD27" s="44">
        <f t="shared" si="18"/>
        <v>28.009921444607123</v>
      </c>
      <c r="DE27" s="44">
        <f t="shared" si="39"/>
        <v>35.066750461698788</v>
      </c>
      <c r="DF27" s="46">
        <f t="shared" si="19"/>
        <v>3.7381034951777914</v>
      </c>
      <c r="DG27" s="44">
        <f t="shared" si="40"/>
        <v>2.2188670474534047</v>
      </c>
      <c r="DH27" s="44">
        <f t="shared" si="43"/>
        <v>3.7651919004569607</v>
      </c>
      <c r="DI27" s="44">
        <f t="shared" si="41"/>
        <v>0.87366224012843174</v>
      </c>
      <c r="DJ27" s="92">
        <f t="shared" si="44"/>
        <v>1.7537752528344392</v>
      </c>
    </row>
    <row r="28" spans="1:114" ht="15" customHeight="1" x14ac:dyDescent="0.2">
      <c r="A28" s="58">
        <v>37</v>
      </c>
      <c r="B28" s="51">
        <v>13</v>
      </c>
      <c r="C28" s="51" t="s">
        <v>130</v>
      </c>
      <c r="D28" s="244"/>
      <c r="E28" s="241"/>
      <c r="F28" s="167">
        <v>0.29599999999999999</v>
      </c>
      <c r="G28" s="237"/>
      <c r="H28" s="168">
        <v>1.1499999999999999</v>
      </c>
      <c r="I28" s="9">
        <v>30.782299999999999</v>
      </c>
      <c r="J28" s="108">
        <f t="shared" si="0"/>
        <v>9.7840642187230986E-2</v>
      </c>
      <c r="K28" s="18"/>
      <c r="L28" s="18"/>
      <c r="M28" s="11">
        <v>13.97</v>
      </c>
      <c r="N28" s="27">
        <v>841612</v>
      </c>
      <c r="O28" s="27">
        <v>14.15</v>
      </c>
      <c r="P28" s="27">
        <v>3386404</v>
      </c>
      <c r="Q28" s="27">
        <v>10845612</v>
      </c>
      <c r="R28" s="96">
        <f>P28/Q28</f>
        <v>0.31223724396557795</v>
      </c>
      <c r="S28" s="28">
        <v>16</v>
      </c>
      <c r="T28" s="27">
        <v>2125394</v>
      </c>
      <c r="U28" s="27">
        <v>16.239999999999998</v>
      </c>
      <c r="V28" s="27">
        <v>1826810</v>
      </c>
      <c r="W28" s="27">
        <v>9497767</v>
      </c>
      <c r="X28" s="95">
        <f t="shared" si="20"/>
        <v>0.19234099973183169</v>
      </c>
      <c r="Y28" s="27">
        <v>18.23</v>
      </c>
      <c r="Z28" s="27">
        <v>3799536</v>
      </c>
      <c r="AA28" s="8">
        <v>19.91</v>
      </c>
      <c r="AB28" s="11">
        <v>1137495</v>
      </c>
      <c r="AC28" s="11">
        <v>505562113</v>
      </c>
      <c r="AD28" s="102">
        <f t="shared" si="51"/>
        <v>2.2499609261661582E-3</v>
      </c>
      <c r="AE28" s="11">
        <v>20.440000000000001</v>
      </c>
      <c r="AF28" s="11">
        <v>13424396</v>
      </c>
      <c r="AG28" s="11">
        <v>22.62</v>
      </c>
      <c r="AH28" s="11">
        <v>33283003</v>
      </c>
      <c r="AI28" s="11">
        <v>24.74</v>
      </c>
      <c r="AJ28" s="11">
        <v>44485164</v>
      </c>
      <c r="AK28" s="11">
        <v>26.76</v>
      </c>
      <c r="AL28" s="11">
        <v>51766416</v>
      </c>
      <c r="AM28" s="11">
        <v>28.77</v>
      </c>
      <c r="AN28" s="11">
        <v>43386928</v>
      </c>
      <c r="AO28" s="11">
        <v>30.69</v>
      </c>
      <c r="AP28" s="11">
        <v>50832367</v>
      </c>
      <c r="AQ28" s="11">
        <v>368721139</v>
      </c>
      <c r="AR28" s="95">
        <f t="shared" si="21"/>
        <v>0.13786127678456753</v>
      </c>
      <c r="AS28" s="11">
        <v>32.53</v>
      </c>
      <c r="AT28" s="11">
        <v>26615110</v>
      </c>
      <c r="AU28" s="11">
        <v>34.32</v>
      </c>
      <c r="AV28" s="11">
        <v>57034673</v>
      </c>
      <c r="AW28" s="11">
        <v>36.04</v>
      </c>
      <c r="AX28" s="11">
        <v>20364727</v>
      </c>
      <c r="AY28" s="11">
        <v>37.71</v>
      </c>
      <c r="AZ28" s="11">
        <v>77103282</v>
      </c>
      <c r="BA28" s="11">
        <v>39.33</v>
      </c>
      <c r="BB28" s="11">
        <v>17938582</v>
      </c>
      <c r="BC28" s="11">
        <v>40.89</v>
      </c>
      <c r="BD28" s="11">
        <v>88244365</v>
      </c>
      <c r="BE28" s="11">
        <v>42.42</v>
      </c>
      <c r="BF28" s="11">
        <v>10572647</v>
      </c>
      <c r="BG28" s="11">
        <v>43.89</v>
      </c>
      <c r="BH28" s="11">
        <v>47324708</v>
      </c>
      <c r="BI28" s="11">
        <v>45.34</v>
      </c>
      <c r="BJ28" s="11">
        <v>11299404</v>
      </c>
      <c r="BK28" s="11">
        <v>46.74</v>
      </c>
      <c r="BL28" s="11">
        <v>24573871</v>
      </c>
      <c r="BM28" s="11">
        <v>48.25</v>
      </c>
      <c r="BN28" s="11">
        <v>7404580</v>
      </c>
      <c r="BO28" s="11">
        <v>49.97</v>
      </c>
      <c r="BP28" s="11">
        <v>25173855</v>
      </c>
      <c r="BQ28" s="11">
        <v>51.99</v>
      </c>
      <c r="BR28" s="11">
        <v>7180251</v>
      </c>
      <c r="BS28" s="11">
        <v>54.35</v>
      </c>
      <c r="BT28" s="11">
        <v>6172657</v>
      </c>
      <c r="BU28" s="17">
        <f t="shared" si="2"/>
        <v>670947528</v>
      </c>
      <c r="BV28" s="8">
        <f t="shared" si="22"/>
        <v>57.710967532565107</v>
      </c>
      <c r="BW28" s="8">
        <f t="shared" si="23"/>
        <v>1.1542193506513021</v>
      </c>
      <c r="BX28" s="159">
        <f t="shared" si="3"/>
        <v>0.34164892779278538</v>
      </c>
      <c r="BY28" s="159">
        <f t="shared" si="24"/>
        <v>0.31625375154381685</v>
      </c>
      <c r="BZ28" s="160">
        <f t="shared" si="25"/>
        <v>1.0303043660819826E-2</v>
      </c>
      <c r="CA28" s="16">
        <f t="shared" si="4"/>
        <v>53473941</v>
      </c>
      <c r="CB28" s="9">
        <f t="shared" si="26"/>
        <v>4.5995144837754021</v>
      </c>
      <c r="CC28" s="9">
        <f t="shared" si="27"/>
        <v>9.1990289675508041E-2</v>
      </c>
      <c r="CD28" s="158">
        <f t="shared" si="5"/>
        <v>2.722912574395038E-2</v>
      </c>
      <c r="CE28" s="158">
        <f t="shared" si="28"/>
        <v>0.60308141182614361</v>
      </c>
      <c r="CF28" s="171">
        <f t="shared" si="29"/>
        <v>9.3893537048104765E-4</v>
      </c>
      <c r="CG28" s="16">
        <f t="shared" si="6"/>
        <v>477835079</v>
      </c>
      <c r="CH28" s="8">
        <f t="shared" si="30"/>
        <v>41.100568344428986</v>
      </c>
      <c r="CI28" s="8">
        <f t="shared" si="31"/>
        <v>0.82201136688857979</v>
      </c>
      <c r="CJ28" s="159">
        <f t="shared" si="7"/>
        <v>0.24331536459901962</v>
      </c>
      <c r="CK28" s="159">
        <f t="shared" si="32"/>
        <v>0.27608687688530537</v>
      </c>
      <c r="CL28" s="157">
        <f t="shared" si="33"/>
        <v>8.3901849861730896E-3</v>
      </c>
      <c r="CM28" s="8">
        <f t="shared" si="34"/>
        <v>0.29127859205131251</v>
      </c>
      <c r="CN28" s="9">
        <f t="shared" si="8"/>
        <v>2.9127859205131247E-3</v>
      </c>
      <c r="CO28" s="8">
        <f t="shared" si="9"/>
        <v>12236.511661307975</v>
      </c>
      <c r="CP28" s="8">
        <f t="shared" si="10"/>
        <v>122.36511661307975</v>
      </c>
      <c r="CQ28" s="8">
        <f t="shared" si="35"/>
        <v>122.36802939900026</v>
      </c>
      <c r="CR28" s="159">
        <f t="shared" si="11"/>
        <v>36.220936702104076</v>
      </c>
      <c r="CS28" s="159">
        <f t="shared" si="36"/>
        <v>0.60671382511455696</v>
      </c>
      <c r="CT28" s="166">
        <f t="shared" si="37"/>
        <v>1.2611746762571057E-2</v>
      </c>
      <c r="CU28" s="91" t="s">
        <v>9</v>
      </c>
      <c r="CV28" s="43">
        <v>31</v>
      </c>
      <c r="CW28" s="44">
        <f t="shared" si="12"/>
        <v>0.53368987464333251</v>
      </c>
      <c r="CX28" s="44">
        <f t="shared" si="13"/>
        <v>0.71217950593596946</v>
      </c>
      <c r="CY28" s="43">
        <f t="shared" si="14"/>
        <v>477835079</v>
      </c>
      <c r="CZ28" s="44">
        <f t="shared" si="38"/>
        <v>8.9358493139677133</v>
      </c>
      <c r="DA28" s="45">
        <f t="shared" si="15"/>
        <v>7.9699140049592665E-2</v>
      </c>
      <c r="DB28" s="43">
        <f t="shared" si="16"/>
        <v>53473941</v>
      </c>
      <c r="DC28" s="45">
        <f t="shared" si="17"/>
        <v>0.11190878056066704</v>
      </c>
      <c r="DD28" s="44">
        <f t="shared" si="18"/>
        <v>122.36802939900026</v>
      </c>
      <c r="DE28" s="44">
        <f t="shared" si="39"/>
        <v>47.915369214685676</v>
      </c>
      <c r="DF28" s="46">
        <f t="shared" si="19"/>
        <v>6.115835576297326</v>
      </c>
      <c r="DG28" s="44">
        <f t="shared" si="40"/>
        <v>2.9730143536587952</v>
      </c>
      <c r="DH28" s="44">
        <f t="shared" si="43"/>
        <v>4.0237116390925989</v>
      </c>
      <c r="DI28" s="44">
        <f t="shared" si="41"/>
        <v>0.85951592975231883</v>
      </c>
      <c r="DJ28" s="92">
        <f t="shared" si="44"/>
        <v>1.8537253463688068</v>
      </c>
    </row>
    <row r="29" spans="1:114" ht="15" customHeight="1" x14ac:dyDescent="0.2">
      <c r="A29" s="58">
        <v>36</v>
      </c>
      <c r="B29" s="51">
        <v>12</v>
      </c>
      <c r="C29" s="51" t="s">
        <v>131</v>
      </c>
      <c r="D29" s="244"/>
      <c r="E29" s="241"/>
      <c r="F29" s="167">
        <v>0.29599999999999999</v>
      </c>
      <c r="G29" s="237"/>
      <c r="H29" s="168">
        <v>1.1000000000000001</v>
      </c>
      <c r="I29" s="9">
        <v>30.902200000000001</v>
      </c>
      <c r="J29" s="108">
        <f t="shared" si="0"/>
        <v>9.7461022192594712E-2</v>
      </c>
      <c r="K29" s="11"/>
      <c r="L29" s="11"/>
      <c r="M29" s="27">
        <v>13.96</v>
      </c>
      <c r="N29" s="11">
        <v>90308</v>
      </c>
      <c r="O29" s="11">
        <v>14.18</v>
      </c>
      <c r="P29" s="11">
        <v>226477</v>
      </c>
      <c r="Q29" s="11">
        <v>2036682</v>
      </c>
      <c r="R29" s="95">
        <f>P29/Q29</f>
        <v>0.11119899915647116</v>
      </c>
      <c r="S29" s="11">
        <v>16.04</v>
      </c>
      <c r="T29" s="11">
        <v>320574</v>
      </c>
      <c r="U29" s="11">
        <v>16.29</v>
      </c>
      <c r="V29" s="11">
        <v>244001</v>
      </c>
      <c r="W29" s="11">
        <v>22938624</v>
      </c>
      <c r="X29" s="95">
        <f t="shared" si="20"/>
        <v>1.0637124528480871E-2</v>
      </c>
      <c r="Y29" s="8">
        <v>18.3</v>
      </c>
      <c r="Z29" s="11">
        <v>700145</v>
      </c>
      <c r="AA29" s="8">
        <v>19.91</v>
      </c>
      <c r="AB29" s="11">
        <v>307602</v>
      </c>
      <c r="AC29" s="11">
        <v>167688867</v>
      </c>
      <c r="AD29" s="102">
        <f t="shared" si="51"/>
        <v>1.834361490438122E-3</v>
      </c>
      <c r="AE29" s="11">
        <v>20.45</v>
      </c>
      <c r="AF29" s="11">
        <v>2766449</v>
      </c>
      <c r="AG29" s="11">
        <v>22.63</v>
      </c>
      <c r="AH29" s="11">
        <v>10442795</v>
      </c>
      <c r="AI29" s="11">
        <v>24.74</v>
      </c>
      <c r="AJ29" s="11">
        <v>20950825</v>
      </c>
      <c r="AK29" s="11">
        <v>26.79</v>
      </c>
      <c r="AL29" s="11">
        <v>33615943</v>
      </c>
      <c r="AM29" s="11">
        <v>28.77</v>
      </c>
      <c r="AN29" s="11">
        <v>30301102</v>
      </c>
      <c r="AO29" s="11">
        <v>30.69</v>
      </c>
      <c r="AP29" s="11">
        <v>42599921</v>
      </c>
      <c r="AQ29" s="11">
        <v>273089281</v>
      </c>
      <c r="AR29" s="95">
        <f t="shared" si="21"/>
        <v>0.15599265135565685</v>
      </c>
      <c r="AS29" s="11">
        <v>32.53</v>
      </c>
      <c r="AT29" s="11">
        <v>21919596</v>
      </c>
      <c r="AU29" s="11">
        <v>34.32</v>
      </c>
      <c r="AV29" s="11">
        <v>40842474</v>
      </c>
      <c r="AW29" s="11">
        <v>36.049999999999997</v>
      </c>
      <c r="AX29" s="11">
        <v>17207479</v>
      </c>
      <c r="AY29" s="11">
        <v>37.71</v>
      </c>
      <c r="AZ29" s="11">
        <v>46310784</v>
      </c>
      <c r="BA29" s="11">
        <v>39.340000000000003</v>
      </c>
      <c r="BB29" s="11">
        <v>11447380</v>
      </c>
      <c r="BC29" s="8">
        <v>40.9</v>
      </c>
      <c r="BD29" s="11">
        <v>48392275</v>
      </c>
      <c r="BE29" s="11">
        <v>42.43</v>
      </c>
      <c r="BF29" s="11">
        <v>5905838</v>
      </c>
      <c r="BG29" s="8">
        <v>43.9</v>
      </c>
      <c r="BH29" s="11">
        <v>24739523</v>
      </c>
      <c r="BI29" s="11">
        <v>45.35</v>
      </c>
      <c r="BJ29" s="11">
        <v>6388105</v>
      </c>
      <c r="BK29" s="11">
        <v>46.74</v>
      </c>
      <c r="BL29" s="11">
        <v>13612310</v>
      </c>
      <c r="BM29" s="11">
        <v>48.25</v>
      </c>
      <c r="BN29" s="11">
        <v>3406868</v>
      </c>
      <c r="BO29" s="11">
        <v>49.98</v>
      </c>
      <c r="BP29" s="11">
        <v>13604575</v>
      </c>
      <c r="BQ29" s="8">
        <v>52</v>
      </c>
      <c r="BR29" s="11">
        <v>3657728</v>
      </c>
      <c r="BS29" s="11">
        <v>54.36</v>
      </c>
      <c r="BT29" s="11">
        <v>3671633</v>
      </c>
      <c r="BU29" s="17">
        <f t="shared" si="2"/>
        <v>402894630</v>
      </c>
      <c r="BV29" s="8">
        <f t="shared" si="22"/>
        <v>127.65366439654889</v>
      </c>
      <c r="BW29" s="8">
        <f t="shared" si="23"/>
        <v>2.5530732879309781</v>
      </c>
      <c r="BX29" s="159">
        <f t="shared" si="3"/>
        <v>0.75570969322756953</v>
      </c>
      <c r="BY29" s="159">
        <f t="shared" si="24"/>
        <v>0.69953688163248129</v>
      </c>
      <c r="BZ29" s="160">
        <f t="shared" si="25"/>
        <v>2.2789797745101616E-2</v>
      </c>
      <c r="CA29" s="16">
        <f t="shared" si="4"/>
        <v>14320271</v>
      </c>
      <c r="CB29" s="9">
        <f t="shared" si="26"/>
        <v>4.5372534955395949</v>
      </c>
      <c r="CC29" s="9">
        <f t="shared" si="27"/>
        <v>9.0745069910791898E-2</v>
      </c>
      <c r="CD29" s="158">
        <f t="shared" si="5"/>
        <v>2.6860540693594399E-2</v>
      </c>
      <c r="CE29" s="158">
        <f t="shared" si="28"/>
        <v>0.5949178448193666</v>
      </c>
      <c r="CF29" s="171">
        <f t="shared" si="29"/>
        <v>9.2622554115842756E-4</v>
      </c>
      <c r="CG29" s="16">
        <f t="shared" si="6"/>
        <v>303706489</v>
      </c>
      <c r="CH29" s="8">
        <f t="shared" si="30"/>
        <v>96.226763364555566</v>
      </c>
      <c r="CI29" s="8">
        <f t="shared" si="31"/>
        <v>1.9245352672911114</v>
      </c>
      <c r="CJ29" s="159">
        <f t="shared" si="7"/>
        <v>0.56966243911816894</v>
      </c>
      <c r="CK29" s="159">
        <f t="shared" si="32"/>
        <v>0.64638878828794843</v>
      </c>
      <c r="CL29" s="157">
        <f t="shared" si="33"/>
        <v>1.9643532383385134E-2</v>
      </c>
      <c r="CM29" s="8">
        <f t="shared" si="34"/>
        <v>7.1757270509009277E-2</v>
      </c>
      <c r="CN29" s="9">
        <f t="shared" si="8"/>
        <v>7.1757270509009274E-4</v>
      </c>
      <c r="CO29" s="8">
        <f t="shared" si="9"/>
        <v>329.54253592160057</v>
      </c>
      <c r="CP29" s="8">
        <f t="shared" si="10"/>
        <v>3.2954253592160057</v>
      </c>
      <c r="CQ29" s="8">
        <f t="shared" si="35"/>
        <v>3.2961429319210955</v>
      </c>
      <c r="CR29" s="159">
        <f t="shared" si="11"/>
        <v>0.97565830784864427</v>
      </c>
      <c r="CS29" s="159">
        <f t="shared" si="36"/>
        <v>1.6342630474414564E-2</v>
      </c>
      <c r="CT29" s="166">
        <f t="shared" si="37"/>
        <v>3.3971389549047502E-4</v>
      </c>
      <c r="CU29" s="91" t="s">
        <v>9</v>
      </c>
      <c r="CV29" s="43">
        <v>31</v>
      </c>
      <c r="CW29" s="44">
        <f t="shared" si="12"/>
        <v>0.51098956581750965</v>
      </c>
      <c r="CX29" s="44">
        <f t="shared" si="13"/>
        <v>0.75381121113478233</v>
      </c>
      <c r="CY29" s="43">
        <f t="shared" si="14"/>
        <v>303706489</v>
      </c>
      <c r="CZ29" s="44">
        <f t="shared" si="38"/>
        <v>21.208152345720272</v>
      </c>
      <c r="DA29" s="45">
        <f t="shared" si="15"/>
        <v>3.5543464553002356E-2</v>
      </c>
      <c r="DB29" s="43">
        <f t="shared" si="16"/>
        <v>14320271</v>
      </c>
      <c r="DC29" s="45">
        <f t="shared" si="17"/>
        <v>4.7151679396616381E-2</v>
      </c>
      <c r="DD29" s="44">
        <f t="shared" si="18"/>
        <v>3.2961429319210955</v>
      </c>
      <c r="DE29" s="44">
        <f t="shared" si="39"/>
        <v>171.47829535721922</v>
      </c>
      <c r="DF29" s="46">
        <f t="shared" si="19"/>
        <v>4.572892374307556</v>
      </c>
      <c r="DG29" s="44">
        <f t="shared" si="40"/>
        <v>2.5939259813105884</v>
      </c>
      <c r="DH29" s="44">
        <f t="shared" si="43"/>
        <v>2.5078287637861543</v>
      </c>
      <c r="DI29" s="44">
        <f t="shared" si="41"/>
        <v>0.76113783401024415</v>
      </c>
      <c r="DJ29" s="92">
        <f t="shared" si="44"/>
        <v>0.92818062221056474</v>
      </c>
    </row>
    <row r="30" spans="1:114" s="30" customFormat="1" ht="15" customHeight="1" x14ac:dyDescent="0.2">
      <c r="A30" s="58">
        <v>35</v>
      </c>
      <c r="B30" s="70">
        <v>12</v>
      </c>
      <c r="C30" s="70" t="s">
        <v>44</v>
      </c>
      <c r="D30" s="244"/>
      <c r="E30" s="241"/>
      <c r="F30" s="167">
        <v>0.29599999999999999</v>
      </c>
      <c r="G30" s="237"/>
      <c r="H30" s="168">
        <v>1.05</v>
      </c>
      <c r="I30" s="9">
        <v>30.076000000000001</v>
      </c>
      <c r="J30" s="108">
        <f t="shared" si="0"/>
        <v>0.10013831626546084</v>
      </c>
      <c r="K30" s="8"/>
      <c r="L30" s="8"/>
      <c r="M30" s="8">
        <v>14.03</v>
      </c>
      <c r="N30" s="11">
        <v>289458</v>
      </c>
      <c r="O30" s="8">
        <v>14.24</v>
      </c>
      <c r="P30" s="11">
        <v>265490</v>
      </c>
      <c r="Q30" s="11">
        <v>1438552</v>
      </c>
      <c r="R30" s="95">
        <f>P30/Q30</f>
        <v>0.18455363448801296</v>
      </c>
      <c r="S30" s="8">
        <v>16.239999999999998</v>
      </c>
      <c r="T30" s="11">
        <v>333412</v>
      </c>
      <c r="U30" s="8">
        <v>16.53</v>
      </c>
      <c r="V30" s="11">
        <v>774548</v>
      </c>
      <c r="W30" s="11">
        <v>5827744</v>
      </c>
      <c r="X30" s="95">
        <f t="shared" si="20"/>
        <v>0.1329070048375495</v>
      </c>
      <c r="Y30" s="11">
        <v>18.489999999999998</v>
      </c>
      <c r="Z30" s="11">
        <v>1397230</v>
      </c>
      <c r="AA30" s="8">
        <v>20.190000000000001</v>
      </c>
      <c r="AB30" s="11">
        <v>490652</v>
      </c>
      <c r="AC30" s="11">
        <v>423581157</v>
      </c>
      <c r="AD30" s="102">
        <f t="shared" ref="AD30:AD34" si="55">AB30/AC30</f>
        <v>1.1583423669622773E-3</v>
      </c>
      <c r="AE30" s="8">
        <v>20.71</v>
      </c>
      <c r="AF30" s="11">
        <v>4306654</v>
      </c>
      <c r="AG30" s="8">
        <v>22.89</v>
      </c>
      <c r="AH30" s="11">
        <v>10688139</v>
      </c>
      <c r="AI30" s="8">
        <v>25.03</v>
      </c>
      <c r="AJ30" s="11">
        <v>15102265</v>
      </c>
      <c r="AK30" s="8">
        <v>27.08</v>
      </c>
      <c r="AL30" s="11">
        <v>17330112</v>
      </c>
      <c r="AM30" s="8">
        <v>29.07</v>
      </c>
      <c r="AN30" s="11">
        <v>18925402</v>
      </c>
      <c r="AO30" s="8">
        <v>30.98</v>
      </c>
      <c r="AP30" s="11">
        <v>22707273</v>
      </c>
      <c r="AQ30" s="11">
        <v>125588563</v>
      </c>
      <c r="AR30" s="95">
        <f t="shared" si="21"/>
        <v>0.1808068542037542</v>
      </c>
      <c r="AS30" s="8">
        <v>32.83</v>
      </c>
      <c r="AT30" s="11">
        <v>14899422</v>
      </c>
      <c r="AU30" s="8">
        <v>34.619999999999997</v>
      </c>
      <c r="AV30" s="11">
        <v>52056860</v>
      </c>
      <c r="AW30" s="8">
        <v>36.35</v>
      </c>
      <c r="AX30" s="11">
        <v>17459333</v>
      </c>
      <c r="AY30" s="8">
        <v>38.020000000000003</v>
      </c>
      <c r="AZ30" s="11">
        <v>72180869</v>
      </c>
      <c r="BA30" s="8">
        <v>39.64</v>
      </c>
      <c r="BB30" s="11">
        <v>15591557</v>
      </c>
      <c r="BC30" s="8">
        <v>41.22</v>
      </c>
      <c r="BD30" s="11">
        <v>45814320</v>
      </c>
      <c r="BE30" s="8">
        <v>42.73</v>
      </c>
      <c r="BF30" s="11">
        <v>5999905</v>
      </c>
      <c r="BG30" s="8">
        <v>44.22</v>
      </c>
      <c r="BH30" s="11">
        <v>14012496</v>
      </c>
      <c r="BI30" s="8">
        <v>45.64</v>
      </c>
      <c r="BJ30" s="11">
        <v>2994494</v>
      </c>
      <c r="BK30" s="8">
        <v>47.05</v>
      </c>
      <c r="BL30" s="11">
        <v>4776362</v>
      </c>
      <c r="BM30" s="8">
        <v>48.64</v>
      </c>
      <c r="BN30" s="11">
        <v>1268346</v>
      </c>
      <c r="BO30" s="8">
        <v>50.42</v>
      </c>
      <c r="BP30" s="11">
        <v>3781064</v>
      </c>
      <c r="BQ30" s="14"/>
      <c r="BR30" s="15"/>
      <c r="BS30" s="14"/>
      <c r="BT30" s="15"/>
      <c r="BU30" s="17">
        <f t="shared" si="2"/>
        <v>341914973</v>
      </c>
      <c r="BV30" s="8">
        <f t="shared" si="22"/>
        <v>69.782227937867376</v>
      </c>
      <c r="BW30" s="8">
        <f t="shared" si="23"/>
        <v>1.3956445587573476</v>
      </c>
      <c r="BX30" s="159">
        <f t="shared" si="3"/>
        <v>0.41311078939217488</v>
      </c>
      <c r="BY30" s="159">
        <f t="shared" si="24"/>
        <v>0.38240376690935379</v>
      </c>
      <c r="BZ30" s="160">
        <f t="shared" si="25"/>
        <v>1.2458105832092127E-2</v>
      </c>
      <c r="CA30" s="16">
        <f t="shared" si="4"/>
        <v>17014893</v>
      </c>
      <c r="CB30" s="9">
        <f t="shared" si="26"/>
        <v>3.4726093778420872</v>
      </c>
      <c r="CC30" s="9">
        <f t="shared" si="27"/>
        <v>6.9452187556841738E-2</v>
      </c>
      <c r="CD30" s="158">
        <f t="shared" si="5"/>
        <v>2.0557847516825153E-2</v>
      </c>
      <c r="CE30" s="158">
        <f t="shared" si="28"/>
        <v>0.45532331155758921</v>
      </c>
      <c r="CF30" s="171">
        <f t="shared" si="29"/>
        <v>7.0889129368362593E-4</v>
      </c>
      <c r="CG30" s="16">
        <f t="shared" si="6"/>
        <v>273542301</v>
      </c>
      <c r="CH30" s="8">
        <f t="shared" si="30"/>
        <v>55.827889113913493</v>
      </c>
      <c r="CI30" s="8">
        <f t="shared" si="31"/>
        <v>1.1165577822782697</v>
      </c>
      <c r="CJ30" s="159">
        <f t="shared" si="7"/>
        <v>0.33050110355436785</v>
      </c>
      <c r="CK30" s="159">
        <f t="shared" si="32"/>
        <v>0.3750154357816497</v>
      </c>
      <c r="CL30" s="157">
        <f t="shared" si="33"/>
        <v>1.1396589777736821E-2</v>
      </c>
      <c r="CM30" s="8">
        <f t="shared" si="34"/>
        <v>5.4184476136482064E-2</v>
      </c>
      <c r="CN30" s="9">
        <f t="shared" si="8"/>
        <v>5.4184476136482057E-4</v>
      </c>
      <c r="CO30" s="8">
        <f t="shared" si="9"/>
        <v>485.46717700192693</v>
      </c>
      <c r="CP30" s="8">
        <f t="shared" si="10"/>
        <v>4.8546717700192694</v>
      </c>
      <c r="CQ30" s="8">
        <f t="shared" si="35"/>
        <v>4.8552136147806344</v>
      </c>
      <c r="CR30" s="159">
        <f t="shared" si="11"/>
        <v>1.4371432299750677</v>
      </c>
      <c r="CS30" s="159">
        <f t="shared" si="36"/>
        <v>2.4072670275393844E-2</v>
      </c>
      <c r="CT30" s="166">
        <f t="shared" si="37"/>
        <v>5.0039806057627706E-4</v>
      </c>
      <c r="CU30" s="42" t="s">
        <v>35</v>
      </c>
      <c r="CV30" s="43">
        <v>31</v>
      </c>
      <c r="CW30" s="44">
        <f t="shared" si="12"/>
        <v>0.38827277949442496</v>
      </c>
      <c r="CX30" s="44">
        <f t="shared" si="13"/>
        <v>0.80003019054681757</v>
      </c>
      <c r="CY30" s="43">
        <f t="shared" si="14"/>
        <v>273542301</v>
      </c>
      <c r="CZ30" s="44">
        <f t="shared" si="38"/>
        <v>16.07663950634306</v>
      </c>
      <c r="DA30" s="45">
        <f t="shared" si="15"/>
        <v>4.9763521178114653E-2</v>
      </c>
      <c r="DB30" s="43">
        <f t="shared" si="16"/>
        <v>17014893</v>
      </c>
      <c r="DC30" s="45">
        <f t="shared" si="17"/>
        <v>6.2202054080110994E-2</v>
      </c>
      <c r="DD30" s="44">
        <f t="shared" si="18"/>
        <v>4.8552136147806344</v>
      </c>
      <c r="DE30" s="44">
        <f t="shared" si="39"/>
        <v>100.82009772998919</v>
      </c>
      <c r="DF30" s="46">
        <f t="shared" si="19"/>
        <v>6.2151852301305137</v>
      </c>
      <c r="DG30" s="44">
        <f t="shared" si="40"/>
        <v>3.1906945869094936</v>
      </c>
      <c r="DH30" s="44">
        <f t="shared" si="43"/>
        <v>0.91719696812663665</v>
      </c>
      <c r="DI30" s="44">
        <f t="shared" si="41"/>
        <v>2.3230957494031408</v>
      </c>
      <c r="DJ30" s="92">
        <f t="shared" si="44"/>
        <v>0.34276765287625816</v>
      </c>
    </row>
    <row r="31" spans="1:114" ht="15" customHeight="1" x14ac:dyDescent="0.2">
      <c r="A31" s="58">
        <v>34</v>
      </c>
      <c r="B31" s="51">
        <v>11</v>
      </c>
      <c r="C31" s="51" t="s">
        <v>132</v>
      </c>
      <c r="D31" s="244"/>
      <c r="E31" s="241"/>
      <c r="F31" s="167">
        <v>0.29599999999999999</v>
      </c>
      <c r="G31" s="237"/>
      <c r="H31" s="168">
        <v>1.05</v>
      </c>
      <c r="I31" s="9">
        <v>30.666799999999999</v>
      </c>
      <c r="J31" s="108">
        <f t="shared" si="0"/>
        <v>9.8209138221138179E-2</v>
      </c>
      <c r="K31" s="18"/>
      <c r="L31" s="18"/>
      <c r="M31" s="18"/>
      <c r="N31" s="18"/>
      <c r="O31" s="18"/>
      <c r="P31" s="18"/>
      <c r="Q31" s="18"/>
      <c r="R31" s="97"/>
      <c r="S31" s="18"/>
      <c r="T31" s="18"/>
      <c r="U31" s="18"/>
      <c r="V31" s="18"/>
      <c r="W31" s="18"/>
      <c r="X31" s="97"/>
      <c r="Y31" s="28">
        <v>18.3</v>
      </c>
      <c r="Z31" s="27">
        <v>95069</v>
      </c>
      <c r="AA31" s="8">
        <v>19.940000000000001</v>
      </c>
      <c r="AB31" s="11">
        <v>92436</v>
      </c>
      <c r="AC31" s="11">
        <v>32198637</v>
      </c>
      <c r="AD31" s="102">
        <f t="shared" si="55"/>
        <v>2.8708047486606342E-3</v>
      </c>
      <c r="AE31" s="27">
        <v>20.47</v>
      </c>
      <c r="AF31" s="27">
        <v>1015158</v>
      </c>
      <c r="AG31" s="27">
        <v>22.63</v>
      </c>
      <c r="AH31" s="27">
        <v>11666671</v>
      </c>
      <c r="AI31" s="27">
        <v>24.74</v>
      </c>
      <c r="AJ31" s="27">
        <v>20203168</v>
      </c>
      <c r="AK31" s="27">
        <v>26.8</v>
      </c>
      <c r="AL31" s="27">
        <v>35603029</v>
      </c>
      <c r="AM31" s="27">
        <v>28.77</v>
      </c>
      <c r="AN31" s="27">
        <v>29523964</v>
      </c>
      <c r="AO31" s="27">
        <v>30.69</v>
      </c>
      <c r="AP31" s="27">
        <v>41622316</v>
      </c>
      <c r="AQ31" s="27">
        <v>259450619</v>
      </c>
      <c r="AR31" s="95">
        <f t="shared" si="21"/>
        <v>0.1604248090076825</v>
      </c>
      <c r="AS31" s="27">
        <v>32.53</v>
      </c>
      <c r="AT31" s="27">
        <v>20945185</v>
      </c>
      <c r="AU31" s="27">
        <v>34.31</v>
      </c>
      <c r="AV31" s="27">
        <v>50181439</v>
      </c>
      <c r="AW31" s="27">
        <v>36.04</v>
      </c>
      <c r="AX31" s="27">
        <v>15637244</v>
      </c>
      <c r="AY31" s="27">
        <v>37.71</v>
      </c>
      <c r="AZ31" s="27">
        <v>49290741</v>
      </c>
      <c r="BA31" s="27">
        <v>39.33</v>
      </c>
      <c r="BB31" s="27">
        <v>10956461</v>
      </c>
      <c r="BC31" s="28">
        <v>40.9</v>
      </c>
      <c r="BD31" s="27">
        <v>50245733</v>
      </c>
      <c r="BE31" s="27">
        <v>42.42</v>
      </c>
      <c r="BF31" s="27">
        <v>5066256</v>
      </c>
      <c r="BG31" s="27">
        <v>43.9</v>
      </c>
      <c r="BH31" s="27">
        <v>20436800</v>
      </c>
      <c r="BI31" s="27">
        <v>45.34</v>
      </c>
      <c r="BJ31" s="27">
        <v>4959208</v>
      </c>
      <c r="BK31" s="27">
        <v>46.74</v>
      </c>
      <c r="BL31" s="27">
        <v>8173765</v>
      </c>
      <c r="BM31" s="27">
        <v>48.25</v>
      </c>
      <c r="BN31" s="27">
        <v>1873102</v>
      </c>
      <c r="BO31" s="27">
        <v>49.98</v>
      </c>
      <c r="BP31" s="27">
        <v>6133093</v>
      </c>
      <c r="BQ31" s="18"/>
      <c r="BR31" s="18"/>
      <c r="BS31" s="18"/>
      <c r="BT31" s="18"/>
      <c r="BU31" s="17">
        <f t="shared" si="2"/>
        <v>383628402</v>
      </c>
      <c r="BV31" s="8">
        <f t="shared" si="22"/>
        <v>407.58811239746808</v>
      </c>
      <c r="BW31" s="8">
        <f t="shared" si="23"/>
        <v>8.1517622479493621</v>
      </c>
      <c r="BX31" s="159">
        <f t="shared" si="3"/>
        <v>2.412921625393011</v>
      </c>
      <c r="BY31" s="159">
        <f t="shared" si="24"/>
        <v>2.2335662551078506</v>
      </c>
      <c r="BZ31" s="160">
        <f t="shared" si="25"/>
        <v>7.2766032128860417E-2</v>
      </c>
      <c r="CA31" s="16">
        <f t="shared" si="4"/>
        <v>12776898</v>
      </c>
      <c r="CB31" s="9">
        <f t="shared" si="26"/>
        <v>13.574885777396078</v>
      </c>
      <c r="CC31" s="9">
        <f t="shared" si="27"/>
        <v>0.27149771554792157</v>
      </c>
      <c r="CD31" s="158">
        <f t="shared" si="5"/>
        <v>8.0363323802184777E-2</v>
      </c>
      <c r="CE31" s="158">
        <f t="shared" si="28"/>
        <v>1.7799185781214792</v>
      </c>
      <c r="CF31" s="171">
        <f t="shared" si="29"/>
        <v>2.7711490966270615E-3</v>
      </c>
      <c r="CG31" s="16">
        <f t="shared" si="6"/>
        <v>285521343</v>
      </c>
      <c r="CH31" s="8">
        <f t="shared" si="30"/>
        <v>303.35372625137398</v>
      </c>
      <c r="CI31" s="8">
        <f t="shared" si="31"/>
        <v>6.0670745250274791</v>
      </c>
      <c r="CJ31" s="159">
        <f t="shared" si="7"/>
        <v>1.7958540594081338</v>
      </c>
      <c r="CK31" s="159">
        <f t="shared" si="32"/>
        <v>2.037732961997202</v>
      </c>
      <c r="CL31" s="157">
        <f t="shared" si="33"/>
        <v>6.192600204855634E-2</v>
      </c>
      <c r="CM31" s="8">
        <f t="shared" si="34"/>
        <v>0</v>
      </c>
      <c r="CN31" s="9">
        <f t="shared" si="8"/>
        <v>0</v>
      </c>
      <c r="CO31" s="8">
        <f t="shared" si="9"/>
        <v>0</v>
      </c>
      <c r="CP31" s="8">
        <f t="shared" si="10"/>
        <v>0</v>
      </c>
      <c r="CQ31" s="8">
        <f t="shared" si="35"/>
        <v>0</v>
      </c>
      <c r="CR31" s="159">
        <f t="shared" si="11"/>
        <v>0</v>
      </c>
      <c r="CS31" s="159">
        <f t="shared" si="36"/>
        <v>0</v>
      </c>
      <c r="CT31" s="166">
        <f t="shared" si="37"/>
        <v>0</v>
      </c>
      <c r="CU31" s="42" t="s">
        <v>216</v>
      </c>
      <c r="CV31" s="43">
        <v>31</v>
      </c>
      <c r="CW31" s="44">
        <f t="shared" si="12"/>
        <v>0.50479719625189856</v>
      </c>
      <c r="CX31" s="44">
        <f t="shared" si="13"/>
        <v>0.74426539200817565</v>
      </c>
      <c r="CY31" s="43">
        <f t="shared" si="14"/>
        <v>285521343</v>
      </c>
      <c r="CZ31" s="44">
        <f t="shared" si="38"/>
        <v>22.346687200602211</v>
      </c>
      <c r="DA31" s="45">
        <f t="shared" si="15"/>
        <v>3.3305401616223397E-2</v>
      </c>
      <c r="DB31" s="43">
        <f t="shared" si="16"/>
        <v>12776898</v>
      </c>
      <c r="DC31" s="45">
        <f t="shared" si="17"/>
        <v>4.4749362221933792E-2</v>
      </c>
      <c r="DD31" s="44">
        <f t="shared" si="18"/>
        <v>0</v>
      </c>
      <c r="DE31" s="44">
        <f t="shared" si="39"/>
        <v>1574.8342046303212</v>
      </c>
      <c r="DF31" s="46">
        <f t="shared" si="19"/>
        <v>5.3896910570198466</v>
      </c>
      <c r="DG31" s="44">
        <f t="shared" si="40"/>
        <v>2.9512328253694049</v>
      </c>
      <c r="DH31" s="44"/>
      <c r="DI31" s="44"/>
      <c r="DJ31" s="92"/>
    </row>
    <row r="32" spans="1:114" ht="15" customHeight="1" x14ac:dyDescent="0.2">
      <c r="A32" s="58">
        <v>33</v>
      </c>
      <c r="B32" s="51">
        <v>10</v>
      </c>
      <c r="C32" s="51" t="s">
        <v>133</v>
      </c>
      <c r="D32" s="245"/>
      <c r="E32" s="241"/>
      <c r="F32" s="167">
        <v>0.29599999999999999</v>
      </c>
      <c r="G32" s="237"/>
      <c r="H32" s="168">
        <v>1</v>
      </c>
      <c r="I32" s="10">
        <v>30.787299999999998</v>
      </c>
      <c r="J32" s="108">
        <f t="shared" si="0"/>
        <v>9.7824752414144803E-2</v>
      </c>
      <c r="K32" s="27"/>
      <c r="L32" s="27"/>
      <c r="M32" s="27"/>
      <c r="N32" s="27"/>
      <c r="O32" s="27"/>
      <c r="P32" s="27"/>
      <c r="Q32" s="27"/>
      <c r="R32" s="98"/>
      <c r="S32" s="27"/>
      <c r="T32" s="27"/>
      <c r="U32" s="27"/>
      <c r="V32" s="27"/>
      <c r="W32" s="27"/>
      <c r="X32" s="98"/>
      <c r="Y32" s="27"/>
      <c r="Z32" s="27"/>
      <c r="AA32" s="8">
        <v>19.91</v>
      </c>
      <c r="AB32" s="11">
        <v>709295</v>
      </c>
      <c r="AC32" s="11">
        <v>431737049</v>
      </c>
      <c r="AD32" s="102">
        <f t="shared" si="55"/>
        <v>1.6428865709877958E-3</v>
      </c>
      <c r="AE32" s="27">
        <v>20.46</v>
      </c>
      <c r="AF32" s="27">
        <v>4021626</v>
      </c>
      <c r="AG32" s="27">
        <v>22.63</v>
      </c>
      <c r="AH32" s="27">
        <v>11208338</v>
      </c>
      <c r="AI32" s="27">
        <v>24.74</v>
      </c>
      <c r="AJ32" s="27">
        <v>15113933</v>
      </c>
      <c r="AK32" s="27">
        <v>26.8</v>
      </c>
      <c r="AL32" s="27">
        <v>22374510</v>
      </c>
      <c r="AM32" s="27">
        <v>28.78</v>
      </c>
      <c r="AN32" s="27">
        <v>19212093</v>
      </c>
      <c r="AO32" s="27">
        <v>30.69</v>
      </c>
      <c r="AP32" s="27">
        <v>29310898</v>
      </c>
      <c r="AQ32" s="27">
        <v>217802097</v>
      </c>
      <c r="AR32" s="95">
        <f t="shared" si="21"/>
        <v>0.13457583009405094</v>
      </c>
      <c r="AS32" s="27">
        <v>32.54</v>
      </c>
      <c r="AT32" s="27">
        <v>13076616</v>
      </c>
      <c r="AU32" s="27">
        <v>34.31</v>
      </c>
      <c r="AV32" s="27">
        <v>38655012</v>
      </c>
      <c r="AW32" s="27">
        <v>36.04</v>
      </c>
      <c r="AX32" s="27">
        <v>9981249</v>
      </c>
      <c r="AY32" s="27">
        <v>37.71</v>
      </c>
      <c r="AZ32" s="27">
        <v>28222308</v>
      </c>
      <c r="BA32" s="27">
        <v>39.33</v>
      </c>
      <c r="BB32" s="27">
        <v>5781777</v>
      </c>
      <c r="BC32" s="28">
        <v>40.9</v>
      </c>
      <c r="BD32" s="27">
        <v>23735633</v>
      </c>
      <c r="BE32" s="27">
        <v>42.43</v>
      </c>
      <c r="BF32" s="27">
        <v>2654679</v>
      </c>
      <c r="BG32" s="27">
        <v>43.9</v>
      </c>
      <c r="BH32" s="27">
        <v>9437699</v>
      </c>
      <c r="BI32" s="27">
        <v>45.34</v>
      </c>
      <c r="BJ32" s="27">
        <v>2047403</v>
      </c>
      <c r="BK32" s="27">
        <v>46.74</v>
      </c>
      <c r="BL32" s="27">
        <v>4889751</v>
      </c>
      <c r="BM32" s="27">
        <v>48.26</v>
      </c>
      <c r="BN32" s="27">
        <v>1250865</v>
      </c>
      <c r="BO32" s="27">
        <v>49.98</v>
      </c>
      <c r="BP32" s="27">
        <v>3840224</v>
      </c>
      <c r="BQ32" s="18"/>
      <c r="BR32" s="18"/>
      <c r="BS32" s="18"/>
      <c r="BT32" s="18"/>
      <c r="BU32" s="17">
        <f t="shared" si="2"/>
        <v>244814614</v>
      </c>
      <c r="BV32" s="8">
        <f t="shared" si="22"/>
        <v>33.764412553189331</v>
      </c>
      <c r="BW32" s="8">
        <f t="shared" si="23"/>
        <v>0.67528825106378654</v>
      </c>
      <c r="BX32" s="159">
        <f t="shared" si="3"/>
        <v>0.19988532231488079</v>
      </c>
      <c r="BY32" s="159">
        <f t="shared" si="24"/>
        <v>0.18502760558630083</v>
      </c>
      <c r="BZ32" s="160">
        <f t="shared" si="25"/>
        <v>6.0279047742726423E-3</v>
      </c>
      <c r="CA32" s="16">
        <f t="shared" si="4"/>
        <v>15229964</v>
      </c>
      <c r="CB32" s="9">
        <f t="shared" si="26"/>
        <v>2.1004905682069355</v>
      </c>
      <c r="CC32" s="9">
        <f t="shared" si="27"/>
        <v>4.2009811364138706E-2</v>
      </c>
      <c r="CD32" s="158">
        <f t="shared" si="5"/>
        <v>1.2434904163785057E-2</v>
      </c>
      <c r="CE32" s="158">
        <f t="shared" si="28"/>
        <v>0.27541315977375541</v>
      </c>
      <c r="CF32" s="171">
        <f t="shared" si="29"/>
        <v>4.2878979875120884E-4</v>
      </c>
      <c r="CG32" s="16">
        <f t="shared" si="6"/>
        <v>172884114</v>
      </c>
      <c r="CH32" s="8">
        <f t="shared" si="30"/>
        <v>23.843881105025108</v>
      </c>
      <c r="CI32" s="8">
        <f t="shared" si="31"/>
        <v>0.47687762210050211</v>
      </c>
      <c r="CJ32" s="159">
        <f t="shared" si="7"/>
        <v>0.14115577614174862</v>
      </c>
      <c r="CK32" s="159">
        <f t="shared" si="32"/>
        <v>0.16016767972512044</v>
      </c>
      <c r="CL32" s="157">
        <f t="shared" si="33"/>
        <v>4.8674405566120219E-3</v>
      </c>
      <c r="CM32" s="8">
        <f t="shared" si="34"/>
        <v>0</v>
      </c>
      <c r="CN32" s="9">
        <f t="shared" si="8"/>
        <v>0</v>
      </c>
      <c r="CO32" s="8">
        <f t="shared" si="9"/>
        <v>0</v>
      </c>
      <c r="CP32" s="8">
        <f t="shared" si="10"/>
        <v>0</v>
      </c>
      <c r="CQ32" s="8">
        <f t="shared" si="35"/>
        <v>0</v>
      </c>
      <c r="CR32" s="159">
        <f t="shared" si="11"/>
        <v>0</v>
      </c>
      <c r="CS32" s="159">
        <f t="shared" si="36"/>
        <v>0</v>
      </c>
      <c r="CT32" s="166">
        <f t="shared" si="37"/>
        <v>0</v>
      </c>
      <c r="CU32" s="42" t="s">
        <v>217</v>
      </c>
      <c r="CV32" s="43">
        <v>31</v>
      </c>
      <c r="CW32" s="44">
        <f t="shared" si="12"/>
        <v>0.45682397229713162</v>
      </c>
      <c r="CX32" s="44">
        <f t="shared" si="13"/>
        <v>0.70618379832504607</v>
      </c>
      <c r="CY32" s="43">
        <f t="shared" si="14"/>
        <v>172884114</v>
      </c>
      <c r="CZ32" s="44">
        <f t="shared" si="38"/>
        <v>11.351577324805232</v>
      </c>
      <c r="DA32" s="45">
        <f t="shared" si="15"/>
        <v>6.2210191422641135E-2</v>
      </c>
      <c r="DB32" s="43">
        <f t="shared" si="16"/>
        <v>15229964</v>
      </c>
      <c r="DC32" s="45">
        <f t="shared" si="17"/>
        <v>8.8093484401927172E-2</v>
      </c>
      <c r="DD32" s="44">
        <f t="shared" si="18"/>
        <v>0</v>
      </c>
      <c r="DE32" s="44"/>
      <c r="DF32" s="46">
        <f t="shared" si="19"/>
        <v>5.0698060158562486</v>
      </c>
      <c r="DG32" s="44">
        <f t="shared" si="40"/>
        <v>3.0152054553150944</v>
      </c>
      <c r="DH32" s="44"/>
      <c r="DI32" s="44"/>
      <c r="DJ32" s="92"/>
    </row>
    <row r="33" spans="1:114" ht="15" customHeight="1" x14ac:dyDescent="0.2">
      <c r="A33" s="58">
        <v>32</v>
      </c>
      <c r="B33" s="51">
        <v>9</v>
      </c>
      <c r="C33" s="51" t="s">
        <v>134</v>
      </c>
      <c r="D33" s="181"/>
      <c r="E33" s="241"/>
      <c r="F33" s="167">
        <v>0.29599999999999999</v>
      </c>
      <c r="G33" s="237"/>
      <c r="H33" s="168">
        <v>0.95</v>
      </c>
      <c r="I33" s="10"/>
      <c r="J33" s="108"/>
      <c r="K33" s="27"/>
      <c r="L33" s="27"/>
      <c r="M33" s="27"/>
      <c r="N33" s="31"/>
      <c r="O33" s="27"/>
      <c r="P33" s="27"/>
      <c r="Q33" s="27"/>
      <c r="R33" s="98"/>
      <c r="S33" s="27"/>
      <c r="T33" s="27"/>
      <c r="U33" s="27"/>
      <c r="V33" s="27"/>
      <c r="W33" s="27"/>
      <c r="X33" s="98"/>
      <c r="Y33" s="27"/>
      <c r="Z33" s="27"/>
      <c r="AA33" s="8"/>
      <c r="AB33" s="11"/>
      <c r="AC33" s="11"/>
      <c r="AD33" s="102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95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8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18"/>
      <c r="BR33" s="18"/>
      <c r="BS33" s="18"/>
      <c r="BT33" s="18"/>
      <c r="BU33" s="17"/>
      <c r="BV33" s="8"/>
      <c r="BW33" s="8"/>
      <c r="BX33" s="159"/>
      <c r="BY33" s="159"/>
      <c r="BZ33" s="160"/>
      <c r="CA33" s="16"/>
      <c r="CB33" s="9"/>
      <c r="CC33" s="9"/>
      <c r="CD33" s="158"/>
      <c r="CE33" s="158"/>
      <c r="CF33" s="171"/>
      <c r="CG33" s="16"/>
      <c r="CH33" s="8"/>
      <c r="CI33" s="8"/>
      <c r="CJ33" s="159"/>
      <c r="CK33" s="159"/>
      <c r="CL33" s="157"/>
      <c r="CM33" s="8"/>
      <c r="CN33" s="9"/>
      <c r="CO33" s="8"/>
      <c r="CP33" s="8"/>
      <c r="CQ33" s="8"/>
      <c r="CR33" s="159"/>
      <c r="CS33" s="159"/>
      <c r="CT33" s="166"/>
      <c r="CU33" s="42"/>
      <c r="CV33" s="43"/>
      <c r="CW33" s="44"/>
      <c r="CX33" s="44"/>
      <c r="CY33" s="43"/>
      <c r="CZ33" s="44"/>
      <c r="DA33" s="45"/>
      <c r="DB33" s="43"/>
      <c r="DC33" s="45"/>
      <c r="DD33" s="44"/>
      <c r="DE33" s="44"/>
      <c r="DF33" s="46"/>
      <c r="DG33" s="44"/>
      <c r="DH33" s="44"/>
      <c r="DI33" s="44"/>
      <c r="DJ33" s="92"/>
    </row>
    <row r="34" spans="1:114" ht="15" customHeight="1" x14ac:dyDescent="0.2">
      <c r="A34" s="58">
        <v>31</v>
      </c>
      <c r="B34" s="51">
        <v>8</v>
      </c>
      <c r="C34" s="51" t="s">
        <v>47</v>
      </c>
      <c r="D34" s="213" t="s">
        <v>151</v>
      </c>
      <c r="E34" s="241"/>
      <c r="F34" s="167">
        <v>0.29599999999999999</v>
      </c>
      <c r="G34" s="237"/>
      <c r="H34" s="168">
        <v>0.9</v>
      </c>
      <c r="I34" s="11">
        <v>30.372</v>
      </c>
      <c r="J34" s="108">
        <f t="shared" ref="J34:J64" si="56">3.01176/I34</f>
        <v>9.9162386408534184E-2</v>
      </c>
      <c r="K34" s="18"/>
      <c r="L34" s="27"/>
      <c r="M34" s="27"/>
      <c r="N34" s="31"/>
      <c r="O34" s="27"/>
      <c r="P34" s="27"/>
      <c r="Q34" s="27"/>
      <c r="R34" s="98"/>
      <c r="S34" s="27"/>
      <c r="T34" s="27"/>
      <c r="U34" s="27"/>
      <c r="V34" s="27"/>
      <c r="W34" s="27"/>
      <c r="X34" s="98"/>
      <c r="Y34" s="27"/>
      <c r="Z34" s="27"/>
      <c r="AA34" s="8">
        <v>19.940000000000001</v>
      </c>
      <c r="AB34" s="11">
        <v>123185</v>
      </c>
      <c r="AC34" s="11">
        <v>78910704</v>
      </c>
      <c r="AD34" s="102">
        <f t="shared" si="55"/>
        <v>1.5610683184375089E-3</v>
      </c>
      <c r="AE34" s="27">
        <v>20.54</v>
      </c>
      <c r="AF34" s="27">
        <v>409034</v>
      </c>
      <c r="AG34" s="27">
        <v>22.65</v>
      </c>
      <c r="AH34" s="27">
        <v>1823465</v>
      </c>
      <c r="AI34" s="27">
        <v>24.77</v>
      </c>
      <c r="AJ34" s="27">
        <v>3630073</v>
      </c>
      <c r="AK34" s="27">
        <v>26.81</v>
      </c>
      <c r="AL34" s="27">
        <v>6673894</v>
      </c>
      <c r="AM34" s="27">
        <v>28.8</v>
      </c>
      <c r="AN34" s="27">
        <v>7711701</v>
      </c>
      <c r="AO34" s="27">
        <v>30.7</v>
      </c>
      <c r="AP34" s="27">
        <v>19752595</v>
      </c>
      <c r="AQ34" s="27">
        <v>198177831</v>
      </c>
      <c r="AR34" s="95">
        <f t="shared" si="21"/>
        <v>9.9671062602355351E-2</v>
      </c>
      <c r="AS34" s="27">
        <v>32.549999999999997</v>
      </c>
      <c r="AT34" s="27">
        <v>6948238</v>
      </c>
      <c r="AU34" s="27">
        <v>34.22</v>
      </c>
      <c r="AV34" s="27">
        <v>25889840</v>
      </c>
      <c r="AW34" s="27">
        <v>36.049999999999997</v>
      </c>
      <c r="AX34" s="27">
        <v>7058274</v>
      </c>
      <c r="AY34" s="27">
        <v>37.72</v>
      </c>
      <c r="AZ34" s="27">
        <v>31600951</v>
      </c>
      <c r="BA34" s="27">
        <v>39.35</v>
      </c>
      <c r="BB34" s="27">
        <v>6333022</v>
      </c>
      <c r="BC34" s="27">
        <v>40.9</v>
      </c>
      <c r="BD34" s="27">
        <v>19386315</v>
      </c>
      <c r="BE34" s="27">
        <v>42.43</v>
      </c>
      <c r="BF34" s="27">
        <v>1942481</v>
      </c>
      <c r="BG34" s="27">
        <v>43.92</v>
      </c>
      <c r="BH34" s="27">
        <v>6780376</v>
      </c>
      <c r="BI34" s="27">
        <v>45.35</v>
      </c>
      <c r="BJ34" s="27">
        <v>1434346</v>
      </c>
      <c r="BK34" s="27">
        <v>46.74</v>
      </c>
      <c r="BL34" s="27">
        <v>3411272</v>
      </c>
      <c r="BM34" s="27">
        <v>48.26</v>
      </c>
      <c r="BN34" s="27">
        <v>1645482</v>
      </c>
      <c r="BO34" s="27">
        <v>49.99</v>
      </c>
      <c r="BP34" s="27">
        <v>5389740</v>
      </c>
      <c r="BQ34" s="18"/>
      <c r="BR34" s="18"/>
      <c r="BS34" s="18"/>
      <c r="BT34" s="18"/>
      <c r="BU34" s="17">
        <f t="shared" si="2"/>
        <v>157821099</v>
      </c>
      <c r="BV34" s="8">
        <f t="shared" si="22"/>
        <v>127.04401349561658</v>
      </c>
      <c r="BW34" s="8">
        <f t="shared" si="23"/>
        <v>2.5408802699123316</v>
      </c>
      <c r="BX34" s="159">
        <f t="shared" ref="BX34:BX64" si="57">BW34*F34</f>
        <v>0.75210055989405011</v>
      </c>
      <c r="BY34" s="159">
        <f t="shared" si="24"/>
        <v>0.69619601952610399</v>
      </c>
      <c r="BZ34" s="160">
        <f t="shared" si="25"/>
        <v>2.2680957777263276E-2</v>
      </c>
      <c r="CA34" s="16">
        <f t="shared" si="4"/>
        <v>2232499</v>
      </c>
      <c r="CB34" s="9">
        <f t="shared" si="26"/>
        <v>1.7971338108914734</v>
      </c>
      <c r="CC34" s="9">
        <f t="shared" si="27"/>
        <v>3.5942676217829463E-2</v>
      </c>
      <c r="CD34" s="158">
        <f t="shared" ref="CD34:CD64" si="58">CC34*F34</f>
        <v>1.063903216047752E-2</v>
      </c>
      <c r="CE34" s="158">
        <f t="shared" si="28"/>
        <v>0.23563747863737586</v>
      </c>
      <c r="CF34" s="171">
        <f t="shared" si="29"/>
        <v>3.6686317794750069E-4</v>
      </c>
      <c r="CG34" s="16">
        <f t="shared" si="6"/>
        <v>137572932</v>
      </c>
      <c r="CH34" s="8">
        <f t="shared" si="30"/>
        <v>110.74449196200023</v>
      </c>
      <c r="CI34" s="8">
        <f t="shared" si="31"/>
        <v>2.2148898392400045</v>
      </c>
      <c r="CJ34" s="159">
        <f t="shared" ref="CJ34:CJ64" si="59">CI34*F34</f>
        <v>0.65560739241504129</v>
      </c>
      <c r="CK34" s="159">
        <f t="shared" si="32"/>
        <v>0.74390944333943188</v>
      </c>
      <c r="CL34" s="157">
        <f t="shared" si="33"/>
        <v>2.260715146258763E-2</v>
      </c>
      <c r="CM34" s="8">
        <f t="shared" si="34"/>
        <v>0</v>
      </c>
      <c r="CN34" s="9">
        <f t="shared" si="8"/>
        <v>0</v>
      </c>
      <c r="CO34" s="8">
        <f t="shared" si="9"/>
        <v>0</v>
      </c>
      <c r="CP34" s="8">
        <f t="shared" si="10"/>
        <v>0</v>
      </c>
      <c r="CQ34" s="8">
        <f t="shared" si="35"/>
        <v>0</v>
      </c>
      <c r="CR34" s="159">
        <f t="shared" ref="CR34:CR64" si="60">CQ34*F34</f>
        <v>0</v>
      </c>
      <c r="CS34" s="159">
        <f t="shared" si="36"/>
        <v>0</v>
      </c>
      <c r="CT34" s="166">
        <f t="shared" si="37"/>
        <v>0</v>
      </c>
      <c r="CU34" s="42" t="s">
        <v>217</v>
      </c>
      <c r="CV34" s="43">
        <v>31</v>
      </c>
      <c r="CW34" s="44">
        <f t="shared" si="12"/>
        <v>0.38021875893482893</v>
      </c>
      <c r="CX34" s="44">
        <f t="shared" si="13"/>
        <v>0.87170177417152572</v>
      </c>
      <c r="CY34" s="43">
        <f t="shared" si="14"/>
        <v>137572932</v>
      </c>
      <c r="CZ34" s="44">
        <f t="shared" si="38"/>
        <v>61.62284148839484</v>
      </c>
      <c r="DA34" s="45">
        <f t="shared" si="15"/>
        <v>1.4145757532711136E-2</v>
      </c>
      <c r="DB34" s="43">
        <f t="shared" si="16"/>
        <v>2232499</v>
      </c>
      <c r="DC34" s="45">
        <f t="shared" si="17"/>
        <v>1.6227748929564138E-2</v>
      </c>
      <c r="DD34" s="44">
        <f t="shared" si="18"/>
        <v>0</v>
      </c>
      <c r="DE34" s="44"/>
      <c r="DF34" s="46">
        <f t="shared" si="19"/>
        <v>6.7951464442554474</v>
      </c>
      <c r="DG34" s="44">
        <f t="shared" si="40"/>
        <v>3.8395971251608034</v>
      </c>
      <c r="DH34" s="44"/>
      <c r="DI34" s="44"/>
      <c r="DJ34" s="92"/>
    </row>
    <row r="35" spans="1:114" ht="15" customHeight="1" x14ac:dyDescent="0.2">
      <c r="A35" s="58">
        <v>30</v>
      </c>
      <c r="B35" s="51">
        <v>7</v>
      </c>
      <c r="C35" s="51" t="s">
        <v>135</v>
      </c>
      <c r="D35" s="213"/>
      <c r="E35" s="241"/>
      <c r="F35" s="167">
        <v>0.29599999999999999</v>
      </c>
      <c r="G35" s="237"/>
      <c r="H35" s="168">
        <v>0.85</v>
      </c>
      <c r="I35" s="11">
        <v>30.346</v>
      </c>
      <c r="J35" s="108">
        <f t="shared" si="56"/>
        <v>9.9247347261583088E-2</v>
      </c>
      <c r="K35" s="18"/>
      <c r="L35" s="18"/>
      <c r="M35" s="18"/>
      <c r="N35" s="32"/>
      <c r="O35" s="18"/>
      <c r="P35" s="18"/>
      <c r="Q35" s="18"/>
      <c r="R35" s="97"/>
      <c r="S35" s="73"/>
      <c r="T35" s="73"/>
      <c r="U35" s="18"/>
      <c r="V35" s="18"/>
      <c r="W35" s="18"/>
      <c r="X35" s="95"/>
      <c r="Y35" s="18"/>
      <c r="Z35" s="18"/>
      <c r="AA35" s="8">
        <v>19.95</v>
      </c>
      <c r="AB35" s="11">
        <v>93895</v>
      </c>
      <c r="AC35" s="11">
        <v>50500616</v>
      </c>
      <c r="AD35" s="102">
        <f>AB35/AC35</f>
        <v>1.8592842511069567E-3</v>
      </c>
      <c r="AE35" s="11">
        <v>20.48</v>
      </c>
      <c r="AF35" s="11">
        <v>1612291</v>
      </c>
      <c r="AG35" s="11">
        <v>22.64</v>
      </c>
      <c r="AH35" s="11">
        <v>11694565</v>
      </c>
      <c r="AI35" s="11">
        <v>24.75</v>
      </c>
      <c r="AJ35" s="11">
        <v>18650124</v>
      </c>
      <c r="AK35" s="11">
        <v>26.81</v>
      </c>
      <c r="AL35" s="11">
        <v>27520400</v>
      </c>
      <c r="AM35" s="11">
        <v>28.79</v>
      </c>
      <c r="AN35" s="11">
        <v>27696997</v>
      </c>
      <c r="AO35" s="11">
        <v>30.7</v>
      </c>
      <c r="AP35" s="11">
        <v>32395100</v>
      </c>
      <c r="AQ35" s="11">
        <v>191778719</v>
      </c>
      <c r="AR35" s="95">
        <f t="shared" si="21"/>
        <v>0.16891915937763669</v>
      </c>
      <c r="AS35" s="11">
        <v>32.549999999999997</v>
      </c>
      <c r="AT35" s="11">
        <v>24417473</v>
      </c>
      <c r="AU35" s="11">
        <v>34.33</v>
      </c>
      <c r="AV35" s="11">
        <v>58520910</v>
      </c>
      <c r="AW35" s="11">
        <v>36.06</v>
      </c>
      <c r="AX35" s="11">
        <v>24436460</v>
      </c>
      <c r="AY35" s="11">
        <v>37.729999999999997</v>
      </c>
      <c r="AZ35" s="11">
        <v>66712564</v>
      </c>
      <c r="BA35" s="11">
        <v>39.340000000000003</v>
      </c>
      <c r="BB35" s="11">
        <v>17546146</v>
      </c>
      <c r="BC35" s="11">
        <v>40.909999999999997</v>
      </c>
      <c r="BD35" s="11">
        <v>42448181</v>
      </c>
      <c r="BE35" s="11">
        <v>42.44</v>
      </c>
      <c r="BF35" s="11">
        <v>6550473</v>
      </c>
      <c r="BG35" s="11">
        <v>43.91</v>
      </c>
      <c r="BH35" s="11">
        <v>18998352</v>
      </c>
      <c r="BI35" s="11">
        <v>45.35</v>
      </c>
      <c r="BJ35" s="11">
        <v>5495583</v>
      </c>
      <c r="BK35" s="11">
        <v>46.75</v>
      </c>
      <c r="BL35" s="11">
        <v>11996539</v>
      </c>
      <c r="BM35" s="11">
        <v>48.27</v>
      </c>
      <c r="BN35" s="11">
        <v>3380866</v>
      </c>
      <c r="BO35" s="11">
        <v>50</v>
      </c>
      <c r="BP35" s="11">
        <v>13486941</v>
      </c>
      <c r="BQ35" s="18"/>
      <c r="BR35" s="18"/>
      <c r="BS35" s="18"/>
      <c r="BT35" s="18"/>
      <c r="BU35" s="17">
        <f t="shared" si="2"/>
        <v>413559965</v>
      </c>
      <c r="BV35" s="8">
        <f t="shared" si="22"/>
        <v>437.13434644915225</v>
      </c>
      <c r="BW35" s="8">
        <f t="shared" si="23"/>
        <v>8.7426869289830442</v>
      </c>
      <c r="BX35" s="159">
        <f t="shared" si="57"/>
        <v>2.5878353309789808</v>
      </c>
      <c r="BY35" s="159">
        <f t="shared" si="24"/>
        <v>2.3954784143098959</v>
      </c>
      <c r="BZ35" s="160">
        <f t="shared" si="25"/>
        <v>7.8040872466193636E-2</v>
      </c>
      <c r="CA35" s="16">
        <f t="shared" si="4"/>
        <v>13306856</v>
      </c>
      <c r="CB35" s="9">
        <f t="shared" si="26"/>
        <v>14.065393880311843</v>
      </c>
      <c r="CC35" s="9">
        <f t="shared" si="27"/>
        <v>0.28130787760623682</v>
      </c>
      <c r="CD35" s="158">
        <f t="shared" si="58"/>
        <v>8.3267131771446096E-2</v>
      </c>
      <c r="CE35" s="158">
        <f t="shared" si="28"/>
        <v>1.8442332618260486</v>
      </c>
      <c r="CF35" s="171">
        <f t="shared" si="29"/>
        <v>2.8712804059119342E-3</v>
      </c>
      <c r="CG35" s="16">
        <f t="shared" si="6"/>
        <v>326385588</v>
      </c>
      <c r="CH35" s="8">
        <f t="shared" si="30"/>
        <v>344.99072148050465</v>
      </c>
      <c r="CI35" s="8">
        <f t="shared" si="31"/>
        <v>6.8998144296100925</v>
      </c>
      <c r="CJ35" s="159">
        <f t="shared" si="59"/>
        <v>2.0423450711645872</v>
      </c>
      <c r="CK35" s="159">
        <f t="shared" si="32"/>
        <v>2.3174232056786424</v>
      </c>
      <c r="CL35" s="157">
        <f t="shared" si="33"/>
        <v>7.0425692109123694E-2</v>
      </c>
      <c r="CM35" s="8">
        <f t="shared" si="34"/>
        <v>0</v>
      </c>
      <c r="CN35" s="9">
        <f t="shared" si="8"/>
        <v>0</v>
      </c>
      <c r="CO35" s="8">
        <f t="shared" si="9"/>
        <v>0</v>
      </c>
      <c r="CP35" s="8">
        <f t="shared" si="10"/>
        <v>0</v>
      </c>
      <c r="CQ35" s="8">
        <f t="shared" si="35"/>
        <v>0</v>
      </c>
      <c r="CR35" s="159">
        <f t="shared" si="60"/>
        <v>0</v>
      </c>
      <c r="CS35" s="159">
        <f t="shared" si="36"/>
        <v>0</v>
      </c>
      <c r="CT35" s="166">
        <f t="shared" si="37"/>
        <v>0</v>
      </c>
      <c r="CU35" s="42" t="s">
        <v>217</v>
      </c>
      <c r="CV35" s="43">
        <v>31</v>
      </c>
      <c r="CW35" s="44">
        <f t="shared" si="12"/>
        <v>0.38885939263239727</v>
      </c>
      <c r="CX35" s="44">
        <f t="shared" si="13"/>
        <v>0.78920982595595301</v>
      </c>
      <c r="CY35" s="43">
        <f t="shared" si="14"/>
        <v>326385588</v>
      </c>
      <c r="CZ35" s="44">
        <f t="shared" si="38"/>
        <v>24.527626059829611</v>
      </c>
      <c r="DA35" s="45">
        <f t="shared" si="15"/>
        <v>3.2176364073345447E-2</v>
      </c>
      <c r="DB35" s="43">
        <f t="shared" si="16"/>
        <v>13306856</v>
      </c>
      <c r="DC35" s="45">
        <f t="shared" si="17"/>
        <v>4.0770354112571905E-2</v>
      </c>
      <c r="DD35" s="44">
        <f t="shared" si="18"/>
        <v>0</v>
      </c>
      <c r="DE35" s="44"/>
      <c r="DF35" s="46">
        <f t="shared" si="19"/>
        <v>4.3476088408223328</v>
      </c>
      <c r="DG35" s="44">
        <f t="shared" si="40"/>
        <v>2.395445627039972</v>
      </c>
      <c r="DH35" s="44"/>
      <c r="DI35" s="44"/>
      <c r="DJ35" s="92"/>
    </row>
    <row r="36" spans="1:114" ht="15" customHeight="1" x14ac:dyDescent="0.2">
      <c r="A36" s="58">
        <v>29</v>
      </c>
      <c r="B36" s="70">
        <v>11</v>
      </c>
      <c r="C36" s="70" t="s">
        <v>45</v>
      </c>
      <c r="D36" s="213"/>
      <c r="E36" s="241"/>
      <c r="F36" s="167">
        <v>0.29599999999999999</v>
      </c>
      <c r="G36" s="237"/>
      <c r="H36" s="168">
        <v>0.8</v>
      </c>
      <c r="I36" s="9">
        <v>30.024000000000001</v>
      </c>
      <c r="J36" s="108">
        <f t="shared" si="56"/>
        <v>0.10031175059952038</v>
      </c>
      <c r="K36" s="8"/>
      <c r="L36" s="8"/>
      <c r="M36" s="8"/>
      <c r="N36" s="106"/>
      <c r="O36" s="8"/>
      <c r="P36" s="11"/>
      <c r="Q36" s="11"/>
      <c r="R36" s="94"/>
      <c r="S36" s="8">
        <v>16.21</v>
      </c>
      <c r="T36" s="11">
        <v>28742320</v>
      </c>
      <c r="U36" s="8">
        <v>16.510000000000002</v>
      </c>
      <c r="V36" s="11">
        <v>15725509</v>
      </c>
      <c r="W36" s="11">
        <v>128977331</v>
      </c>
      <c r="X36" s="95">
        <f>V36/W36</f>
        <v>0.12192459619124853</v>
      </c>
      <c r="Y36" s="11">
        <v>18.47</v>
      </c>
      <c r="Z36" s="11">
        <v>144502386</v>
      </c>
      <c r="AA36" s="8">
        <v>20.170000000000002</v>
      </c>
      <c r="AB36" s="11">
        <v>1586438</v>
      </c>
      <c r="AC36" s="11">
        <v>1068450744</v>
      </c>
      <c r="AD36" s="102">
        <f>AB36/AC36</f>
        <v>1.4848021856962645E-3</v>
      </c>
      <c r="AE36" s="8">
        <v>20.72</v>
      </c>
      <c r="AF36" s="11">
        <v>388752116</v>
      </c>
      <c r="AG36" s="8">
        <v>22.94</v>
      </c>
      <c r="AH36" s="11">
        <v>388752116</v>
      </c>
      <c r="AI36" s="8">
        <v>25.09</v>
      </c>
      <c r="AJ36" s="11">
        <v>848869893</v>
      </c>
      <c r="AK36" s="8">
        <v>27.15</v>
      </c>
      <c r="AL36" s="11">
        <v>892871133</v>
      </c>
      <c r="AM36" s="8">
        <v>29.12</v>
      </c>
      <c r="AN36" s="11">
        <v>793363773</v>
      </c>
      <c r="AO36" s="8">
        <v>31.02</v>
      </c>
      <c r="AP36" s="11">
        <v>537471435</v>
      </c>
      <c r="AQ36" s="11">
        <v>3130474538</v>
      </c>
      <c r="AR36" s="95">
        <f>AP36/AQ36</f>
        <v>0.17169008355627136</v>
      </c>
      <c r="AS36" s="8">
        <v>32.85</v>
      </c>
      <c r="AT36" s="11">
        <v>326792290</v>
      </c>
      <c r="AU36" s="8">
        <v>34.630000000000003</v>
      </c>
      <c r="AV36" s="11">
        <v>295911373</v>
      </c>
      <c r="AW36" s="8">
        <v>36.35</v>
      </c>
      <c r="AX36" s="11">
        <v>159041406</v>
      </c>
      <c r="AY36" s="8">
        <v>38.020000000000003</v>
      </c>
      <c r="AZ36" s="11">
        <v>275901035</v>
      </c>
      <c r="BA36" s="8">
        <v>39.64</v>
      </c>
      <c r="BB36" s="11">
        <v>120464174</v>
      </c>
      <c r="BC36" s="8">
        <v>41.21</v>
      </c>
      <c r="BD36" s="11">
        <v>239953767</v>
      </c>
      <c r="BE36" s="8">
        <v>42.73</v>
      </c>
      <c r="BF36" s="11">
        <v>57349062</v>
      </c>
      <c r="BG36" s="8">
        <v>44.21</v>
      </c>
      <c r="BH36" s="11">
        <v>99069313</v>
      </c>
      <c r="BI36" s="8">
        <v>45.64</v>
      </c>
      <c r="BJ36" s="11">
        <v>22011327</v>
      </c>
      <c r="BK36" s="8">
        <v>47.07</v>
      </c>
      <c r="BL36" s="11">
        <v>30658831</v>
      </c>
      <c r="BM36" s="8">
        <v>48.62</v>
      </c>
      <c r="BN36" s="11">
        <v>6577886</v>
      </c>
      <c r="BO36" s="8">
        <v>50.41</v>
      </c>
      <c r="BP36" s="11">
        <v>11172776</v>
      </c>
      <c r="BQ36" s="14"/>
      <c r="BR36" s="15"/>
      <c r="BS36" s="14"/>
      <c r="BT36" s="15"/>
      <c r="BU36" s="17">
        <f t="shared" si="2"/>
        <v>5668228412</v>
      </c>
      <c r="BV36" s="8">
        <f t="shared" si="22"/>
        <v>358.40664104469221</v>
      </c>
      <c r="BW36" s="8">
        <f t="shared" si="23"/>
        <v>7.1681328208938444</v>
      </c>
      <c r="BX36" s="159">
        <f t="shared" si="57"/>
        <v>2.1217673149845777</v>
      </c>
      <c r="BY36" s="159">
        <f t="shared" si="24"/>
        <v>1.9640537952277863</v>
      </c>
      <c r="BZ36" s="160">
        <f t="shared" si="25"/>
        <v>6.3985745325228521E-2</v>
      </c>
      <c r="CA36" s="16">
        <f t="shared" si="4"/>
        <v>950748938</v>
      </c>
      <c r="CB36" s="9">
        <f t="shared" si="26"/>
        <v>60.116619969652056</v>
      </c>
      <c r="CC36" s="9">
        <f t="shared" si="27"/>
        <v>1.202332399393041</v>
      </c>
      <c r="CD36" s="158">
        <f t="shared" si="58"/>
        <v>0.35589039022034014</v>
      </c>
      <c r="CE36" s="158">
        <f t="shared" si="28"/>
        <v>7.8824006693320081</v>
      </c>
      <c r="CF36" s="171">
        <f t="shared" si="29"/>
        <v>1.2272082421391039E-2</v>
      </c>
      <c r="CG36" s="16">
        <f t="shared" si="6"/>
        <v>2182374675</v>
      </c>
      <c r="CH36" s="8">
        <f t="shared" si="30"/>
        <v>137.9933058293544</v>
      </c>
      <c r="CI36" s="8">
        <f t="shared" si="31"/>
        <v>2.7598661165870877</v>
      </c>
      <c r="CJ36" s="159">
        <f t="shared" si="59"/>
        <v>0.81692037050977795</v>
      </c>
      <c r="CK36" s="159">
        <f t="shared" si="32"/>
        <v>0.92694924601132189</v>
      </c>
      <c r="CL36" s="157">
        <f t="shared" si="33"/>
        <v>2.8169667948613034E-2</v>
      </c>
      <c r="CM36" s="8">
        <f t="shared" si="34"/>
        <v>0</v>
      </c>
      <c r="CN36" s="9">
        <f t="shared" si="8"/>
        <v>0</v>
      </c>
      <c r="CO36" s="8">
        <f t="shared" si="9"/>
        <v>0</v>
      </c>
      <c r="CP36" s="8">
        <f t="shared" si="10"/>
        <v>0</v>
      </c>
      <c r="CQ36" s="8">
        <f t="shared" si="35"/>
        <v>0</v>
      </c>
      <c r="CR36" s="159">
        <f t="shared" si="60"/>
        <v>0</v>
      </c>
      <c r="CS36" s="159">
        <f t="shared" si="36"/>
        <v>0</v>
      </c>
      <c r="CT36" s="166">
        <f t="shared" si="37"/>
        <v>0</v>
      </c>
      <c r="CU36" s="42" t="s">
        <v>35</v>
      </c>
      <c r="CV36" s="43">
        <v>31</v>
      </c>
      <c r="CW36" s="44">
        <f t="shared" si="12"/>
        <v>0.46515757160674837</v>
      </c>
      <c r="CX36" s="44">
        <f t="shared" si="13"/>
        <v>0.38501883064199988</v>
      </c>
      <c r="CY36" s="43">
        <f t="shared" si="14"/>
        <v>2182374675</v>
      </c>
      <c r="CZ36" s="44">
        <f t="shared" si="38"/>
        <v>2.2954268869243797</v>
      </c>
      <c r="DA36" s="45">
        <f t="shared" si="15"/>
        <v>0.16773299678382828</v>
      </c>
      <c r="DB36" s="43">
        <f t="shared" si="16"/>
        <v>950748938</v>
      </c>
      <c r="DC36" s="45">
        <f t="shared" si="17"/>
        <v>0.4356488136025497</v>
      </c>
      <c r="DD36" s="44">
        <f t="shared" si="18"/>
        <v>0</v>
      </c>
      <c r="DE36" s="44">
        <f t="shared" si="39"/>
        <v>5.6176662370128616</v>
      </c>
      <c r="DF36" s="46">
        <f t="shared" si="19"/>
        <v>2.8960944232011627</v>
      </c>
      <c r="DG36" s="44">
        <f t="shared" si="40"/>
        <v>1.3078389014110505</v>
      </c>
      <c r="DH36" s="44"/>
      <c r="DI36" s="44">
        <f t="shared" si="41"/>
        <v>0.54712037859156815</v>
      </c>
      <c r="DJ36" s="92">
        <f t="shared" si="44"/>
        <v>0</v>
      </c>
    </row>
    <row r="37" spans="1:114" ht="15" customHeight="1" x14ac:dyDescent="0.2">
      <c r="A37" s="58">
        <v>28</v>
      </c>
      <c r="B37" s="51">
        <v>6</v>
      </c>
      <c r="C37" s="51" t="s">
        <v>136</v>
      </c>
      <c r="D37" s="213"/>
      <c r="E37" s="241"/>
      <c r="F37" s="167">
        <v>0.29599999999999999</v>
      </c>
      <c r="G37" s="238"/>
      <c r="H37" s="168">
        <v>0.7</v>
      </c>
      <c r="I37" s="11">
        <v>30.367999999999999</v>
      </c>
      <c r="J37" s="108">
        <f t="shared" si="56"/>
        <v>9.9175447839831413E-2</v>
      </c>
      <c r="K37" s="18"/>
      <c r="L37" s="18"/>
      <c r="M37" s="72"/>
      <c r="N37" s="73"/>
      <c r="O37" s="73"/>
      <c r="P37" s="73"/>
      <c r="Q37" s="73"/>
      <c r="R37" s="99"/>
      <c r="S37" s="28">
        <v>16</v>
      </c>
      <c r="T37" s="27">
        <v>3127206</v>
      </c>
      <c r="U37" s="27">
        <v>16.27</v>
      </c>
      <c r="V37" s="27">
        <v>2856709</v>
      </c>
      <c r="W37" s="27">
        <v>42299150</v>
      </c>
      <c r="X37" s="95">
        <f t="shared" ref="X37:X39" si="61">V37/W37</f>
        <v>6.7535848829113593E-2</v>
      </c>
      <c r="Y37" s="27">
        <v>18.28</v>
      </c>
      <c r="Z37" s="27">
        <v>68565</v>
      </c>
      <c r="AA37" s="8">
        <v>19.920000000000002</v>
      </c>
      <c r="AB37" s="11">
        <v>965183</v>
      </c>
      <c r="AC37" s="11">
        <v>438862829</v>
      </c>
      <c r="AD37" s="102">
        <f t="shared" ref="AD37:AD38" si="62">AB37/AC37</f>
        <v>2.1992817259080285E-3</v>
      </c>
      <c r="AE37" s="27">
        <v>20.45</v>
      </c>
      <c r="AF37" s="27">
        <v>96635475</v>
      </c>
      <c r="AG37" s="27">
        <v>22.64</v>
      </c>
      <c r="AH37" s="27">
        <v>195920146</v>
      </c>
      <c r="AI37" s="27">
        <v>24.79</v>
      </c>
      <c r="AJ37" s="27">
        <v>288895679</v>
      </c>
      <c r="AK37" s="27">
        <v>26.85</v>
      </c>
      <c r="AL37" s="27">
        <v>294605509</v>
      </c>
      <c r="AM37" s="27">
        <v>28.84</v>
      </c>
      <c r="AN37" s="27">
        <v>251656499</v>
      </c>
      <c r="AO37" s="27">
        <v>30.73</v>
      </c>
      <c r="AP37" s="27">
        <v>179630063</v>
      </c>
      <c r="AQ37" s="27">
        <v>1101563156</v>
      </c>
      <c r="AR37" s="95">
        <f t="shared" si="21"/>
        <v>0.16306832887573447</v>
      </c>
      <c r="AS37" s="27">
        <v>32.57</v>
      </c>
      <c r="AT37" s="27">
        <v>115000489</v>
      </c>
      <c r="AU37" s="27">
        <v>34.35</v>
      </c>
      <c r="AV37" s="27">
        <v>88805678</v>
      </c>
      <c r="AW37" s="27">
        <v>36.07</v>
      </c>
      <c r="AX37" s="27">
        <v>48085140</v>
      </c>
      <c r="AY37" s="27">
        <v>37.74</v>
      </c>
      <c r="AZ37" s="27">
        <v>75347668</v>
      </c>
      <c r="BA37" s="27">
        <v>39.35</v>
      </c>
      <c r="BB37" s="27">
        <v>25335013</v>
      </c>
      <c r="BC37" s="27">
        <v>40.92</v>
      </c>
      <c r="BD37" s="27">
        <v>70994743</v>
      </c>
      <c r="BE37" s="27">
        <v>42.44</v>
      </c>
      <c r="BF37" s="27">
        <v>11292875</v>
      </c>
      <c r="BG37" s="27">
        <v>43.91</v>
      </c>
      <c r="BH37" s="27">
        <v>28218086</v>
      </c>
      <c r="BI37" s="27">
        <v>45.35</v>
      </c>
      <c r="BJ37" s="27">
        <v>9982957</v>
      </c>
      <c r="BK37" s="27">
        <v>46.75</v>
      </c>
      <c r="BL37" s="27">
        <v>10933384</v>
      </c>
      <c r="BM37" s="27">
        <v>48.26</v>
      </c>
      <c r="BN37" s="27">
        <v>3836749</v>
      </c>
      <c r="BO37" s="28">
        <v>50</v>
      </c>
      <c r="BP37" s="27">
        <v>11659787</v>
      </c>
      <c r="BQ37" s="18"/>
      <c r="BR37" s="18"/>
      <c r="BS37" s="18"/>
      <c r="BT37" s="18"/>
      <c r="BU37" s="17">
        <f t="shared" si="2"/>
        <v>1810031711</v>
      </c>
      <c r="BV37" s="8">
        <f t="shared" si="22"/>
        <v>185.98618660163027</v>
      </c>
      <c r="BW37" s="8">
        <f t="shared" si="23"/>
        <v>3.7197237320326053</v>
      </c>
      <c r="BX37" s="159">
        <f t="shared" si="57"/>
        <v>1.101038224681651</v>
      </c>
      <c r="BY37" s="159">
        <f t="shared" si="24"/>
        <v>1.0191967274661216</v>
      </c>
      <c r="BZ37" s="160">
        <f t="shared" si="25"/>
        <v>3.3203806534428559E-2</v>
      </c>
      <c r="CA37" s="16">
        <f t="shared" si="4"/>
        <v>295751392</v>
      </c>
      <c r="CB37" s="9">
        <f t="shared" si="26"/>
        <v>30.389342488267545</v>
      </c>
      <c r="CC37" s="9">
        <f t="shared" si="27"/>
        <v>0.6077868497653508</v>
      </c>
      <c r="CD37" s="158">
        <f t="shared" si="58"/>
        <v>0.17990490753054383</v>
      </c>
      <c r="CE37" s="158">
        <f t="shared" si="28"/>
        <v>3.9846048179522446</v>
      </c>
      <c r="CF37" s="171">
        <f t="shared" si="29"/>
        <v>6.203617501053236E-3</v>
      </c>
      <c r="CG37" s="16">
        <f t="shared" si="6"/>
        <v>679122632</v>
      </c>
      <c r="CH37" s="8">
        <f t="shared" si="30"/>
        <v>69.781887131005234</v>
      </c>
      <c r="CI37" s="8">
        <f t="shared" si="31"/>
        <v>1.3956377426201045</v>
      </c>
      <c r="CJ37" s="159">
        <f t="shared" si="59"/>
        <v>0.41310877181555095</v>
      </c>
      <c r="CK37" s="159">
        <f t="shared" si="32"/>
        <v>0.46874931557420962</v>
      </c>
      <c r="CL37" s="157">
        <f t="shared" si="33"/>
        <v>1.4245130062605206E-2</v>
      </c>
      <c r="CM37" s="8">
        <f t="shared" si="34"/>
        <v>0</v>
      </c>
      <c r="CN37" s="9">
        <f t="shared" si="8"/>
        <v>0</v>
      </c>
      <c r="CO37" s="8">
        <f t="shared" si="9"/>
        <v>0</v>
      </c>
      <c r="CP37" s="8">
        <f t="shared" si="10"/>
        <v>0</v>
      </c>
      <c r="CQ37" s="8">
        <f t="shared" si="35"/>
        <v>0</v>
      </c>
      <c r="CR37" s="159">
        <f t="shared" si="60"/>
        <v>0</v>
      </c>
      <c r="CS37" s="159">
        <f t="shared" si="36"/>
        <v>0</v>
      </c>
      <c r="CT37" s="166">
        <f t="shared" si="37"/>
        <v>0</v>
      </c>
      <c r="CU37" s="42" t="s">
        <v>35</v>
      </c>
      <c r="CV37" s="43">
        <v>31</v>
      </c>
      <c r="CW37" s="44">
        <f t="shared" si="12"/>
        <v>0.4851276025512522</v>
      </c>
      <c r="CX37" s="44">
        <f t="shared" si="13"/>
        <v>0.37519930058286144</v>
      </c>
      <c r="CY37" s="43">
        <f t="shared" si="14"/>
        <v>679122632</v>
      </c>
      <c r="CZ37" s="44">
        <f t="shared" si="38"/>
        <v>2.2962618279071361</v>
      </c>
      <c r="DA37" s="45">
        <f t="shared" si="15"/>
        <v>0.16339569644147522</v>
      </c>
      <c r="DB37" s="43">
        <f t="shared" si="16"/>
        <v>295751392</v>
      </c>
      <c r="DC37" s="45">
        <f t="shared" si="17"/>
        <v>0.43549040786495241</v>
      </c>
      <c r="DD37" s="44">
        <f t="shared" si="18"/>
        <v>0</v>
      </c>
      <c r="DE37" s="44">
        <f t="shared" si="39"/>
        <v>3429.5644862539198</v>
      </c>
      <c r="DF37" s="46">
        <f t="shared" si="19"/>
        <v>2.8110017551486726</v>
      </c>
      <c r="DG37" s="44">
        <f t="shared" si="40"/>
        <v>1.2966058407186059</v>
      </c>
      <c r="DH37" s="44"/>
      <c r="DI37" s="44">
        <f t="shared" si="41"/>
        <v>0.91350202065358022</v>
      </c>
      <c r="DJ37" s="92">
        <f t="shared" si="44"/>
        <v>0</v>
      </c>
    </row>
    <row r="38" spans="1:114" s="30" customFormat="1" ht="15" customHeight="1" x14ac:dyDescent="0.2">
      <c r="A38" s="58">
        <v>27</v>
      </c>
      <c r="B38" s="70">
        <v>10</v>
      </c>
      <c r="C38" s="70" t="s">
        <v>46</v>
      </c>
      <c r="D38" s="213"/>
      <c r="E38" s="241"/>
      <c r="F38" s="167">
        <v>1</v>
      </c>
      <c r="G38" s="236" t="s">
        <v>366</v>
      </c>
      <c r="H38" s="168">
        <v>0.65</v>
      </c>
      <c r="I38" s="9">
        <v>30.073</v>
      </c>
      <c r="J38" s="108">
        <f t="shared" si="56"/>
        <v>0.10014830578924618</v>
      </c>
      <c r="K38" s="8"/>
      <c r="L38" s="8"/>
      <c r="M38" s="8">
        <v>14</v>
      </c>
      <c r="N38" s="106">
        <v>255321</v>
      </c>
      <c r="O38" s="8"/>
      <c r="P38" s="11"/>
      <c r="Q38" s="11"/>
      <c r="R38" s="64"/>
      <c r="S38" s="8">
        <v>16.23</v>
      </c>
      <c r="T38" s="11">
        <v>323355</v>
      </c>
      <c r="U38" s="8">
        <v>16.53</v>
      </c>
      <c r="V38" s="11">
        <v>159115</v>
      </c>
      <c r="W38" s="11">
        <v>1925149</v>
      </c>
      <c r="X38" s="95">
        <f t="shared" si="61"/>
        <v>8.2650745474765849E-2</v>
      </c>
      <c r="Y38" s="8">
        <v>18.489999999999998</v>
      </c>
      <c r="Z38" s="11">
        <v>700398</v>
      </c>
      <c r="AA38" s="8">
        <v>20.2</v>
      </c>
      <c r="AB38" s="11">
        <v>55588</v>
      </c>
      <c r="AC38" s="11">
        <v>98188536</v>
      </c>
      <c r="AD38" s="102">
        <f t="shared" si="62"/>
        <v>5.6613533783618074E-4</v>
      </c>
      <c r="AE38" s="8">
        <v>20.72</v>
      </c>
      <c r="AF38" s="11">
        <v>792867</v>
      </c>
      <c r="AG38" s="8">
        <v>22.9</v>
      </c>
      <c r="AH38" s="11">
        <v>3349555</v>
      </c>
      <c r="AI38" s="8">
        <v>25.03</v>
      </c>
      <c r="AJ38" s="11">
        <v>5280913</v>
      </c>
      <c r="AK38" s="8">
        <v>27.08</v>
      </c>
      <c r="AL38" s="11">
        <v>10298209</v>
      </c>
      <c r="AM38" s="8">
        <v>29.07</v>
      </c>
      <c r="AN38" s="11">
        <v>13351860</v>
      </c>
      <c r="AO38" s="8">
        <v>30.99</v>
      </c>
      <c r="AP38" s="11">
        <v>22180620</v>
      </c>
      <c r="AQ38" s="11">
        <v>146585146</v>
      </c>
      <c r="AR38" s="95">
        <f t="shared" si="21"/>
        <v>0.15131560465205662</v>
      </c>
      <c r="AS38" s="8">
        <v>32.840000000000003</v>
      </c>
      <c r="AT38" s="11">
        <v>17584487</v>
      </c>
      <c r="AU38" s="8">
        <v>34.619999999999997</v>
      </c>
      <c r="AV38" s="11">
        <v>74858186</v>
      </c>
      <c r="AW38" s="8" t="s">
        <v>70</v>
      </c>
      <c r="AX38" s="11">
        <v>22152370</v>
      </c>
      <c r="AY38" s="8" t="s">
        <v>6</v>
      </c>
      <c r="AZ38" s="11">
        <v>106395487</v>
      </c>
      <c r="BA38" s="8" t="s">
        <v>58</v>
      </c>
      <c r="BB38" s="11">
        <v>18159172</v>
      </c>
      <c r="BC38" s="8" t="s">
        <v>59</v>
      </c>
      <c r="BD38" s="11">
        <v>103677281</v>
      </c>
      <c r="BE38" s="8">
        <v>42.74</v>
      </c>
      <c r="BF38" s="11">
        <v>6892249</v>
      </c>
      <c r="BG38" s="8">
        <v>44.21</v>
      </c>
      <c r="BH38" s="11">
        <v>20324600</v>
      </c>
      <c r="BI38" s="8">
        <v>45.64</v>
      </c>
      <c r="BJ38" s="11">
        <v>1789190</v>
      </c>
      <c r="BK38" s="8">
        <v>47.06</v>
      </c>
      <c r="BL38" s="11">
        <v>4506441</v>
      </c>
      <c r="BM38" s="8">
        <v>48.63</v>
      </c>
      <c r="BN38" s="11">
        <v>1300985</v>
      </c>
      <c r="BO38" s="8">
        <v>50.45</v>
      </c>
      <c r="BP38" s="11">
        <v>2900836</v>
      </c>
      <c r="BQ38" s="14"/>
      <c r="BR38" s="15"/>
      <c r="BS38" s="14"/>
      <c r="BT38" s="15"/>
      <c r="BU38" s="17">
        <f t="shared" si="2"/>
        <v>437074382</v>
      </c>
      <c r="BV38" s="8">
        <f t="shared" si="22"/>
        <v>787.440794077531</v>
      </c>
      <c r="BW38" s="8">
        <f t="shared" si="23"/>
        <v>15.74881588155062</v>
      </c>
      <c r="BX38" s="159">
        <f t="shared" si="57"/>
        <v>15.74881588155062</v>
      </c>
      <c r="BY38" s="159">
        <f t="shared" si="24"/>
        <v>14.578187430853115</v>
      </c>
      <c r="BZ38" s="160">
        <f t="shared" si="25"/>
        <v>0.47493413394302236</v>
      </c>
      <c r="CA38" s="16">
        <f t="shared" si="4"/>
        <v>5421496</v>
      </c>
      <c r="CB38" s="9">
        <f t="shared" si="26"/>
        <v>9.7674613089727078</v>
      </c>
      <c r="CC38" s="9">
        <f t="shared" si="27"/>
        <v>0.19534922617945416</v>
      </c>
      <c r="CD38" s="158">
        <f t="shared" si="58"/>
        <v>0.19534922617945416</v>
      </c>
      <c r="CE38" s="158">
        <f t="shared" si="28"/>
        <v>4.3266716761783872</v>
      </c>
      <c r="CF38" s="171">
        <f t="shared" si="29"/>
        <v>6.7361802130846259E-3</v>
      </c>
      <c r="CG38" s="16">
        <f t="shared" si="6"/>
        <v>402721904</v>
      </c>
      <c r="CH38" s="8">
        <f t="shared" si="30"/>
        <v>725.55077336510476</v>
      </c>
      <c r="CI38" s="8">
        <f t="shared" si="31"/>
        <v>14.511015467302094</v>
      </c>
      <c r="CJ38" s="159">
        <f t="shared" si="59"/>
        <v>14.511015467302094</v>
      </c>
      <c r="CK38" s="159">
        <f t="shared" si="32"/>
        <v>16.46546631941688</v>
      </c>
      <c r="CL38" s="157">
        <f t="shared" si="33"/>
        <v>0.50037984370007227</v>
      </c>
      <c r="CM38" s="8">
        <f t="shared" si="34"/>
        <v>0</v>
      </c>
      <c r="CN38" s="9">
        <f t="shared" si="8"/>
        <v>0</v>
      </c>
      <c r="CO38" s="8">
        <f t="shared" si="9"/>
        <v>0</v>
      </c>
      <c r="CP38" s="8">
        <f t="shared" si="10"/>
        <v>0</v>
      </c>
      <c r="CQ38" s="8">
        <f t="shared" si="35"/>
        <v>0</v>
      </c>
      <c r="CR38" s="159">
        <f t="shared" si="60"/>
        <v>0</v>
      </c>
      <c r="CS38" s="159">
        <f t="shared" si="36"/>
        <v>0</v>
      </c>
      <c r="CT38" s="166">
        <f t="shared" si="37"/>
        <v>0</v>
      </c>
      <c r="CU38" s="42" t="s">
        <v>10</v>
      </c>
      <c r="CV38" s="43">
        <v>31</v>
      </c>
      <c r="CW38" s="44">
        <f t="shared" si="12"/>
        <v>0.49353032278795889</v>
      </c>
      <c r="CX38" s="44">
        <f t="shared" si="13"/>
        <v>0.92140358846289006</v>
      </c>
      <c r="CY38" s="43">
        <f t="shared" si="14"/>
        <v>402721904</v>
      </c>
      <c r="CZ38" s="44">
        <f t="shared" si="38"/>
        <v>74.282431269893038</v>
      </c>
      <c r="DA38" s="45">
        <f t="shared" si="15"/>
        <v>1.2404058035137827E-2</v>
      </c>
      <c r="DB38" s="43">
        <f t="shared" si="16"/>
        <v>5421496</v>
      </c>
      <c r="DC38" s="45">
        <f t="shared" si="17"/>
        <v>1.3462133413036308E-2</v>
      </c>
      <c r="DD38" s="44">
        <f t="shared" si="18"/>
        <v>0</v>
      </c>
      <c r="DE38" s="44">
        <f t="shared" si="39"/>
        <v>298.13256197689907</v>
      </c>
      <c r="DF38" s="46">
        <f t="shared" si="19"/>
        <v>7.6512004515632377</v>
      </c>
      <c r="DG38" s="44">
        <f t="shared" si="40"/>
        <v>4.5151459464452568</v>
      </c>
      <c r="DH38" s="44">
        <f t="shared" si="43"/>
        <v>0</v>
      </c>
      <c r="DI38" s="44">
        <f t="shared" si="41"/>
        <v>0.49207527330642792</v>
      </c>
      <c r="DJ38" s="92">
        <f t="shared" si="44"/>
        <v>0</v>
      </c>
    </row>
    <row r="39" spans="1:114" ht="15" customHeight="1" x14ac:dyDescent="0.2">
      <c r="A39" s="58">
        <v>26</v>
      </c>
      <c r="B39" s="51">
        <v>5</v>
      </c>
      <c r="C39" s="51" t="s">
        <v>137</v>
      </c>
      <c r="D39" s="213"/>
      <c r="E39" s="241"/>
      <c r="F39" s="167">
        <v>1</v>
      </c>
      <c r="G39" s="237"/>
      <c r="H39" s="168">
        <v>0.6</v>
      </c>
      <c r="I39" s="9">
        <v>30.64</v>
      </c>
      <c r="J39" s="108">
        <f t="shared" si="56"/>
        <v>9.8295039164490866E-2</v>
      </c>
      <c r="K39" s="18"/>
      <c r="L39" s="18"/>
      <c r="M39" s="27">
        <v>13.98</v>
      </c>
      <c r="N39" s="31">
        <v>106413</v>
      </c>
      <c r="O39" s="27">
        <v>14.18</v>
      </c>
      <c r="P39" s="11">
        <v>59206</v>
      </c>
      <c r="Q39" s="11">
        <v>879332</v>
      </c>
      <c r="R39" s="95">
        <f t="shared" ref="R39" si="63">P39/Q39</f>
        <v>6.7330655543071327E-2</v>
      </c>
      <c r="S39" s="11">
        <v>16.059999999999999</v>
      </c>
      <c r="T39" s="11">
        <v>187114</v>
      </c>
      <c r="U39" s="11">
        <v>16.27</v>
      </c>
      <c r="V39" s="11">
        <v>353212</v>
      </c>
      <c r="W39" s="11">
        <v>5937712</v>
      </c>
      <c r="X39" s="95">
        <f t="shared" si="61"/>
        <v>5.9486212871220433E-2</v>
      </c>
      <c r="Y39" s="11">
        <v>18.25</v>
      </c>
      <c r="Z39" s="11">
        <v>1728942</v>
      </c>
      <c r="AA39" s="8">
        <v>19.93</v>
      </c>
      <c r="AB39" s="11">
        <v>1050137</v>
      </c>
      <c r="AC39" s="11">
        <v>434319108</v>
      </c>
      <c r="AD39" s="102">
        <f t="shared" ref="AD39:AD42" si="64">AB39/AC39</f>
        <v>2.417892698379736E-3</v>
      </c>
      <c r="AE39" s="11">
        <v>20.46</v>
      </c>
      <c r="AF39" s="11">
        <v>10998375</v>
      </c>
      <c r="AG39" s="27">
        <v>22.63</v>
      </c>
      <c r="AH39" s="27">
        <v>36562761</v>
      </c>
      <c r="AI39" s="27">
        <v>24.75</v>
      </c>
      <c r="AJ39" s="11">
        <v>29653841</v>
      </c>
      <c r="AK39" s="11">
        <v>26.81</v>
      </c>
      <c r="AL39" s="11">
        <v>34154863</v>
      </c>
      <c r="AM39" s="11">
        <v>28.79</v>
      </c>
      <c r="AN39" s="11">
        <v>26568451</v>
      </c>
      <c r="AO39" s="8">
        <v>30.7</v>
      </c>
      <c r="AP39" s="11">
        <v>34135234</v>
      </c>
      <c r="AQ39" s="11">
        <v>206456752</v>
      </c>
      <c r="AR39" s="95">
        <f t="shared" si="21"/>
        <v>0.16533842400078055</v>
      </c>
      <c r="AS39" s="11">
        <v>32.549999999999997</v>
      </c>
      <c r="AT39" s="11">
        <v>20143814</v>
      </c>
      <c r="AU39" s="11">
        <v>34.33</v>
      </c>
      <c r="AV39" s="11">
        <v>84559143</v>
      </c>
      <c r="AW39" s="11">
        <v>36.06</v>
      </c>
      <c r="AX39" s="11">
        <v>20634348</v>
      </c>
      <c r="AY39" s="11">
        <v>37.729999999999997</v>
      </c>
      <c r="AZ39" s="11">
        <v>83004256</v>
      </c>
      <c r="BA39" s="11">
        <v>39.35</v>
      </c>
      <c r="BB39" s="11">
        <v>17461776</v>
      </c>
      <c r="BC39" s="11">
        <v>40.92</v>
      </c>
      <c r="BD39" s="11">
        <v>48451091</v>
      </c>
      <c r="BE39" s="11">
        <v>42.45</v>
      </c>
      <c r="BF39" s="11">
        <v>5708642</v>
      </c>
      <c r="BG39" s="11">
        <v>43.92</v>
      </c>
      <c r="BH39" s="11">
        <v>25880932</v>
      </c>
      <c r="BI39" s="11">
        <v>45.35</v>
      </c>
      <c r="BJ39" s="11">
        <v>3406284</v>
      </c>
      <c r="BK39" s="11">
        <v>46.76</v>
      </c>
      <c r="BL39" s="11">
        <v>19868086</v>
      </c>
      <c r="BM39" s="11">
        <v>48.27</v>
      </c>
      <c r="BN39" s="11">
        <v>2045892</v>
      </c>
      <c r="BO39" s="8">
        <v>50</v>
      </c>
      <c r="BP39" s="11">
        <v>7456608</v>
      </c>
      <c r="BQ39" s="18"/>
      <c r="BR39" s="18"/>
      <c r="BS39" s="18"/>
      <c r="BT39" s="18"/>
      <c r="BU39" s="17">
        <f t="shared" si="2"/>
        <v>512716866</v>
      </c>
      <c r="BV39" s="8">
        <f t="shared" si="22"/>
        <v>47.991380575834405</v>
      </c>
      <c r="BW39" s="8">
        <f t="shared" si="23"/>
        <v>0.95982761151668816</v>
      </c>
      <c r="BX39" s="159">
        <f t="shared" si="57"/>
        <v>0.95982761151668816</v>
      </c>
      <c r="BY39" s="159">
        <f t="shared" si="24"/>
        <v>0.88848246923696017</v>
      </c>
      <c r="BZ39" s="160">
        <f t="shared" si="25"/>
        <v>2.8945344135002663E-2</v>
      </c>
      <c r="CA39" s="16">
        <f t="shared" si="4"/>
        <v>49583605</v>
      </c>
      <c r="CB39" s="9">
        <f t="shared" si="26"/>
        <v>4.6411300576892778</v>
      </c>
      <c r="CC39" s="9">
        <f t="shared" si="27"/>
        <v>9.2822601153785558E-2</v>
      </c>
      <c r="CD39" s="158">
        <f t="shared" si="58"/>
        <v>9.2822601153785558E-2</v>
      </c>
      <c r="CE39" s="158">
        <f t="shared" si="28"/>
        <v>2.0558715648678971</v>
      </c>
      <c r="CF39" s="171">
        <f t="shared" si="29"/>
        <v>3.2007793501305365E-3</v>
      </c>
      <c r="CG39" s="16">
        <f t="shared" si="6"/>
        <v>372756106</v>
      </c>
      <c r="CH39" s="8">
        <f t="shared" si="30"/>
        <v>34.890758099250959</v>
      </c>
      <c r="CI39" s="8">
        <f t="shared" si="31"/>
        <v>0.69781516198501925</v>
      </c>
      <c r="CJ39" s="159">
        <f t="shared" si="59"/>
        <v>0.69781516198501925</v>
      </c>
      <c r="CK39" s="159">
        <f t="shared" si="32"/>
        <v>0.79180206738343284</v>
      </c>
      <c r="CL39" s="157">
        <f t="shared" si="33"/>
        <v>2.4062591792586872E-2</v>
      </c>
      <c r="CM39" s="8">
        <f t="shared" si="34"/>
        <v>5.541806534550108E-3</v>
      </c>
      <c r="CN39" s="9">
        <f t="shared" si="8"/>
        <v>5.5418065345501081E-5</v>
      </c>
      <c r="CO39" s="8">
        <f t="shared" si="9"/>
        <v>48.149550150577305</v>
      </c>
      <c r="CP39" s="8">
        <f t="shared" si="10"/>
        <v>0.48149550150577303</v>
      </c>
      <c r="CQ39" s="8">
        <f t="shared" si="35"/>
        <v>0.48155091957111851</v>
      </c>
      <c r="CR39" s="159">
        <f t="shared" si="60"/>
        <v>0.48155091957111851</v>
      </c>
      <c r="CS39" s="159">
        <f t="shared" si="36"/>
        <v>8.0661525350186163E-3</v>
      </c>
      <c r="CT39" s="166">
        <f t="shared" si="37"/>
        <v>1.6767093299830031E-4</v>
      </c>
      <c r="CU39" s="42" t="s">
        <v>216</v>
      </c>
      <c r="CV39" s="43">
        <v>31</v>
      </c>
      <c r="CW39" s="44">
        <f t="shared" si="12"/>
        <v>0.36857451679010061</v>
      </c>
      <c r="CX39" s="44">
        <f t="shared" si="13"/>
        <v>0.72702134592935352</v>
      </c>
      <c r="CY39" s="43">
        <f t="shared" si="14"/>
        <v>372756106</v>
      </c>
      <c r="CZ39" s="44">
        <f t="shared" si="38"/>
        <v>7.5177290154679151</v>
      </c>
      <c r="DA39" s="45">
        <f t="shared" si="15"/>
        <v>9.6707575443792798E-2</v>
      </c>
      <c r="DB39" s="43">
        <f t="shared" si="16"/>
        <v>49583605</v>
      </c>
      <c r="DC39" s="45">
        <f t="shared" si="17"/>
        <v>0.13301889412912796</v>
      </c>
      <c r="DD39" s="44">
        <f t="shared" si="18"/>
        <v>0.48155091957111851</v>
      </c>
      <c r="DE39" s="44">
        <f t="shared" si="39"/>
        <v>117.69629853625048</v>
      </c>
      <c r="DF39" s="46">
        <f t="shared" si="19"/>
        <v>6.310409950194388</v>
      </c>
      <c r="DG39" s="44">
        <f t="shared" si="40"/>
        <v>3.3632000662772312</v>
      </c>
      <c r="DH39" s="44">
        <f t="shared" si="43"/>
        <v>0.55637938973621648</v>
      </c>
      <c r="DI39" s="44">
        <f t="shared" si="41"/>
        <v>1.887683444317368</v>
      </c>
      <c r="DJ39" s="92">
        <f t="shared" si="44"/>
        <v>0.16762171160662717</v>
      </c>
    </row>
    <row r="40" spans="1:114" ht="15" customHeight="1" x14ac:dyDescent="0.2">
      <c r="A40" s="58">
        <v>25</v>
      </c>
      <c r="B40" s="51">
        <v>4</v>
      </c>
      <c r="C40" s="51" t="s">
        <v>138</v>
      </c>
      <c r="D40" s="213"/>
      <c r="E40" s="241"/>
      <c r="F40" s="167">
        <v>1</v>
      </c>
      <c r="G40" s="237"/>
      <c r="H40" s="168">
        <v>0.55000000000000004</v>
      </c>
      <c r="I40" s="11">
        <v>30.231999999999999</v>
      </c>
      <c r="J40" s="108">
        <f t="shared" si="56"/>
        <v>9.9621593014024887E-2</v>
      </c>
      <c r="K40" s="18"/>
      <c r="L40" s="18"/>
      <c r="M40" s="18"/>
      <c r="N40" s="32"/>
      <c r="O40" s="18"/>
      <c r="P40" s="18"/>
      <c r="Q40" s="18"/>
      <c r="R40" s="95"/>
      <c r="S40" s="18"/>
      <c r="T40" s="18"/>
      <c r="U40" s="18"/>
      <c r="V40" s="18"/>
      <c r="W40" s="18"/>
      <c r="X40" s="97"/>
      <c r="Y40" s="18"/>
      <c r="Z40" s="18"/>
      <c r="AA40" s="8">
        <v>19.96</v>
      </c>
      <c r="AB40" s="11">
        <v>309943</v>
      </c>
      <c r="AC40" s="11">
        <v>66586260</v>
      </c>
      <c r="AD40" s="102">
        <f t="shared" si="64"/>
        <v>4.6547591049564884E-3</v>
      </c>
      <c r="AE40" s="27">
        <v>20.52</v>
      </c>
      <c r="AF40" s="27">
        <v>170468</v>
      </c>
      <c r="AG40" s="27">
        <v>22.66</v>
      </c>
      <c r="AH40" s="27">
        <v>2036935</v>
      </c>
      <c r="AI40" s="27">
        <v>24.77</v>
      </c>
      <c r="AJ40" s="27">
        <v>5890500</v>
      </c>
      <c r="AK40" s="27">
        <v>26.82</v>
      </c>
      <c r="AL40" s="27">
        <v>12059743</v>
      </c>
      <c r="AM40" s="27">
        <v>28.8</v>
      </c>
      <c r="AN40" s="27">
        <v>16474471</v>
      </c>
      <c r="AO40" s="27">
        <v>30.71</v>
      </c>
      <c r="AP40" s="27">
        <v>26464467</v>
      </c>
      <c r="AQ40" s="27">
        <v>132452070</v>
      </c>
      <c r="AR40" s="95">
        <f t="shared" si="21"/>
        <v>0.19980410272183741</v>
      </c>
      <c r="AS40" s="27">
        <v>32.549999999999997</v>
      </c>
      <c r="AT40" s="27">
        <v>16675037</v>
      </c>
      <c r="AU40" s="27">
        <v>34.340000000000003</v>
      </c>
      <c r="AV40" s="27">
        <v>64475976</v>
      </c>
      <c r="AW40" s="27">
        <v>36.06</v>
      </c>
      <c r="AX40" s="27">
        <v>21686732</v>
      </c>
      <c r="AY40" s="27">
        <v>37.729999999999997</v>
      </c>
      <c r="AZ40" s="27">
        <v>92840338</v>
      </c>
      <c r="BA40" s="27">
        <v>39.36</v>
      </c>
      <c r="BB40" s="27">
        <v>22071356</v>
      </c>
      <c r="BC40" s="27">
        <v>40.92</v>
      </c>
      <c r="BD40" s="27">
        <v>68991918</v>
      </c>
      <c r="BE40" s="27">
        <v>42.44</v>
      </c>
      <c r="BF40" s="27">
        <v>9019204</v>
      </c>
      <c r="BG40" s="27">
        <v>43.92</v>
      </c>
      <c r="BH40" s="27">
        <v>24742685</v>
      </c>
      <c r="BI40" s="27">
        <v>45.36</v>
      </c>
      <c r="BJ40" s="27">
        <v>5542520</v>
      </c>
      <c r="BK40" s="27">
        <v>46.76</v>
      </c>
      <c r="BL40" s="27">
        <v>9043094</v>
      </c>
      <c r="BM40" s="27">
        <v>48.29</v>
      </c>
      <c r="BN40" s="27">
        <v>2455151</v>
      </c>
      <c r="BO40" s="28">
        <v>50</v>
      </c>
      <c r="BP40" s="27">
        <v>8755200</v>
      </c>
      <c r="BQ40" s="18"/>
      <c r="BR40" s="18"/>
      <c r="BS40" s="18"/>
      <c r="BT40" s="18"/>
      <c r="BU40" s="17">
        <f t="shared" si="2"/>
        <v>409395795</v>
      </c>
      <c r="BV40" s="8">
        <f t="shared" si="22"/>
        <v>131.58761859807504</v>
      </c>
      <c r="BW40" s="8">
        <f t="shared" si="23"/>
        <v>2.6317523719615008</v>
      </c>
      <c r="BX40" s="159">
        <f t="shared" si="57"/>
        <v>2.6317523719615008</v>
      </c>
      <c r="BY40" s="159">
        <f t="shared" si="24"/>
        <v>2.4361310487471082</v>
      </c>
      <c r="BZ40" s="160">
        <f t="shared" si="25"/>
        <v>7.9365270565787127E-2</v>
      </c>
      <c r="CA40" s="16">
        <f t="shared" si="4"/>
        <v>2207403</v>
      </c>
      <c r="CB40" s="9">
        <f t="shared" si="26"/>
        <v>0.70950143505075958</v>
      </c>
      <c r="CC40" s="9">
        <f t="shared" si="27"/>
        <v>1.4190028701015191E-2</v>
      </c>
      <c r="CD40" s="158">
        <f t="shared" si="58"/>
        <v>1.4190028701015191E-2</v>
      </c>
      <c r="CE40" s="158">
        <f t="shared" si="28"/>
        <v>0.31428634996711385</v>
      </c>
      <c r="CF40" s="171">
        <f t="shared" si="29"/>
        <v>4.8931133451776525E-4</v>
      </c>
      <c r="CG40" s="16">
        <f t="shared" si="6"/>
        <v>372763678</v>
      </c>
      <c r="CH40" s="8">
        <f t="shared" si="30"/>
        <v>119.8133573596662</v>
      </c>
      <c r="CI40" s="8">
        <f t="shared" si="31"/>
        <v>2.3962671471933237</v>
      </c>
      <c r="CJ40" s="159">
        <f t="shared" si="59"/>
        <v>2.3962671471933237</v>
      </c>
      <c r="CK40" s="159">
        <f t="shared" si="32"/>
        <v>2.7190141236733507</v>
      </c>
      <c r="CL40" s="157">
        <f t="shared" si="33"/>
        <v>8.2629901627355992E-2</v>
      </c>
      <c r="CM40" s="8">
        <f t="shared" si="34"/>
        <v>0</v>
      </c>
      <c r="CN40" s="9">
        <f t="shared" si="8"/>
        <v>0</v>
      </c>
      <c r="CO40" s="8">
        <f t="shared" si="9"/>
        <v>0</v>
      </c>
      <c r="CP40" s="8">
        <f t="shared" si="10"/>
        <v>0</v>
      </c>
      <c r="CQ40" s="8">
        <f t="shared" si="35"/>
        <v>0</v>
      </c>
      <c r="CR40" s="159">
        <f t="shared" si="60"/>
        <v>0</v>
      </c>
      <c r="CS40" s="159">
        <f t="shared" si="36"/>
        <v>0</v>
      </c>
      <c r="CT40" s="166">
        <f t="shared" si="37"/>
        <v>0</v>
      </c>
      <c r="CU40" s="42" t="s">
        <v>217</v>
      </c>
      <c r="CV40" s="43">
        <v>31</v>
      </c>
      <c r="CW40" s="44">
        <f t="shared" si="12"/>
        <v>0.42631747035646589</v>
      </c>
      <c r="CX40" s="44">
        <f t="shared" si="13"/>
        <v>0.91052151134087733</v>
      </c>
      <c r="CY40" s="43">
        <f t="shared" si="14"/>
        <v>372763678</v>
      </c>
      <c r="CZ40" s="44">
        <f t="shared" si="38"/>
        <v>168.86978861585311</v>
      </c>
      <c r="DA40" s="45">
        <f t="shared" si="15"/>
        <v>5.3918555758492833E-3</v>
      </c>
      <c r="DB40" s="43">
        <f t="shared" si="16"/>
        <v>2207403</v>
      </c>
      <c r="DC40" s="45">
        <f t="shared" si="17"/>
        <v>5.9217223411987046E-3</v>
      </c>
      <c r="DD40" s="44">
        <f t="shared" si="18"/>
        <v>0</v>
      </c>
      <c r="DE40" s="44"/>
      <c r="DF40" s="46">
        <f t="shared" si="19"/>
        <v>6.345531938528568</v>
      </c>
      <c r="DG40" s="44">
        <f t="shared" si="40"/>
        <v>3.4541244674729095</v>
      </c>
      <c r="DH40" s="44"/>
      <c r="DI40" s="44"/>
      <c r="DJ40" s="92"/>
    </row>
    <row r="41" spans="1:114" s="30" customFormat="1" ht="15" customHeight="1" x14ac:dyDescent="0.2">
      <c r="A41" s="58">
        <v>24</v>
      </c>
      <c r="B41" s="70">
        <v>9</v>
      </c>
      <c r="C41" s="70" t="s">
        <v>139</v>
      </c>
      <c r="D41" s="213"/>
      <c r="E41" s="241"/>
      <c r="F41" s="167">
        <v>1</v>
      </c>
      <c r="G41" s="237"/>
      <c r="H41" s="168">
        <v>0.52</v>
      </c>
      <c r="I41" s="9">
        <v>31.193999999999999</v>
      </c>
      <c r="J41" s="108">
        <f t="shared" si="56"/>
        <v>9.6549336410848244E-2</v>
      </c>
      <c r="K41" s="8">
        <v>11.86</v>
      </c>
      <c r="L41" s="16">
        <v>2316383</v>
      </c>
      <c r="M41" s="8">
        <v>14</v>
      </c>
      <c r="N41" s="106">
        <v>4122713</v>
      </c>
      <c r="O41" s="8">
        <v>14.22</v>
      </c>
      <c r="P41" s="11">
        <v>3417530</v>
      </c>
      <c r="Q41" s="11">
        <v>57046509</v>
      </c>
      <c r="R41" s="95">
        <f>P41/Q41</f>
        <v>5.9907785067093239E-2</v>
      </c>
      <c r="S41" s="8">
        <v>16.22</v>
      </c>
      <c r="T41" s="11">
        <v>6227431</v>
      </c>
      <c r="U41" s="8">
        <v>16.510000000000002</v>
      </c>
      <c r="V41" s="11">
        <v>3486008</v>
      </c>
      <c r="W41" s="11">
        <v>78227383</v>
      </c>
      <c r="X41" s="64">
        <f>V41/W41</f>
        <v>4.4562503132694595E-2</v>
      </c>
      <c r="Y41" s="11">
        <v>18.47</v>
      </c>
      <c r="Z41" s="11">
        <v>8776899</v>
      </c>
      <c r="AA41" s="8">
        <v>20.2</v>
      </c>
      <c r="AB41" s="11">
        <v>2956140</v>
      </c>
      <c r="AC41" s="11">
        <v>2895957620</v>
      </c>
      <c r="AD41" s="102">
        <f t="shared" si="64"/>
        <v>1.0207815126797332E-3</v>
      </c>
      <c r="AE41" s="8">
        <v>20.71</v>
      </c>
      <c r="AF41" s="11">
        <v>10452989</v>
      </c>
      <c r="AG41" s="8">
        <v>22.9</v>
      </c>
      <c r="AH41" s="11">
        <v>13551599</v>
      </c>
      <c r="AI41" s="8">
        <v>25.03</v>
      </c>
      <c r="AJ41" s="11">
        <v>19667094</v>
      </c>
      <c r="AK41" s="8">
        <v>27.09</v>
      </c>
      <c r="AL41" s="11">
        <v>30484451</v>
      </c>
      <c r="AM41" s="8">
        <v>29.07</v>
      </c>
      <c r="AN41" s="11">
        <v>45449495</v>
      </c>
      <c r="AO41" s="8">
        <v>30.99</v>
      </c>
      <c r="AP41" s="11">
        <v>63596030</v>
      </c>
      <c r="AQ41" s="11">
        <v>381617003</v>
      </c>
      <c r="AR41" s="95">
        <f t="shared" si="21"/>
        <v>0.16664883770915206</v>
      </c>
      <c r="AS41" s="8">
        <v>32.840000000000003</v>
      </c>
      <c r="AT41" s="11">
        <v>64106988</v>
      </c>
      <c r="AU41" s="8">
        <v>34.630000000000003</v>
      </c>
      <c r="AV41" s="11">
        <v>123895719</v>
      </c>
      <c r="AW41" s="8">
        <v>36.35</v>
      </c>
      <c r="AX41" s="11">
        <v>68809714</v>
      </c>
      <c r="AY41" s="8">
        <v>38.03</v>
      </c>
      <c r="AZ41" s="11">
        <v>154641318</v>
      </c>
      <c r="BA41" s="8">
        <v>39.64</v>
      </c>
      <c r="BB41" s="11">
        <v>45836834</v>
      </c>
      <c r="BC41" s="8" t="s">
        <v>63</v>
      </c>
      <c r="BD41" s="11">
        <v>92963910</v>
      </c>
      <c r="BE41" s="8" t="s">
        <v>68</v>
      </c>
      <c r="BF41" s="11">
        <v>22814146</v>
      </c>
      <c r="BG41" s="8">
        <v>44.22</v>
      </c>
      <c r="BH41" s="11">
        <v>55414051</v>
      </c>
      <c r="BI41" s="8">
        <v>45.66</v>
      </c>
      <c r="BJ41" s="11">
        <v>17976664</v>
      </c>
      <c r="BK41" s="108">
        <v>47.07</v>
      </c>
      <c r="BL41" s="11">
        <v>28444686</v>
      </c>
      <c r="BM41" s="8">
        <v>48.62</v>
      </c>
      <c r="BN41" s="11">
        <v>5077874</v>
      </c>
      <c r="BO41" s="8">
        <v>50.44</v>
      </c>
      <c r="BP41" s="11">
        <v>16303253</v>
      </c>
      <c r="BQ41" s="14"/>
      <c r="BR41" s="15"/>
      <c r="BS41" s="14"/>
      <c r="BT41" s="15"/>
      <c r="BU41" s="17">
        <f t="shared" si="2"/>
        <v>900930241</v>
      </c>
      <c r="BV41" s="8">
        <f t="shared" si="22"/>
        <v>29.424931471789424</v>
      </c>
      <c r="BW41" s="8">
        <f t="shared" si="23"/>
        <v>0.58849862943578846</v>
      </c>
      <c r="BX41" s="159">
        <f t="shared" si="57"/>
        <v>0.58849862943578846</v>
      </c>
      <c r="BY41" s="159">
        <f t="shared" si="24"/>
        <v>0.54475481758380861</v>
      </c>
      <c r="BZ41" s="160">
        <f t="shared" si="25"/>
        <v>1.7747244554758398E-2</v>
      </c>
      <c r="CA41" s="16">
        <f t="shared" si="4"/>
        <v>45448014</v>
      </c>
      <c r="CB41" s="9">
        <f t="shared" si="26"/>
        <v>1.4843598722966236</v>
      </c>
      <c r="CC41" s="9">
        <f t="shared" si="27"/>
        <v>2.968719744593247E-2</v>
      </c>
      <c r="CD41" s="158">
        <f t="shared" si="58"/>
        <v>2.968719744593247E-2</v>
      </c>
      <c r="CE41" s="158">
        <f t="shared" si="28"/>
        <v>0.65752375295531496</v>
      </c>
      <c r="CF41" s="171">
        <f t="shared" si="29"/>
        <v>1.0236964636528437E-3</v>
      </c>
      <c r="CG41" s="16">
        <f t="shared" si="6"/>
        <v>759881187</v>
      </c>
      <c r="CH41" s="8">
        <f t="shared" si="30"/>
        <v>24.818183291703942</v>
      </c>
      <c r="CI41" s="8">
        <f t="shared" si="31"/>
        <v>0.49636366583407882</v>
      </c>
      <c r="CJ41" s="159">
        <f t="shared" si="59"/>
        <v>0.49636366583407882</v>
      </c>
      <c r="CK41" s="159">
        <f t="shared" si="32"/>
        <v>0.56321759427445683</v>
      </c>
      <c r="CL41" s="157">
        <f t="shared" si="33"/>
        <v>1.71159884770372E-2</v>
      </c>
      <c r="CM41" s="8">
        <f t="shared" si="34"/>
        <v>0.11161861537821828</v>
      </c>
      <c r="CN41" s="9">
        <f t="shared" si="8"/>
        <v>1.1161861537821829E-3</v>
      </c>
      <c r="CO41" s="8">
        <f t="shared" si="9"/>
        <v>4113.8505750094509</v>
      </c>
      <c r="CP41" s="8">
        <f t="shared" si="10"/>
        <v>41.138505750094509</v>
      </c>
      <c r="CQ41" s="8">
        <f t="shared" si="35"/>
        <v>41.13962193624829</v>
      </c>
      <c r="CR41" s="159">
        <f t="shared" si="60"/>
        <v>41.13962193624829</v>
      </c>
      <c r="CS41" s="159">
        <f t="shared" si="36"/>
        <v>0.68910358652480708</v>
      </c>
      <c r="CT41" s="166">
        <f t="shared" si="37"/>
        <v>1.4324380897022385E-2</v>
      </c>
      <c r="CU41" s="42" t="s">
        <v>213</v>
      </c>
      <c r="CV41" s="43">
        <v>31</v>
      </c>
      <c r="CW41" s="44">
        <f t="shared" si="12"/>
        <v>0.37545212898331853</v>
      </c>
      <c r="CX41" s="44">
        <f t="shared" si="13"/>
        <v>0.84344064880823555</v>
      </c>
      <c r="CY41" s="43">
        <f t="shared" si="14"/>
        <v>759881187</v>
      </c>
      <c r="CZ41" s="44">
        <f t="shared" si="38"/>
        <v>16.719788613865504</v>
      </c>
      <c r="DA41" s="45">
        <f t="shared" si="15"/>
        <v>5.0445652650702839E-2</v>
      </c>
      <c r="DB41" s="43">
        <f t="shared" si="16"/>
        <v>45448014</v>
      </c>
      <c r="DC41" s="45">
        <f t="shared" si="17"/>
        <v>5.9809368592777121E-2</v>
      </c>
      <c r="DD41" s="44">
        <f t="shared" si="18"/>
        <v>41.13962193624829</v>
      </c>
      <c r="DE41" s="44">
        <f t="shared" si="39"/>
        <v>28.79938923744373</v>
      </c>
      <c r="DF41" s="46">
        <f t="shared" si="19"/>
        <v>3.5652263886409292</v>
      </c>
      <c r="DG41" s="44">
        <f t="shared" si="40"/>
        <v>2.0438088563409478</v>
      </c>
      <c r="DH41" s="44">
        <f t="shared" si="43"/>
        <v>0.82895171213712915</v>
      </c>
      <c r="DI41" s="44">
        <f t="shared" si="41"/>
        <v>0.55978267764026612</v>
      </c>
      <c r="DJ41" s="92">
        <f t="shared" si="44"/>
        <v>0.98035632735208866</v>
      </c>
    </row>
    <row r="42" spans="1:114" s="30" customFormat="1" ht="15" customHeight="1" x14ac:dyDescent="0.2">
      <c r="A42" s="58">
        <v>23</v>
      </c>
      <c r="B42" s="51">
        <v>3</v>
      </c>
      <c r="C42" s="51" t="s">
        <v>141</v>
      </c>
      <c r="D42" s="213"/>
      <c r="E42" s="241"/>
      <c r="F42" s="167">
        <v>1</v>
      </c>
      <c r="G42" s="237"/>
      <c r="H42" s="168">
        <v>0.45</v>
      </c>
      <c r="I42" s="11">
        <v>30.372</v>
      </c>
      <c r="J42" s="108">
        <f t="shared" si="56"/>
        <v>9.9162386408534184E-2</v>
      </c>
      <c r="K42" s="18"/>
      <c r="L42" s="18"/>
      <c r="M42" s="18"/>
      <c r="N42" s="18"/>
      <c r="O42" s="18"/>
      <c r="P42" s="18"/>
      <c r="Q42" s="18"/>
      <c r="R42" s="97"/>
      <c r="S42" s="18"/>
      <c r="T42" s="18"/>
      <c r="U42" s="18"/>
      <c r="V42" s="18"/>
      <c r="W42" s="18"/>
      <c r="X42" s="97"/>
      <c r="Y42" s="18"/>
      <c r="Z42" s="18"/>
      <c r="AA42" s="8">
        <v>19.96</v>
      </c>
      <c r="AB42" s="11">
        <v>252429</v>
      </c>
      <c r="AC42" s="11">
        <v>47521873</v>
      </c>
      <c r="AD42" s="102">
        <f t="shared" si="64"/>
        <v>5.3118487143804282E-3</v>
      </c>
      <c r="AE42" s="11">
        <v>20.47</v>
      </c>
      <c r="AF42" s="11">
        <v>1010385</v>
      </c>
      <c r="AG42" s="27">
        <v>22.65</v>
      </c>
      <c r="AH42" s="27">
        <v>16282144</v>
      </c>
      <c r="AI42" s="27">
        <v>24.77</v>
      </c>
      <c r="AJ42" s="27">
        <v>25819143</v>
      </c>
      <c r="AK42" s="27">
        <v>26.82</v>
      </c>
      <c r="AL42" s="27">
        <v>39152852</v>
      </c>
      <c r="AM42" s="27">
        <v>28.81</v>
      </c>
      <c r="AN42" s="27">
        <v>30947155</v>
      </c>
      <c r="AO42" s="27">
        <v>30.71</v>
      </c>
      <c r="AP42" s="27">
        <v>39960288</v>
      </c>
      <c r="AQ42" s="27">
        <v>249871030</v>
      </c>
      <c r="AR42" s="95">
        <f t="shared" ref="AR42" si="65">AP42/AQ42</f>
        <v>0.15992365341432338</v>
      </c>
      <c r="AS42" s="27">
        <v>32.56</v>
      </c>
      <c r="AT42" s="27">
        <v>26330061</v>
      </c>
      <c r="AU42" s="27">
        <v>34.35</v>
      </c>
      <c r="AV42" s="27">
        <v>93782085</v>
      </c>
      <c r="AW42" s="27">
        <v>36.07</v>
      </c>
      <c r="AX42" s="27">
        <v>26519525</v>
      </c>
      <c r="AY42" s="27">
        <v>37.74</v>
      </c>
      <c r="AZ42" s="27">
        <v>110785511</v>
      </c>
      <c r="BA42" s="27">
        <v>39.36</v>
      </c>
      <c r="BB42" s="27">
        <v>17072929</v>
      </c>
      <c r="BC42" s="27">
        <v>40.93</v>
      </c>
      <c r="BD42" s="27">
        <v>50094757</v>
      </c>
      <c r="BE42" s="27">
        <v>42.45</v>
      </c>
      <c r="BF42" s="27">
        <v>6695270</v>
      </c>
      <c r="BG42" s="27">
        <v>43.93</v>
      </c>
      <c r="BH42" s="27">
        <v>20167804</v>
      </c>
      <c r="BI42" s="27">
        <v>45.37</v>
      </c>
      <c r="BJ42" s="27">
        <v>5830709</v>
      </c>
      <c r="BK42" s="27">
        <v>46.77</v>
      </c>
      <c r="BL42" s="27">
        <v>7811052</v>
      </c>
      <c r="BM42" s="27">
        <v>48.28</v>
      </c>
      <c r="BN42" s="27">
        <v>1729882</v>
      </c>
      <c r="BO42" s="27">
        <v>50.02</v>
      </c>
      <c r="BP42" s="27">
        <v>9391546</v>
      </c>
      <c r="BQ42" s="27"/>
      <c r="BR42" s="27"/>
      <c r="BS42" s="18"/>
      <c r="BT42" s="18"/>
      <c r="BU42" s="17">
        <f t="shared" si="2"/>
        <v>529383098</v>
      </c>
      <c r="BV42" s="8">
        <f t="shared" si="22"/>
        <v>207.95903530110616</v>
      </c>
      <c r="BW42" s="8">
        <f t="shared" si="23"/>
        <v>4.1591807060221226</v>
      </c>
      <c r="BX42" s="159">
        <f t="shared" si="57"/>
        <v>4.1591807060221226</v>
      </c>
      <c r="BY42" s="159">
        <f t="shared" si="24"/>
        <v>3.8500237952625409</v>
      </c>
      <c r="BZ42" s="160">
        <f t="shared" si="25"/>
        <v>0.12542764493432218</v>
      </c>
      <c r="CA42" s="16">
        <f t="shared" si="4"/>
        <v>17292529</v>
      </c>
      <c r="CB42" s="9">
        <f t="shared" si="26"/>
        <v>6.7930722804383938</v>
      </c>
      <c r="CC42" s="9">
        <f t="shared" si="27"/>
        <v>0.13586144560876787</v>
      </c>
      <c r="CD42" s="158">
        <f t="shared" si="58"/>
        <v>0.13586144560876787</v>
      </c>
      <c r="CE42" s="158">
        <f t="shared" si="28"/>
        <v>3.009112859551891</v>
      </c>
      <c r="CF42" s="171">
        <f t="shared" si="29"/>
        <v>4.684877434785099E-3</v>
      </c>
      <c r="CG42" s="16">
        <f t="shared" si="6"/>
        <v>416171419</v>
      </c>
      <c r="CH42" s="8">
        <f t="shared" si="30"/>
        <v>163.48577644829231</v>
      </c>
      <c r="CI42" s="8">
        <f t="shared" si="31"/>
        <v>3.2697155289658464</v>
      </c>
      <c r="CJ42" s="159">
        <f t="shared" si="59"/>
        <v>3.2697155289658464</v>
      </c>
      <c r="CK42" s="159">
        <f t="shared" si="32"/>
        <v>3.7101049914510909</v>
      </c>
      <c r="CL42" s="157">
        <f t="shared" si="33"/>
        <v>0.11274881134364988</v>
      </c>
      <c r="CM42" s="8">
        <f t="shared" si="34"/>
        <v>0</v>
      </c>
      <c r="CN42" s="9">
        <f t="shared" si="8"/>
        <v>0</v>
      </c>
      <c r="CO42" s="8">
        <f t="shared" si="9"/>
        <v>0</v>
      </c>
      <c r="CP42" s="8">
        <f t="shared" si="10"/>
        <v>0</v>
      </c>
      <c r="CQ42" s="8">
        <f t="shared" si="35"/>
        <v>0</v>
      </c>
      <c r="CR42" s="159">
        <f t="shared" si="60"/>
        <v>0</v>
      </c>
      <c r="CS42" s="159">
        <f t="shared" si="36"/>
        <v>0</v>
      </c>
      <c r="CT42" s="166">
        <f t="shared" si="37"/>
        <v>0</v>
      </c>
      <c r="CU42" s="42"/>
      <c r="CV42" s="43">
        <v>31</v>
      </c>
      <c r="CW42" s="44">
        <f t="shared" si="12"/>
        <v>0.3113791245051879</v>
      </c>
      <c r="CX42" s="44">
        <f t="shared" si="13"/>
        <v>0.78614413752967993</v>
      </c>
      <c r="CY42" s="43">
        <f t="shared" si="14"/>
        <v>416171419</v>
      </c>
      <c r="CZ42" s="44">
        <f t="shared" si="38"/>
        <v>24.066544517577505</v>
      </c>
      <c r="DA42" s="45">
        <f t="shared" si="15"/>
        <v>3.2665434664104064E-2</v>
      </c>
      <c r="DB42" s="43">
        <f t="shared" si="16"/>
        <v>17292529</v>
      </c>
      <c r="DC42" s="45">
        <f t="shared" si="17"/>
        <v>4.1551457429612679E-2</v>
      </c>
      <c r="DD42" s="44">
        <f t="shared" si="18"/>
        <v>0</v>
      </c>
      <c r="DE42" s="44"/>
      <c r="DF42" s="46">
        <f t="shared" si="19"/>
        <v>6.5658394274289194</v>
      </c>
      <c r="DG42" s="44">
        <f t="shared" si="40"/>
        <v>3.3199263688805498</v>
      </c>
      <c r="DH42" s="44"/>
      <c r="DI42" s="44"/>
      <c r="DJ42" s="92"/>
    </row>
    <row r="43" spans="1:114" s="30" customFormat="1" ht="15" customHeight="1" x14ac:dyDescent="0.2">
      <c r="A43" s="58">
        <v>22</v>
      </c>
      <c r="B43" s="70">
        <v>8</v>
      </c>
      <c r="C43" s="70" t="s">
        <v>140</v>
      </c>
      <c r="D43" s="213"/>
      <c r="E43" s="241"/>
      <c r="F43" s="167">
        <v>1</v>
      </c>
      <c r="G43" s="237"/>
      <c r="H43" s="168">
        <v>0.4</v>
      </c>
      <c r="I43" s="9">
        <v>30.016999999999999</v>
      </c>
      <c r="J43" s="108">
        <f t="shared" si="56"/>
        <v>0.1003351434187294</v>
      </c>
      <c r="K43" s="8">
        <v>11.87</v>
      </c>
      <c r="L43" s="16">
        <v>874814</v>
      </c>
      <c r="M43" s="8">
        <v>14</v>
      </c>
      <c r="N43" s="11">
        <v>1665252</v>
      </c>
      <c r="O43" s="8">
        <v>14.21</v>
      </c>
      <c r="P43" s="11">
        <v>836114</v>
      </c>
      <c r="Q43" s="11">
        <v>48487206</v>
      </c>
      <c r="R43" s="64">
        <f>P43/Q43</f>
        <v>1.7244012781433518E-2</v>
      </c>
      <c r="S43" s="8">
        <v>16.22</v>
      </c>
      <c r="T43" s="11">
        <v>2526343</v>
      </c>
      <c r="U43" s="8">
        <v>16.510000000000002</v>
      </c>
      <c r="V43" s="11">
        <v>1396102</v>
      </c>
      <c r="W43" s="11">
        <v>53920319</v>
      </c>
      <c r="X43" s="64">
        <f>V43/W43</f>
        <v>2.5891946225318142E-2</v>
      </c>
      <c r="Y43" s="11">
        <v>18.48</v>
      </c>
      <c r="Z43" s="11">
        <v>3421486</v>
      </c>
      <c r="AA43" s="8">
        <v>20.2</v>
      </c>
      <c r="AB43" s="11">
        <v>345417</v>
      </c>
      <c r="AC43" s="11">
        <v>391173127</v>
      </c>
      <c r="AD43" s="102">
        <f t="shared" ref="AD43" si="66">AB43/AC43</f>
        <v>8.8302844995791338E-4</v>
      </c>
      <c r="AE43" s="8">
        <v>20.71</v>
      </c>
      <c r="AF43" s="11">
        <v>4670933</v>
      </c>
      <c r="AG43" s="8">
        <v>22.9</v>
      </c>
      <c r="AH43" s="11">
        <v>9280864</v>
      </c>
      <c r="AI43" s="8">
        <v>25.03</v>
      </c>
      <c r="AJ43" s="11">
        <v>19058052</v>
      </c>
      <c r="AK43" s="8">
        <v>27.09</v>
      </c>
      <c r="AL43" s="11">
        <v>40793940</v>
      </c>
      <c r="AM43" s="8">
        <v>29.07</v>
      </c>
      <c r="AN43" s="11">
        <v>75482620</v>
      </c>
      <c r="AO43" s="8">
        <v>30.99</v>
      </c>
      <c r="AP43" s="11">
        <v>126135172</v>
      </c>
      <c r="AQ43" s="11">
        <v>734661587</v>
      </c>
      <c r="AR43" s="95">
        <f t="shared" si="21"/>
        <v>0.17169153013032107</v>
      </c>
      <c r="AS43" s="8">
        <v>32.85</v>
      </c>
      <c r="AT43" s="11">
        <v>136749795</v>
      </c>
      <c r="AU43" s="8">
        <v>34.619999999999997</v>
      </c>
      <c r="AV43" s="11">
        <v>268818189</v>
      </c>
      <c r="AW43" s="8">
        <v>36.35</v>
      </c>
      <c r="AX43" s="11">
        <v>150727369</v>
      </c>
      <c r="AY43" s="8">
        <v>38.03</v>
      </c>
      <c r="AZ43" s="11">
        <v>335973557</v>
      </c>
      <c r="BA43" s="8">
        <v>39.65</v>
      </c>
      <c r="BB43" s="11">
        <v>100322847</v>
      </c>
      <c r="BC43" s="8" t="s">
        <v>63</v>
      </c>
      <c r="BD43" s="11">
        <v>226414879</v>
      </c>
      <c r="BE43" s="8" t="s">
        <v>68</v>
      </c>
      <c r="BF43" s="11">
        <v>49388955</v>
      </c>
      <c r="BG43" s="8">
        <v>44.22</v>
      </c>
      <c r="BH43" s="11">
        <v>115931497</v>
      </c>
      <c r="BI43" s="8">
        <v>45.65</v>
      </c>
      <c r="BJ43" s="11">
        <v>20386923</v>
      </c>
      <c r="BK43" s="8">
        <v>47.07</v>
      </c>
      <c r="BL43" s="11">
        <v>43679189</v>
      </c>
      <c r="BM43" s="8">
        <v>48.62</v>
      </c>
      <c r="BN43" s="11">
        <v>6002475</v>
      </c>
      <c r="BO43" s="8">
        <v>50.43</v>
      </c>
      <c r="BP43" s="11">
        <v>15379870</v>
      </c>
      <c r="BQ43" s="14"/>
      <c r="BR43" s="15"/>
      <c r="BS43" s="14"/>
      <c r="BT43" s="15"/>
      <c r="BU43" s="17">
        <f t="shared" si="2"/>
        <v>1753685021</v>
      </c>
      <c r="BV43" s="8">
        <f t="shared" si="22"/>
        <v>509.40236900127229</v>
      </c>
      <c r="BW43" s="8">
        <f t="shared" si="23"/>
        <v>10.188047380025447</v>
      </c>
      <c r="BX43" s="159">
        <f t="shared" si="57"/>
        <v>10.188047380025447</v>
      </c>
      <c r="BY43" s="159">
        <f t="shared" si="24"/>
        <v>9.4307575488525828</v>
      </c>
      <c r="BZ43" s="160">
        <f t="shared" si="25"/>
        <v>0.30723906453635247</v>
      </c>
      <c r="CA43" s="16">
        <f t="shared" si="4"/>
        <v>22439692</v>
      </c>
      <c r="CB43" s="9">
        <f t="shared" si="26"/>
        <v>6.5181786509989799</v>
      </c>
      <c r="CC43" s="9">
        <f t="shared" si="27"/>
        <v>0.13036357301997958</v>
      </c>
      <c r="CD43" s="158">
        <f t="shared" si="58"/>
        <v>0.13036357301997958</v>
      </c>
      <c r="CE43" s="158">
        <f t="shared" si="28"/>
        <v>2.8873438099663256</v>
      </c>
      <c r="CF43" s="171">
        <f t="shared" si="29"/>
        <v>4.4952956213786064E-3</v>
      </c>
      <c r="CG43" s="16">
        <f t="shared" si="6"/>
        <v>1595910717</v>
      </c>
      <c r="CH43" s="8">
        <f t="shared" si="30"/>
        <v>463.57281394280614</v>
      </c>
      <c r="CI43" s="8">
        <f t="shared" si="31"/>
        <v>9.2714562788561228</v>
      </c>
      <c r="CJ43" s="159">
        <f t="shared" si="59"/>
        <v>9.2714562788561228</v>
      </c>
      <c r="CK43" s="159">
        <f t="shared" si="32"/>
        <v>10.52020456014538</v>
      </c>
      <c r="CL43" s="157">
        <f t="shared" si="33"/>
        <v>0.3197053889260732</v>
      </c>
      <c r="CM43" s="8">
        <f t="shared" si="34"/>
        <v>0.24287055386506026</v>
      </c>
      <c r="CN43" s="9">
        <f t="shared" si="8"/>
        <v>2.4287055386506026E-3</v>
      </c>
      <c r="CO43" s="8">
        <f t="shared" si="9"/>
        <v>2984.1017878204093</v>
      </c>
      <c r="CP43" s="8">
        <f t="shared" si="10"/>
        <v>29.841017878204092</v>
      </c>
      <c r="CQ43" s="8">
        <f t="shared" si="35"/>
        <v>29.843446583742743</v>
      </c>
      <c r="CR43" s="159">
        <f t="shared" si="60"/>
        <v>29.843446583742743</v>
      </c>
      <c r="CS43" s="159">
        <f t="shared" si="36"/>
        <v>0.49988855286486045</v>
      </c>
      <c r="CT43" s="166">
        <f t="shared" si="37"/>
        <v>1.0391172208824075E-2</v>
      </c>
      <c r="CU43" s="42" t="s">
        <v>213</v>
      </c>
      <c r="CV43" s="43">
        <v>31</v>
      </c>
      <c r="CW43" s="44">
        <f t="shared" si="12"/>
        <v>0.40259518956396179</v>
      </c>
      <c r="CX43" s="44">
        <f t="shared" si="13"/>
        <v>0.91003270136273806</v>
      </c>
      <c r="CY43" s="43">
        <f t="shared" si="14"/>
        <v>1595910717</v>
      </c>
      <c r="CZ43" s="44">
        <f t="shared" si="38"/>
        <v>71.119992065844755</v>
      </c>
      <c r="DA43" s="45">
        <f t="shared" si="15"/>
        <v>1.2795736823482853E-2</v>
      </c>
      <c r="DB43" s="43">
        <f t="shared" si="16"/>
        <v>22439692</v>
      </c>
      <c r="DC43" s="45">
        <f t="shared" si="17"/>
        <v>1.4060743975817289E-2</v>
      </c>
      <c r="DD43" s="44">
        <f t="shared" si="18"/>
        <v>29.843446583742743</v>
      </c>
      <c r="DE43" s="44">
        <f t="shared" si="39"/>
        <v>163.40661244986472</v>
      </c>
      <c r="DF43" s="46">
        <f t="shared" si="19"/>
        <v>3.5707607764738039</v>
      </c>
      <c r="DG43" s="44">
        <f t="shared" si="40"/>
        <v>2.1263120351368507</v>
      </c>
      <c r="DH43" s="44">
        <f t="shared" si="43"/>
        <v>0.50209457787770262</v>
      </c>
      <c r="DI43" s="44">
        <f t="shared" si="41"/>
        <v>0.55261775617958453</v>
      </c>
      <c r="DJ43" s="92">
        <f t="shared" si="44"/>
        <v>0.59889177151812689</v>
      </c>
    </row>
    <row r="44" spans="1:114" s="30" customFormat="1" ht="15" customHeight="1" x14ac:dyDescent="0.2">
      <c r="A44" s="58">
        <v>21</v>
      </c>
      <c r="B44" s="70">
        <v>7</v>
      </c>
      <c r="C44" s="70" t="s">
        <v>142</v>
      </c>
      <c r="D44" s="213"/>
      <c r="E44" s="241"/>
      <c r="F44" s="167">
        <v>1</v>
      </c>
      <c r="G44" s="237"/>
      <c r="H44" s="168">
        <v>0.37</v>
      </c>
      <c r="I44" s="9">
        <v>32.942</v>
      </c>
      <c r="J44" s="108">
        <f t="shared" si="56"/>
        <v>9.1426142917855627E-2</v>
      </c>
      <c r="K44" s="8">
        <v>12.42</v>
      </c>
      <c r="L44" s="16">
        <v>940296</v>
      </c>
      <c r="M44" s="8">
        <v>14.5</v>
      </c>
      <c r="N44" s="11">
        <v>1023445</v>
      </c>
      <c r="O44" s="8">
        <v>14.72</v>
      </c>
      <c r="P44" s="11">
        <v>1800801</v>
      </c>
      <c r="Q44" s="11">
        <v>8622655</v>
      </c>
      <c r="R44" s="95">
        <f>P44/Q44</f>
        <v>0.20884530344771998</v>
      </c>
      <c r="S44" s="8">
        <v>16.739999999999998</v>
      </c>
      <c r="T44" s="11">
        <v>3606578</v>
      </c>
      <c r="U44" s="8">
        <v>17.04</v>
      </c>
      <c r="V44" s="11">
        <v>3076516</v>
      </c>
      <c r="W44" s="11">
        <v>29745046</v>
      </c>
      <c r="X44" s="95">
        <f>V44/W44</f>
        <v>0.1034295257099283</v>
      </c>
      <c r="Y44" s="11">
        <v>19.010000000000002</v>
      </c>
      <c r="Z44" s="11">
        <v>8923029</v>
      </c>
      <c r="AA44" s="8">
        <v>20.79</v>
      </c>
      <c r="AB44" s="11">
        <v>1343540</v>
      </c>
      <c r="AC44" s="11">
        <v>1510254604</v>
      </c>
      <c r="AD44" s="102">
        <f t="shared" ref="AD44:AD46" si="67">AB44/AC44</f>
        <v>8.8961159028520993E-4</v>
      </c>
      <c r="AE44" s="8">
        <v>21.26</v>
      </c>
      <c r="AF44" s="11">
        <v>19662117</v>
      </c>
      <c r="AG44" s="8">
        <v>23.46</v>
      </c>
      <c r="AH44" s="11">
        <v>40026377</v>
      </c>
      <c r="AI44" s="8">
        <v>25.59</v>
      </c>
      <c r="AJ44" s="11">
        <v>48347014</v>
      </c>
      <c r="AK44" s="8">
        <v>27.65</v>
      </c>
      <c r="AL44" s="11">
        <v>55651188</v>
      </c>
      <c r="AM44" s="8">
        <v>29.64</v>
      </c>
      <c r="AN44" s="11">
        <v>63230245</v>
      </c>
      <c r="AO44" s="8">
        <v>31.56</v>
      </c>
      <c r="AP44" s="11">
        <v>75090648</v>
      </c>
      <c r="AQ44" s="11">
        <v>393142527</v>
      </c>
      <c r="AR44" s="95">
        <f t="shared" si="21"/>
        <v>0.19100108190534168</v>
      </c>
      <c r="AS44" s="8">
        <v>33.409999999999997</v>
      </c>
      <c r="AT44" s="11">
        <v>63639600</v>
      </c>
      <c r="AU44" s="8">
        <v>35.200000000000003</v>
      </c>
      <c r="AV44" s="11">
        <v>203337753</v>
      </c>
      <c r="AW44" s="8">
        <v>36.93</v>
      </c>
      <c r="AX44" s="11">
        <v>64438869</v>
      </c>
      <c r="AY44" s="8">
        <v>38.6</v>
      </c>
      <c r="AZ44" s="11">
        <v>246499576</v>
      </c>
      <c r="BA44" s="8">
        <v>40.22</v>
      </c>
      <c r="BB44" s="11">
        <v>45534637</v>
      </c>
      <c r="BC44" s="8" t="s">
        <v>65</v>
      </c>
      <c r="BD44" s="11">
        <v>126153454</v>
      </c>
      <c r="BE44" s="8" t="s">
        <v>66</v>
      </c>
      <c r="BF44" s="11">
        <v>16276857</v>
      </c>
      <c r="BG44" s="8">
        <v>44.79</v>
      </c>
      <c r="BH44" s="11">
        <v>40980120</v>
      </c>
      <c r="BI44" s="8">
        <v>46.23</v>
      </c>
      <c r="BJ44" s="11">
        <v>10981231</v>
      </c>
      <c r="BK44" s="8">
        <v>47.71</v>
      </c>
      <c r="BL44" s="11">
        <v>12729841</v>
      </c>
      <c r="BM44" s="8">
        <v>49.38</v>
      </c>
      <c r="BN44" s="11">
        <v>6685488</v>
      </c>
      <c r="BO44" s="8">
        <v>51.3</v>
      </c>
      <c r="BP44" s="11">
        <v>14296506</v>
      </c>
      <c r="BQ44" s="14"/>
      <c r="BR44" s="15"/>
      <c r="BS44" s="14"/>
      <c r="BT44" s="15"/>
      <c r="BU44" s="17">
        <f t="shared" si="2"/>
        <v>1168054869</v>
      </c>
      <c r="BV44" s="8">
        <f t="shared" si="22"/>
        <v>79.484608860987493</v>
      </c>
      <c r="BW44" s="8">
        <f t="shared" si="23"/>
        <v>1.5896921772197496</v>
      </c>
      <c r="BX44" s="159">
        <f t="shared" si="57"/>
        <v>1.5896921772197496</v>
      </c>
      <c r="BY44" s="159">
        <f t="shared" si="24"/>
        <v>1.471528443228501</v>
      </c>
      <c r="BZ44" s="160">
        <f t="shared" si="25"/>
        <v>4.7940053595287989E-2</v>
      </c>
      <c r="CA44" s="16">
        <f t="shared" si="4"/>
        <v>74181842</v>
      </c>
      <c r="CB44" s="9">
        <f t="shared" si="26"/>
        <v>5.0479774986988</v>
      </c>
      <c r="CC44" s="9">
        <f t="shared" si="27"/>
        <v>0.10095954997397601</v>
      </c>
      <c r="CD44" s="158">
        <f t="shared" si="58"/>
        <v>0.10095954997397601</v>
      </c>
      <c r="CE44" s="158">
        <f t="shared" si="28"/>
        <v>2.2360919152597121</v>
      </c>
      <c r="CF44" s="171">
        <f t="shared" si="29"/>
        <v>3.4813637922060693E-3</v>
      </c>
      <c r="CG44" s="16">
        <f t="shared" si="6"/>
        <v>926644580</v>
      </c>
      <c r="CH44" s="8">
        <f t="shared" si="30"/>
        <v>63.056953871962357</v>
      </c>
      <c r="CI44" s="8">
        <f t="shared" si="31"/>
        <v>1.2611390774392472</v>
      </c>
      <c r="CJ44" s="159">
        <f t="shared" si="59"/>
        <v>1.2611390774392472</v>
      </c>
      <c r="CK44" s="159">
        <f t="shared" si="32"/>
        <v>1.4309986127757259</v>
      </c>
      <c r="CL44" s="157">
        <f t="shared" si="33"/>
        <v>4.3487554394456798E-2</v>
      </c>
      <c r="CM44" s="8">
        <f t="shared" si="34"/>
        <v>0.12254215698275997</v>
      </c>
      <c r="CN44" s="9">
        <f t="shared" si="8"/>
        <v>1.2254215698275996E-3</v>
      </c>
      <c r="CO44" s="8">
        <f t="shared" si="9"/>
        <v>3668.383512715317</v>
      </c>
      <c r="CP44" s="8">
        <f t="shared" si="10"/>
        <v>36.683835127153174</v>
      </c>
      <c r="CQ44" s="8">
        <f t="shared" si="35"/>
        <v>36.685060548723001</v>
      </c>
      <c r="CR44" s="159">
        <f t="shared" si="60"/>
        <v>36.685060548723001</v>
      </c>
      <c r="CS44" s="159">
        <f t="shared" si="36"/>
        <v>0.61448806785777932</v>
      </c>
      <c r="CT44" s="166">
        <f t="shared" si="37"/>
        <v>1.2773349773232242E-2</v>
      </c>
      <c r="CU44" s="42" t="s">
        <v>10</v>
      </c>
      <c r="CV44" s="43">
        <v>31</v>
      </c>
      <c r="CW44" s="44">
        <f t="shared" si="12"/>
        <v>0.33852791697413542</v>
      </c>
      <c r="CX44" s="44">
        <f t="shared" si="13"/>
        <v>0.79332281778280056</v>
      </c>
      <c r="CY44" s="43">
        <f t="shared" si="14"/>
        <v>926644580</v>
      </c>
      <c r="CZ44" s="44">
        <f t="shared" si="38"/>
        <v>12.491528317671055</v>
      </c>
      <c r="DA44" s="45">
        <f t="shared" si="15"/>
        <v>6.3508867578719888E-2</v>
      </c>
      <c r="DB44" s="43">
        <f t="shared" si="16"/>
        <v>74181842</v>
      </c>
      <c r="DC44" s="45">
        <f t="shared" si="17"/>
        <v>8.0054255537759689E-2</v>
      </c>
      <c r="DD44" s="44">
        <f t="shared" si="18"/>
        <v>36.685060548723001</v>
      </c>
      <c r="DE44" s="44">
        <f t="shared" si="39"/>
        <v>57.9090422394911</v>
      </c>
      <c r="DF44" s="46">
        <f t="shared" si="19"/>
        <v>5.9629000802555003</v>
      </c>
      <c r="DG44" s="44">
        <f t="shared" si="40"/>
        <v>3.0514675542767677</v>
      </c>
      <c r="DH44" s="44">
        <f t="shared" si="43"/>
        <v>1.7595483880423473</v>
      </c>
      <c r="DI44" s="44">
        <f t="shared" si="41"/>
        <v>0.85302910404266874</v>
      </c>
      <c r="DJ44" s="92">
        <f t="shared" si="44"/>
        <v>0.58533776518633418</v>
      </c>
    </row>
    <row r="45" spans="1:114" ht="15" customHeight="1" x14ac:dyDescent="0.2">
      <c r="A45" s="58">
        <v>20</v>
      </c>
      <c r="B45" s="51">
        <v>2</v>
      </c>
      <c r="C45" s="51" t="s">
        <v>143</v>
      </c>
      <c r="D45" s="213"/>
      <c r="E45" s="242"/>
      <c r="F45" s="167">
        <v>1</v>
      </c>
      <c r="G45" s="238"/>
      <c r="H45" s="168">
        <v>0.35</v>
      </c>
      <c r="I45" s="11">
        <v>30.338999999999999</v>
      </c>
      <c r="J45" s="108">
        <f t="shared" si="56"/>
        <v>9.9270246217739555E-2</v>
      </c>
      <c r="K45" s="11"/>
      <c r="L45" s="11"/>
      <c r="M45" s="11"/>
      <c r="N45" s="11"/>
      <c r="O45" s="11"/>
      <c r="P45" s="11"/>
      <c r="Q45" s="11"/>
      <c r="R45" s="94"/>
      <c r="S45" s="11"/>
      <c r="T45" s="11"/>
      <c r="U45" s="11"/>
      <c r="V45" s="11"/>
      <c r="W45" s="11"/>
      <c r="X45" s="94"/>
      <c r="Y45" s="11">
        <v>18.46</v>
      </c>
      <c r="Z45" s="11">
        <v>763943</v>
      </c>
      <c r="AA45" s="11">
        <v>20.13</v>
      </c>
      <c r="AB45" s="11">
        <v>598774</v>
      </c>
      <c r="AC45" s="11">
        <v>451115567</v>
      </c>
      <c r="AD45" s="102">
        <f t="shared" si="67"/>
        <v>1.3273184163915142E-3</v>
      </c>
      <c r="AE45" s="8">
        <v>20.7</v>
      </c>
      <c r="AF45" s="11">
        <v>2230318</v>
      </c>
      <c r="AG45" s="11">
        <v>22.86</v>
      </c>
      <c r="AH45" s="11">
        <v>4597708</v>
      </c>
      <c r="AI45" s="8">
        <v>24.98</v>
      </c>
      <c r="AJ45" s="11">
        <v>11797685</v>
      </c>
      <c r="AK45" s="11">
        <v>27.03</v>
      </c>
      <c r="AL45" s="11">
        <v>18600174</v>
      </c>
      <c r="AM45" s="11">
        <v>29.01</v>
      </c>
      <c r="AN45" s="11">
        <v>28210610</v>
      </c>
      <c r="AO45" s="11">
        <v>30.92</v>
      </c>
      <c r="AP45" s="11">
        <v>58705828</v>
      </c>
      <c r="AQ45" s="11">
        <v>491644169</v>
      </c>
      <c r="AR45" s="95">
        <f t="shared" si="21"/>
        <v>0.11940714789602233</v>
      </c>
      <c r="AS45" s="11">
        <v>32.78</v>
      </c>
      <c r="AT45" s="11">
        <v>37668962</v>
      </c>
      <c r="AU45" s="11">
        <v>34.56</v>
      </c>
      <c r="AV45" s="11">
        <v>237771270</v>
      </c>
      <c r="AW45" s="11">
        <v>36.29</v>
      </c>
      <c r="AX45" s="11">
        <v>58335757</v>
      </c>
      <c r="AY45" s="11">
        <v>37.96</v>
      </c>
      <c r="AZ45" s="11">
        <v>265923855</v>
      </c>
      <c r="BA45" s="11">
        <v>39.590000000000003</v>
      </c>
      <c r="BB45" s="11">
        <v>31751227</v>
      </c>
      <c r="BC45" s="11">
        <v>41.16</v>
      </c>
      <c r="BD45" s="11">
        <v>39126643</v>
      </c>
      <c r="BE45" s="11">
        <v>42.69</v>
      </c>
      <c r="BF45" s="11">
        <v>4929702</v>
      </c>
      <c r="BG45" s="11">
        <v>44.17</v>
      </c>
      <c r="BH45" s="11">
        <v>12945694</v>
      </c>
      <c r="BI45" s="11">
        <v>45.61</v>
      </c>
      <c r="BJ45" s="11">
        <v>2181863</v>
      </c>
      <c r="BK45" s="11">
        <v>47.05</v>
      </c>
      <c r="BL45" s="11">
        <v>3610596</v>
      </c>
      <c r="BM45" s="11"/>
      <c r="BN45" s="11"/>
      <c r="BO45" s="11"/>
      <c r="BP45" s="11"/>
      <c r="BQ45" s="18"/>
      <c r="BR45" s="18"/>
      <c r="BS45" s="18"/>
      <c r="BT45" s="18"/>
      <c r="BU45" s="17">
        <f t="shared" si="2"/>
        <v>819151835</v>
      </c>
      <c r="BV45" s="8">
        <f t="shared" si="22"/>
        <v>135.80650520924951</v>
      </c>
      <c r="BW45" s="8">
        <f t="shared" si="23"/>
        <v>2.7161301041849897</v>
      </c>
      <c r="BX45" s="159">
        <f t="shared" si="57"/>
        <v>2.7161301041849897</v>
      </c>
      <c r="BY45" s="159">
        <f t="shared" si="24"/>
        <v>2.5142368825187349</v>
      </c>
      <c r="BZ45" s="160">
        <f t="shared" si="25"/>
        <v>8.1909834263721046E-2</v>
      </c>
      <c r="CA45" s="16">
        <f t="shared" si="4"/>
        <v>7591969</v>
      </c>
      <c r="CB45" s="9">
        <f t="shared" si="26"/>
        <v>1.2586662612395427</v>
      </c>
      <c r="CC45" s="9">
        <f t="shared" si="27"/>
        <v>2.5173325224790852E-2</v>
      </c>
      <c r="CD45" s="158">
        <f t="shared" si="58"/>
        <v>2.5173325224790852E-2</v>
      </c>
      <c r="CE45" s="158">
        <f t="shared" si="28"/>
        <v>0.55754873144608752</v>
      </c>
      <c r="CF45" s="171">
        <f t="shared" si="29"/>
        <v>8.6804569740658107E-4</v>
      </c>
      <c r="CG45" s="16">
        <f t="shared" si="6"/>
        <v>752951397</v>
      </c>
      <c r="CH45" s="8">
        <f t="shared" si="30"/>
        <v>124.83118934720106</v>
      </c>
      <c r="CI45" s="8">
        <f t="shared" si="31"/>
        <v>2.4966237869440211</v>
      </c>
      <c r="CJ45" s="159">
        <f t="shared" si="59"/>
        <v>2.4966237869440211</v>
      </c>
      <c r="CK45" s="159">
        <f t="shared" si="32"/>
        <v>2.8328875376648375</v>
      </c>
      <c r="CL45" s="157">
        <f t="shared" si="33"/>
        <v>8.6090475411862794E-2</v>
      </c>
      <c r="CM45" s="8">
        <f t="shared" si="34"/>
        <v>0</v>
      </c>
      <c r="CN45" s="9">
        <f t="shared" si="8"/>
        <v>0</v>
      </c>
      <c r="CO45" s="8">
        <f t="shared" si="9"/>
        <v>0</v>
      </c>
      <c r="CP45" s="8">
        <f t="shared" si="10"/>
        <v>0</v>
      </c>
      <c r="CQ45" s="8">
        <f t="shared" si="35"/>
        <v>0</v>
      </c>
      <c r="CR45" s="159">
        <f t="shared" si="60"/>
        <v>0</v>
      </c>
      <c r="CS45" s="159">
        <f t="shared" si="36"/>
        <v>0</v>
      </c>
      <c r="CT45" s="166">
        <f t="shared" si="37"/>
        <v>0</v>
      </c>
      <c r="CU45" s="42" t="s">
        <v>352</v>
      </c>
      <c r="CV45" s="43">
        <v>31</v>
      </c>
      <c r="CW45" s="44">
        <f t="shared" si="12"/>
        <v>0.12826283928898879</v>
      </c>
      <c r="CX45" s="44">
        <f t="shared" si="13"/>
        <v>0.91918416687670612</v>
      </c>
      <c r="CY45" s="43">
        <f t="shared" si="14"/>
        <v>752951397</v>
      </c>
      <c r="CZ45" s="44">
        <f t="shared" si="38"/>
        <v>99.177353990776311</v>
      </c>
      <c r="DA45" s="45">
        <f t="shared" si="15"/>
        <v>9.2680852018112124E-3</v>
      </c>
      <c r="DB45" s="43">
        <f t="shared" si="16"/>
        <v>7591969</v>
      </c>
      <c r="DC45" s="45">
        <f t="shared" si="17"/>
        <v>1.0082946960785041E-2</v>
      </c>
      <c r="DD45" s="44">
        <f t="shared" si="18"/>
        <v>0</v>
      </c>
      <c r="DE45" s="44">
        <f t="shared" si="39"/>
        <v>710.55270877539294</v>
      </c>
      <c r="DF45" s="46">
        <f t="shared" si="19"/>
        <v>7.063302879750406</v>
      </c>
      <c r="DG45" s="44">
        <f t="shared" si="40"/>
        <v>4.1678365012587948</v>
      </c>
      <c r="DH45" s="44"/>
      <c r="DI45" s="44"/>
      <c r="DJ45" s="92"/>
    </row>
    <row r="46" spans="1:114" ht="15" customHeight="1" x14ac:dyDescent="0.2">
      <c r="A46" s="58">
        <v>19</v>
      </c>
      <c r="B46" s="70">
        <v>6</v>
      </c>
      <c r="C46" s="70" t="s">
        <v>144</v>
      </c>
      <c r="D46" s="252" t="s">
        <v>153</v>
      </c>
      <c r="E46" s="252"/>
      <c r="F46" s="146">
        <v>0</v>
      </c>
      <c r="G46" s="253" t="s">
        <v>367</v>
      </c>
      <c r="H46" s="169">
        <v>0.3</v>
      </c>
      <c r="I46" s="7">
        <v>30.355699999999999</v>
      </c>
      <c r="J46" s="175">
        <f t="shared" si="56"/>
        <v>9.9215633307747811E-2</v>
      </c>
      <c r="K46" s="35"/>
      <c r="L46" s="35"/>
      <c r="M46" s="35">
        <v>13.82</v>
      </c>
      <c r="N46" s="35">
        <v>180277</v>
      </c>
      <c r="O46" s="35">
        <v>13.99</v>
      </c>
      <c r="P46" s="35">
        <v>193306</v>
      </c>
      <c r="Q46" s="35">
        <v>1077936</v>
      </c>
      <c r="R46" s="68">
        <f t="shared" ref="R46:R53" si="68">P46/Q46</f>
        <v>0.17932975612652327</v>
      </c>
      <c r="S46" s="35">
        <v>16.11</v>
      </c>
      <c r="T46" s="35">
        <v>291922</v>
      </c>
      <c r="U46" s="35">
        <v>16.37</v>
      </c>
      <c r="V46" s="35">
        <v>79184</v>
      </c>
      <c r="W46" s="35">
        <v>812397</v>
      </c>
      <c r="X46" s="107">
        <f t="shared" ref="X46:X48" si="69">V46/W46</f>
        <v>9.7469586913787223E-2</v>
      </c>
      <c r="Y46" s="35">
        <v>18.28</v>
      </c>
      <c r="Z46" s="35">
        <v>342026</v>
      </c>
      <c r="AA46" s="36">
        <v>19.98</v>
      </c>
      <c r="AB46" s="35">
        <v>187426</v>
      </c>
      <c r="AC46" s="35">
        <v>27203599</v>
      </c>
      <c r="AD46" s="104">
        <f t="shared" si="67"/>
        <v>6.8897501393106108E-3</v>
      </c>
      <c r="AE46" s="36">
        <v>20.5</v>
      </c>
      <c r="AF46" s="35">
        <v>857965</v>
      </c>
      <c r="AG46" s="35">
        <v>22.65</v>
      </c>
      <c r="AH46" s="35">
        <v>4724770</v>
      </c>
      <c r="AI46" s="35">
        <v>24.77</v>
      </c>
      <c r="AJ46" s="35">
        <v>10913200</v>
      </c>
      <c r="AK46" s="35">
        <v>26.81</v>
      </c>
      <c r="AL46" s="35">
        <v>15630663</v>
      </c>
      <c r="AM46" s="35">
        <v>28.81</v>
      </c>
      <c r="AN46" s="35">
        <v>15771301</v>
      </c>
      <c r="AO46" s="35">
        <v>30.72</v>
      </c>
      <c r="AP46" s="35">
        <v>16583558</v>
      </c>
      <c r="AQ46" s="35">
        <v>116341665</v>
      </c>
      <c r="AR46" s="107">
        <f t="shared" si="21"/>
        <v>0.14254186580534153</v>
      </c>
      <c r="AS46" s="35">
        <v>32.56</v>
      </c>
      <c r="AT46" s="35">
        <v>8945303</v>
      </c>
      <c r="AU46" s="35">
        <v>34.340000000000003</v>
      </c>
      <c r="AV46" s="35">
        <v>25525614</v>
      </c>
      <c r="AW46" s="35">
        <v>36.08</v>
      </c>
      <c r="AX46" s="35">
        <v>6423325</v>
      </c>
      <c r="AY46" s="35">
        <v>37.74</v>
      </c>
      <c r="AZ46" s="35">
        <v>27129218</v>
      </c>
      <c r="BA46" s="35">
        <v>39.369999999999997</v>
      </c>
      <c r="BB46" s="35">
        <v>4462195</v>
      </c>
      <c r="BC46" s="35">
        <v>40.93</v>
      </c>
      <c r="BD46" s="35">
        <v>24567102</v>
      </c>
      <c r="BE46" s="35">
        <v>42.46</v>
      </c>
      <c r="BF46" s="35">
        <v>2648974</v>
      </c>
      <c r="BG46" s="35">
        <v>43.94</v>
      </c>
      <c r="BH46" s="35">
        <v>6671478</v>
      </c>
      <c r="BI46" s="35">
        <v>45.37</v>
      </c>
      <c r="BJ46" s="35">
        <v>1746799</v>
      </c>
      <c r="BK46" s="35">
        <v>46.77</v>
      </c>
      <c r="BL46" s="35">
        <v>2908919</v>
      </c>
      <c r="BM46" s="35">
        <v>48.28</v>
      </c>
      <c r="BN46" s="35">
        <v>1464807</v>
      </c>
      <c r="BO46" s="35">
        <v>50.02</v>
      </c>
      <c r="BP46" s="35">
        <v>2997738</v>
      </c>
      <c r="BQ46" s="35">
        <v>52.04</v>
      </c>
      <c r="BR46" s="35">
        <v>1466491</v>
      </c>
      <c r="BS46" s="35">
        <v>54.44</v>
      </c>
      <c r="BT46" s="35">
        <v>1097430</v>
      </c>
      <c r="BU46" s="17">
        <f t="shared" si="2"/>
        <v>183351075</v>
      </c>
      <c r="BV46" s="8">
        <f t="shared" si="22"/>
        <v>97.058535228737568</v>
      </c>
      <c r="BW46" s="8">
        <f t="shared" si="23"/>
        <v>1.9411707045747513</v>
      </c>
      <c r="BX46" s="159">
        <f t="shared" si="57"/>
        <v>0</v>
      </c>
      <c r="BY46" s="159">
        <f t="shared" si="24"/>
        <v>0</v>
      </c>
      <c r="BZ46" s="160">
        <f t="shared" si="25"/>
        <v>0</v>
      </c>
      <c r="CA46" s="16">
        <f t="shared" si="4"/>
        <v>6396960</v>
      </c>
      <c r="CB46" s="9">
        <f t="shared" si="26"/>
        <v>3.3862881224821018</v>
      </c>
      <c r="CC46" s="9">
        <f t="shared" si="27"/>
        <v>6.7725762449642041E-2</v>
      </c>
      <c r="CD46" s="158">
        <f t="shared" si="58"/>
        <v>0</v>
      </c>
      <c r="CE46" s="158">
        <f t="shared" si="28"/>
        <v>0</v>
      </c>
      <c r="CF46" s="171">
        <f t="shared" si="29"/>
        <v>0</v>
      </c>
      <c r="CG46" s="16">
        <f t="shared" si="6"/>
        <v>134638951</v>
      </c>
      <c r="CH46" s="8">
        <f t="shared" si="30"/>
        <v>71.272335702388276</v>
      </c>
      <c r="CI46" s="8">
        <f t="shared" si="31"/>
        <v>1.4254467140477656</v>
      </c>
      <c r="CJ46" s="159">
        <f t="shared" si="59"/>
        <v>0</v>
      </c>
      <c r="CK46" s="159">
        <f t="shared" si="32"/>
        <v>0</v>
      </c>
      <c r="CL46" s="157">
        <f t="shared" si="33"/>
        <v>0</v>
      </c>
      <c r="CM46" s="8">
        <f t="shared" si="34"/>
        <v>0.1023282640198665</v>
      </c>
      <c r="CN46" s="9">
        <f t="shared" si="8"/>
        <v>1.0232826401986651E-3</v>
      </c>
      <c r="CO46" s="8">
        <f t="shared" si="9"/>
        <v>562.67342802693133</v>
      </c>
      <c r="CP46" s="8">
        <f t="shared" si="10"/>
        <v>5.6267342802693125</v>
      </c>
      <c r="CQ46" s="8">
        <f t="shared" si="35"/>
        <v>5.6277575629095109</v>
      </c>
      <c r="CR46" s="159">
        <f t="shared" si="60"/>
        <v>0</v>
      </c>
      <c r="CS46" s="159">
        <f t="shared" si="36"/>
        <v>0</v>
      </c>
      <c r="CT46" s="166">
        <f t="shared" si="37"/>
        <v>0</v>
      </c>
      <c r="CU46" s="42" t="s">
        <v>9</v>
      </c>
      <c r="CV46" s="43">
        <v>31</v>
      </c>
      <c r="CW46" s="44">
        <f t="shared" si="12"/>
        <v>0.47521955141100952</v>
      </c>
      <c r="CX46" s="44">
        <f t="shared" si="13"/>
        <v>0.73432321572153314</v>
      </c>
      <c r="CY46" s="43">
        <f t="shared" si="14"/>
        <v>134638951</v>
      </c>
      <c r="CZ46" s="44">
        <f t="shared" si="38"/>
        <v>21.047333577199169</v>
      </c>
      <c r="DA46" s="45">
        <f t="shared" si="15"/>
        <v>3.4889132774378336E-2</v>
      </c>
      <c r="DB46" s="43">
        <f t="shared" si="16"/>
        <v>6396960</v>
      </c>
      <c r="DC46" s="45">
        <f t="shared" si="17"/>
        <v>4.7511956625389928E-2</v>
      </c>
      <c r="DD46" s="44">
        <f t="shared" si="18"/>
        <v>5.6277575629095109</v>
      </c>
      <c r="DE46" s="44">
        <f t="shared" si="39"/>
        <v>147.84891911400086</v>
      </c>
      <c r="DF46" s="46">
        <f t="shared" si="19"/>
        <v>7.0590118240125959</v>
      </c>
      <c r="DG46" s="44">
        <f t="shared" si="40"/>
        <v>3.2301098305615614</v>
      </c>
      <c r="DH46" s="44">
        <f t="shared" si="43"/>
        <v>1.0722721145792309</v>
      </c>
      <c r="DI46" s="44">
        <f t="shared" si="41"/>
        <v>0.27125053952768208</v>
      </c>
      <c r="DJ46" s="92">
        <f t="shared" si="44"/>
        <v>2.4412255001010306</v>
      </c>
    </row>
    <row r="47" spans="1:114" s="30" customFormat="1" ht="15" customHeight="1" x14ac:dyDescent="0.2">
      <c r="A47" s="58">
        <v>18</v>
      </c>
      <c r="B47" s="70">
        <v>6</v>
      </c>
      <c r="C47" s="70" t="s">
        <v>145</v>
      </c>
      <c r="D47" s="252"/>
      <c r="E47" s="252"/>
      <c r="F47" s="146">
        <v>0</v>
      </c>
      <c r="G47" s="253"/>
      <c r="H47" s="168">
        <v>0.25</v>
      </c>
      <c r="I47" s="41">
        <v>30.238</v>
      </c>
      <c r="J47" s="175">
        <f t="shared" si="56"/>
        <v>9.9601825517560694E-2</v>
      </c>
      <c r="K47" s="36">
        <v>11.87</v>
      </c>
      <c r="L47" s="40">
        <v>374263</v>
      </c>
      <c r="M47" s="36">
        <v>13.99</v>
      </c>
      <c r="N47" s="35">
        <v>471016</v>
      </c>
      <c r="O47" s="36">
        <v>14.21</v>
      </c>
      <c r="P47" s="35">
        <v>246064</v>
      </c>
      <c r="Q47" s="35">
        <v>9483963</v>
      </c>
      <c r="R47" s="68">
        <f t="shared" si="68"/>
        <v>2.5945272034486006E-2</v>
      </c>
      <c r="S47" s="36">
        <v>16.22</v>
      </c>
      <c r="T47" s="35">
        <v>779795</v>
      </c>
      <c r="U47" s="36">
        <v>16.52</v>
      </c>
      <c r="V47" s="35">
        <v>502451</v>
      </c>
      <c r="W47" s="35">
        <v>19610908</v>
      </c>
      <c r="X47" s="68">
        <f t="shared" si="69"/>
        <v>2.5620996233320762E-2</v>
      </c>
      <c r="Y47" s="35">
        <v>18.48</v>
      </c>
      <c r="Z47" s="35">
        <v>1703638</v>
      </c>
      <c r="AA47" s="36">
        <v>20.2</v>
      </c>
      <c r="AB47" s="35">
        <v>33347</v>
      </c>
      <c r="AC47" s="35">
        <v>36405894</v>
      </c>
      <c r="AD47" s="104">
        <f t="shared" ref="AD47:AD49" si="70">AB47/AC47</f>
        <v>9.1597805564121019E-4</v>
      </c>
      <c r="AE47" s="36">
        <v>20.71</v>
      </c>
      <c r="AF47" s="35">
        <v>4899379</v>
      </c>
      <c r="AG47" s="36">
        <v>22.9</v>
      </c>
      <c r="AH47" s="35">
        <v>18187761</v>
      </c>
      <c r="AI47" s="36">
        <v>25.03</v>
      </c>
      <c r="AJ47" s="35">
        <v>30865092</v>
      </c>
      <c r="AK47" s="36">
        <v>27.09</v>
      </c>
      <c r="AL47" s="35">
        <v>62939108</v>
      </c>
      <c r="AM47" s="36" t="s">
        <v>55</v>
      </c>
      <c r="AN47" s="35">
        <v>103806891</v>
      </c>
      <c r="AO47" s="36" t="s">
        <v>56</v>
      </c>
      <c r="AP47" s="35">
        <v>120843323</v>
      </c>
      <c r="AQ47" s="35">
        <v>708679647</v>
      </c>
      <c r="AR47" s="107">
        <f t="shared" si="21"/>
        <v>0.17051896934186964</v>
      </c>
      <c r="AS47" s="36">
        <v>32.840000000000003</v>
      </c>
      <c r="AT47" s="35">
        <v>128748752</v>
      </c>
      <c r="AU47" s="36">
        <v>34.619999999999997</v>
      </c>
      <c r="AV47" s="35">
        <v>135574688</v>
      </c>
      <c r="AW47" s="36">
        <v>36.35</v>
      </c>
      <c r="AX47" s="35">
        <v>98969433</v>
      </c>
      <c r="AY47" s="36">
        <v>38.020000000000003</v>
      </c>
      <c r="AZ47" s="35">
        <v>102732211</v>
      </c>
      <c r="BA47" s="36">
        <v>39.65</v>
      </c>
      <c r="BB47" s="35">
        <v>52225917</v>
      </c>
      <c r="BC47" s="36">
        <v>41.22</v>
      </c>
      <c r="BD47" s="35">
        <v>68063764</v>
      </c>
      <c r="BE47" s="36">
        <v>42.74</v>
      </c>
      <c r="BF47" s="35">
        <v>22312911</v>
      </c>
      <c r="BG47" s="36">
        <v>44.22</v>
      </c>
      <c r="BH47" s="35">
        <v>31759880</v>
      </c>
      <c r="BI47" s="36">
        <v>45.65</v>
      </c>
      <c r="BJ47" s="35">
        <v>26411550</v>
      </c>
      <c r="BK47" s="36">
        <v>47.08</v>
      </c>
      <c r="BL47" s="35">
        <v>10125051</v>
      </c>
      <c r="BM47" s="36">
        <v>48.65</v>
      </c>
      <c r="BN47" s="35">
        <v>4322118</v>
      </c>
      <c r="BO47" s="36">
        <v>50.42</v>
      </c>
      <c r="BP47" s="35">
        <v>6303269</v>
      </c>
      <c r="BQ47" s="20"/>
      <c r="BR47" s="21"/>
      <c r="BS47" s="20"/>
      <c r="BT47" s="21"/>
      <c r="BU47" s="17">
        <f t="shared" si="2"/>
        <v>1032419810</v>
      </c>
      <c r="BV47" s="8">
        <f t="shared" si="22"/>
        <v>3083.6626316158322</v>
      </c>
      <c r="BW47" s="8">
        <f t="shared" si="23"/>
        <v>61.673252632316647</v>
      </c>
      <c r="BX47" s="159">
        <f t="shared" si="57"/>
        <v>0</v>
      </c>
      <c r="BY47" s="159">
        <f t="shared" si="24"/>
        <v>0</v>
      </c>
      <c r="BZ47" s="160">
        <f t="shared" si="25"/>
        <v>0</v>
      </c>
      <c r="CA47" s="16">
        <f t="shared" si="4"/>
        <v>26415852</v>
      </c>
      <c r="CB47" s="9">
        <f t="shared" si="26"/>
        <v>78.899663591978481</v>
      </c>
      <c r="CC47" s="9">
        <f t="shared" si="27"/>
        <v>1.5779932718395697</v>
      </c>
      <c r="CD47" s="158">
        <f t="shared" si="58"/>
        <v>0</v>
      </c>
      <c r="CE47" s="158">
        <f t="shared" si="28"/>
        <v>0</v>
      </c>
      <c r="CF47" s="171">
        <f t="shared" si="29"/>
        <v>0</v>
      </c>
      <c r="CG47" s="16">
        <f t="shared" si="6"/>
        <v>808392867</v>
      </c>
      <c r="CH47" s="8">
        <f t="shared" si="30"/>
        <v>2414.532200455053</v>
      </c>
      <c r="CI47" s="8">
        <f t="shared" si="31"/>
        <v>48.290644009101058</v>
      </c>
      <c r="CJ47" s="159">
        <f t="shared" si="59"/>
        <v>0</v>
      </c>
      <c r="CK47" s="159">
        <f t="shared" si="32"/>
        <v>0</v>
      </c>
      <c r="CL47" s="157">
        <f t="shared" si="33"/>
        <v>0</v>
      </c>
      <c r="CM47" s="8">
        <f t="shared" si="34"/>
        <v>0.73495137775971009</v>
      </c>
      <c r="CN47" s="9">
        <f t="shared" si="8"/>
        <v>7.3495137775971007E-3</v>
      </c>
      <c r="CO47" s="8">
        <f t="shared" si="9"/>
        <v>3396.0188661758998</v>
      </c>
      <c r="CP47" s="8">
        <f t="shared" si="10"/>
        <v>33.960188661758991</v>
      </c>
      <c r="CQ47" s="8">
        <f t="shared" si="35"/>
        <v>33.967538175536589</v>
      </c>
      <c r="CR47" s="159">
        <f t="shared" si="60"/>
        <v>0</v>
      </c>
      <c r="CS47" s="159">
        <f t="shared" si="36"/>
        <v>0</v>
      </c>
      <c r="CT47" s="166">
        <f t="shared" si="37"/>
        <v>0</v>
      </c>
      <c r="CU47" s="42" t="s">
        <v>213</v>
      </c>
      <c r="CV47" s="43">
        <v>31</v>
      </c>
      <c r="CW47" s="44">
        <f t="shared" si="12"/>
        <v>0.39850918032465343</v>
      </c>
      <c r="CX47" s="44">
        <f t="shared" si="13"/>
        <v>0.78300789966438167</v>
      </c>
      <c r="CY47" s="43">
        <f t="shared" si="14"/>
        <v>808392867</v>
      </c>
      <c r="CZ47" s="44">
        <f t="shared" si="38"/>
        <v>30.602566481671687</v>
      </c>
      <c r="DA47" s="45">
        <f t="shared" si="15"/>
        <v>2.5586347476226748E-2</v>
      </c>
      <c r="DB47" s="43">
        <f t="shared" si="16"/>
        <v>26415852</v>
      </c>
      <c r="DC47" s="45">
        <f t="shared" si="17"/>
        <v>3.2676997878557483E-2</v>
      </c>
      <c r="DD47" s="44">
        <f t="shared" si="18"/>
        <v>33.967538175536589</v>
      </c>
      <c r="DE47" s="44">
        <f t="shared" si="39"/>
        <v>140.88248659326956</v>
      </c>
      <c r="DF47" s="46">
        <f t="shared" si="19"/>
        <v>1.8300045369190507</v>
      </c>
      <c r="DG47" s="44">
        <f t="shared" si="40"/>
        <v>1.2455072893128889</v>
      </c>
      <c r="DH47" s="44">
        <f t="shared" si="43"/>
        <v>0.52241112828438951</v>
      </c>
      <c r="DI47" s="44">
        <f t="shared" si="41"/>
        <v>0.6443372937759283</v>
      </c>
      <c r="DJ47" s="92">
        <f t="shared" si="44"/>
        <v>0.48972735649844462</v>
      </c>
    </row>
    <row r="48" spans="1:114" s="30" customFormat="1" ht="15" customHeight="1" x14ac:dyDescent="0.2">
      <c r="A48" s="58">
        <v>17</v>
      </c>
      <c r="B48" s="70">
        <v>5</v>
      </c>
      <c r="C48" s="70" t="s">
        <v>48</v>
      </c>
      <c r="D48" s="252"/>
      <c r="E48" s="252"/>
      <c r="F48" s="146">
        <v>0</v>
      </c>
      <c r="G48" s="253"/>
      <c r="H48" s="168">
        <v>0.2</v>
      </c>
      <c r="I48" s="41">
        <v>30.36</v>
      </c>
      <c r="J48" s="175">
        <f t="shared" si="56"/>
        <v>9.920158102766799E-2</v>
      </c>
      <c r="K48" s="36">
        <v>11.87</v>
      </c>
      <c r="L48" s="40">
        <v>341488</v>
      </c>
      <c r="M48" s="36">
        <v>14.01</v>
      </c>
      <c r="N48" s="35">
        <v>458241</v>
      </c>
      <c r="O48" s="36">
        <v>14.21</v>
      </c>
      <c r="P48" s="35">
        <v>275310</v>
      </c>
      <c r="Q48" s="35">
        <v>12947102</v>
      </c>
      <c r="R48" s="68">
        <f t="shared" si="68"/>
        <v>2.126421804663314E-2</v>
      </c>
      <c r="S48" s="36">
        <v>16.23</v>
      </c>
      <c r="T48" s="35">
        <v>772493</v>
      </c>
      <c r="U48" s="36">
        <v>16.510000000000002</v>
      </c>
      <c r="V48" s="35">
        <v>567359</v>
      </c>
      <c r="W48" s="35">
        <v>19184439</v>
      </c>
      <c r="X48" s="68">
        <f t="shared" si="69"/>
        <v>2.9573916651928159E-2</v>
      </c>
      <c r="Y48" s="35">
        <v>18.48</v>
      </c>
      <c r="Z48" s="35">
        <v>1100981</v>
      </c>
      <c r="AA48" s="36">
        <v>20.2</v>
      </c>
      <c r="AB48" s="35">
        <v>42332</v>
      </c>
      <c r="AC48" s="35">
        <v>24397048</v>
      </c>
      <c r="AD48" s="104">
        <f t="shared" si="70"/>
        <v>1.7351279548246984E-3</v>
      </c>
      <c r="AE48" s="36">
        <v>20.72</v>
      </c>
      <c r="AF48" s="35">
        <v>1391549</v>
      </c>
      <c r="AG48" s="36">
        <v>22.9</v>
      </c>
      <c r="AH48" s="35">
        <v>3181268</v>
      </c>
      <c r="AI48" s="36">
        <v>25.03</v>
      </c>
      <c r="AJ48" s="35">
        <v>9885472</v>
      </c>
      <c r="AK48" s="36">
        <v>27.09</v>
      </c>
      <c r="AL48" s="35">
        <v>23642311</v>
      </c>
      <c r="AM48" s="36" t="s">
        <v>55</v>
      </c>
      <c r="AN48" s="35">
        <v>44370454</v>
      </c>
      <c r="AO48" s="36" t="s">
        <v>56</v>
      </c>
      <c r="AP48" s="35">
        <v>66258796</v>
      </c>
      <c r="AQ48" s="35">
        <v>401773242</v>
      </c>
      <c r="AR48" s="107">
        <f t="shared" si="21"/>
        <v>0.16491590049692756</v>
      </c>
      <c r="AS48" s="36">
        <v>32.840000000000003</v>
      </c>
      <c r="AT48" s="35">
        <v>69673347</v>
      </c>
      <c r="AU48" s="109">
        <v>34.619999999999997</v>
      </c>
      <c r="AV48" s="35">
        <v>104093310</v>
      </c>
      <c r="AW48" s="36">
        <v>36.36</v>
      </c>
      <c r="AX48" s="35">
        <v>70338673</v>
      </c>
      <c r="AY48" s="36">
        <v>38.03</v>
      </c>
      <c r="AZ48" s="35">
        <v>102960060</v>
      </c>
      <c r="BA48" s="36">
        <v>39.64</v>
      </c>
      <c r="BB48" s="35">
        <v>67578554</v>
      </c>
      <c r="BC48" s="36">
        <v>41.21</v>
      </c>
      <c r="BD48" s="35">
        <v>76306868</v>
      </c>
      <c r="BE48" s="36">
        <v>42.74</v>
      </c>
      <c r="BF48" s="35">
        <v>34784985</v>
      </c>
      <c r="BG48" s="36">
        <v>44.22</v>
      </c>
      <c r="BH48" s="35">
        <v>30794411</v>
      </c>
      <c r="BI48" s="36">
        <v>45.66</v>
      </c>
      <c r="BJ48" s="35">
        <v>24951908</v>
      </c>
      <c r="BK48" s="36">
        <v>47.08</v>
      </c>
      <c r="BL48" s="35">
        <v>10621556</v>
      </c>
      <c r="BM48" s="36">
        <v>48.62</v>
      </c>
      <c r="BN48" s="35">
        <v>4478999</v>
      </c>
      <c r="BO48" s="36">
        <v>50.42</v>
      </c>
      <c r="BP48" s="35">
        <v>2327717</v>
      </c>
      <c r="BQ48" s="20"/>
      <c r="BR48" s="21"/>
      <c r="BS48" s="20"/>
      <c r="BT48" s="29"/>
      <c r="BU48" s="17">
        <f t="shared" si="2"/>
        <v>750313441</v>
      </c>
      <c r="BV48" s="8">
        <f t="shared" si="22"/>
        <v>1758.2982049870045</v>
      </c>
      <c r="BW48" s="8">
        <f t="shared" si="23"/>
        <v>35.165964099740087</v>
      </c>
      <c r="BX48" s="159">
        <f t="shared" si="57"/>
        <v>0</v>
      </c>
      <c r="BY48" s="159">
        <f t="shared" si="24"/>
        <v>0</v>
      </c>
      <c r="BZ48" s="160">
        <f t="shared" si="25"/>
        <v>0</v>
      </c>
      <c r="CA48" s="16">
        <f t="shared" si="4"/>
        <v>7246020</v>
      </c>
      <c r="CB48" s="9">
        <f t="shared" si="26"/>
        <v>16.980455451150497</v>
      </c>
      <c r="CC48" s="9">
        <f t="shared" si="27"/>
        <v>0.33960910902300995</v>
      </c>
      <c r="CD48" s="158">
        <f t="shared" si="58"/>
        <v>0</v>
      </c>
      <c r="CE48" s="158">
        <f t="shared" si="28"/>
        <v>0</v>
      </c>
      <c r="CF48" s="171">
        <f t="shared" si="29"/>
        <v>0</v>
      </c>
      <c r="CG48" s="16">
        <f t="shared" si="6"/>
        <v>665169184</v>
      </c>
      <c r="CH48" s="8">
        <f t="shared" si="30"/>
        <v>1558.7695999169375</v>
      </c>
      <c r="CI48" s="8">
        <f t="shared" si="31"/>
        <v>31.17539199833875</v>
      </c>
      <c r="CJ48" s="159">
        <f t="shared" si="59"/>
        <v>0</v>
      </c>
      <c r="CK48" s="159">
        <f t="shared" si="32"/>
        <v>0</v>
      </c>
      <c r="CL48" s="157">
        <f t="shared" si="33"/>
        <v>0</v>
      </c>
      <c r="CM48" s="8">
        <f t="shared" si="34"/>
        <v>0.64516647625265222</v>
      </c>
      <c r="CN48" s="9">
        <f t="shared" si="8"/>
        <v>6.4516647625265213E-3</v>
      </c>
      <c r="CO48" s="8">
        <f t="shared" si="9"/>
        <v>6402.3977937822638</v>
      </c>
      <c r="CP48" s="8">
        <f t="shared" si="10"/>
        <v>64.023977937822636</v>
      </c>
      <c r="CQ48" s="8">
        <f t="shared" si="35"/>
        <v>64.030429602585158</v>
      </c>
      <c r="CR48" s="159">
        <f t="shared" si="60"/>
        <v>0</v>
      </c>
      <c r="CS48" s="159">
        <f t="shared" si="36"/>
        <v>0</v>
      </c>
      <c r="CT48" s="166">
        <f t="shared" si="37"/>
        <v>0</v>
      </c>
      <c r="CU48" s="42" t="s">
        <v>213</v>
      </c>
      <c r="CV48" s="43">
        <v>31</v>
      </c>
      <c r="CW48" s="44">
        <f t="shared" si="12"/>
        <v>0.42566059926011562</v>
      </c>
      <c r="CX48" s="44">
        <f t="shared" si="13"/>
        <v>0.88652174898196978</v>
      </c>
      <c r="CY48" s="43">
        <f t="shared" si="14"/>
        <v>665169184</v>
      </c>
      <c r="CZ48" s="44">
        <f t="shared" si="38"/>
        <v>91.79786751899664</v>
      </c>
      <c r="DA48" s="45">
        <f t="shared" si="15"/>
        <v>9.6573239982782073E-3</v>
      </c>
      <c r="DB48" s="43">
        <f t="shared" si="16"/>
        <v>7246020</v>
      </c>
      <c r="DC48" s="45">
        <f t="shared" si="17"/>
        <v>1.0893499239435602E-2</v>
      </c>
      <c r="DD48" s="44">
        <f t="shared" si="18"/>
        <v>64.030429602585158</v>
      </c>
      <c r="DE48" s="44">
        <f t="shared" si="39"/>
        <v>181.73181112118735</v>
      </c>
      <c r="DF48" s="46">
        <f t="shared" si="19"/>
        <v>2.2874304412090276</v>
      </c>
      <c r="DG48" s="44">
        <f t="shared" si="40"/>
        <v>1.4144979076776285</v>
      </c>
      <c r="DH48" s="44">
        <f t="shared" si="43"/>
        <v>0.60079739700288715</v>
      </c>
      <c r="DI48" s="44">
        <f t="shared" si="41"/>
        <v>0.73445196267150636</v>
      </c>
      <c r="DJ48" s="92">
        <f t="shared" si="44"/>
        <v>0.48524831720304074</v>
      </c>
    </row>
    <row r="49" spans="1:114" ht="15" customHeight="1" x14ac:dyDescent="0.2">
      <c r="A49" s="58">
        <v>16</v>
      </c>
      <c r="B49" s="70">
        <v>4</v>
      </c>
      <c r="C49" s="70" t="s">
        <v>146</v>
      </c>
      <c r="D49" s="252"/>
      <c r="E49" s="252"/>
      <c r="F49" s="146">
        <v>0</v>
      </c>
      <c r="G49" s="253"/>
      <c r="H49" s="168">
        <v>0.1</v>
      </c>
      <c r="I49" s="7">
        <v>30.233599999999999</v>
      </c>
      <c r="J49" s="175">
        <f t="shared" si="56"/>
        <v>9.9616320914479264E-2</v>
      </c>
      <c r="K49" s="19"/>
      <c r="L49" s="35"/>
      <c r="M49" s="35"/>
      <c r="N49" s="35"/>
      <c r="O49" s="35"/>
      <c r="P49" s="35"/>
      <c r="Q49" s="35"/>
      <c r="R49" s="107"/>
      <c r="S49" s="35"/>
      <c r="T49" s="35"/>
      <c r="U49" s="35"/>
      <c r="V49" s="35"/>
      <c r="W49" s="35"/>
      <c r="X49" s="68"/>
      <c r="Y49" s="35">
        <v>18.27</v>
      </c>
      <c r="Z49" s="35">
        <v>861987</v>
      </c>
      <c r="AA49" s="35">
        <v>19.97</v>
      </c>
      <c r="AB49" s="35">
        <v>393898</v>
      </c>
      <c r="AC49" s="35">
        <v>90559065</v>
      </c>
      <c r="AD49" s="104">
        <f t="shared" si="70"/>
        <v>4.3496252970368016E-3</v>
      </c>
      <c r="AE49" s="35">
        <v>20.49</v>
      </c>
      <c r="AF49" s="35">
        <v>3210814</v>
      </c>
      <c r="AG49" s="34">
        <v>22.66</v>
      </c>
      <c r="AH49" s="34">
        <v>10619016</v>
      </c>
      <c r="AI49" s="34">
        <v>24.78</v>
      </c>
      <c r="AJ49" s="34">
        <v>17424196</v>
      </c>
      <c r="AK49" s="34">
        <v>26.81</v>
      </c>
      <c r="AL49" s="34">
        <v>33709171</v>
      </c>
      <c r="AM49" s="34">
        <v>28.81</v>
      </c>
      <c r="AN49" s="34">
        <v>34867000</v>
      </c>
      <c r="AO49" s="34">
        <v>30.72</v>
      </c>
      <c r="AP49" s="34">
        <v>58630443</v>
      </c>
      <c r="AQ49" s="34">
        <v>345312447</v>
      </c>
      <c r="AR49" s="107">
        <f t="shared" si="21"/>
        <v>0.16978954425005133</v>
      </c>
      <c r="AS49" s="34">
        <v>32.57</v>
      </c>
      <c r="AT49" s="34">
        <v>33829622</v>
      </c>
      <c r="AU49" s="34">
        <v>34.36</v>
      </c>
      <c r="AV49" s="34">
        <v>202814607</v>
      </c>
      <c r="AW49" s="34">
        <v>36.08</v>
      </c>
      <c r="AX49" s="34">
        <v>37639042</v>
      </c>
      <c r="AY49" s="34">
        <v>37.76</v>
      </c>
      <c r="AZ49" s="34">
        <v>168620934</v>
      </c>
      <c r="BA49" s="34">
        <v>39.36</v>
      </c>
      <c r="BB49" s="34">
        <v>18481538</v>
      </c>
      <c r="BC49" s="34">
        <v>40.94</v>
      </c>
      <c r="BD49" s="34">
        <v>44539140</v>
      </c>
      <c r="BE49" s="34">
        <v>42.47</v>
      </c>
      <c r="BF49" s="34">
        <v>5641414</v>
      </c>
      <c r="BG49" s="34">
        <v>42.94</v>
      </c>
      <c r="BH49" s="34">
        <v>20002212</v>
      </c>
      <c r="BI49" s="34">
        <v>45.39</v>
      </c>
      <c r="BJ49" s="34">
        <v>2580146</v>
      </c>
      <c r="BK49" s="34">
        <v>46.78</v>
      </c>
      <c r="BL49" s="34">
        <v>6627631</v>
      </c>
      <c r="BM49" s="34">
        <v>48.29</v>
      </c>
      <c r="BN49" s="34">
        <v>1716773</v>
      </c>
      <c r="BO49" s="34">
        <v>50.03</v>
      </c>
      <c r="BP49" s="34">
        <v>6886038</v>
      </c>
      <c r="BQ49" s="34">
        <v>52.03</v>
      </c>
      <c r="BR49" s="34">
        <v>1413014</v>
      </c>
      <c r="BS49" s="19"/>
      <c r="BT49" s="19"/>
      <c r="BU49" s="17">
        <f t="shared" si="2"/>
        <v>710114738</v>
      </c>
      <c r="BV49" s="8">
        <f t="shared" si="22"/>
        <v>179.58714597867814</v>
      </c>
      <c r="BW49" s="8">
        <f t="shared" si="23"/>
        <v>3.5917429195735626</v>
      </c>
      <c r="BX49" s="159">
        <f t="shared" si="57"/>
        <v>0</v>
      </c>
      <c r="BY49" s="159">
        <f t="shared" si="24"/>
        <v>0</v>
      </c>
      <c r="BZ49" s="160">
        <f t="shared" si="25"/>
        <v>0</v>
      </c>
      <c r="CA49" s="16">
        <f t="shared" si="4"/>
        <v>14691817</v>
      </c>
      <c r="CB49" s="9">
        <f t="shared" si="26"/>
        <v>3.7155424934597332</v>
      </c>
      <c r="CC49" s="9">
        <f t="shared" si="27"/>
        <v>7.4310849869194659E-2</v>
      </c>
      <c r="CD49" s="158">
        <f t="shared" si="58"/>
        <v>0</v>
      </c>
      <c r="CE49" s="158">
        <f t="shared" si="28"/>
        <v>0</v>
      </c>
      <c r="CF49" s="171">
        <f t="shared" si="29"/>
        <v>0</v>
      </c>
      <c r="CG49" s="16">
        <f t="shared" si="6"/>
        <v>609422554</v>
      </c>
      <c r="CH49" s="8">
        <f t="shared" si="30"/>
        <v>154.12221618740276</v>
      </c>
      <c r="CI49" s="8">
        <f t="shared" si="31"/>
        <v>3.0824443237480552</v>
      </c>
      <c r="CJ49" s="159">
        <f t="shared" si="59"/>
        <v>0</v>
      </c>
      <c r="CK49" s="159">
        <f t="shared" si="32"/>
        <v>0</v>
      </c>
      <c r="CL49" s="157">
        <f t="shared" si="33"/>
        <v>0</v>
      </c>
      <c r="CM49" s="8">
        <f t="shared" si="34"/>
        <v>0</v>
      </c>
      <c r="CN49" s="9">
        <f t="shared" si="8"/>
        <v>0</v>
      </c>
      <c r="CO49" s="8">
        <f t="shared" si="9"/>
        <v>0</v>
      </c>
      <c r="CP49" s="8">
        <f t="shared" si="10"/>
        <v>0</v>
      </c>
      <c r="CQ49" s="8">
        <f t="shared" si="35"/>
        <v>0</v>
      </c>
      <c r="CR49" s="159">
        <f t="shared" si="60"/>
        <v>0</v>
      </c>
      <c r="CS49" s="159">
        <f t="shared" si="36"/>
        <v>0</v>
      </c>
      <c r="CT49" s="166">
        <f t="shared" si="37"/>
        <v>0</v>
      </c>
      <c r="CU49" s="42" t="s">
        <v>219</v>
      </c>
      <c r="CV49" s="43">
        <v>31</v>
      </c>
      <c r="CW49" s="44">
        <f t="shared" si="12"/>
        <v>0.20894691564049653</v>
      </c>
      <c r="CX49" s="44">
        <f t="shared" si="13"/>
        <v>0.85820293733996544</v>
      </c>
      <c r="CY49" s="43">
        <f t="shared" si="14"/>
        <v>609422554</v>
      </c>
      <c r="CZ49" s="44">
        <f t="shared" si="38"/>
        <v>41.480407358735818</v>
      </c>
      <c r="DA49" s="45">
        <f t="shared" si="15"/>
        <v>2.0689356541702984E-2</v>
      </c>
      <c r="DB49" s="43">
        <f t="shared" si="16"/>
        <v>14691817</v>
      </c>
      <c r="DC49" s="45">
        <f t="shared" si="17"/>
        <v>2.410776710439896E-2</v>
      </c>
      <c r="DD49" s="44">
        <f t="shared" si="18"/>
        <v>0</v>
      </c>
      <c r="DE49" s="44">
        <f t="shared" si="39"/>
        <v>482.57651333488786</v>
      </c>
      <c r="DF49" s="46">
        <f t="shared" si="19"/>
        <v>7.4485116427571105</v>
      </c>
      <c r="DG49" s="44">
        <f t="shared" si="40"/>
        <v>4.306589258148465</v>
      </c>
      <c r="DH49" s="44"/>
      <c r="DI49" s="44"/>
      <c r="DJ49" s="92"/>
    </row>
    <row r="50" spans="1:114" s="30" customFormat="1" ht="15" customHeight="1" x14ac:dyDescent="0.2">
      <c r="A50" s="58">
        <v>15</v>
      </c>
      <c r="B50" s="70">
        <v>4</v>
      </c>
      <c r="C50" s="70" t="s">
        <v>147</v>
      </c>
      <c r="D50" s="252"/>
      <c r="E50" s="252"/>
      <c r="F50" s="146">
        <v>0</v>
      </c>
      <c r="G50" s="253"/>
      <c r="H50" s="168">
        <v>0.05</v>
      </c>
      <c r="I50" s="41">
        <v>31.483000000000001</v>
      </c>
      <c r="J50" s="175">
        <f t="shared" si="56"/>
        <v>9.5663056252580758E-2</v>
      </c>
      <c r="K50" s="36">
        <v>11.87</v>
      </c>
      <c r="L50" s="40">
        <v>278978</v>
      </c>
      <c r="M50" s="36">
        <v>14</v>
      </c>
      <c r="N50" s="35">
        <v>396938</v>
      </c>
      <c r="O50" s="36">
        <v>14.21</v>
      </c>
      <c r="P50" s="35">
        <v>140918</v>
      </c>
      <c r="Q50" s="35">
        <v>5745604</v>
      </c>
      <c r="R50" s="68">
        <f t="shared" si="68"/>
        <v>2.4526229096192498E-2</v>
      </c>
      <c r="S50" s="36">
        <v>16.23</v>
      </c>
      <c r="T50" s="35">
        <v>539289</v>
      </c>
      <c r="U50" s="36">
        <v>16.5</v>
      </c>
      <c r="V50" s="35">
        <v>445349</v>
      </c>
      <c r="W50" s="35">
        <v>20076966</v>
      </c>
      <c r="X50" s="68">
        <f t="shared" ref="X50:X55" si="71">V50/W50</f>
        <v>2.2182086675845345E-2</v>
      </c>
      <c r="Y50" s="35">
        <v>18.47</v>
      </c>
      <c r="Z50" s="35">
        <v>735716</v>
      </c>
      <c r="AA50" s="36">
        <v>20.190000000000001</v>
      </c>
      <c r="AB50" s="35">
        <v>74717</v>
      </c>
      <c r="AC50" s="35">
        <v>62268955</v>
      </c>
      <c r="AD50" s="104">
        <f t="shared" ref="AD50:AD55" si="72">AB50/AC50</f>
        <v>1.1999077228773149E-3</v>
      </c>
      <c r="AE50" s="36">
        <v>20.71</v>
      </c>
      <c r="AF50" s="35">
        <v>1700500</v>
      </c>
      <c r="AG50" s="36">
        <v>22.91</v>
      </c>
      <c r="AH50" s="35">
        <v>4718651</v>
      </c>
      <c r="AI50" s="36">
        <v>25.03</v>
      </c>
      <c r="AJ50" s="35">
        <v>16040851</v>
      </c>
      <c r="AK50" s="36">
        <v>27.09</v>
      </c>
      <c r="AL50" s="35">
        <v>36757065</v>
      </c>
      <c r="AM50" s="36">
        <v>29.07</v>
      </c>
      <c r="AN50" s="35">
        <v>70869826</v>
      </c>
      <c r="AO50" s="36">
        <v>30.99</v>
      </c>
      <c r="AP50" s="35">
        <v>96922168</v>
      </c>
      <c r="AQ50" s="35">
        <v>546725788</v>
      </c>
      <c r="AR50" s="107">
        <f t="shared" si="21"/>
        <v>0.17727747643760311</v>
      </c>
      <c r="AS50" s="36">
        <v>32.840000000000003</v>
      </c>
      <c r="AT50" s="35">
        <v>99849039</v>
      </c>
      <c r="AU50" s="36">
        <v>34.619999999999997</v>
      </c>
      <c r="AV50" s="35">
        <v>124494021</v>
      </c>
      <c r="AW50" s="36">
        <v>36.35</v>
      </c>
      <c r="AX50" s="35">
        <v>80899447</v>
      </c>
      <c r="AY50" s="36">
        <v>38.03</v>
      </c>
      <c r="AZ50" s="35">
        <v>114635499</v>
      </c>
      <c r="BA50" s="36">
        <v>39.64</v>
      </c>
      <c r="BB50" s="35">
        <v>48353664</v>
      </c>
      <c r="BC50" s="36">
        <v>41.21</v>
      </c>
      <c r="BD50" s="35">
        <v>80563826</v>
      </c>
      <c r="BE50" s="36">
        <v>42.73</v>
      </c>
      <c r="BF50" s="35">
        <v>19033214</v>
      </c>
      <c r="BG50" s="36">
        <v>44.22</v>
      </c>
      <c r="BH50" s="35">
        <v>28269013</v>
      </c>
      <c r="BI50" s="36">
        <v>45.65</v>
      </c>
      <c r="BJ50" s="35">
        <v>16976057</v>
      </c>
      <c r="BK50" s="36">
        <v>47.09</v>
      </c>
      <c r="BL50" s="35">
        <v>19329961</v>
      </c>
      <c r="BM50" s="36"/>
      <c r="BN50" s="35"/>
      <c r="BO50" s="36"/>
      <c r="BP50" s="35"/>
      <c r="BQ50" s="20"/>
      <c r="BR50" s="21"/>
      <c r="BS50" s="20"/>
      <c r="BT50" s="21"/>
      <c r="BU50" s="17">
        <f t="shared" si="2"/>
        <v>861363723</v>
      </c>
      <c r="BV50" s="8">
        <f t="shared" si="22"/>
        <v>1102.8371894921022</v>
      </c>
      <c r="BW50" s="8">
        <f t="shared" si="23"/>
        <v>22.056743789842045</v>
      </c>
      <c r="BX50" s="159">
        <f t="shared" si="57"/>
        <v>0</v>
      </c>
      <c r="BY50" s="159">
        <f t="shared" si="24"/>
        <v>0</v>
      </c>
      <c r="BZ50" s="160">
        <f t="shared" si="25"/>
        <v>0</v>
      </c>
      <c r="CA50" s="16">
        <f t="shared" si="4"/>
        <v>8370072</v>
      </c>
      <c r="CB50" s="9">
        <f t="shared" si="26"/>
        <v>10.716525938864665</v>
      </c>
      <c r="CC50" s="9">
        <f t="shared" si="27"/>
        <v>0.21433051877729331</v>
      </c>
      <c r="CD50" s="158">
        <f t="shared" si="58"/>
        <v>0</v>
      </c>
      <c r="CE50" s="158">
        <f t="shared" si="28"/>
        <v>0</v>
      </c>
      <c r="CF50" s="171">
        <f t="shared" si="29"/>
        <v>0</v>
      </c>
      <c r="CG50" s="16">
        <f t="shared" si="6"/>
        <v>729325909</v>
      </c>
      <c r="CH50" s="8">
        <f t="shared" si="30"/>
        <v>933.78408473482068</v>
      </c>
      <c r="CI50" s="8">
        <f t="shared" si="31"/>
        <v>18.675681694696411</v>
      </c>
      <c r="CJ50" s="159">
        <f t="shared" si="59"/>
        <v>0</v>
      </c>
      <c r="CK50" s="159">
        <f t="shared" si="32"/>
        <v>0</v>
      </c>
      <c r="CL50" s="157">
        <f t="shared" si="33"/>
        <v>0</v>
      </c>
      <c r="CM50" s="8">
        <f t="shared" si="34"/>
        <v>0.18042274932078609</v>
      </c>
      <c r="CN50" s="9">
        <f t="shared" si="8"/>
        <v>1.8042274932078609E-3</v>
      </c>
      <c r="CO50" s="8">
        <f t="shared" si="9"/>
        <v>1007.8487808571704</v>
      </c>
      <c r="CP50" s="8">
        <f t="shared" si="10"/>
        <v>10.078487808571703</v>
      </c>
      <c r="CQ50" s="8">
        <f t="shared" si="35"/>
        <v>10.080292036064911</v>
      </c>
      <c r="CR50" s="159">
        <f t="shared" si="60"/>
        <v>0</v>
      </c>
      <c r="CS50" s="159">
        <f t="shared" si="36"/>
        <v>0</v>
      </c>
      <c r="CT50" s="166">
        <f t="shared" si="37"/>
        <v>0</v>
      </c>
      <c r="CU50" s="42" t="s">
        <v>351</v>
      </c>
      <c r="CV50" s="43">
        <v>31</v>
      </c>
      <c r="CW50" s="44">
        <f t="shared" si="12"/>
        <v>0.41272594564555998</v>
      </c>
      <c r="CX50" s="44">
        <f t="shared" si="13"/>
        <v>0.846710732673844</v>
      </c>
      <c r="CY50" s="43">
        <f t="shared" si="14"/>
        <v>729325909</v>
      </c>
      <c r="CZ50" s="44">
        <f t="shared" si="38"/>
        <v>87.134962399367652</v>
      </c>
      <c r="DA50" s="45">
        <f t="shared" si="15"/>
        <v>9.7172330068049546E-3</v>
      </c>
      <c r="DB50" s="43">
        <f t="shared" si="16"/>
        <v>8370072</v>
      </c>
      <c r="DC50" s="45">
        <f t="shared" si="17"/>
        <v>1.1476449549799279E-2</v>
      </c>
      <c r="DD50" s="44">
        <f t="shared" si="18"/>
        <v>10.080292036064911</v>
      </c>
      <c r="DE50" s="44">
        <f t="shared" si="39"/>
        <v>282.25154901673415</v>
      </c>
      <c r="DF50" s="46">
        <f t="shared" si="19"/>
        <v>2.4005036856207385</v>
      </c>
      <c r="DG50" s="44">
        <f t="shared" si="40"/>
        <v>1.5201968067057814</v>
      </c>
      <c r="DH50" s="44">
        <f t="shared" si="43"/>
        <v>0.35501262161848951</v>
      </c>
      <c r="DI50" s="44">
        <f t="shared" si="41"/>
        <v>0.82580768382073433</v>
      </c>
      <c r="DJ50" s="92">
        <f t="shared" si="44"/>
        <v>0.31642150313574297</v>
      </c>
    </row>
    <row r="51" spans="1:114" s="30" customFormat="1" ht="15" customHeight="1" x14ac:dyDescent="0.2">
      <c r="A51" s="58">
        <v>14</v>
      </c>
      <c r="B51" s="51">
        <v>1</v>
      </c>
      <c r="C51" s="51" t="s">
        <v>148</v>
      </c>
      <c r="D51" s="227" t="s">
        <v>154</v>
      </c>
      <c r="E51" s="228"/>
      <c r="F51" s="156">
        <v>2.8</v>
      </c>
      <c r="G51" s="233" t="s">
        <v>368</v>
      </c>
      <c r="H51" s="168">
        <v>-0.06</v>
      </c>
      <c r="I51" s="4">
        <v>30.056000000000001</v>
      </c>
      <c r="J51" s="176">
        <f t="shared" si="56"/>
        <v>0.10020495075858397</v>
      </c>
      <c r="K51" s="24"/>
      <c r="L51" s="24"/>
      <c r="M51" s="6">
        <v>14</v>
      </c>
      <c r="N51" s="75">
        <v>1117907</v>
      </c>
      <c r="O51" s="74">
        <v>14.18</v>
      </c>
      <c r="P51" s="75">
        <v>1326907</v>
      </c>
      <c r="Q51" s="75">
        <v>3702754</v>
      </c>
      <c r="R51" s="101">
        <f>P51/Q51</f>
        <v>0.35835677984548797</v>
      </c>
      <c r="S51" s="6">
        <v>16.03</v>
      </c>
      <c r="T51" s="5">
        <v>1072142</v>
      </c>
      <c r="U51" s="6">
        <v>16.29</v>
      </c>
      <c r="V51" s="5">
        <v>1236207</v>
      </c>
      <c r="W51" s="5">
        <v>6958288</v>
      </c>
      <c r="X51" s="100">
        <f>V51/W51</f>
        <v>0.17765964846525467</v>
      </c>
      <c r="Y51" s="6">
        <v>18.25</v>
      </c>
      <c r="Z51" s="5">
        <v>3978647</v>
      </c>
      <c r="AA51" s="6">
        <v>19.96</v>
      </c>
      <c r="AB51" s="5">
        <v>733172</v>
      </c>
      <c r="AC51" s="5">
        <v>442169661</v>
      </c>
      <c r="AD51" s="105">
        <f>AB51/AC51</f>
        <v>1.6581237128342914E-3</v>
      </c>
      <c r="AE51" s="6">
        <v>20.48</v>
      </c>
      <c r="AF51" s="5">
        <v>9657175</v>
      </c>
      <c r="AG51" s="6">
        <v>22.66</v>
      </c>
      <c r="AH51" s="5">
        <v>25620898</v>
      </c>
      <c r="AI51" s="6">
        <v>24.77</v>
      </c>
      <c r="AJ51" s="5">
        <v>30415378</v>
      </c>
      <c r="AK51" s="6">
        <v>26.83</v>
      </c>
      <c r="AL51" s="5">
        <v>44028947</v>
      </c>
      <c r="AM51" s="6">
        <v>28.81</v>
      </c>
      <c r="AN51" s="5">
        <v>34145712</v>
      </c>
      <c r="AO51" s="6">
        <v>30.73</v>
      </c>
      <c r="AP51" s="5">
        <v>41328358</v>
      </c>
      <c r="AQ51" s="5">
        <v>247078606</v>
      </c>
      <c r="AR51" s="100">
        <f>AP51/AQ51</f>
        <v>0.16726805557580327</v>
      </c>
      <c r="AS51" s="6">
        <v>32.57</v>
      </c>
      <c r="AT51" s="5">
        <v>18349396</v>
      </c>
      <c r="AU51" s="6">
        <v>34.36</v>
      </c>
      <c r="AV51" s="5">
        <v>43972557</v>
      </c>
      <c r="AW51" s="6">
        <v>36.090000000000003</v>
      </c>
      <c r="AX51" s="5">
        <v>12326711</v>
      </c>
      <c r="AY51" s="6">
        <v>37.75</v>
      </c>
      <c r="AZ51" s="5">
        <v>57136266</v>
      </c>
      <c r="BA51" s="6">
        <v>39.380000000000003</v>
      </c>
      <c r="BB51" s="5">
        <v>13920879</v>
      </c>
      <c r="BC51" s="6">
        <v>40.94</v>
      </c>
      <c r="BD51" s="5">
        <v>70480487</v>
      </c>
      <c r="BE51" s="6">
        <v>42.46</v>
      </c>
      <c r="BF51" s="5">
        <v>8182195</v>
      </c>
      <c r="BG51" s="6">
        <v>43.94</v>
      </c>
      <c r="BH51" s="5">
        <v>23324404</v>
      </c>
      <c r="BI51" s="6">
        <v>45.39</v>
      </c>
      <c r="BJ51" s="5">
        <v>3796142</v>
      </c>
      <c r="BK51" s="6">
        <v>46.77</v>
      </c>
      <c r="BL51" s="5">
        <v>8359815</v>
      </c>
      <c r="BM51" s="6">
        <v>48.29</v>
      </c>
      <c r="BN51" s="5">
        <v>2634150</v>
      </c>
      <c r="BO51" s="6">
        <v>50.04</v>
      </c>
      <c r="BP51" s="5">
        <v>5510891</v>
      </c>
      <c r="BQ51" s="25">
        <v>52.07</v>
      </c>
      <c r="BR51" s="26">
        <v>2450405</v>
      </c>
      <c r="BS51" s="6">
        <v>54.45</v>
      </c>
      <c r="BT51" s="5">
        <v>4530943</v>
      </c>
      <c r="BU51" s="17">
        <f t="shared" si="2"/>
        <v>466340405</v>
      </c>
      <c r="BV51" s="8">
        <f t="shared" si="22"/>
        <v>63.736227406069936</v>
      </c>
      <c r="BW51" s="8">
        <f t="shared" si="23"/>
        <v>1.2747245481213987</v>
      </c>
      <c r="BX51" s="159">
        <f t="shared" si="57"/>
        <v>3.5692287347399159</v>
      </c>
      <c r="BY51" s="159">
        <f t="shared" si="24"/>
        <v>3.3039236644820105</v>
      </c>
      <c r="BZ51" s="160">
        <f t="shared" si="25"/>
        <v>0.10763657221772968</v>
      </c>
      <c r="CA51" s="16">
        <f t="shared" si="4"/>
        <v>41446769</v>
      </c>
      <c r="CB51" s="9">
        <f t="shared" si="26"/>
        <v>5.6646618348046633</v>
      </c>
      <c r="CC51" s="9">
        <f t="shared" si="27"/>
        <v>0.11329323669609326</v>
      </c>
      <c r="CD51" s="158">
        <f t="shared" si="58"/>
        <v>0.31722106274906109</v>
      </c>
      <c r="CE51" s="158">
        <f t="shared" si="28"/>
        <v>7.0259371594476443</v>
      </c>
      <c r="CF51" s="171">
        <f t="shared" si="29"/>
        <v>1.093865733617452E-2</v>
      </c>
      <c r="CG51" s="16">
        <f t="shared" si="6"/>
        <v>316303599</v>
      </c>
      <c r="CH51" s="8">
        <f t="shared" si="30"/>
        <v>43.230219597253978</v>
      </c>
      <c r="CI51" s="8">
        <f t="shared" si="31"/>
        <v>0.86460439194507943</v>
      </c>
      <c r="CJ51" s="159">
        <f t="shared" si="59"/>
        <v>2.4208922974462221</v>
      </c>
      <c r="CK51" s="159">
        <f t="shared" si="32"/>
        <v>2.746955971231388</v>
      </c>
      <c r="CL51" s="157">
        <f t="shared" si="33"/>
        <v>8.3479044739524902E-2</v>
      </c>
      <c r="CM51" s="8">
        <f t="shared" si="34"/>
        <v>0.1813526029311272</v>
      </c>
      <c r="CN51" s="9">
        <f t="shared" si="8"/>
        <v>1.8135260293112721E-3</v>
      </c>
      <c r="CO51" s="8">
        <f t="shared" si="9"/>
        <v>3709.7337660826079</v>
      </c>
      <c r="CP51" s="8">
        <f t="shared" si="10"/>
        <v>37.097337660826078</v>
      </c>
      <c r="CQ51" s="8">
        <f t="shared" si="35"/>
        <v>37.099151186855387</v>
      </c>
      <c r="CR51" s="159">
        <f t="shared" si="60"/>
        <v>103.87762332319508</v>
      </c>
      <c r="CS51" s="159">
        <f t="shared" si="36"/>
        <v>1.7399878614007169</v>
      </c>
      <c r="CT51" s="166">
        <f t="shared" si="37"/>
        <v>3.6169088900833944E-2</v>
      </c>
      <c r="CU51" s="42"/>
      <c r="CV51" s="43">
        <v>31</v>
      </c>
      <c r="CW51" s="44">
        <f t="shared" si="12"/>
        <v>0.5522824029224439</v>
      </c>
      <c r="CX51" s="44">
        <f t="shared" si="13"/>
        <v>0.67826762512675698</v>
      </c>
      <c r="CY51" s="43">
        <f t="shared" si="14"/>
        <v>316303599</v>
      </c>
      <c r="CZ51" s="44">
        <f t="shared" si="38"/>
        <v>7.6315622817305737</v>
      </c>
      <c r="DA51" s="45">
        <f t="shared" si="15"/>
        <v>8.887664151683361E-2</v>
      </c>
      <c r="DB51" s="43">
        <f t="shared" si="16"/>
        <v>41446769</v>
      </c>
      <c r="DC51" s="45">
        <f t="shared" si="17"/>
        <v>0.13103476890884191</v>
      </c>
      <c r="DD51" s="44">
        <f t="shared" si="18"/>
        <v>37.099151186855387</v>
      </c>
      <c r="DE51" s="44">
        <f t="shared" si="39"/>
        <v>33.667711555690374</v>
      </c>
      <c r="DF51" s="46">
        <f t="shared" si="19"/>
        <v>7.2321220720143868</v>
      </c>
      <c r="DG51" s="44">
        <f t="shared" si="40"/>
        <v>3.2377528304625272</v>
      </c>
      <c r="DH51" s="44">
        <f t="shared" si="43"/>
        <v>1.1869565178498749</v>
      </c>
      <c r="DI51" s="44">
        <f t="shared" si="41"/>
        <v>1.153025438794488</v>
      </c>
      <c r="DJ51" s="92">
        <f t="shared" si="44"/>
        <v>1.073369589397245</v>
      </c>
    </row>
    <row r="52" spans="1:114" s="30" customFormat="1" ht="15" customHeight="1" x14ac:dyDescent="0.2">
      <c r="A52" s="58">
        <v>13</v>
      </c>
      <c r="B52" s="70">
        <v>3</v>
      </c>
      <c r="C52" s="70" t="s">
        <v>49</v>
      </c>
      <c r="D52" s="229"/>
      <c r="E52" s="230"/>
      <c r="F52" s="156">
        <v>2.8</v>
      </c>
      <c r="G52" s="234"/>
      <c r="H52" s="168">
        <v>-0.1</v>
      </c>
      <c r="I52" s="39">
        <v>30.067</v>
      </c>
      <c r="J52" s="176">
        <f t="shared" si="56"/>
        <v>0.10016829081717499</v>
      </c>
      <c r="K52" s="6"/>
      <c r="L52" s="6"/>
      <c r="M52" s="6">
        <v>14.01</v>
      </c>
      <c r="N52" s="5">
        <v>457289</v>
      </c>
      <c r="O52" s="6">
        <v>14.24</v>
      </c>
      <c r="P52" s="5">
        <v>181715</v>
      </c>
      <c r="Q52" s="5">
        <v>1594618</v>
      </c>
      <c r="R52" s="100">
        <f t="shared" si="68"/>
        <v>0.11395519177633766</v>
      </c>
      <c r="S52" s="6">
        <v>16.22</v>
      </c>
      <c r="T52" s="5">
        <v>447171</v>
      </c>
      <c r="U52" s="6">
        <v>16.489999999999998</v>
      </c>
      <c r="V52" s="5">
        <v>326277</v>
      </c>
      <c r="W52" s="5">
        <v>4782881</v>
      </c>
      <c r="X52" s="100">
        <f t="shared" ref="X52" si="73">V52/W52</f>
        <v>6.8217670479361711E-2</v>
      </c>
      <c r="Y52" s="5">
        <v>18.48</v>
      </c>
      <c r="Z52" s="5">
        <v>878199</v>
      </c>
      <c r="AA52" s="6">
        <v>20.18</v>
      </c>
      <c r="AB52" s="5">
        <v>91105</v>
      </c>
      <c r="AC52" s="5">
        <v>22225101</v>
      </c>
      <c r="AD52" s="105">
        <f t="shared" si="72"/>
        <v>4.0991939699171667E-3</v>
      </c>
      <c r="AE52" s="6">
        <v>20.72</v>
      </c>
      <c r="AF52" s="5">
        <v>992350</v>
      </c>
      <c r="AG52" s="6">
        <v>22.9</v>
      </c>
      <c r="AH52" s="5">
        <v>1800615</v>
      </c>
      <c r="AI52" s="6">
        <v>25.02</v>
      </c>
      <c r="AJ52" s="5">
        <v>5541242</v>
      </c>
      <c r="AK52" s="6">
        <v>27.08</v>
      </c>
      <c r="AL52" s="5">
        <v>18556675</v>
      </c>
      <c r="AM52" s="5">
        <v>29.07</v>
      </c>
      <c r="AN52" s="5">
        <v>38909916</v>
      </c>
      <c r="AO52" s="5">
        <v>30.99</v>
      </c>
      <c r="AP52" s="5">
        <v>58456475</v>
      </c>
      <c r="AQ52" s="5">
        <v>361680900</v>
      </c>
      <c r="AR52" s="100">
        <f t="shared" ref="AR52:AR54" si="74">AP52/AQ52</f>
        <v>0.16162444574761897</v>
      </c>
      <c r="AS52" s="5">
        <v>32.840000000000003</v>
      </c>
      <c r="AT52" s="5">
        <v>64567048</v>
      </c>
      <c r="AU52" s="5">
        <v>34.619999999999997</v>
      </c>
      <c r="AV52" s="5">
        <v>69872678</v>
      </c>
      <c r="AW52" s="5">
        <v>36.35</v>
      </c>
      <c r="AX52" s="5">
        <v>45520143</v>
      </c>
      <c r="AY52" s="5">
        <v>38.020000000000003</v>
      </c>
      <c r="AZ52" s="5">
        <v>71843654</v>
      </c>
      <c r="BA52" s="5">
        <v>39.64</v>
      </c>
      <c r="BB52" s="5">
        <v>24812961</v>
      </c>
      <c r="BC52" s="5">
        <v>41.21</v>
      </c>
      <c r="BD52" s="5">
        <v>71217463</v>
      </c>
      <c r="BE52" s="5">
        <v>42.73</v>
      </c>
      <c r="BF52" s="5">
        <v>12943013</v>
      </c>
      <c r="BG52" s="5">
        <v>44.22</v>
      </c>
      <c r="BH52" s="5">
        <v>27483528</v>
      </c>
      <c r="BI52" s="5">
        <v>45.66</v>
      </c>
      <c r="BJ52" s="5">
        <v>6709536</v>
      </c>
      <c r="BK52" s="5">
        <v>47.07</v>
      </c>
      <c r="BL52" s="5">
        <v>7651279</v>
      </c>
      <c r="BM52" s="5">
        <v>48.64</v>
      </c>
      <c r="BN52" s="5">
        <v>4570778</v>
      </c>
      <c r="BO52" s="5">
        <v>50.44</v>
      </c>
      <c r="BP52" s="5">
        <v>5290844</v>
      </c>
      <c r="BQ52" s="23" t="s">
        <v>54</v>
      </c>
      <c r="BR52" s="23"/>
      <c r="BS52" s="23"/>
      <c r="BT52" s="23"/>
      <c r="BU52" s="17">
        <f t="shared" si="2"/>
        <v>538522857</v>
      </c>
      <c r="BV52" s="8">
        <f t="shared" si="22"/>
        <v>592.09608859746379</v>
      </c>
      <c r="BW52" s="8">
        <f t="shared" si="23"/>
        <v>11.841921771949275</v>
      </c>
      <c r="BX52" s="159">
        <f t="shared" si="57"/>
        <v>33.157380961457967</v>
      </c>
      <c r="BY52" s="159">
        <f t="shared" si="24"/>
        <v>30.692752903321267</v>
      </c>
      <c r="BZ52" s="160">
        <f t="shared" si="25"/>
        <v>0.99992101813805701</v>
      </c>
      <c r="CA52" s="16">
        <f t="shared" si="4"/>
        <v>4575624</v>
      </c>
      <c r="CB52" s="9">
        <f t="shared" si="26"/>
        <v>5.0308153833713352</v>
      </c>
      <c r="CC52" s="9">
        <f t="shared" si="27"/>
        <v>0.10061630766742671</v>
      </c>
      <c r="CD52" s="158">
        <f t="shared" si="58"/>
        <v>0.2817256614687948</v>
      </c>
      <c r="CE52" s="158">
        <f t="shared" si="28"/>
        <v>6.2397710181349906</v>
      </c>
      <c r="CF52" s="171">
        <f t="shared" si="29"/>
        <v>9.7146779816825787E-3</v>
      </c>
      <c r="CG52" s="16">
        <f t="shared" si="6"/>
        <v>470939400</v>
      </c>
      <c r="CH52" s="8">
        <f t="shared" si="30"/>
        <v>517.78930658543334</v>
      </c>
      <c r="CI52" s="8">
        <f t="shared" si="31"/>
        <v>10.355786131708665</v>
      </c>
      <c r="CJ52" s="159">
        <f t="shared" si="59"/>
        <v>28.99620116878426</v>
      </c>
      <c r="CK52" s="159"/>
      <c r="CL52" s="157">
        <f t="shared" si="33"/>
        <v>0.99986900582014693</v>
      </c>
      <c r="CM52" s="8">
        <f t="shared" si="34"/>
        <v>0.1997923381355903</v>
      </c>
      <c r="CN52" s="9">
        <f t="shared" si="8"/>
        <v>1.997923381355903E-3</v>
      </c>
      <c r="CO52" s="8">
        <f t="shared" si="9"/>
        <v>2667.6785430581394</v>
      </c>
      <c r="CP52" s="8">
        <f t="shared" si="10"/>
        <v>26.676785430581393</v>
      </c>
      <c r="CQ52" s="8">
        <f t="shared" si="35"/>
        <v>26.67878335396275</v>
      </c>
      <c r="CR52" s="159">
        <f t="shared" si="60"/>
        <v>74.700593391095694</v>
      </c>
      <c r="CS52" s="159">
        <f t="shared" si="36"/>
        <v>1.2512620291237833</v>
      </c>
      <c r="CT52" s="166">
        <f t="shared" si="37"/>
        <v>2.6009955916119671E-2</v>
      </c>
      <c r="CU52" s="42" t="s">
        <v>35</v>
      </c>
      <c r="CV52" s="43">
        <v>31</v>
      </c>
      <c r="CW52" s="44">
        <f t="shared" si="12"/>
        <v>0.49781145634421409</v>
      </c>
      <c r="CX52" s="44">
        <f t="shared" si="13"/>
        <v>0.87450215692516098</v>
      </c>
      <c r="CY52" s="43">
        <f t="shared" si="14"/>
        <v>470939400</v>
      </c>
      <c r="CZ52" s="44">
        <f t="shared" si="38"/>
        <v>102.92353567513415</v>
      </c>
      <c r="DA52" s="45">
        <f t="shared" si="15"/>
        <v>8.496619856564417E-3</v>
      </c>
      <c r="DB52" s="43">
        <f t="shared" si="16"/>
        <v>4575624</v>
      </c>
      <c r="DC52" s="45">
        <f t="shared" si="17"/>
        <v>9.7159507146779393E-3</v>
      </c>
      <c r="DD52" s="44">
        <f t="shared" si="18"/>
        <v>26.67878335396275</v>
      </c>
      <c r="DE52" s="44">
        <f t="shared" si="39"/>
        <v>159.44268686802127</v>
      </c>
      <c r="DF52" s="46">
        <f t="shared" si="19"/>
        <v>2.7654419432154618</v>
      </c>
      <c r="DG52" s="44">
        <f t="shared" si="40"/>
        <v>1.6874711158273978</v>
      </c>
      <c r="DH52" s="44">
        <f t="shared" si="43"/>
        <v>0.39737452683095376</v>
      </c>
      <c r="DI52" s="44">
        <f t="shared" si="41"/>
        <v>0.72964704777367051</v>
      </c>
      <c r="DJ52" s="92">
        <f t="shared" si="44"/>
        <v>0.55693475176000762</v>
      </c>
    </row>
    <row r="53" spans="1:114" s="30" customFormat="1" ht="15" customHeight="1" x14ac:dyDescent="0.2">
      <c r="A53" s="58">
        <v>12</v>
      </c>
      <c r="B53" s="70">
        <v>2</v>
      </c>
      <c r="C53" s="70" t="s">
        <v>50</v>
      </c>
      <c r="D53" s="229"/>
      <c r="E53" s="230"/>
      <c r="F53" s="172">
        <v>2.8</v>
      </c>
      <c r="G53" s="234"/>
      <c r="H53" s="168">
        <v>-0.3</v>
      </c>
      <c r="I53" s="39">
        <v>30.36</v>
      </c>
      <c r="J53" s="176">
        <f t="shared" si="56"/>
        <v>9.920158102766799E-2</v>
      </c>
      <c r="K53" s="6">
        <v>12.33</v>
      </c>
      <c r="L53" s="38">
        <v>704826</v>
      </c>
      <c r="M53" s="6">
        <v>14.49</v>
      </c>
      <c r="N53" s="5">
        <v>2565384</v>
      </c>
      <c r="O53" s="6">
        <v>14.73</v>
      </c>
      <c r="P53" s="5">
        <v>3440406</v>
      </c>
      <c r="Q53" s="5">
        <v>17241428</v>
      </c>
      <c r="R53" s="100">
        <f t="shared" si="68"/>
        <v>0.19954298449061181</v>
      </c>
      <c r="S53" s="6">
        <v>16.75</v>
      </c>
      <c r="T53" s="5">
        <v>8554145</v>
      </c>
      <c r="U53" s="6">
        <v>17.059999999999999</v>
      </c>
      <c r="V53" s="5">
        <v>5232586</v>
      </c>
      <c r="W53" s="5">
        <v>45921912</v>
      </c>
      <c r="X53" s="100">
        <f>V53/W53</f>
        <v>0.11394529914172563</v>
      </c>
      <c r="Y53" s="5">
        <v>19.02</v>
      </c>
      <c r="Z53" s="5">
        <v>21675480</v>
      </c>
      <c r="AA53" s="6">
        <v>20.8</v>
      </c>
      <c r="AB53" s="5">
        <v>3776698</v>
      </c>
      <c r="AC53" s="5">
        <v>2039938062</v>
      </c>
      <c r="AD53" s="105">
        <f t="shared" si="72"/>
        <v>1.8513787601459049E-3</v>
      </c>
      <c r="AE53" s="6">
        <v>21.27</v>
      </c>
      <c r="AF53" s="5">
        <v>33110544</v>
      </c>
      <c r="AG53" s="6">
        <v>23.46</v>
      </c>
      <c r="AH53" s="5">
        <v>58421333</v>
      </c>
      <c r="AI53" s="6">
        <v>25.6</v>
      </c>
      <c r="AJ53" s="5">
        <v>45631448</v>
      </c>
      <c r="AK53" s="6">
        <v>27.66</v>
      </c>
      <c r="AL53" s="5">
        <v>53063074</v>
      </c>
      <c r="AM53" s="5">
        <v>29.65</v>
      </c>
      <c r="AN53" s="5">
        <v>10745946</v>
      </c>
      <c r="AO53" s="5">
        <v>31.56</v>
      </c>
      <c r="AP53" s="5">
        <v>55487489</v>
      </c>
      <c r="AQ53" s="5">
        <v>299692982</v>
      </c>
      <c r="AR53" s="100">
        <f t="shared" si="74"/>
        <v>0.18514777566596471</v>
      </c>
      <c r="AS53" s="5">
        <v>33.42</v>
      </c>
      <c r="AT53" s="5">
        <v>41610312</v>
      </c>
      <c r="AU53" s="5">
        <v>35.21</v>
      </c>
      <c r="AV53" s="5">
        <v>74081373</v>
      </c>
      <c r="AW53" s="5">
        <v>36.93</v>
      </c>
      <c r="AX53" s="5">
        <v>55709115</v>
      </c>
      <c r="AY53" s="5">
        <v>38.61</v>
      </c>
      <c r="AZ53" s="5">
        <v>97193648</v>
      </c>
      <c r="BA53" s="5">
        <v>40.22</v>
      </c>
      <c r="BB53" s="5">
        <v>35818480</v>
      </c>
      <c r="BC53" s="6">
        <v>41.8</v>
      </c>
      <c r="BD53" s="5">
        <v>87875256</v>
      </c>
      <c r="BE53" s="5">
        <v>43.33</v>
      </c>
      <c r="BF53" s="5">
        <v>13619991</v>
      </c>
      <c r="BG53" s="6">
        <v>44.8</v>
      </c>
      <c r="BH53" s="5">
        <v>31794812</v>
      </c>
      <c r="BI53" s="5">
        <v>46.24</v>
      </c>
      <c r="BJ53" s="5">
        <v>7554220</v>
      </c>
      <c r="BK53" s="6">
        <v>47.7</v>
      </c>
      <c r="BL53" s="5">
        <v>11238202</v>
      </c>
      <c r="BM53" s="5">
        <v>49.37</v>
      </c>
      <c r="BN53" s="5">
        <v>4194145</v>
      </c>
      <c r="BO53" s="5">
        <v>51.29</v>
      </c>
      <c r="BP53" s="5">
        <v>6639168</v>
      </c>
      <c r="BQ53" s="23"/>
      <c r="BR53" s="23"/>
      <c r="BS53" s="23"/>
      <c r="BT53" s="23"/>
      <c r="BU53" s="17">
        <f t="shared" si="2"/>
        <v>757288391</v>
      </c>
      <c r="BV53" s="8">
        <f t="shared" si="22"/>
        <v>19.891504610932305</v>
      </c>
      <c r="BW53" s="8">
        <f t="shared" si="23"/>
        <v>0.39783009221864607</v>
      </c>
      <c r="BX53" s="159">
        <f t="shared" si="57"/>
        <v>1.1139242582122089</v>
      </c>
      <c r="BY53" s="159">
        <f t="shared" si="24"/>
        <v>1.0311249266057658</v>
      </c>
      <c r="BZ53" s="160">
        <f t="shared" si="25"/>
        <v>3.3592408269366977E-2</v>
      </c>
      <c r="CA53" s="16">
        <f t="shared" si="4"/>
        <v>125031712</v>
      </c>
      <c r="CB53" s="9">
        <f t="shared" si="26"/>
        <v>3.2841766826460703</v>
      </c>
      <c r="CC53" s="9">
        <f t="shared" si="27"/>
        <v>6.56835336529214E-2</v>
      </c>
      <c r="CD53" s="158">
        <f t="shared" si="58"/>
        <v>0.18391389422817991</v>
      </c>
      <c r="CE53" s="158">
        <f t="shared" si="28"/>
        <v>4.0733974358400875</v>
      </c>
      <c r="CF53" s="171">
        <f t="shared" si="29"/>
        <v>6.3418584216613765E-3</v>
      </c>
      <c r="CG53" s="16">
        <f t="shared" si="6"/>
        <v>522816211</v>
      </c>
      <c r="CH53" s="8">
        <f t="shared" si="30"/>
        <v>13.732682549172548</v>
      </c>
      <c r="CI53" s="8">
        <f t="shared" si="31"/>
        <v>0.27465365098345096</v>
      </c>
      <c r="CJ53" s="159">
        <f t="shared" si="59"/>
        <v>0.76903022275366262</v>
      </c>
      <c r="CK53" s="159">
        <f t="shared" si="32"/>
        <v>0.8726088990737122</v>
      </c>
      <c r="CL53" s="157">
        <f t="shared" si="33"/>
        <v>2.6518283543229746E-2</v>
      </c>
      <c r="CM53" s="8">
        <f t="shared" si="34"/>
        <v>9.0368283240300148E-2</v>
      </c>
      <c r="CN53" s="9">
        <f t="shared" si="8"/>
        <v>9.0368283240300151E-4</v>
      </c>
      <c r="CO53" s="8">
        <f t="shared" si="9"/>
        <v>8824.8857184743283</v>
      </c>
      <c r="CP53" s="8">
        <f t="shared" si="10"/>
        <v>88.248857184743287</v>
      </c>
      <c r="CQ53" s="8">
        <f t="shared" si="35"/>
        <v>88.249760867575688</v>
      </c>
      <c r="CR53" s="159">
        <f t="shared" si="60"/>
        <v>247.0993304292119</v>
      </c>
      <c r="CS53" s="159">
        <f t="shared" si="36"/>
        <v>4.1390033941127813</v>
      </c>
      <c r="CT53" s="166">
        <f t="shared" si="37"/>
        <v>8.6037371319363481E-2</v>
      </c>
      <c r="CU53" s="42" t="s">
        <v>10</v>
      </c>
      <c r="CV53" s="43">
        <v>31</v>
      </c>
      <c r="CW53" s="44">
        <f t="shared" si="12"/>
        <v>0.4748245334613318</v>
      </c>
      <c r="CX53" s="44">
        <f t="shared" si="13"/>
        <v>0.69037927586559289</v>
      </c>
      <c r="CY53" s="43">
        <f t="shared" si="14"/>
        <v>522816211</v>
      </c>
      <c r="CZ53" s="44">
        <f t="shared" si="38"/>
        <v>4.1814688660745523</v>
      </c>
      <c r="DA53" s="45">
        <f t="shared" si="15"/>
        <v>0.16510448791496132</v>
      </c>
      <c r="DB53" s="43">
        <f t="shared" si="16"/>
        <v>125031712</v>
      </c>
      <c r="DC53" s="45">
        <f t="shared" si="17"/>
        <v>0.23915041150091654</v>
      </c>
      <c r="DD53" s="44">
        <f t="shared" si="18"/>
        <v>88.249760867575688</v>
      </c>
      <c r="DE53" s="44">
        <f t="shared" si="39"/>
        <v>10.690636975645752</v>
      </c>
      <c r="DF53" s="46">
        <f t="shared" si="19"/>
        <v>2.8807433775555435</v>
      </c>
      <c r="DG53" s="44">
        <f t="shared" si="40"/>
        <v>2.165124349254282</v>
      </c>
      <c r="DH53" s="44">
        <f t="shared" si="43"/>
        <v>1.3410881178022471</v>
      </c>
      <c r="DI53" s="44">
        <f t="shared" si="41"/>
        <v>0.61170181239621257</v>
      </c>
      <c r="DJ53" s="92">
        <f t="shared" si="44"/>
        <v>0.65749631253074481</v>
      </c>
    </row>
    <row r="54" spans="1:114" s="30" customFormat="1" ht="18" x14ac:dyDescent="0.2">
      <c r="A54" s="58">
        <v>11</v>
      </c>
      <c r="B54" s="70">
        <v>1</v>
      </c>
      <c r="C54" s="70" t="s">
        <v>51</v>
      </c>
      <c r="D54" s="229"/>
      <c r="E54" s="230"/>
      <c r="F54" s="172">
        <v>2.8</v>
      </c>
      <c r="G54" s="234"/>
      <c r="H54" s="168">
        <v>-0.7</v>
      </c>
      <c r="I54" s="39">
        <v>30.241</v>
      </c>
      <c r="J54" s="176">
        <f t="shared" si="56"/>
        <v>9.9591944710823069E-2</v>
      </c>
      <c r="K54" s="6">
        <v>11.88</v>
      </c>
      <c r="L54" s="38">
        <v>373790</v>
      </c>
      <c r="M54" s="6">
        <v>14</v>
      </c>
      <c r="N54" s="5">
        <v>606383</v>
      </c>
      <c r="O54" s="5">
        <v>14.22</v>
      </c>
      <c r="P54" s="5">
        <v>722988</v>
      </c>
      <c r="Q54" s="5">
        <v>6996957</v>
      </c>
      <c r="R54" s="100">
        <f>P54/Q54</f>
        <v>0.10332891855702414</v>
      </c>
      <c r="S54" s="6">
        <v>16.22</v>
      </c>
      <c r="T54" s="5">
        <v>1570861</v>
      </c>
      <c r="U54" s="5">
        <v>16.53</v>
      </c>
      <c r="V54" s="5">
        <v>1354583</v>
      </c>
      <c r="W54" s="5">
        <v>19019236</v>
      </c>
      <c r="X54" s="100">
        <f t="shared" ref="X54" si="75">V54/W54</f>
        <v>7.1221735720614646E-2</v>
      </c>
      <c r="Y54" s="5">
        <v>18.48</v>
      </c>
      <c r="Z54" s="5">
        <v>9260328</v>
      </c>
      <c r="AA54" s="6">
        <v>20.2</v>
      </c>
      <c r="AB54" s="5">
        <v>992732</v>
      </c>
      <c r="AC54" s="5">
        <v>581943479</v>
      </c>
      <c r="AD54" s="105">
        <f t="shared" si="72"/>
        <v>1.705890753696374E-3</v>
      </c>
      <c r="AE54" s="5">
        <v>20.71</v>
      </c>
      <c r="AF54" s="5">
        <v>24263668</v>
      </c>
      <c r="AG54" s="5">
        <v>22.91</v>
      </c>
      <c r="AH54" s="5">
        <v>59060253</v>
      </c>
      <c r="AI54" s="5">
        <v>25.03</v>
      </c>
      <c r="AJ54" s="5">
        <v>69682390</v>
      </c>
      <c r="AK54" s="5">
        <v>27.09</v>
      </c>
      <c r="AL54" s="5">
        <v>115483153</v>
      </c>
      <c r="AM54" s="5">
        <v>29.07</v>
      </c>
      <c r="AN54" s="5">
        <v>81688585</v>
      </c>
      <c r="AO54" s="6">
        <v>31</v>
      </c>
      <c r="AP54" s="5">
        <v>97803948</v>
      </c>
      <c r="AQ54" s="5">
        <v>647563108</v>
      </c>
      <c r="AR54" s="100">
        <f t="shared" si="74"/>
        <v>0.15103384796281508</v>
      </c>
      <c r="AS54" s="5">
        <v>32.840000000000003</v>
      </c>
      <c r="AT54" s="5">
        <v>49152843</v>
      </c>
      <c r="AU54" s="110">
        <v>34.64</v>
      </c>
      <c r="AV54" s="5">
        <v>97987239</v>
      </c>
      <c r="AW54" s="5">
        <v>36.369999999999997</v>
      </c>
      <c r="AX54" s="5">
        <v>40699972</v>
      </c>
      <c r="AY54" s="5">
        <v>38.04</v>
      </c>
      <c r="AZ54" s="5">
        <v>133222483</v>
      </c>
      <c r="BA54" s="5">
        <v>39.65</v>
      </c>
      <c r="BB54" s="5">
        <v>51664165</v>
      </c>
      <c r="BC54" s="5">
        <v>41.22</v>
      </c>
      <c r="BD54" s="5">
        <v>137514027</v>
      </c>
      <c r="BE54" s="5">
        <v>42.73</v>
      </c>
      <c r="BF54" s="5">
        <v>20794545</v>
      </c>
      <c r="BG54" s="5">
        <v>44.22</v>
      </c>
      <c r="BH54" s="5">
        <v>65891954</v>
      </c>
      <c r="BI54" s="5">
        <v>45.65</v>
      </c>
      <c r="BJ54" s="5">
        <v>13380678</v>
      </c>
      <c r="BK54" s="5">
        <v>47.07</v>
      </c>
      <c r="BL54" s="5">
        <v>32491276</v>
      </c>
      <c r="BM54" s="5">
        <v>48.63</v>
      </c>
      <c r="BN54" s="5">
        <v>15212985</v>
      </c>
      <c r="BO54" s="5">
        <v>50.44</v>
      </c>
      <c r="BP54" s="5">
        <v>22383843</v>
      </c>
      <c r="BQ54" s="5">
        <v>52.54</v>
      </c>
      <c r="BR54" s="5">
        <v>13026294</v>
      </c>
      <c r="BS54" s="5">
        <v>55.02</v>
      </c>
      <c r="BT54" s="5">
        <v>14019028</v>
      </c>
      <c r="BU54" s="17">
        <f t="shared" si="2"/>
        <v>1167234691</v>
      </c>
      <c r="BV54" s="8">
        <f t="shared" si="22"/>
        <v>117.09824283958476</v>
      </c>
      <c r="BW54" s="8">
        <f t="shared" si="23"/>
        <v>2.3419648567916949</v>
      </c>
      <c r="BX54" s="159">
        <f t="shared" si="57"/>
        <v>6.5575015990167449</v>
      </c>
      <c r="BY54" s="159">
        <f t="shared" si="24"/>
        <v>6.0700746079947656</v>
      </c>
      <c r="BZ54" s="160">
        <f t="shared" si="25"/>
        <v>0.19775336547095132</v>
      </c>
      <c r="CA54" s="16">
        <f t="shared" si="4"/>
        <v>95135283</v>
      </c>
      <c r="CB54" s="9">
        <f t="shared" si="26"/>
        <v>9.5440741756934457</v>
      </c>
      <c r="CC54" s="9">
        <f t="shared" si="27"/>
        <v>0.19088148351386891</v>
      </c>
      <c r="CD54" s="158">
        <f t="shared" si="58"/>
        <v>0.53446815383883295</v>
      </c>
      <c r="CE54" s="158">
        <f t="shared" si="28"/>
        <v>11.83761138070505</v>
      </c>
      <c r="CF54" s="171">
        <f t="shared" si="29"/>
        <v>1.8429936339270103E-2</v>
      </c>
      <c r="CG54" s="16">
        <f t="shared" si="6"/>
        <v>805245280</v>
      </c>
      <c r="CH54" s="8">
        <f t="shared" si="30"/>
        <v>80.783074791999496</v>
      </c>
      <c r="CI54" s="8">
        <f t="shared" si="31"/>
        <v>1.61566149583999</v>
      </c>
      <c r="CJ54" s="159">
        <f t="shared" si="59"/>
        <v>4.523852188351972</v>
      </c>
      <c r="CK54" s="159">
        <f t="shared" si="32"/>
        <v>5.1331580487370614</v>
      </c>
      <c r="CL54" s="157">
        <f t="shared" si="33"/>
        <v>0.15599490304661973</v>
      </c>
      <c r="CM54" s="8">
        <f t="shared" si="34"/>
        <v>7.2530935763719259E-2</v>
      </c>
      <c r="CN54" s="9">
        <f t="shared" si="8"/>
        <v>7.2530935763719258E-4</v>
      </c>
      <c r="CO54" s="8">
        <f t="shared" si="9"/>
        <v>1682.8906746869827</v>
      </c>
      <c r="CP54" s="8">
        <f t="shared" si="10"/>
        <v>16.828906746869826</v>
      </c>
      <c r="CQ54" s="8">
        <f t="shared" si="35"/>
        <v>16.829632056227464</v>
      </c>
      <c r="CR54" s="159">
        <f t="shared" si="60"/>
        <v>47.122969757436898</v>
      </c>
      <c r="CS54" s="159">
        <f t="shared" si="36"/>
        <v>0.78932683236298873</v>
      </c>
      <c r="CT54" s="166">
        <f t="shared" si="37"/>
        <v>1.6407719274873573E-2</v>
      </c>
      <c r="CU54" s="42" t="s">
        <v>218</v>
      </c>
      <c r="CV54" s="43">
        <v>31</v>
      </c>
      <c r="CW54" s="44">
        <f t="shared" si="12"/>
        <v>0.50792568390572812</v>
      </c>
      <c r="CX54" s="44">
        <f t="shared" si="13"/>
        <v>0.68987435535361419</v>
      </c>
      <c r="CY54" s="43">
        <f t="shared" si="14"/>
        <v>805245280</v>
      </c>
      <c r="CZ54" s="44">
        <f t="shared" si="38"/>
        <v>8.4642127989465283</v>
      </c>
      <c r="DA54" s="45">
        <f t="shared" si="15"/>
        <v>8.1504845369610418E-2</v>
      </c>
      <c r="DB54" s="43">
        <f t="shared" si="16"/>
        <v>95135283</v>
      </c>
      <c r="DC54" s="45">
        <f t="shared" si="17"/>
        <v>0.1181444776677238</v>
      </c>
      <c r="DD54" s="44">
        <f t="shared" si="18"/>
        <v>16.829632056227464</v>
      </c>
      <c r="DE54" s="44">
        <f t="shared" si="39"/>
        <v>37.370482321819296</v>
      </c>
      <c r="DF54" s="46">
        <f t="shared" si="19"/>
        <v>4.825219565812839</v>
      </c>
      <c r="DG54" s="44">
        <f t="shared" si="40"/>
        <v>2.4202698614476468</v>
      </c>
      <c r="DH54" s="44">
        <f t="shared" si="43"/>
        <v>1.1922959581650541</v>
      </c>
      <c r="DI54" s="44">
        <f t="shared" si="41"/>
        <v>0.86231881751472605</v>
      </c>
      <c r="DJ54" s="92">
        <f t="shared" si="44"/>
        <v>0.5337347360774497</v>
      </c>
    </row>
    <row r="55" spans="1:114" ht="18" x14ac:dyDescent="0.2">
      <c r="A55" s="58">
        <v>10</v>
      </c>
      <c r="B55" s="117">
        <v>42</v>
      </c>
      <c r="C55" s="117" t="s">
        <v>167</v>
      </c>
      <c r="D55" s="229"/>
      <c r="E55" s="230"/>
      <c r="F55" s="172">
        <v>2.8</v>
      </c>
      <c r="G55" s="234"/>
      <c r="H55" s="168">
        <v>-0.76</v>
      </c>
      <c r="I55" s="3">
        <v>30.626000000000001</v>
      </c>
      <c r="J55" s="176">
        <f t="shared" si="56"/>
        <v>9.8339972572324172E-2</v>
      </c>
      <c r="K55" s="24">
        <v>11.77</v>
      </c>
      <c r="L55" s="24">
        <v>31324084</v>
      </c>
      <c r="M55" s="118">
        <v>13.88</v>
      </c>
      <c r="N55" s="24">
        <v>33501053</v>
      </c>
      <c r="O55" s="24">
        <v>14.12</v>
      </c>
      <c r="P55" s="24">
        <v>31679580</v>
      </c>
      <c r="Q55" s="24">
        <v>200972125</v>
      </c>
      <c r="R55" s="100">
        <f t="shared" ref="R55:R57" si="76">P55/Q55</f>
        <v>0.15763171136295642</v>
      </c>
      <c r="S55" s="24">
        <v>16.11</v>
      </c>
      <c r="T55" s="24">
        <v>26253047</v>
      </c>
      <c r="U55" s="118">
        <v>16.399999999999999</v>
      </c>
      <c r="V55" s="24">
        <v>18806117</v>
      </c>
      <c r="W55" s="24">
        <v>157690510</v>
      </c>
      <c r="X55" s="100">
        <f t="shared" si="71"/>
        <v>0.11925966248698162</v>
      </c>
      <c r="Y55" s="24">
        <v>18.350000000000001</v>
      </c>
      <c r="Z55" s="24">
        <v>31823774</v>
      </c>
      <c r="AA55" s="5">
        <v>20.07</v>
      </c>
      <c r="AB55" s="5">
        <v>7193637</v>
      </c>
      <c r="AC55" s="5">
        <v>5808380777</v>
      </c>
      <c r="AD55" s="119">
        <f t="shared" si="72"/>
        <v>1.2384926670932683E-3</v>
      </c>
      <c r="AE55" s="24">
        <v>20.59</v>
      </c>
      <c r="AF55" s="24">
        <v>37869629</v>
      </c>
      <c r="AG55" s="24">
        <v>22.79</v>
      </c>
      <c r="AH55" s="24">
        <v>56492158</v>
      </c>
      <c r="AI55" s="24">
        <v>24.91</v>
      </c>
      <c r="AJ55" s="24">
        <v>63378516</v>
      </c>
      <c r="AK55" s="24">
        <v>26.97</v>
      </c>
      <c r="AL55" s="24">
        <v>95750745</v>
      </c>
      <c r="AM55" s="24">
        <v>28.95</v>
      </c>
      <c r="AN55" s="24">
        <v>62979051</v>
      </c>
      <c r="AO55" s="24">
        <v>30.87</v>
      </c>
      <c r="AP55" s="24">
        <v>97328298</v>
      </c>
      <c r="AQ55" s="24">
        <v>543174525</v>
      </c>
      <c r="AR55" s="100">
        <f>AP55/AQ55</f>
        <v>0.17918420971602084</v>
      </c>
      <c r="AS55" s="24">
        <v>32.72</v>
      </c>
      <c r="AT55" s="24">
        <v>37086552</v>
      </c>
      <c r="AU55" s="24">
        <v>34.51</v>
      </c>
      <c r="AV55" s="24">
        <v>91113541</v>
      </c>
      <c r="AW55" s="24">
        <v>36.24</v>
      </c>
      <c r="AX55" s="24">
        <v>37196388</v>
      </c>
      <c r="AY55" s="24">
        <v>37.92</v>
      </c>
      <c r="AZ55" s="24">
        <v>169024908</v>
      </c>
      <c r="BA55" s="24">
        <v>39.54</v>
      </c>
      <c r="BB55" s="24">
        <v>52470947</v>
      </c>
      <c r="BC55" s="24">
        <v>41.12</v>
      </c>
      <c r="BD55" s="24">
        <v>434725831</v>
      </c>
      <c r="BE55" s="24">
        <v>42.62</v>
      </c>
      <c r="BF55" s="24">
        <v>17372087</v>
      </c>
      <c r="BG55" s="24">
        <v>44.1</v>
      </c>
      <c r="BH55" s="24">
        <v>58406779</v>
      </c>
      <c r="BI55" s="24">
        <v>45.56</v>
      </c>
      <c r="BJ55" s="24">
        <v>11670903</v>
      </c>
      <c r="BK55" s="24">
        <v>46.95</v>
      </c>
      <c r="BL55" s="24">
        <v>32136878</v>
      </c>
      <c r="BM55" s="24">
        <v>48.51</v>
      </c>
      <c r="BN55" s="24">
        <v>7785520</v>
      </c>
      <c r="BO55" s="24">
        <v>50.28</v>
      </c>
      <c r="BP55" s="24">
        <v>44854551</v>
      </c>
      <c r="BQ55" s="24"/>
      <c r="BR55" s="22"/>
      <c r="BS55" s="22"/>
      <c r="BT55" s="22"/>
      <c r="BU55" s="17">
        <f t="shared" si="2"/>
        <v>1530545240</v>
      </c>
      <c r="BV55" s="8">
        <f t="shared" si="22"/>
        <v>20.923182101390619</v>
      </c>
      <c r="BW55" s="8">
        <f t="shared" si="23"/>
        <v>0.41846364202781239</v>
      </c>
      <c r="BX55" s="159">
        <f t="shared" si="57"/>
        <v>1.1716981976778746</v>
      </c>
      <c r="BY55" s="159">
        <f t="shared" si="24"/>
        <v>1.0846044595740763</v>
      </c>
      <c r="BZ55" s="160">
        <f t="shared" si="25"/>
        <v>3.5334686299091519E-2</v>
      </c>
      <c r="CA55" s="16">
        <f t="shared" si="4"/>
        <v>217263745</v>
      </c>
      <c r="CB55" s="9">
        <f t="shared" si="26"/>
        <v>2.9700846351102279</v>
      </c>
      <c r="CC55" s="9">
        <f t="shared" si="27"/>
        <v>5.9401692702204557E-2</v>
      </c>
      <c r="CD55" s="158">
        <f t="shared" si="58"/>
        <v>0.16632473956617275</v>
      </c>
      <c r="CE55" s="158">
        <f t="shared" si="28"/>
        <v>3.6838259040126857</v>
      </c>
      <c r="CF55" s="171">
        <f t="shared" si="29"/>
        <v>5.7353358471094055E-3</v>
      </c>
      <c r="CG55" s="16">
        <f t="shared" si="6"/>
        <v>1091173183</v>
      </c>
      <c r="CH55" s="8">
        <f t="shared" si="30"/>
        <v>14.916785610377012</v>
      </c>
      <c r="CI55" s="8">
        <f t="shared" si="31"/>
        <v>0.29833571220754024</v>
      </c>
      <c r="CJ55" s="159">
        <f t="shared" si="59"/>
        <v>0.8353399941811126</v>
      </c>
      <c r="CK55" s="159">
        <f t="shared" si="32"/>
        <v>0.94784976078646621</v>
      </c>
      <c r="CL55" s="157">
        <f t="shared" si="33"/>
        <v>2.8804827385555606E-2</v>
      </c>
      <c r="CM55" s="8">
        <f t="shared" si="34"/>
        <v>0.43307287096954566</v>
      </c>
      <c r="CN55" s="9">
        <f t="shared" si="8"/>
        <v>4.3307287096954568E-3</v>
      </c>
      <c r="CO55" s="8">
        <f t="shared" si="9"/>
        <v>102570.7354362832</v>
      </c>
      <c r="CP55" s="8">
        <f t="shared" si="10"/>
        <v>1025.7073543628319</v>
      </c>
      <c r="CQ55" s="8">
        <f t="shared" si="35"/>
        <v>1025.7116850915415</v>
      </c>
      <c r="CR55" s="159">
        <f t="shared" si="60"/>
        <v>2871.992718256316</v>
      </c>
      <c r="CS55" s="159">
        <f t="shared" si="36"/>
        <v>48.10691954560145</v>
      </c>
      <c r="CT55" s="166">
        <f t="shared" si="37"/>
        <v>0.99999746457392624</v>
      </c>
      <c r="CU55" s="42" t="s">
        <v>213</v>
      </c>
      <c r="CV55" s="43">
        <v>31</v>
      </c>
      <c r="CW55" s="44">
        <f t="shared" si="12"/>
        <v>0.72004190292179504</v>
      </c>
      <c r="CX55" s="44">
        <f t="shared" si="13"/>
        <v>0.71293102254200602</v>
      </c>
      <c r="CY55" s="43">
        <f t="shared" si="14"/>
        <v>1091173183</v>
      </c>
      <c r="CZ55" s="44">
        <f t="shared" si="38"/>
        <v>5.0223436174314307</v>
      </c>
      <c r="DA55" s="45">
        <f t="shared" si="15"/>
        <v>0.14195186089370349</v>
      </c>
      <c r="DB55" s="43">
        <f t="shared" si="16"/>
        <v>217263745</v>
      </c>
      <c r="DC55" s="45">
        <f t="shared" si="17"/>
        <v>0.19911023143243797</v>
      </c>
      <c r="DD55" s="44">
        <f t="shared" si="18"/>
        <v>1025.7116850915415</v>
      </c>
      <c r="DE55" s="44">
        <f t="shared" si="39"/>
        <v>10.637062689810108</v>
      </c>
      <c r="DF55" s="46">
        <f t="shared" si="19"/>
        <v>7.6518711050047408</v>
      </c>
      <c r="DG55" s="44">
        <f t="shared" si="40"/>
        <v>4.7456727948601234</v>
      </c>
      <c r="DH55" s="44">
        <f t="shared" si="43"/>
        <v>0.94562938066454205</v>
      </c>
      <c r="DI55" s="44">
        <f t="shared" si="41"/>
        <v>0.7163403547024465</v>
      </c>
      <c r="DJ55" s="92">
        <f t="shared" si="44"/>
        <v>1.6845359411514882</v>
      </c>
    </row>
    <row r="56" spans="1:114" ht="18" x14ac:dyDescent="0.2">
      <c r="A56" s="58">
        <v>9</v>
      </c>
      <c r="B56" s="117">
        <v>41</v>
      </c>
      <c r="C56" s="117" t="s">
        <v>166</v>
      </c>
      <c r="D56" s="229"/>
      <c r="E56" s="230"/>
      <c r="F56" s="156">
        <v>2.8</v>
      </c>
      <c r="G56" s="234"/>
      <c r="H56" s="168">
        <v>-0.9</v>
      </c>
      <c r="I56" s="4">
        <v>30.343</v>
      </c>
      <c r="J56" s="176">
        <f t="shared" si="56"/>
        <v>9.9257159806215606E-2</v>
      </c>
      <c r="K56" s="5">
        <v>11.78</v>
      </c>
      <c r="L56" s="5">
        <v>1268126</v>
      </c>
      <c r="M56" s="6">
        <v>13.88</v>
      </c>
      <c r="N56" s="5">
        <v>3635037</v>
      </c>
      <c r="O56" s="5">
        <v>14.12</v>
      </c>
      <c r="P56" s="5">
        <v>2927874</v>
      </c>
      <c r="Q56" s="5">
        <v>17222985</v>
      </c>
      <c r="R56" s="101">
        <f t="shared" si="76"/>
        <v>0.16999805782795491</v>
      </c>
      <c r="S56" s="5">
        <v>16.11</v>
      </c>
      <c r="T56" s="5">
        <v>5104321</v>
      </c>
      <c r="U56" s="5">
        <v>16.39</v>
      </c>
      <c r="V56" s="5">
        <v>2589366</v>
      </c>
      <c r="W56" s="5">
        <v>15693739</v>
      </c>
      <c r="X56" s="100">
        <f>V56/W56</f>
        <v>0.16499356845427338</v>
      </c>
      <c r="Y56" s="5">
        <v>18.37</v>
      </c>
      <c r="Z56" s="5">
        <v>8542439</v>
      </c>
      <c r="AA56" s="5">
        <v>20.059999999999999</v>
      </c>
      <c r="AB56" s="5">
        <v>2165468</v>
      </c>
      <c r="AC56" s="5">
        <v>1836776207</v>
      </c>
      <c r="AD56" s="105">
        <f t="shared" ref="AD56:AD64" si="77">AB56/AC56</f>
        <v>1.1789503760705018E-3</v>
      </c>
      <c r="AE56" s="6">
        <v>20.59</v>
      </c>
      <c r="AF56" s="5">
        <v>11237735</v>
      </c>
      <c r="AG56" s="6">
        <v>22.78</v>
      </c>
      <c r="AH56" s="5">
        <v>16905722</v>
      </c>
      <c r="AI56" s="6">
        <v>24.9</v>
      </c>
      <c r="AJ56" s="5">
        <v>15172699</v>
      </c>
      <c r="AK56" s="6">
        <v>26.96</v>
      </c>
      <c r="AL56" s="5">
        <v>23524663</v>
      </c>
      <c r="AM56" s="6">
        <v>28.95</v>
      </c>
      <c r="AN56" s="5">
        <v>15209058</v>
      </c>
      <c r="AO56" s="6">
        <v>30.86</v>
      </c>
      <c r="AP56" s="5">
        <v>33300478</v>
      </c>
      <c r="AQ56" s="5">
        <v>351869124</v>
      </c>
      <c r="AR56" s="100">
        <f t="shared" si="21"/>
        <v>9.4638818039629979E-2</v>
      </c>
      <c r="AS56" s="6">
        <v>23.72</v>
      </c>
      <c r="AT56" s="5">
        <v>11130152</v>
      </c>
      <c r="AU56" s="6">
        <v>34.51</v>
      </c>
      <c r="AV56" s="5">
        <v>24898478</v>
      </c>
      <c r="AW56" s="6">
        <v>36.229999999999997</v>
      </c>
      <c r="AX56" s="5">
        <v>12892563</v>
      </c>
      <c r="AY56" s="6">
        <v>37.9</v>
      </c>
      <c r="AZ56" s="5">
        <v>33782956</v>
      </c>
      <c r="BA56" s="6">
        <v>39.54</v>
      </c>
      <c r="BB56" s="5">
        <v>11488092</v>
      </c>
      <c r="BC56" s="6">
        <v>41.1</v>
      </c>
      <c r="BD56" s="5">
        <v>33700435</v>
      </c>
      <c r="BE56" s="6">
        <v>42.61</v>
      </c>
      <c r="BF56" s="5">
        <v>5514860</v>
      </c>
      <c r="BG56" s="6">
        <v>44.11</v>
      </c>
      <c r="BH56" s="5">
        <v>16969632</v>
      </c>
      <c r="BI56" s="6">
        <v>45.55</v>
      </c>
      <c r="BJ56" s="5">
        <v>4601236</v>
      </c>
      <c r="BK56" s="6">
        <v>46.95</v>
      </c>
      <c r="BL56" s="5">
        <v>7907033</v>
      </c>
      <c r="BM56" s="6">
        <v>48.49</v>
      </c>
      <c r="BN56" s="5">
        <v>3833022</v>
      </c>
      <c r="BO56" s="6">
        <v>50.28</v>
      </c>
      <c r="BP56" s="5">
        <v>8616030</v>
      </c>
      <c r="BQ56" s="6"/>
      <c r="BR56" s="5"/>
      <c r="BS56" s="6"/>
      <c r="BT56" s="5"/>
      <c r="BU56" s="17">
        <f t="shared" si="2"/>
        <v>309234767</v>
      </c>
      <c r="BV56" s="8">
        <f t="shared" si="22"/>
        <v>14.17419453243218</v>
      </c>
      <c r="BW56" s="8">
        <f t="shared" si="23"/>
        <v>0.2834838906486436</v>
      </c>
      <c r="BX56" s="159">
        <f t="shared" si="57"/>
        <v>0.79375489381620201</v>
      </c>
      <c r="BY56" s="159">
        <f t="shared" si="24"/>
        <v>0.73475413664371192</v>
      </c>
      <c r="BZ56" s="160">
        <f t="shared" si="25"/>
        <v>2.3937119837641799E-2</v>
      </c>
      <c r="CA56" s="16">
        <f t="shared" si="4"/>
        <v>46693380</v>
      </c>
      <c r="CB56" s="9">
        <f t="shared" si="26"/>
        <v>2.1402543378855525</v>
      </c>
      <c r="CC56" s="9">
        <f t="shared" si="27"/>
        <v>4.2805086757711053E-2</v>
      </c>
      <c r="CD56" s="158">
        <f t="shared" si="58"/>
        <v>0.11985424292159094</v>
      </c>
      <c r="CE56" s="158">
        <f t="shared" si="28"/>
        <v>2.6545790237340188</v>
      </c>
      <c r="CF56" s="171">
        <f t="shared" si="29"/>
        <v>4.1329049283307219E-3</v>
      </c>
      <c r="CG56" s="16">
        <f t="shared" si="6"/>
        <v>208634967</v>
      </c>
      <c r="CH56" s="8">
        <f t="shared" si="30"/>
        <v>9.5630663952011847</v>
      </c>
      <c r="CI56" s="8">
        <f t="shared" si="31"/>
        <v>0.19126132790402367</v>
      </c>
      <c r="CJ56" s="159">
        <f t="shared" si="59"/>
        <v>0.53553171813126621</v>
      </c>
      <c r="CK56" s="159">
        <f t="shared" si="32"/>
        <v>0.60766108944884401</v>
      </c>
      <c r="CL56" s="157">
        <f t="shared" si="33"/>
        <v>1.8466610970043661E-2</v>
      </c>
      <c r="CM56" s="8">
        <f t="shared" si="34"/>
        <v>0.1342030718119426</v>
      </c>
      <c r="CN56" s="9">
        <f t="shared" si="8"/>
        <v>1.3420307181194258E-3</v>
      </c>
      <c r="CO56" s="8">
        <f t="shared" si="9"/>
        <v>4127.5237336978416</v>
      </c>
      <c r="CP56" s="8">
        <f t="shared" si="10"/>
        <v>41.275237336978421</v>
      </c>
      <c r="CQ56" s="8">
        <f t="shared" si="35"/>
        <v>41.276579367696542</v>
      </c>
      <c r="CR56" s="159">
        <f t="shared" si="60"/>
        <v>115.57442222955031</v>
      </c>
      <c r="CS56" s="159">
        <f t="shared" si="36"/>
        <v>1.9359134848719151</v>
      </c>
      <c r="CT56" s="166">
        <f t="shared" si="37"/>
        <v>4.0241790469899133E-2</v>
      </c>
      <c r="CU56" s="42" t="s">
        <v>10</v>
      </c>
      <c r="CV56" s="43">
        <v>31</v>
      </c>
      <c r="CW56" s="44">
        <f t="shared" si="12"/>
        <v>0.49938858288849175</v>
      </c>
      <c r="CX56" s="44">
        <f t="shared" si="13"/>
        <v>0.67468146943516216</v>
      </c>
      <c r="CY56" s="43">
        <f t="shared" si="14"/>
        <v>208634967</v>
      </c>
      <c r="CZ56" s="44">
        <f t="shared" si="38"/>
        <v>4.4681915723385197</v>
      </c>
      <c r="DA56" s="45">
        <f t="shared" si="15"/>
        <v>0.15099654043751168</v>
      </c>
      <c r="DB56" s="43">
        <f t="shared" si="16"/>
        <v>46693380</v>
      </c>
      <c r="DC56" s="45">
        <f t="shared" si="17"/>
        <v>0.22380419098204185</v>
      </c>
      <c r="DD56" s="44">
        <f t="shared" si="18"/>
        <v>41.276579367696542</v>
      </c>
      <c r="DE56" s="44">
        <f t="shared" si="39"/>
        <v>7.5862903774148274</v>
      </c>
      <c r="DF56" s="46">
        <f t="shared" si="19"/>
        <v>4.1437281071809871</v>
      </c>
      <c r="DG56" s="44">
        <f t="shared" si="40"/>
        <v>2.7398031110659429</v>
      </c>
      <c r="DH56" s="44">
        <f t="shared" si="43"/>
        <v>0.80545920165324314</v>
      </c>
      <c r="DI56" s="44">
        <f t="shared" si="41"/>
        <v>0.50728902042014989</v>
      </c>
      <c r="DJ56" s="92">
        <f t="shared" si="44"/>
        <v>1.1307300706041556</v>
      </c>
    </row>
    <row r="57" spans="1:114" ht="18" x14ac:dyDescent="0.2">
      <c r="A57" s="58">
        <v>8</v>
      </c>
      <c r="B57" s="117">
        <v>40</v>
      </c>
      <c r="C57" s="117" t="s">
        <v>165</v>
      </c>
      <c r="D57" s="229"/>
      <c r="E57" s="230"/>
      <c r="F57" s="172">
        <v>2.8</v>
      </c>
      <c r="G57" s="234"/>
      <c r="H57" s="168">
        <v>-1.1000000000000001</v>
      </c>
      <c r="I57" s="5">
        <v>30.998000000000001</v>
      </c>
      <c r="J57" s="176">
        <f t="shared" si="56"/>
        <v>9.7159816762371773E-2</v>
      </c>
      <c r="K57" s="5"/>
      <c r="L57" s="5"/>
      <c r="M57" s="6">
        <v>13.9</v>
      </c>
      <c r="N57" s="5">
        <v>716995</v>
      </c>
      <c r="O57" s="5">
        <v>14.09</v>
      </c>
      <c r="P57" s="5">
        <v>1055499</v>
      </c>
      <c r="Q57" s="5">
        <v>6497826</v>
      </c>
      <c r="R57" s="100">
        <f t="shared" si="76"/>
        <v>0.16243879106642745</v>
      </c>
      <c r="S57" s="5">
        <v>16.11</v>
      </c>
      <c r="T57" s="5">
        <v>2739064</v>
      </c>
      <c r="U57" s="6">
        <v>16.399999999999999</v>
      </c>
      <c r="V57" s="5">
        <v>2909461</v>
      </c>
      <c r="W57" s="5">
        <v>23853147</v>
      </c>
      <c r="X57" s="100">
        <f t="shared" ref="X57:X58" si="78">V57/W57</f>
        <v>0.12197388461992038</v>
      </c>
      <c r="Y57" s="5">
        <v>18.36</v>
      </c>
      <c r="Z57" s="5">
        <v>8895346</v>
      </c>
      <c r="AA57" s="5">
        <v>20.05</v>
      </c>
      <c r="AB57" s="5">
        <v>2185565</v>
      </c>
      <c r="AC57" s="5">
        <v>1828276340</v>
      </c>
      <c r="AD57" s="105">
        <f t="shared" si="77"/>
        <v>1.1954237727541778E-3</v>
      </c>
      <c r="AE57" s="5">
        <v>20.59</v>
      </c>
      <c r="AF57" s="5">
        <v>19054397</v>
      </c>
      <c r="AG57" s="5">
        <v>22.78</v>
      </c>
      <c r="AH57" s="5">
        <v>30978002</v>
      </c>
      <c r="AI57" s="5">
        <v>24.9</v>
      </c>
      <c r="AJ57" s="5">
        <v>29004288</v>
      </c>
      <c r="AK57" s="5">
        <v>26.96</v>
      </c>
      <c r="AL57" s="5">
        <v>42288487</v>
      </c>
      <c r="AM57" s="5">
        <v>28.96</v>
      </c>
      <c r="AN57" s="5">
        <v>27810716</v>
      </c>
      <c r="AO57" s="5">
        <v>30.86</v>
      </c>
      <c r="AP57" s="5">
        <v>53217629</v>
      </c>
      <c r="AQ57" s="5">
        <v>274881175</v>
      </c>
      <c r="AR57" s="100">
        <f t="shared" si="21"/>
        <v>0.19360230470493295</v>
      </c>
      <c r="AS57" s="5">
        <v>32.72</v>
      </c>
      <c r="AT57" s="5">
        <v>20935656</v>
      </c>
      <c r="AU57" s="5">
        <v>34.51</v>
      </c>
      <c r="AV57" s="5">
        <v>50456870</v>
      </c>
      <c r="AW57" s="5">
        <v>36.24</v>
      </c>
      <c r="AX57" s="5">
        <v>23965978</v>
      </c>
      <c r="AY57" s="5">
        <v>37.909999999999997</v>
      </c>
      <c r="AZ57" s="5">
        <v>85406283</v>
      </c>
      <c r="BA57" s="5">
        <v>39.520000000000003</v>
      </c>
      <c r="BB57" s="5">
        <v>21451431</v>
      </c>
      <c r="BC57" s="5">
        <v>41.1</v>
      </c>
      <c r="BD57" s="5">
        <v>98271390</v>
      </c>
      <c r="BE57" s="5">
        <v>42.63</v>
      </c>
      <c r="BF57" s="5">
        <v>11980847</v>
      </c>
      <c r="BG57" s="5">
        <v>44.11</v>
      </c>
      <c r="BH57" s="5">
        <v>40348228</v>
      </c>
      <c r="BI57" s="5">
        <v>45.54</v>
      </c>
      <c r="BJ57" s="5">
        <v>8162341</v>
      </c>
      <c r="BK57" s="5">
        <v>46.95</v>
      </c>
      <c r="BL57" s="5">
        <v>11743520</v>
      </c>
      <c r="BM57" s="5">
        <v>48.49</v>
      </c>
      <c r="BN57" s="5">
        <v>5660851</v>
      </c>
      <c r="BO57" s="5">
        <v>50.26</v>
      </c>
      <c r="BP57" s="5">
        <v>6288278</v>
      </c>
      <c r="BQ57" s="5"/>
      <c r="BR57" s="22"/>
      <c r="BS57" s="22"/>
      <c r="BT57" s="22"/>
      <c r="BU57" s="17">
        <f t="shared" si="2"/>
        <v>599376597</v>
      </c>
      <c r="BV57" s="8">
        <f t="shared" si="22"/>
        <v>26.645430511640676</v>
      </c>
      <c r="BW57" s="8">
        <f t="shared" si="23"/>
        <v>0.53290861023281344</v>
      </c>
      <c r="BX57" s="159">
        <f t="shared" si="57"/>
        <v>1.4921441086518776</v>
      </c>
      <c r="BY57" s="159">
        <f t="shared" si="24"/>
        <v>1.3812312400739402</v>
      </c>
      <c r="BZ57" s="160">
        <f t="shared" si="25"/>
        <v>4.499831449492997E-2</v>
      </c>
      <c r="CA57" s="16">
        <f t="shared" si="4"/>
        <v>62383804</v>
      </c>
      <c r="CB57" s="9">
        <f t="shared" si="26"/>
        <v>2.7732869832650668</v>
      </c>
      <c r="CC57" s="9">
        <f t="shared" si="27"/>
        <v>5.5465739665301335E-2</v>
      </c>
      <c r="CD57" s="158">
        <f t="shared" si="58"/>
        <v>0.15530407106284372</v>
      </c>
      <c r="CE57" s="158">
        <f t="shared" si="28"/>
        <v>3.4397357931969816</v>
      </c>
      <c r="CF57" s="171">
        <f t="shared" si="29"/>
        <v>5.3553127952704728E-3</v>
      </c>
      <c r="CG57" s="16">
        <f t="shared" si="6"/>
        <v>437889302</v>
      </c>
      <c r="CH57" s="8">
        <f t="shared" si="30"/>
        <v>19.466474044250745</v>
      </c>
      <c r="CI57" s="8">
        <f t="shared" si="31"/>
        <v>0.3893294808850149</v>
      </c>
      <c r="CJ57" s="159">
        <f t="shared" si="59"/>
        <v>1.0901225464780417</v>
      </c>
      <c r="CK57" s="159">
        <f t="shared" si="32"/>
        <v>1.2369483109928989</v>
      </c>
      <c r="CL57" s="157">
        <f t="shared" si="33"/>
        <v>3.7590432637173855E-2</v>
      </c>
      <c r="CM57" s="8">
        <f t="shared" si="34"/>
        <v>4.6922461438056819E-2</v>
      </c>
      <c r="CN57" s="9">
        <f t="shared" si="8"/>
        <v>4.6922461438056819E-4</v>
      </c>
      <c r="CO57" s="8">
        <f t="shared" si="9"/>
        <v>1679.6876428642072</v>
      </c>
      <c r="CP57" s="8">
        <f t="shared" si="10"/>
        <v>16.796876428642069</v>
      </c>
      <c r="CQ57" s="8">
        <f t="shared" si="35"/>
        <v>16.79734565325645</v>
      </c>
      <c r="CR57" s="159">
        <f t="shared" si="60"/>
        <v>47.032567829118058</v>
      </c>
      <c r="CS57" s="159">
        <f t="shared" si="36"/>
        <v>0.78781256727980897</v>
      </c>
      <c r="CT57" s="166">
        <f t="shared" si="37"/>
        <v>1.6376242280333585E-2</v>
      </c>
      <c r="CU57" s="42" t="s">
        <v>10</v>
      </c>
      <c r="CV57" s="43">
        <v>31</v>
      </c>
      <c r="CW57" s="44">
        <f t="shared" si="12"/>
        <v>0.53502087866716386</v>
      </c>
      <c r="CX57" s="44">
        <f t="shared" si="13"/>
        <v>0.73057457396855952</v>
      </c>
      <c r="CY57" s="43">
        <f t="shared" si="14"/>
        <v>437889302</v>
      </c>
      <c r="CZ57" s="44">
        <f t="shared" si="38"/>
        <v>7.0192786255868587</v>
      </c>
      <c r="DA57" s="45">
        <f t="shared" si="15"/>
        <v>0.10408114749932421</v>
      </c>
      <c r="DB57" s="43">
        <f t="shared" si="16"/>
        <v>62383804</v>
      </c>
      <c r="DC57" s="45">
        <f t="shared" si="17"/>
        <v>0.14246478211518399</v>
      </c>
      <c r="DD57" s="44">
        <f t="shared" si="18"/>
        <v>16.79734565325645</v>
      </c>
      <c r="DE57" s="44">
        <f t="shared" si="39"/>
        <v>24.357702561738083</v>
      </c>
      <c r="DF57" s="46">
        <f t="shared" si="19"/>
        <v>5.6358010687212134</v>
      </c>
      <c r="DG57" s="44">
        <f t="shared" si="40"/>
        <v>3.3316639428911086</v>
      </c>
      <c r="DH57" s="44">
        <f t="shared" si="43"/>
        <v>1.4721148683045209</v>
      </c>
      <c r="DI57" s="44">
        <f t="shared" si="41"/>
        <v>1.0622099374092755</v>
      </c>
      <c r="DJ57" s="92">
        <f t="shared" si="44"/>
        <v>0.36278162862468338</v>
      </c>
    </row>
    <row r="58" spans="1:114" ht="18" x14ac:dyDescent="0.2">
      <c r="A58" s="58">
        <v>7</v>
      </c>
      <c r="B58" s="117">
        <v>39</v>
      </c>
      <c r="C58" s="117" t="s">
        <v>164</v>
      </c>
      <c r="D58" s="229"/>
      <c r="E58" s="230"/>
      <c r="F58" s="172">
        <v>2.8</v>
      </c>
      <c r="G58" s="234"/>
      <c r="H58" s="168">
        <v>-1.3</v>
      </c>
      <c r="I58" s="39">
        <v>30.56</v>
      </c>
      <c r="J58" s="176">
        <f t="shared" si="56"/>
        <v>9.8552356020942422E-2</v>
      </c>
      <c r="K58" s="5"/>
      <c r="L58" s="5"/>
      <c r="M58" s="6">
        <v>13.89</v>
      </c>
      <c r="N58" s="5">
        <v>7090511</v>
      </c>
      <c r="O58" s="5">
        <v>14.11</v>
      </c>
      <c r="P58" s="5">
        <v>10500663</v>
      </c>
      <c r="Q58" s="5">
        <v>56144298</v>
      </c>
      <c r="R58" s="100">
        <f t="shared" ref="R58" si="79">P58/Q58</f>
        <v>0.18702990996521143</v>
      </c>
      <c r="S58" s="5">
        <v>16.11</v>
      </c>
      <c r="T58" s="5">
        <v>12999520</v>
      </c>
      <c r="U58" s="6">
        <v>16.399999999999999</v>
      </c>
      <c r="V58" s="5">
        <v>10564289</v>
      </c>
      <c r="W58" s="5">
        <v>67355037</v>
      </c>
      <c r="X58" s="100">
        <f t="shared" si="78"/>
        <v>0.15684482513163789</v>
      </c>
      <c r="Y58" s="5">
        <v>18.36</v>
      </c>
      <c r="Z58" s="5">
        <v>15727288</v>
      </c>
      <c r="AA58" s="5">
        <v>20.059999999999999</v>
      </c>
      <c r="AB58" s="5">
        <v>3542062</v>
      </c>
      <c r="AC58" s="5">
        <v>2225455027</v>
      </c>
      <c r="AD58" s="105">
        <f t="shared" si="77"/>
        <v>1.5916124824031325E-3</v>
      </c>
      <c r="AE58" s="5">
        <v>20.59</v>
      </c>
      <c r="AF58" s="5">
        <v>26187026</v>
      </c>
      <c r="AG58" s="5">
        <v>22.78</v>
      </c>
      <c r="AH58" s="5">
        <v>53456128</v>
      </c>
      <c r="AI58" s="5">
        <v>24.9</v>
      </c>
      <c r="AJ58" s="5">
        <v>51027607</v>
      </c>
      <c r="AK58" s="5">
        <v>26.96</v>
      </c>
      <c r="AL58" s="5">
        <v>77194258</v>
      </c>
      <c r="AM58" s="5">
        <v>28.95</v>
      </c>
      <c r="AN58" s="5">
        <v>49299019</v>
      </c>
      <c r="AO58" s="5">
        <v>30.86</v>
      </c>
      <c r="AP58" s="5">
        <v>80465587</v>
      </c>
      <c r="AQ58" s="5">
        <v>440270679</v>
      </c>
      <c r="AR58" s="100">
        <f t="shared" si="21"/>
        <v>0.18276390147707292</v>
      </c>
      <c r="AS58" s="5">
        <v>32.729999999999997</v>
      </c>
      <c r="AT58" s="5">
        <v>30758814</v>
      </c>
      <c r="AU58" s="5">
        <v>34.520000000000003</v>
      </c>
      <c r="AV58" s="5">
        <v>72441074</v>
      </c>
      <c r="AW58" s="5">
        <v>36.24</v>
      </c>
      <c r="AX58" s="5">
        <v>35684618</v>
      </c>
      <c r="AY58" s="5">
        <v>37.92</v>
      </c>
      <c r="AZ58" s="5">
        <v>97387528</v>
      </c>
      <c r="BA58" s="5">
        <v>39.54</v>
      </c>
      <c r="BB58" s="5">
        <v>29682944</v>
      </c>
      <c r="BC58" s="5">
        <v>41.1</v>
      </c>
      <c r="BD58" s="5">
        <v>102522872</v>
      </c>
      <c r="BE58" s="5">
        <v>42.63</v>
      </c>
      <c r="BF58" s="5">
        <v>15708137</v>
      </c>
      <c r="BG58" s="5">
        <v>44.11</v>
      </c>
      <c r="BH58" s="5">
        <v>46064618</v>
      </c>
      <c r="BI58" s="5">
        <v>45.56</v>
      </c>
      <c r="BJ58" s="5">
        <v>9768462</v>
      </c>
      <c r="BK58" s="5">
        <v>46.96</v>
      </c>
      <c r="BL58" s="5">
        <v>16104320</v>
      </c>
      <c r="BM58" s="6">
        <v>48.5</v>
      </c>
      <c r="BN58" s="5">
        <v>8801436</v>
      </c>
      <c r="BO58" s="5">
        <v>50.3</v>
      </c>
      <c r="BP58" s="5">
        <v>11416957</v>
      </c>
      <c r="BQ58" s="5"/>
      <c r="BR58" s="22"/>
      <c r="BS58" s="22"/>
      <c r="BT58" s="22"/>
      <c r="BU58" s="17">
        <f t="shared" si="2"/>
        <v>849788724</v>
      </c>
      <c r="BV58" s="8">
        <f t="shared" si="22"/>
        <v>23.644047131368783</v>
      </c>
      <c r="BW58" s="8">
        <f t="shared" si="23"/>
        <v>0.47288094262737562</v>
      </c>
      <c r="BX58" s="159">
        <f t="shared" si="57"/>
        <v>1.3240666393566516</v>
      </c>
      <c r="BY58" s="159">
        <f t="shared" si="24"/>
        <v>1.2256471714863015</v>
      </c>
      <c r="BZ58" s="160">
        <f t="shared" si="25"/>
        <v>3.9929633273722911E-2</v>
      </c>
      <c r="CA58" s="16">
        <f t="shared" si="4"/>
        <v>115460473</v>
      </c>
      <c r="CB58" s="9">
        <f t="shared" si="26"/>
        <v>3.2125077543652285</v>
      </c>
      <c r="CC58" s="9">
        <f t="shared" si="27"/>
        <v>6.425015508730457E-2</v>
      </c>
      <c r="CD58" s="158">
        <f t="shared" si="58"/>
        <v>0.17990043424445279</v>
      </c>
      <c r="CE58" s="158">
        <f t="shared" si="28"/>
        <v>3.9845057418483454</v>
      </c>
      <c r="CF58" s="171">
        <f t="shared" si="29"/>
        <v>6.2034632498087165E-3</v>
      </c>
      <c r="CG58" s="16">
        <f t="shared" si="6"/>
        <v>556807367</v>
      </c>
      <c r="CH58" s="8">
        <f t="shared" si="30"/>
        <v>15.49229738713426</v>
      </c>
      <c r="CI58" s="8">
        <f t="shared" si="31"/>
        <v>0.30984594774268515</v>
      </c>
      <c r="CJ58" s="159">
        <f t="shared" si="59"/>
        <v>0.86756865367951841</v>
      </c>
      <c r="CK58" s="159">
        <f t="shared" si="32"/>
        <v>0.98441921443267721</v>
      </c>
      <c r="CL58" s="157">
        <f t="shared" si="33"/>
        <v>2.9916160471707531E-2</v>
      </c>
      <c r="CM58" s="8">
        <f t="shared" si="34"/>
        <v>0.29216458617379854</v>
      </c>
      <c r="CN58" s="9">
        <f t="shared" si="8"/>
        <v>2.9216458617379853E-3</v>
      </c>
      <c r="CO58" s="8">
        <f t="shared" si="9"/>
        <v>49846.901994307074</v>
      </c>
      <c r="CP58" s="8">
        <f t="shared" si="10"/>
        <v>498.46901994307075</v>
      </c>
      <c r="CQ58" s="8">
        <f t="shared" si="35"/>
        <v>498.47194158893251</v>
      </c>
      <c r="CR58" s="159">
        <f t="shared" si="60"/>
        <v>1395.721436449011</v>
      </c>
      <c r="CS58" s="159">
        <f t="shared" si="36"/>
        <v>23.378840212411532</v>
      </c>
      <c r="CT58" s="166">
        <f t="shared" si="37"/>
        <v>0.48597543051845787</v>
      </c>
      <c r="CU58" s="42" t="s">
        <v>35</v>
      </c>
      <c r="CV58" s="43">
        <v>31</v>
      </c>
      <c r="CW58" s="44">
        <f t="shared" si="12"/>
        <v>0.51284411416314513</v>
      </c>
      <c r="CX58" s="44">
        <f t="shared" si="13"/>
        <v>0.65523035464518586</v>
      </c>
      <c r="CY58" s="43">
        <f t="shared" si="14"/>
        <v>556807367</v>
      </c>
      <c r="CZ58" s="44">
        <f t="shared" si="38"/>
        <v>4.8224933826487959</v>
      </c>
      <c r="DA58" s="45">
        <f t="shared" si="15"/>
        <v>0.13586962234156452</v>
      </c>
      <c r="DB58" s="43">
        <f t="shared" si="16"/>
        <v>115460473</v>
      </c>
      <c r="DC58" s="45">
        <f t="shared" si="17"/>
        <v>0.20736161165051539</v>
      </c>
      <c r="DD58" s="44">
        <f t="shared" si="18"/>
        <v>498.47194158893251</v>
      </c>
      <c r="DE58" s="44">
        <f t="shared" si="39"/>
        <v>11.93592221581056</v>
      </c>
      <c r="DF58" s="46">
        <f t="shared" si="19"/>
        <v>4.4036820599203974</v>
      </c>
      <c r="DG58" s="44">
        <f t="shared" si="40"/>
        <v>2.7428841419005718</v>
      </c>
      <c r="DH58" s="44">
        <f t="shared" si="43"/>
        <v>1.4809458725894369</v>
      </c>
      <c r="DI58" s="44">
        <f t="shared" si="41"/>
        <v>0.81266762157371963</v>
      </c>
      <c r="DJ58" s="92">
        <f t="shared" si="44"/>
        <v>0.99397725677516013</v>
      </c>
    </row>
    <row r="59" spans="1:114" ht="18" x14ac:dyDescent="0.2">
      <c r="A59" s="58">
        <v>6</v>
      </c>
      <c r="B59" s="117">
        <v>38</v>
      </c>
      <c r="C59" s="117" t="s">
        <v>163</v>
      </c>
      <c r="D59" s="229"/>
      <c r="E59" s="230"/>
      <c r="F59" s="172">
        <v>2.8</v>
      </c>
      <c r="G59" s="234"/>
      <c r="H59" s="168">
        <v>-1.7</v>
      </c>
      <c r="I59" s="4">
        <v>30.324999999999999</v>
      </c>
      <c r="J59" s="176">
        <f t="shared" si="56"/>
        <v>9.9316075845012369E-2</v>
      </c>
      <c r="K59" s="5"/>
      <c r="L59" s="5"/>
      <c r="M59" s="6">
        <v>13.9</v>
      </c>
      <c r="N59" s="5">
        <v>999857</v>
      </c>
      <c r="O59" s="5">
        <v>14.11</v>
      </c>
      <c r="P59" s="5">
        <v>928937</v>
      </c>
      <c r="Q59" s="5">
        <v>4711455</v>
      </c>
      <c r="R59" s="100">
        <f>P59/Q59</f>
        <v>0.19716563142383828</v>
      </c>
      <c r="S59" s="5">
        <v>16.11</v>
      </c>
      <c r="T59" s="5">
        <v>4176302</v>
      </c>
      <c r="U59" s="5">
        <v>16.41</v>
      </c>
      <c r="V59" s="5">
        <v>2765297</v>
      </c>
      <c r="W59" s="5">
        <v>16194548</v>
      </c>
      <c r="X59" s="100">
        <f t="shared" ref="X59:X63" si="80">V59/W59</f>
        <v>0.17075481205156204</v>
      </c>
      <c r="Y59" s="5">
        <v>18.350000000000001</v>
      </c>
      <c r="Z59" s="5">
        <v>15037521</v>
      </c>
      <c r="AA59" s="5">
        <v>20.059999999999999</v>
      </c>
      <c r="AB59" s="5">
        <v>2518688</v>
      </c>
      <c r="AC59" s="5">
        <v>3110707058</v>
      </c>
      <c r="AD59" s="105">
        <f t="shared" si="77"/>
        <v>8.0968344271522847E-4</v>
      </c>
      <c r="AE59" s="5">
        <v>20.59</v>
      </c>
      <c r="AF59" s="5">
        <v>23467152</v>
      </c>
      <c r="AG59" s="5">
        <v>22.78</v>
      </c>
      <c r="AH59" s="5">
        <v>42380711</v>
      </c>
      <c r="AI59" s="5">
        <v>24.9</v>
      </c>
      <c r="AJ59" s="5">
        <v>32613914</v>
      </c>
      <c r="AK59" s="5">
        <v>26.96</v>
      </c>
      <c r="AL59" s="5">
        <v>51038995</v>
      </c>
      <c r="AM59" s="5">
        <v>28.95</v>
      </c>
      <c r="AN59" s="5">
        <v>29204038</v>
      </c>
      <c r="AO59" s="5">
        <v>30.86</v>
      </c>
      <c r="AP59" s="5">
        <v>58062871</v>
      </c>
      <c r="AQ59" s="5">
        <v>534077821</v>
      </c>
      <c r="AR59" s="100">
        <f t="shared" si="21"/>
        <v>0.10871612472370389</v>
      </c>
      <c r="AS59" s="5">
        <v>32.72</v>
      </c>
      <c r="AT59" s="5">
        <v>24875823</v>
      </c>
      <c r="AU59" s="5">
        <v>34.51</v>
      </c>
      <c r="AV59" s="5">
        <v>59900878</v>
      </c>
      <c r="AW59" s="5">
        <v>36.24</v>
      </c>
      <c r="AX59" s="5">
        <v>30914914</v>
      </c>
      <c r="AY59" s="5">
        <v>37.909999999999997</v>
      </c>
      <c r="AZ59" s="5">
        <v>88287053</v>
      </c>
      <c r="BA59" s="5">
        <v>39.54</v>
      </c>
      <c r="BB59" s="5">
        <v>24812986</v>
      </c>
      <c r="BC59" s="5">
        <v>41.11</v>
      </c>
      <c r="BD59" s="5">
        <v>90791659</v>
      </c>
      <c r="BE59" s="5">
        <v>42.63</v>
      </c>
      <c r="BF59" s="5">
        <v>12395434</v>
      </c>
      <c r="BG59" s="5">
        <v>44.11</v>
      </c>
      <c r="BH59" s="5">
        <v>33831105</v>
      </c>
      <c r="BI59" s="5">
        <v>45.55</v>
      </c>
      <c r="BJ59" s="5">
        <v>5186443</v>
      </c>
      <c r="BK59" s="5">
        <v>46.96</v>
      </c>
      <c r="BL59" s="5">
        <v>7432537</v>
      </c>
      <c r="BM59" s="5">
        <v>48.52</v>
      </c>
      <c r="BN59" s="5">
        <v>4325802</v>
      </c>
      <c r="BO59" s="5">
        <v>50.28</v>
      </c>
      <c r="BP59" s="5">
        <v>3343386</v>
      </c>
      <c r="BQ59" s="5"/>
      <c r="BR59" s="24"/>
      <c r="BS59" s="24"/>
      <c r="BT59" s="24"/>
      <c r="BU59" s="17">
        <f t="shared" si="2"/>
        <v>643079381</v>
      </c>
      <c r="BV59" s="8">
        <f t="shared" si="22"/>
        <v>25.357694393970039</v>
      </c>
      <c r="BW59" s="8">
        <f t="shared" si="23"/>
        <v>0.50715388787940074</v>
      </c>
      <c r="BX59" s="159">
        <f t="shared" si="57"/>
        <v>1.4200308860623221</v>
      </c>
      <c r="BY59" s="159">
        <f t="shared" si="24"/>
        <v>1.3144782801650672</v>
      </c>
      <c r="BZ59" s="160">
        <f t="shared" si="25"/>
        <v>4.2823609350492224E-2</v>
      </c>
      <c r="CA59" s="16">
        <f t="shared" si="4"/>
        <v>86061543</v>
      </c>
      <c r="CB59" s="9">
        <f t="shared" si="26"/>
        <v>3.3935504246364747</v>
      </c>
      <c r="CC59" s="9">
        <f t="shared" si="27"/>
        <v>6.7871008492729493E-2</v>
      </c>
      <c r="CD59" s="158">
        <f t="shared" si="58"/>
        <v>0.19003882377964257</v>
      </c>
      <c r="CE59" s="158">
        <f t="shared" si="28"/>
        <v>4.2090547902467907</v>
      </c>
      <c r="CF59" s="171">
        <f t="shared" si="29"/>
        <v>6.5530628889531924E-3</v>
      </c>
      <c r="CG59" s="16">
        <f t="shared" si="6"/>
        <v>444160891</v>
      </c>
      <c r="CH59" s="8">
        <f t="shared" si="30"/>
        <v>17.514005997544864</v>
      </c>
      <c r="CI59" s="8">
        <f t="shared" si="31"/>
        <v>0.35028011995089731</v>
      </c>
      <c r="CJ59" s="159">
        <f t="shared" si="59"/>
        <v>0.98078433586251235</v>
      </c>
      <c r="CK59" s="159">
        <f t="shared" si="32"/>
        <v>1.1128836217661551</v>
      </c>
      <c r="CL59" s="157">
        <f t="shared" si="33"/>
        <v>3.3820149512500425E-2</v>
      </c>
      <c r="CM59" s="8">
        <f t="shared" si="34"/>
        <v>3.6629537897206105E-2</v>
      </c>
      <c r="CN59" s="9">
        <f t="shared" si="8"/>
        <v>3.6629537897206102E-4</v>
      </c>
      <c r="CO59" s="8">
        <f t="shared" si="9"/>
        <v>825.78868771416148</v>
      </c>
      <c r="CP59" s="8">
        <f t="shared" si="10"/>
        <v>8.2578868771416136</v>
      </c>
      <c r="CQ59" s="8">
        <f t="shared" si="35"/>
        <v>8.2582531725205861</v>
      </c>
      <c r="CR59" s="159">
        <f t="shared" si="60"/>
        <v>23.12310888305764</v>
      </c>
      <c r="CS59" s="159">
        <f t="shared" si="36"/>
        <v>0.38732045927915881</v>
      </c>
      <c r="CT59" s="166">
        <f t="shared" si="37"/>
        <v>8.0512217559392894E-3</v>
      </c>
      <c r="CU59" s="42"/>
      <c r="CV59" s="43">
        <v>31</v>
      </c>
      <c r="CW59" s="44">
        <f t="shared" si="12"/>
        <v>0.50699303108679938</v>
      </c>
      <c r="CX59" s="44">
        <f t="shared" si="13"/>
        <v>0.69067817150243849</v>
      </c>
      <c r="CY59" s="43">
        <f t="shared" si="14"/>
        <v>444160891</v>
      </c>
      <c r="CZ59" s="44">
        <f t="shared" si="38"/>
        <v>5.160968250360094</v>
      </c>
      <c r="DA59" s="45">
        <f t="shared" si="15"/>
        <v>0.13382724674856275</v>
      </c>
      <c r="DB59" s="43">
        <f t="shared" si="16"/>
        <v>86061543</v>
      </c>
      <c r="DC59" s="45">
        <f t="shared" si="17"/>
        <v>0.19376209104371594</v>
      </c>
      <c r="DD59" s="44">
        <f t="shared" si="18"/>
        <v>8.2582531725205861</v>
      </c>
      <c r="DE59" s="44">
        <f t="shared" si="39"/>
        <v>14.901412811994579</v>
      </c>
      <c r="DF59" s="46">
        <f t="shared" si="19"/>
        <v>4.5827623695747972</v>
      </c>
      <c r="DG59" s="44">
        <f t="shared" si="40"/>
        <v>2.9293129044049673</v>
      </c>
      <c r="DH59" s="44">
        <f t="shared" si="43"/>
        <v>0.92906985698954947</v>
      </c>
      <c r="DI59" s="44">
        <f t="shared" si="41"/>
        <v>0.66214009427479148</v>
      </c>
      <c r="DJ59" s="92">
        <f t="shared" si="44"/>
        <v>0.33592666538169319</v>
      </c>
    </row>
    <row r="60" spans="1:114" ht="18" x14ac:dyDescent="0.2">
      <c r="A60" s="58">
        <v>5</v>
      </c>
      <c r="B60" s="117">
        <v>37</v>
      </c>
      <c r="C60" s="117" t="s">
        <v>162</v>
      </c>
      <c r="D60" s="229"/>
      <c r="E60" s="230"/>
      <c r="F60" s="172">
        <v>2.8</v>
      </c>
      <c r="G60" s="234"/>
      <c r="H60" s="168">
        <v>-1.9</v>
      </c>
      <c r="I60" s="4">
        <v>30.126999999999999</v>
      </c>
      <c r="J60" s="176">
        <f t="shared" si="56"/>
        <v>9.9968798751950083E-2</v>
      </c>
      <c r="K60" s="5"/>
      <c r="L60" s="5"/>
      <c r="M60" s="6">
        <v>13.89</v>
      </c>
      <c r="N60" s="5">
        <v>3450221</v>
      </c>
      <c r="O60" s="5">
        <v>14.12</v>
      </c>
      <c r="P60" s="5">
        <v>3163390</v>
      </c>
      <c r="Q60" s="5">
        <v>13057214</v>
      </c>
      <c r="R60" s="100">
        <f>P60/Q60</f>
        <v>0.2422714370768527</v>
      </c>
      <c r="S60" s="5">
        <v>16.11</v>
      </c>
      <c r="T60" s="5">
        <v>7831263</v>
      </c>
      <c r="U60" s="5">
        <v>16.41</v>
      </c>
      <c r="V60" s="5">
        <v>4606578</v>
      </c>
      <c r="W60" s="5">
        <v>41087311</v>
      </c>
      <c r="X60" s="100">
        <f t="shared" si="80"/>
        <v>0.11211680413936069</v>
      </c>
      <c r="Y60" s="5">
        <v>18.36</v>
      </c>
      <c r="Z60" s="5">
        <v>21328617</v>
      </c>
      <c r="AA60" s="5">
        <v>20.059999999999999</v>
      </c>
      <c r="AB60" s="5">
        <v>2254220</v>
      </c>
      <c r="AC60" s="5">
        <v>2951660442</v>
      </c>
      <c r="AD60" s="105">
        <f t="shared" si="77"/>
        <v>7.6371250836446993E-4</v>
      </c>
      <c r="AE60" s="5">
        <v>20.59</v>
      </c>
      <c r="AF60" s="5">
        <v>30800820</v>
      </c>
      <c r="AG60" s="5">
        <v>22.78</v>
      </c>
      <c r="AH60" s="5">
        <v>58681793</v>
      </c>
      <c r="AI60" s="5">
        <v>24.91</v>
      </c>
      <c r="AJ60" s="5">
        <v>48744862</v>
      </c>
      <c r="AK60" s="5">
        <v>26.97</v>
      </c>
      <c r="AL60" s="5">
        <v>70512037</v>
      </c>
      <c r="AM60" s="5">
        <v>28.96</v>
      </c>
      <c r="AN60" s="5">
        <v>42976343</v>
      </c>
      <c r="AO60" s="5">
        <v>30.87</v>
      </c>
      <c r="AP60" s="5">
        <v>80490721</v>
      </c>
      <c r="AQ60" s="5">
        <v>798262042</v>
      </c>
      <c r="AR60" s="100">
        <f t="shared" si="21"/>
        <v>0.10083245446361835</v>
      </c>
      <c r="AS60" s="5">
        <v>32.72</v>
      </c>
      <c r="AT60" s="5">
        <v>34207514</v>
      </c>
      <c r="AU60" s="5">
        <v>34.51</v>
      </c>
      <c r="AV60" s="5">
        <v>84975593</v>
      </c>
      <c r="AW60" s="5">
        <v>36.24</v>
      </c>
      <c r="AX60" s="5">
        <v>45102550</v>
      </c>
      <c r="AY60" s="5">
        <v>37.92</v>
      </c>
      <c r="AZ60" s="5">
        <v>131450435</v>
      </c>
      <c r="BA60" s="5">
        <v>39.54</v>
      </c>
      <c r="BB60" s="5">
        <v>38199969</v>
      </c>
      <c r="BC60" s="5">
        <v>41.1</v>
      </c>
      <c r="BD60" s="5">
        <v>141259644</v>
      </c>
      <c r="BE60" s="5">
        <v>42.63</v>
      </c>
      <c r="BF60" s="5">
        <v>21159488</v>
      </c>
      <c r="BG60" s="5">
        <v>44.12</v>
      </c>
      <c r="BH60" s="5">
        <v>62562889</v>
      </c>
      <c r="BI60" s="5">
        <v>45.54</v>
      </c>
      <c r="BJ60" s="5">
        <v>13117101</v>
      </c>
      <c r="BK60" s="5">
        <v>46.96</v>
      </c>
      <c r="BL60" s="5">
        <v>19604422</v>
      </c>
      <c r="BM60" s="5">
        <v>48.49</v>
      </c>
      <c r="BN60" s="5">
        <v>9304215</v>
      </c>
      <c r="BO60" s="5">
        <v>50.29</v>
      </c>
      <c r="BP60" s="5">
        <v>12633067</v>
      </c>
      <c r="BQ60" s="5"/>
      <c r="BR60" s="24"/>
      <c r="BS60" s="24"/>
      <c r="BT60" s="24"/>
      <c r="BU60" s="17">
        <f t="shared" si="2"/>
        <v>978393564</v>
      </c>
      <c r="BV60" s="8">
        <f t="shared" si="22"/>
        <v>43.389211922402957</v>
      </c>
      <c r="BW60" s="8">
        <f t="shared" si="23"/>
        <v>0.86778423844805908</v>
      </c>
      <c r="BX60" s="159">
        <f t="shared" si="57"/>
        <v>2.4297958676545655</v>
      </c>
      <c r="BY60" s="159">
        <f t="shared" si="24"/>
        <v>2.2491862146205364</v>
      </c>
      <c r="BZ60" s="160">
        <f t="shared" si="25"/>
        <v>7.3274905538436838E-2</v>
      </c>
      <c r="CA60" s="16">
        <f t="shared" si="4"/>
        <v>122092714</v>
      </c>
      <c r="CB60" s="9">
        <f t="shared" si="26"/>
        <v>5.4144945723777615</v>
      </c>
      <c r="CC60" s="9">
        <f t="shared" si="27"/>
        <v>0.10828989144755521</v>
      </c>
      <c r="CD60" s="158">
        <f t="shared" si="58"/>
        <v>0.30321169605315457</v>
      </c>
      <c r="CE60" s="158">
        <f t="shared" si="28"/>
        <v>6.7156521827941216</v>
      </c>
      <c r="CF60" s="171">
        <f t="shared" si="29"/>
        <v>1.0455575725970848E-2</v>
      </c>
      <c r="CG60" s="16">
        <f t="shared" si="6"/>
        <v>694067608</v>
      </c>
      <c r="CH60" s="8">
        <f t="shared" si="30"/>
        <v>30.780094677715301</v>
      </c>
      <c r="CI60" s="8">
        <f t="shared" si="31"/>
        <v>0.61560189355430595</v>
      </c>
      <c r="CJ60" s="159">
        <f t="shared" si="59"/>
        <v>1.7236853019520566</v>
      </c>
      <c r="CK60" s="159">
        <f t="shared" si="32"/>
        <v>1.9558439826983509</v>
      </c>
      <c r="CL60" s="157">
        <f t="shared" si="33"/>
        <v>5.9437424205243332E-2</v>
      </c>
      <c r="CM60" s="8">
        <f t="shared" si="34"/>
        <v>0.1402881255085712</v>
      </c>
      <c r="CN60" s="9">
        <f t="shared" si="8"/>
        <v>1.4028812550857118E-3</v>
      </c>
      <c r="CO60" s="8">
        <f t="shared" si="9"/>
        <v>4937.0186936360342</v>
      </c>
      <c r="CP60" s="8">
        <f t="shared" si="10"/>
        <v>49.370186936360341</v>
      </c>
      <c r="CQ60" s="8">
        <f t="shared" si="35"/>
        <v>49.37158981761543</v>
      </c>
      <c r="CR60" s="159">
        <f t="shared" si="60"/>
        <v>138.24045148932319</v>
      </c>
      <c r="CS60" s="159">
        <f t="shared" si="36"/>
        <v>2.3155776947032534</v>
      </c>
      <c r="CT60" s="166">
        <f t="shared" si="37"/>
        <v>4.8133861939179387E-2</v>
      </c>
      <c r="CU60" s="42" t="s">
        <v>10</v>
      </c>
      <c r="CV60" s="43">
        <v>31</v>
      </c>
      <c r="CW60" s="44">
        <f t="shared" si="12"/>
        <v>0.51798468365373473</v>
      </c>
      <c r="CX60" s="44">
        <f t="shared" si="13"/>
        <v>0.70939510799970884</v>
      </c>
      <c r="CY60" s="43">
        <f t="shared" si="14"/>
        <v>694067608</v>
      </c>
      <c r="CZ60" s="44">
        <f t="shared" si="38"/>
        <v>5.6847586171276365</v>
      </c>
      <c r="DA60" s="45">
        <f t="shared" si="15"/>
        <v>0.12478895864854647</v>
      </c>
      <c r="DB60" s="43">
        <f t="shared" si="16"/>
        <v>122092714</v>
      </c>
      <c r="DC60" s="45">
        <f t="shared" si="17"/>
        <v>0.17590896418839935</v>
      </c>
      <c r="DD60" s="44">
        <f t="shared" si="18"/>
        <v>49.37158981761543</v>
      </c>
      <c r="DE60" s="44">
        <f t="shared" si="39"/>
        <v>14.435126941787988</v>
      </c>
      <c r="DF60" s="46">
        <f t="shared" si="19"/>
        <v>4.642683517751939</v>
      </c>
      <c r="DG60" s="44">
        <f t="shared" si="40"/>
        <v>2.9294183895027817</v>
      </c>
      <c r="DH60" s="44">
        <f t="shared" si="43"/>
        <v>0.91686590511158561</v>
      </c>
      <c r="DI60" s="44">
        <f t="shared" si="41"/>
        <v>0.58822925497458067</v>
      </c>
      <c r="DJ60" s="92">
        <f t="shared" si="44"/>
        <v>0.68671148084326372</v>
      </c>
    </row>
    <row r="61" spans="1:114" ht="18" x14ac:dyDescent="0.2">
      <c r="A61" s="58">
        <v>4</v>
      </c>
      <c r="B61" s="117">
        <v>36</v>
      </c>
      <c r="C61" s="117" t="s">
        <v>161</v>
      </c>
      <c r="D61" s="229"/>
      <c r="E61" s="230"/>
      <c r="F61" s="156">
        <v>2.8</v>
      </c>
      <c r="G61" s="234"/>
      <c r="H61" s="168">
        <v>-2.1</v>
      </c>
      <c r="I61" s="4">
        <v>30.097000000000001</v>
      </c>
      <c r="J61" s="176">
        <f t="shared" si="56"/>
        <v>0.10006844536000266</v>
      </c>
      <c r="K61" s="5"/>
      <c r="L61" s="5"/>
      <c r="M61" s="6">
        <v>13.89</v>
      </c>
      <c r="N61" s="5">
        <v>2233589</v>
      </c>
      <c r="O61" s="5">
        <v>14.11</v>
      </c>
      <c r="P61" s="5">
        <v>3513015</v>
      </c>
      <c r="Q61" s="5">
        <v>18495991</v>
      </c>
      <c r="R61" s="100">
        <f>P61/Q61</f>
        <v>0.18993386188390771</v>
      </c>
      <c r="S61" s="5">
        <v>16.11</v>
      </c>
      <c r="T61" s="5">
        <v>5514140</v>
      </c>
      <c r="U61" s="5">
        <v>16.420000000000002</v>
      </c>
      <c r="V61" s="5">
        <v>6856635</v>
      </c>
      <c r="W61" s="5">
        <v>33960633</v>
      </c>
      <c r="X61" s="100">
        <f t="shared" si="80"/>
        <v>0.20189950523007036</v>
      </c>
      <c r="Y61" s="5">
        <v>18.350000000000001</v>
      </c>
      <c r="Z61" s="5">
        <v>15338228</v>
      </c>
      <c r="AA61" s="5">
        <v>20.059999999999999</v>
      </c>
      <c r="AB61" s="5">
        <v>2778395</v>
      </c>
      <c r="AC61" s="5">
        <v>2737713289</v>
      </c>
      <c r="AD61" s="105">
        <f>AB61/AC61</f>
        <v>1.0148597412166778E-3</v>
      </c>
      <c r="AE61" s="6">
        <v>20.6</v>
      </c>
      <c r="AF61" s="5">
        <v>21859271</v>
      </c>
      <c r="AG61" s="5">
        <v>22.79</v>
      </c>
      <c r="AH61" s="5">
        <v>40674246</v>
      </c>
      <c r="AI61" s="5">
        <v>24.91</v>
      </c>
      <c r="AJ61" s="5">
        <v>31919725</v>
      </c>
      <c r="AK61" s="5">
        <v>26.96</v>
      </c>
      <c r="AL61" s="5">
        <v>40607008</v>
      </c>
      <c r="AM61" s="5">
        <v>28.96</v>
      </c>
      <c r="AN61" s="5">
        <v>27407037</v>
      </c>
      <c r="AO61" s="5">
        <v>30.87</v>
      </c>
      <c r="AP61" s="5">
        <v>63159728</v>
      </c>
      <c r="AQ61" s="5">
        <v>598748747</v>
      </c>
      <c r="AR61" s="100">
        <f t="shared" si="21"/>
        <v>0.10548619653311775</v>
      </c>
      <c r="AS61" s="5">
        <v>32.72</v>
      </c>
      <c r="AT61" s="5">
        <v>21704168</v>
      </c>
      <c r="AU61" s="5">
        <v>34.5</v>
      </c>
      <c r="AV61" s="5">
        <v>52518410</v>
      </c>
      <c r="AW61" s="5">
        <v>36.24</v>
      </c>
      <c r="AX61" s="5">
        <v>22368028</v>
      </c>
      <c r="AY61" s="5">
        <v>37.909999999999997</v>
      </c>
      <c r="AZ61" s="5">
        <v>82399289</v>
      </c>
      <c r="BA61" s="5">
        <v>39.53</v>
      </c>
      <c r="BB61" s="5">
        <v>22042938</v>
      </c>
      <c r="BC61" s="5">
        <v>41.11</v>
      </c>
      <c r="BD61" s="5">
        <v>89485292</v>
      </c>
      <c r="BE61" s="5">
        <v>42.62</v>
      </c>
      <c r="BF61" s="5">
        <v>11895511</v>
      </c>
      <c r="BG61" s="5">
        <v>44.11</v>
      </c>
      <c r="BH61" s="5">
        <v>34759567</v>
      </c>
      <c r="BI61" s="5">
        <v>45.56</v>
      </c>
      <c r="BJ61" s="5">
        <v>4264969</v>
      </c>
      <c r="BK61" s="5">
        <v>46.96</v>
      </c>
      <c r="BL61" s="5">
        <v>8281533</v>
      </c>
      <c r="BM61" s="6">
        <v>48.5</v>
      </c>
      <c r="BN61" s="5">
        <v>3161330</v>
      </c>
      <c r="BO61" s="5">
        <v>50.28</v>
      </c>
      <c r="BP61" s="5">
        <v>6576874</v>
      </c>
      <c r="BQ61" s="5"/>
      <c r="BR61" s="24"/>
      <c r="BS61" s="24"/>
      <c r="BT61" s="24"/>
      <c r="BU61" s="17">
        <f t="shared" si="2"/>
        <v>608170881</v>
      </c>
      <c r="BV61" s="8">
        <f t="shared" si="22"/>
        <v>21.904270118141291</v>
      </c>
      <c r="BW61" s="8">
        <f t="shared" si="23"/>
        <v>0.43808540236282584</v>
      </c>
      <c r="BX61" s="159">
        <f t="shared" si="57"/>
        <v>1.2266391266159122</v>
      </c>
      <c r="BY61" s="159">
        <f t="shared" si="24"/>
        <v>1.1354615630990579</v>
      </c>
      <c r="BZ61" s="160">
        <f t="shared" si="25"/>
        <v>3.6991529753193982E-2</v>
      </c>
      <c r="CA61" s="16">
        <f t="shared" si="4"/>
        <v>85619474</v>
      </c>
      <c r="CB61" s="9">
        <f t="shared" si="26"/>
        <v>3.0837255522419125</v>
      </c>
      <c r="CC61" s="9">
        <f t="shared" si="27"/>
        <v>6.1674511044838252E-2</v>
      </c>
      <c r="CD61" s="158">
        <f t="shared" si="58"/>
        <v>0.17268863092554709</v>
      </c>
      <c r="CE61" s="158">
        <f t="shared" si="28"/>
        <v>3.8247758787496586</v>
      </c>
      <c r="CF61" s="171">
        <f t="shared" si="29"/>
        <v>5.9547803767430029E-3</v>
      </c>
      <c r="CG61" s="16">
        <f t="shared" si="6"/>
        <v>422617637</v>
      </c>
      <c r="CH61" s="8">
        <f t="shared" si="30"/>
        <v>15.221266204520214</v>
      </c>
      <c r="CI61" s="8">
        <f t="shared" si="31"/>
        <v>0.30442532409040424</v>
      </c>
      <c r="CJ61" s="159">
        <f t="shared" si="59"/>
        <v>0.85239090745313184</v>
      </c>
      <c r="CK61" s="159">
        <f t="shared" si="32"/>
        <v>0.9671972171259865</v>
      </c>
      <c r="CL61" s="157">
        <f t="shared" si="33"/>
        <v>2.9392789912176961E-2</v>
      </c>
      <c r="CM61" s="8">
        <f t="shared" si="34"/>
        <v>0.12652698755085931</v>
      </c>
      <c r="CN61" s="9">
        <f t="shared" si="8"/>
        <v>1.265269875508593E-3</v>
      </c>
      <c r="CO61" s="8">
        <f t="shared" si="9"/>
        <v>8798.3872165530483</v>
      </c>
      <c r="CP61" s="8">
        <f t="shared" si="10"/>
        <v>87.983872165530485</v>
      </c>
      <c r="CQ61" s="8">
        <f t="shared" si="35"/>
        <v>87.985137435405989</v>
      </c>
      <c r="CR61" s="159">
        <f t="shared" si="60"/>
        <v>246.35838481913675</v>
      </c>
      <c r="CS61" s="159">
        <f t="shared" si="36"/>
        <v>4.1265922864435414</v>
      </c>
      <c r="CT61" s="166">
        <f t="shared" si="37"/>
        <v>8.5779381900813634E-2</v>
      </c>
      <c r="CU61" s="42" t="s">
        <v>10</v>
      </c>
      <c r="CV61" s="43">
        <v>31</v>
      </c>
      <c r="CW61" s="44">
        <f t="shared" si="12"/>
        <v>0.52061267787597543</v>
      </c>
      <c r="CX61" s="44">
        <f t="shared" si="13"/>
        <v>0.69489949322318834</v>
      </c>
      <c r="CY61" s="43">
        <f t="shared" si="14"/>
        <v>422617637</v>
      </c>
      <c r="CZ61" s="44">
        <f t="shared" si="38"/>
        <v>4.9359989878003692</v>
      </c>
      <c r="DA61" s="45">
        <f t="shared" si="15"/>
        <v>0.14078193592435412</v>
      </c>
      <c r="DB61" s="43">
        <f t="shared" si="16"/>
        <v>85619474</v>
      </c>
      <c r="DC61" s="45">
        <f t="shared" si="17"/>
        <v>0.20259323441345162</v>
      </c>
      <c r="DD61" s="44">
        <f t="shared" si="18"/>
        <v>87.985137435405989</v>
      </c>
      <c r="DE61" s="44">
        <f t="shared" si="39"/>
        <v>12.770619623457266</v>
      </c>
      <c r="DF61" s="46">
        <f t="shared" si="19"/>
        <v>5.706847758868502</v>
      </c>
      <c r="DG61" s="44">
        <f t="shared" si="40"/>
        <v>3.3528595368014011</v>
      </c>
      <c r="DH61" s="44">
        <f t="shared" si="43"/>
        <v>1.572811739312828</v>
      </c>
      <c r="DI61" s="44">
        <f t="shared" si="41"/>
        <v>1.2434640759937179</v>
      </c>
      <c r="DJ61" s="92">
        <f t="shared" si="44"/>
        <v>0.51235263361692729</v>
      </c>
    </row>
    <row r="62" spans="1:114" ht="18" x14ac:dyDescent="0.2">
      <c r="A62" s="58">
        <v>3</v>
      </c>
      <c r="B62" s="117">
        <v>35</v>
      </c>
      <c r="C62" s="117" t="s">
        <v>160</v>
      </c>
      <c r="D62" s="229"/>
      <c r="E62" s="230"/>
      <c r="F62" s="172">
        <v>2.8</v>
      </c>
      <c r="G62" s="234"/>
      <c r="H62" s="168">
        <v>-2.2999999999999998</v>
      </c>
      <c r="I62" s="3">
        <v>30.098500000000001</v>
      </c>
      <c r="J62" s="176">
        <f t="shared" si="56"/>
        <v>0.10006345831187601</v>
      </c>
      <c r="K62" s="6"/>
      <c r="L62" s="5"/>
      <c r="M62" s="6">
        <v>13.98</v>
      </c>
      <c r="N62" s="5">
        <v>1418445</v>
      </c>
      <c r="O62" s="5">
        <v>14.16</v>
      </c>
      <c r="P62" s="5">
        <v>3663371</v>
      </c>
      <c r="Q62" s="5">
        <v>9033486</v>
      </c>
      <c r="R62" s="100">
        <f t="shared" ref="R62" si="81">P62/Q62</f>
        <v>0.40553237144553056</v>
      </c>
      <c r="S62" s="6">
        <v>16</v>
      </c>
      <c r="T62" s="5">
        <v>2043642</v>
      </c>
      <c r="U62" s="6">
        <v>16.27</v>
      </c>
      <c r="V62" s="5">
        <v>2911549</v>
      </c>
      <c r="W62" s="5">
        <v>16709292</v>
      </c>
      <c r="X62" s="100">
        <f t="shared" si="80"/>
        <v>0.17424729904773942</v>
      </c>
      <c r="Y62" s="5">
        <v>18.22</v>
      </c>
      <c r="Z62" s="5">
        <v>4926903</v>
      </c>
      <c r="AA62" s="6">
        <v>19.91</v>
      </c>
      <c r="AB62" s="5">
        <v>2120012</v>
      </c>
      <c r="AC62" s="5">
        <v>1308393071</v>
      </c>
      <c r="AD62" s="105">
        <f t="shared" si="77"/>
        <v>1.6203173549212413E-3</v>
      </c>
      <c r="AE62" s="5">
        <v>20.46</v>
      </c>
      <c r="AF62" s="5">
        <v>6583280</v>
      </c>
      <c r="AG62" s="5">
        <v>22.64</v>
      </c>
      <c r="AH62" s="5">
        <v>12480052</v>
      </c>
      <c r="AI62" s="5">
        <v>24.75</v>
      </c>
      <c r="AJ62" s="5">
        <v>10758411</v>
      </c>
      <c r="AK62" s="5">
        <v>26.81</v>
      </c>
      <c r="AL62" s="5">
        <v>15823496</v>
      </c>
      <c r="AM62" s="5">
        <v>28.79</v>
      </c>
      <c r="AN62" s="5">
        <v>10826290</v>
      </c>
      <c r="AO62" s="6">
        <v>30.7</v>
      </c>
      <c r="AP62" s="5">
        <v>20605997</v>
      </c>
      <c r="AQ62" s="5">
        <v>184783926</v>
      </c>
      <c r="AR62" s="100">
        <f t="shared" si="21"/>
        <v>0.11151401231728349</v>
      </c>
      <c r="AS62" s="6">
        <v>32.549999999999997</v>
      </c>
      <c r="AT62" s="5">
        <v>5138761</v>
      </c>
      <c r="AU62" s="6">
        <v>34.33</v>
      </c>
      <c r="AV62" s="5">
        <v>12419965</v>
      </c>
      <c r="AW62" s="6">
        <v>36.06</v>
      </c>
      <c r="AX62" s="5">
        <v>3535677</v>
      </c>
      <c r="AY62" s="6">
        <v>37.72</v>
      </c>
      <c r="AZ62" s="5">
        <v>15001207</v>
      </c>
      <c r="BA62" s="6">
        <v>39.35</v>
      </c>
      <c r="BB62" s="5">
        <v>5757531</v>
      </c>
      <c r="BC62" s="6">
        <v>40.909999999999997</v>
      </c>
      <c r="BD62" s="5">
        <v>11653502</v>
      </c>
      <c r="BE62" s="6">
        <v>42.45</v>
      </c>
      <c r="BF62" s="5">
        <v>1500575</v>
      </c>
      <c r="BG62" s="6">
        <v>43.92</v>
      </c>
      <c r="BH62" s="5">
        <v>3099813</v>
      </c>
      <c r="BI62" s="6">
        <v>45.39</v>
      </c>
      <c r="BJ62" s="5">
        <v>1026809</v>
      </c>
      <c r="BK62" s="6">
        <v>46.85</v>
      </c>
      <c r="BL62" s="5">
        <v>4096598</v>
      </c>
      <c r="BM62" s="6"/>
      <c r="BN62" s="5"/>
      <c r="BO62" s="6"/>
      <c r="BP62" s="5"/>
      <c r="BQ62" s="6"/>
      <c r="BR62" s="5"/>
      <c r="BS62" s="6"/>
      <c r="BT62" s="5"/>
      <c r="BU62" s="17">
        <f t="shared" si="2"/>
        <v>148696954</v>
      </c>
      <c r="BV62" s="8">
        <f t="shared" si="22"/>
        <v>7.0184185078584198</v>
      </c>
      <c r="BW62" s="8">
        <f t="shared" si="23"/>
        <v>0.14036837015716838</v>
      </c>
      <c r="BX62" s="159">
        <f t="shared" si="57"/>
        <v>0.39303143644007144</v>
      </c>
      <c r="BY62" s="159">
        <f t="shared" si="24"/>
        <v>0.3638169364436466</v>
      </c>
      <c r="BZ62" s="160">
        <f t="shared" si="25"/>
        <v>1.1852576490955112E-2</v>
      </c>
      <c r="CA62" s="16">
        <f t="shared" si="4"/>
        <v>27452322</v>
      </c>
      <c r="CB62" s="9">
        <f t="shared" si="26"/>
        <v>1.295735249617076</v>
      </c>
      <c r="CC62" s="9">
        <f t="shared" si="27"/>
        <v>2.5914704992341518E-2</v>
      </c>
      <c r="CD62" s="158">
        <f t="shared" si="58"/>
        <v>7.2561173978556243E-2</v>
      </c>
      <c r="CE62" s="158">
        <f t="shared" si="28"/>
        <v>1.6071134878971483</v>
      </c>
      <c r="CF62" s="171">
        <f t="shared" si="29"/>
        <v>2.5021094475364222E-3</v>
      </c>
      <c r="CG62" s="16">
        <f t="shared" si="6"/>
        <v>83836435</v>
      </c>
      <c r="CH62" s="8">
        <f t="shared" si="30"/>
        <v>3.9570359123621954</v>
      </c>
      <c r="CI62" s="8">
        <f t="shared" si="31"/>
        <v>7.9140718247243905E-2</v>
      </c>
      <c r="CJ62" s="159">
        <f t="shared" si="59"/>
        <v>0.22159401109228291</v>
      </c>
      <c r="CK62" s="159">
        <f t="shared" si="32"/>
        <v>0.25143993088878125</v>
      </c>
      <c r="CL62" s="157">
        <f t="shared" si="33"/>
        <v>7.6411727962856172E-3</v>
      </c>
      <c r="CM62" s="8">
        <f t="shared" si="34"/>
        <v>0.17290919642881056</v>
      </c>
      <c r="CN62" s="9">
        <f t="shared" si="8"/>
        <v>1.7290919642881056E-3</v>
      </c>
      <c r="CO62" s="8">
        <f t="shared" si="9"/>
        <v>8152.0488055832875</v>
      </c>
      <c r="CP62" s="8">
        <f t="shared" si="10"/>
        <v>81.520488055832871</v>
      </c>
      <c r="CQ62" s="8">
        <f t="shared" si="35"/>
        <v>81.522217147797164</v>
      </c>
      <c r="CR62" s="159">
        <f t="shared" si="60"/>
        <v>228.26220801383204</v>
      </c>
      <c r="CS62" s="159">
        <f t="shared" si="36"/>
        <v>3.8234747624602941</v>
      </c>
      <c r="CT62" s="166">
        <f t="shared" si="37"/>
        <v>7.9478484684481904E-2</v>
      </c>
      <c r="CU62" s="42" t="s">
        <v>73</v>
      </c>
      <c r="CV62" s="43">
        <v>31</v>
      </c>
      <c r="CW62" s="44">
        <f t="shared" si="12"/>
        <v>0.43720237200863832</v>
      </c>
      <c r="CX62" s="44">
        <f t="shared" si="13"/>
        <v>0.56380734604691363</v>
      </c>
      <c r="CY62" s="43">
        <f t="shared" si="14"/>
        <v>83836435</v>
      </c>
      <c r="CZ62" s="44">
        <f t="shared" si="38"/>
        <v>3.0538923082717737</v>
      </c>
      <c r="DA62" s="45">
        <f t="shared" si="15"/>
        <v>0.18461926261112249</v>
      </c>
      <c r="DB62" s="43">
        <f t="shared" si="16"/>
        <v>27452322</v>
      </c>
      <c r="DC62" s="45">
        <f t="shared" si="17"/>
        <v>0.32745097045216676</v>
      </c>
      <c r="DD62" s="44">
        <f t="shared" si="18"/>
        <v>81.522217147797164</v>
      </c>
      <c r="DE62" s="44">
        <f t="shared" si="39"/>
        <v>6.1580033120326894</v>
      </c>
      <c r="DF62" s="46">
        <f t="shared" si="19"/>
        <v>5.7326289432747126</v>
      </c>
      <c r="DG62" s="44">
        <f t="shared" si="40"/>
        <v>2.8977668145969382</v>
      </c>
      <c r="DH62" s="44">
        <f t="shared" si="43"/>
        <v>2.5826669345656685</v>
      </c>
      <c r="DI62" s="44">
        <f t="shared" si="41"/>
        <v>1.4246864176798089</v>
      </c>
      <c r="DJ62" s="92">
        <f t="shared" si="44"/>
        <v>1.2582206241419944</v>
      </c>
    </row>
    <row r="63" spans="1:114" ht="18" x14ac:dyDescent="0.2">
      <c r="A63" s="58">
        <v>2</v>
      </c>
      <c r="B63" s="117">
        <v>34</v>
      </c>
      <c r="C63" s="117" t="s">
        <v>159</v>
      </c>
      <c r="D63" s="229"/>
      <c r="E63" s="230"/>
      <c r="F63" s="172">
        <v>2.8</v>
      </c>
      <c r="G63" s="234"/>
      <c r="H63" s="168">
        <v>-2.5</v>
      </c>
      <c r="I63" s="4">
        <v>30.507999999999999</v>
      </c>
      <c r="J63" s="176">
        <f t="shared" si="56"/>
        <v>9.8720335649665675E-2</v>
      </c>
      <c r="K63" s="6"/>
      <c r="L63" s="5"/>
      <c r="M63" s="6">
        <v>14</v>
      </c>
      <c r="N63" s="5">
        <v>172252</v>
      </c>
      <c r="O63" s="6">
        <v>14.18</v>
      </c>
      <c r="P63" s="5">
        <v>327889</v>
      </c>
      <c r="Q63" s="5">
        <v>1928217</v>
      </c>
      <c r="R63" s="100">
        <f t="shared" ref="R63" si="82">P63/Q63</f>
        <v>0.17004776951971692</v>
      </c>
      <c r="S63" s="6">
        <v>16.07</v>
      </c>
      <c r="T63" s="5">
        <v>367558</v>
      </c>
      <c r="U63" s="6">
        <v>16.27</v>
      </c>
      <c r="V63" s="5">
        <v>379975</v>
      </c>
      <c r="W63" s="5">
        <v>3255817</v>
      </c>
      <c r="X63" s="100">
        <f t="shared" si="80"/>
        <v>0.11670649793891978</v>
      </c>
      <c r="Y63" s="6">
        <v>18.27</v>
      </c>
      <c r="Z63" s="5">
        <v>1053534</v>
      </c>
      <c r="AA63" s="6">
        <v>19.920000000000002</v>
      </c>
      <c r="AB63" s="5">
        <v>723343</v>
      </c>
      <c r="AC63" s="38">
        <v>444274966</v>
      </c>
      <c r="AD63" s="105">
        <f t="shared" si="77"/>
        <v>1.6281426039206539E-3</v>
      </c>
      <c r="AE63" s="6">
        <v>20.49</v>
      </c>
      <c r="AF63" s="5">
        <v>2243733</v>
      </c>
      <c r="AG63" s="6">
        <v>22.66</v>
      </c>
      <c r="AH63" s="5">
        <v>6098844</v>
      </c>
      <c r="AI63" s="6">
        <v>24.77</v>
      </c>
      <c r="AJ63" s="5">
        <v>5117972</v>
      </c>
      <c r="AK63" s="6">
        <v>26.82</v>
      </c>
      <c r="AL63" s="5">
        <v>7830111</v>
      </c>
      <c r="AM63" s="6">
        <v>28.8</v>
      </c>
      <c r="AN63" s="5">
        <v>4681185</v>
      </c>
      <c r="AO63" s="6">
        <v>30.7</v>
      </c>
      <c r="AP63" s="5">
        <v>13971238</v>
      </c>
      <c r="AQ63" s="5">
        <v>139287990</v>
      </c>
      <c r="AR63" s="100">
        <f t="shared" si="21"/>
        <v>0.10030468527832155</v>
      </c>
      <c r="AS63" s="6">
        <v>32.549999999999997</v>
      </c>
      <c r="AT63" s="5">
        <v>32024885</v>
      </c>
      <c r="AU63" s="6">
        <v>34.33</v>
      </c>
      <c r="AV63" s="5">
        <v>7595859</v>
      </c>
      <c r="AW63" s="6">
        <v>36.049999999999997</v>
      </c>
      <c r="AX63" s="5">
        <v>2603109</v>
      </c>
      <c r="AY63" s="6">
        <v>37.729999999999997</v>
      </c>
      <c r="AZ63" s="5">
        <v>11686899</v>
      </c>
      <c r="BA63" s="6">
        <v>39.36</v>
      </c>
      <c r="BB63" s="5">
        <v>2779145</v>
      </c>
      <c r="BC63" s="6">
        <v>40.909999999999997</v>
      </c>
      <c r="BD63" s="5">
        <v>6223800</v>
      </c>
      <c r="BE63" s="6">
        <v>42.43</v>
      </c>
      <c r="BF63" s="5">
        <v>882893</v>
      </c>
      <c r="BG63" s="6">
        <v>43.93</v>
      </c>
      <c r="BH63" s="5">
        <v>1663303</v>
      </c>
      <c r="BI63" s="6">
        <v>45.39</v>
      </c>
      <c r="BJ63" s="5">
        <v>609156</v>
      </c>
      <c r="BK63" s="6">
        <v>46.86</v>
      </c>
      <c r="BL63" s="5">
        <v>2624023</v>
      </c>
      <c r="BM63" s="6"/>
      <c r="BN63" s="5"/>
      <c r="BO63" s="6"/>
      <c r="BP63" s="5"/>
      <c r="BQ63" s="5"/>
      <c r="BR63" s="22"/>
      <c r="BS63" s="22"/>
      <c r="BT63" s="22"/>
      <c r="BU63" s="17">
        <f t="shared" si="2"/>
        <v>110229499</v>
      </c>
      <c r="BV63" s="8">
        <f t="shared" si="22"/>
        <v>15.04389085091649</v>
      </c>
      <c r="BW63" s="8">
        <f t="shared" si="23"/>
        <v>0.30087781701832977</v>
      </c>
      <c r="BX63" s="159">
        <f t="shared" si="57"/>
        <v>0.84245788765132334</v>
      </c>
      <c r="BY63" s="159">
        <f t="shared" si="24"/>
        <v>0.77983697829429177</v>
      </c>
      <c r="BZ63" s="160">
        <f t="shared" si="25"/>
        <v>2.5405847034117111E-2</v>
      </c>
      <c r="CA63" s="16">
        <f t="shared" si="4"/>
        <v>9935921</v>
      </c>
      <c r="CB63" s="9">
        <f t="shared" si="26"/>
        <v>1.3560336605297374</v>
      </c>
      <c r="CC63" s="9">
        <f t="shared" si="27"/>
        <v>2.7120673210594748E-2</v>
      </c>
      <c r="CD63" s="158">
        <f t="shared" si="58"/>
        <v>7.5937884989665291E-2</v>
      </c>
      <c r="CE63" s="158">
        <f t="shared" si="28"/>
        <v>1.6819022146105269</v>
      </c>
      <c r="CF63" s="171">
        <f t="shared" si="29"/>
        <v>2.6185477582643204E-3</v>
      </c>
      <c r="CG63" s="16">
        <f t="shared" si="6"/>
        <v>82664310</v>
      </c>
      <c r="CH63" s="8">
        <f t="shared" si="30"/>
        <v>11.281851665735363</v>
      </c>
      <c r="CI63" s="8">
        <f t="shared" si="31"/>
        <v>0.22563703331470725</v>
      </c>
      <c r="CJ63" s="159">
        <f t="shared" si="59"/>
        <v>0.63178369328118023</v>
      </c>
      <c r="CK63" s="159">
        <f t="shared" si="32"/>
        <v>0.71687699226277124</v>
      </c>
      <c r="CL63" s="157">
        <f t="shared" si="33"/>
        <v>2.1785644595902768E-2</v>
      </c>
      <c r="CM63" s="8">
        <f t="shared" si="34"/>
        <v>4.4749603073276759E-2</v>
      </c>
      <c r="CN63" s="9">
        <f t="shared" si="8"/>
        <v>4.4749603073276754E-4</v>
      </c>
      <c r="CO63" s="8">
        <f t="shared" si="9"/>
        <v>280.4335880023454</v>
      </c>
      <c r="CP63" s="8">
        <f t="shared" si="10"/>
        <v>2.8043358800234541</v>
      </c>
      <c r="CQ63" s="8">
        <f t="shared" si="35"/>
        <v>2.8047833760541869</v>
      </c>
      <c r="CR63" s="159">
        <f t="shared" si="60"/>
        <v>7.8533934529517229</v>
      </c>
      <c r="CS63" s="159">
        <f t="shared" si="36"/>
        <v>0.13154718833356877</v>
      </c>
      <c r="CT63" s="166">
        <f t="shared" si="37"/>
        <v>2.7344684724762264E-3</v>
      </c>
      <c r="CU63" s="42" t="s">
        <v>73</v>
      </c>
      <c r="CV63" s="43">
        <v>31</v>
      </c>
      <c r="CW63" s="44">
        <f t="shared" si="12"/>
        <v>0.34749062557524973</v>
      </c>
      <c r="CX63" s="44">
        <f t="shared" si="13"/>
        <v>0.74992910926683976</v>
      </c>
      <c r="CY63" s="43">
        <f t="shared" si="14"/>
        <v>82664310</v>
      </c>
      <c r="CZ63" s="44">
        <f t="shared" si="38"/>
        <v>8.319743081693181</v>
      </c>
      <c r="DA63" s="45">
        <f t="shared" si="15"/>
        <v>9.0138493689425184E-2</v>
      </c>
      <c r="DB63" s="43">
        <f t="shared" si="16"/>
        <v>9935921</v>
      </c>
      <c r="DC63" s="45">
        <f t="shared" si="17"/>
        <v>0.12019601929780821</v>
      </c>
      <c r="DD63" s="44">
        <f t="shared" si="18"/>
        <v>2.8047833760541869</v>
      </c>
      <c r="DE63" s="44">
        <f t="shared" si="39"/>
        <v>20.808328696852467</v>
      </c>
      <c r="DF63" s="46">
        <f t="shared" si="19"/>
        <v>6.3632272391831615</v>
      </c>
      <c r="DG63" s="44">
        <f t="shared" si="40"/>
        <v>0.98229916521308303</v>
      </c>
      <c r="DH63" s="44">
        <f t="shared" si="43"/>
        <v>1.9035424842672364</v>
      </c>
      <c r="DI63" s="44">
        <f t="shared" si="41"/>
        <v>1.0337824234542576</v>
      </c>
      <c r="DJ63" s="92">
        <f t="shared" si="44"/>
        <v>0.86292256069478257</v>
      </c>
    </row>
    <row r="64" spans="1:114" ht="18" x14ac:dyDescent="0.2">
      <c r="A64" s="58">
        <v>1</v>
      </c>
      <c r="B64" s="117">
        <v>33</v>
      </c>
      <c r="C64" s="117" t="s">
        <v>158</v>
      </c>
      <c r="D64" s="231"/>
      <c r="E64" s="232"/>
      <c r="F64" s="173">
        <v>2.8</v>
      </c>
      <c r="G64" s="235"/>
      <c r="H64" s="168">
        <v>-2.7</v>
      </c>
      <c r="I64" s="3">
        <v>30.245799999999999</v>
      </c>
      <c r="J64" s="176">
        <f t="shared" si="56"/>
        <v>9.9576139497054142E-2</v>
      </c>
      <c r="K64" s="6"/>
      <c r="L64" s="5"/>
      <c r="M64" s="6">
        <v>14.02</v>
      </c>
      <c r="N64" s="5">
        <v>310583</v>
      </c>
      <c r="O64" s="5">
        <v>14.18</v>
      </c>
      <c r="P64" s="5">
        <v>575865</v>
      </c>
      <c r="Q64" s="5">
        <v>2183809</v>
      </c>
      <c r="R64" s="100">
        <f>P64/Q64</f>
        <v>0.26369751200768932</v>
      </c>
      <c r="S64" s="6">
        <v>16.09</v>
      </c>
      <c r="T64" s="5">
        <v>414189</v>
      </c>
      <c r="U64" s="6">
        <v>16.29</v>
      </c>
      <c r="V64" s="5">
        <v>430477</v>
      </c>
      <c r="W64" s="5">
        <v>2716292</v>
      </c>
      <c r="X64" s="100">
        <f>V64/W64</f>
        <v>0.15847964799071676</v>
      </c>
      <c r="Y64" s="6">
        <v>18.260000000000002</v>
      </c>
      <c r="Z64" s="5">
        <v>1007558</v>
      </c>
      <c r="AA64" s="6">
        <v>19.920000000000002</v>
      </c>
      <c r="AB64" s="5">
        <v>706748</v>
      </c>
      <c r="AC64" s="38">
        <v>401835719</v>
      </c>
      <c r="AD64" s="105">
        <f t="shared" si="77"/>
        <v>1.7587983511241816E-3</v>
      </c>
      <c r="AE64" s="6">
        <v>20.47</v>
      </c>
      <c r="AF64" s="5">
        <v>2387911</v>
      </c>
      <c r="AG64" s="5">
        <v>22.65</v>
      </c>
      <c r="AH64" s="5">
        <v>5521108</v>
      </c>
      <c r="AI64" s="5">
        <v>24.77</v>
      </c>
      <c r="AJ64" s="5">
        <v>5718523</v>
      </c>
      <c r="AK64" s="5">
        <v>26.81</v>
      </c>
      <c r="AL64" s="5">
        <v>8299887</v>
      </c>
      <c r="AM64" s="5">
        <v>28.79</v>
      </c>
      <c r="AN64" s="5">
        <v>6054967</v>
      </c>
      <c r="AO64" s="6">
        <v>30.7</v>
      </c>
      <c r="AP64" s="5">
        <v>15917569</v>
      </c>
      <c r="AQ64" s="5">
        <v>154387195</v>
      </c>
      <c r="AR64" s="100">
        <f t="shared" si="21"/>
        <v>0.10310161409435543</v>
      </c>
      <c r="AS64" s="6">
        <v>32.549999999999997</v>
      </c>
      <c r="AT64" s="5">
        <v>4073227</v>
      </c>
      <c r="AU64" s="6">
        <v>34.33</v>
      </c>
      <c r="AV64" s="5">
        <v>8441956</v>
      </c>
      <c r="AW64" s="6">
        <v>36.06</v>
      </c>
      <c r="AX64" s="5">
        <v>3248526</v>
      </c>
      <c r="AY64" s="6">
        <v>37.72</v>
      </c>
      <c r="AZ64" s="5">
        <v>11018420</v>
      </c>
      <c r="BA64" s="6">
        <v>39.36</v>
      </c>
      <c r="BB64" s="5">
        <v>3615713</v>
      </c>
      <c r="BC64" s="6">
        <v>40.909999999999997</v>
      </c>
      <c r="BD64" s="5">
        <v>6903328</v>
      </c>
      <c r="BE64" s="6">
        <v>42.44</v>
      </c>
      <c r="BF64" s="5">
        <v>832791</v>
      </c>
      <c r="BG64" s="6">
        <v>43.92</v>
      </c>
      <c r="BH64" s="5">
        <v>1652301</v>
      </c>
      <c r="BI64" s="6">
        <v>45.37</v>
      </c>
      <c r="BJ64" s="5">
        <v>339572</v>
      </c>
      <c r="BK64" s="6">
        <v>46.84</v>
      </c>
      <c r="BL64" s="5">
        <v>1581286</v>
      </c>
      <c r="BM64" s="5"/>
      <c r="BN64" s="5"/>
      <c r="BO64" s="5"/>
      <c r="BP64" s="5"/>
      <c r="BQ64" s="5"/>
      <c r="BR64" s="22"/>
      <c r="BS64" s="22"/>
      <c r="BT64" s="22"/>
      <c r="BU64" s="17">
        <f t="shared" si="2"/>
        <v>87339415</v>
      </c>
      <c r="BV64" s="8">
        <f t="shared" si="22"/>
        <v>12.305548472200988</v>
      </c>
      <c r="BW64" s="8">
        <f t="shared" si="23"/>
        <v>0.24611096944401975</v>
      </c>
      <c r="BX64" s="159">
        <f t="shared" si="57"/>
        <v>0.68911071444325522</v>
      </c>
      <c r="BY64" s="159">
        <f t="shared" si="24"/>
        <v>0.63788828514602913</v>
      </c>
      <c r="BZ64" s="160">
        <f t="shared" si="25"/>
        <v>2.0781384633391294E-2</v>
      </c>
      <c r="CA64" s="16">
        <f t="shared" si="4"/>
        <v>9641349</v>
      </c>
      <c r="CB64" s="9">
        <f t="shared" si="26"/>
        <v>1.3584025889903948</v>
      </c>
      <c r="CC64" s="9">
        <f t="shared" si="27"/>
        <v>2.7168051779807894E-2</v>
      </c>
      <c r="CD64" s="158">
        <f t="shared" si="58"/>
        <v>7.6070544983462093E-2</v>
      </c>
      <c r="CE64" s="158">
        <f t="shared" si="28"/>
        <v>1.6848404204532028</v>
      </c>
      <c r="CF64" s="171">
        <f t="shared" si="29"/>
        <v>2.6231222408090375E-3</v>
      </c>
      <c r="CG64" s="16">
        <f t="shared" si="6"/>
        <v>57624689</v>
      </c>
      <c r="CH64" s="8">
        <f t="shared" si="30"/>
        <v>8.1189392404907554</v>
      </c>
      <c r="CI64" s="8">
        <f t="shared" si="31"/>
        <v>0.1623787848098151</v>
      </c>
      <c r="CJ64" s="159">
        <f t="shared" si="59"/>
        <v>0.45466059746748227</v>
      </c>
      <c r="CK64" s="159">
        <f t="shared" si="32"/>
        <v>0.51589764832347929</v>
      </c>
      <c r="CL64" s="157">
        <f t="shared" si="33"/>
        <v>1.5677951636809732E-2</v>
      </c>
      <c r="CM64" s="8">
        <f t="shared" si="34"/>
        <v>8.1135586618527517E-2</v>
      </c>
      <c r="CN64" s="9">
        <f t="shared" si="8"/>
        <v>8.1135586618527513E-4</v>
      </c>
      <c r="CO64" s="8">
        <f t="shared" si="9"/>
        <v>616.91040861651231</v>
      </c>
      <c r="CP64" s="8">
        <f t="shared" si="10"/>
        <v>6.169104086165123</v>
      </c>
      <c r="CQ64" s="8">
        <f t="shared" si="35"/>
        <v>6.169915442031308</v>
      </c>
      <c r="CR64" s="159">
        <f t="shared" si="60"/>
        <v>17.275763237687663</v>
      </c>
      <c r="CS64" s="159">
        <f t="shared" si="36"/>
        <v>0.28937529920649618</v>
      </c>
      <c r="CT64" s="166">
        <f t="shared" si="37"/>
        <v>6.015237896130802E-3</v>
      </c>
      <c r="CU64" s="42" t="s">
        <v>73</v>
      </c>
      <c r="CV64" s="43">
        <v>31</v>
      </c>
      <c r="CW64" s="44">
        <f t="shared" si="12"/>
        <v>0.38519278365034482</v>
      </c>
      <c r="CX64" s="44">
        <f t="shared" si="13"/>
        <v>0.65977873792720043</v>
      </c>
      <c r="CY64" s="43">
        <f t="shared" si="14"/>
        <v>57624689</v>
      </c>
      <c r="CZ64" s="44">
        <f t="shared" si="38"/>
        <v>5.9768284500436613</v>
      </c>
      <c r="DA64" s="45">
        <f t="shared" si="15"/>
        <v>0.11038943872019294</v>
      </c>
      <c r="DB64" s="43">
        <f t="shared" si="16"/>
        <v>9641349</v>
      </c>
      <c r="DC64" s="45">
        <f t="shared" si="17"/>
        <v>0.16731281621320335</v>
      </c>
      <c r="DD64" s="44">
        <f t="shared" si="18"/>
        <v>6.169915442031308</v>
      </c>
      <c r="DE64" s="44">
        <f t="shared" si="39"/>
        <v>20.000670641456416</v>
      </c>
      <c r="DF64" s="46">
        <f t="shared" si="19"/>
        <v>4.9040747639604305</v>
      </c>
      <c r="DG64" s="44">
        <f t="shared" si="40"/>
        <v>2.9400082537481715</v>
      </c>
      <c r="DH64" s="44">
        <f t="shared" si="43"/>
        <v>1.8541420489852953</v>
      </c>
      <c r="DI64" s="44">
        <f t="shared" si="41"/>
        <v>1.0393250424323195</v>
      </c>
      <c r="DJ64" s="92">
        <f t="shared" si="44"/>
        <v>1.3377369754946258</v>
      </c>
    </row>
    <row r="65" spans="6:98" ht="18" x14ac:dyDescent="0.2">
      <c r="F65" s="174"/>
      <c r="BX65" s="183">
        <f>SUM(BX4:BX64)</f>
        <v>109.33506999819183</v>
      </c>
      <c r="BZ65" s="184">
        <f t="shared" si="25"/>
        <v>3.2971975270866056</v>
      </c>
      <c r="CD65" s="185">
        <f>SUM(CD4:CD64)</f>
        <v>4.6158467784415675</v>
      </c>
      <c r="CF65" s="186"/>
      <c r="CJ65" s="183">
        <f>SUM(CJ4:CJ64)</f>
        <v>89.037498926398115</v>
      </c>
      <c r="CL65" s="188"/>
      <c r="CR65" s="183">
        <f>SUM(CR4:CR64)</f>
        <v>6005.7132948808894</v>
      </c>
      <c r="CT65" s="187" t="s">
        <v>396</v>
      </c>
    </row>
    <row r="66" spans="6:98" x14ac:dyDescent="0.2">
      <c r="H66" s="130"/>
    </row>
  </sheetData>
  <mergeCells count="70">
    <mergeCell ref="D51:E64"/>
    <mergeCell ref="G51:G64"/>
    <mergeCell ref="G22:G37"/>
    <mergeCell ref="G14:G21"/>
    <mergeCell ref="G8:G13"/>
    <mergeCell ref="E22:E45"/>
    <mergeCell ref="D22:D32"/>
    <mergeCell ref="D4:E21"/>
    <mergeCell ref="G38:G45"/>
    <mergeCell ref="D46:E50"/>
    <mergeCell ref="G46:G50"/>
    <mergeCell ref="CU2:DJ2"/>
    <mergeCell ref="BS2:BT2"/>
    <mergeCell ref="BC2:BD2"/>
    <mergeCell ref="BI2:BJ2"/>
    <mergeCell ref="BK2:BL2"/>
    <mergeCell ref="BE2:BF2"/>
    <mergeCell ref="BG2:BH2"/>
    <mergeCell ref="BM2:BN2"/>
    <mergeCell ref="CG2:CG3"/>
    <mergeCell ref="CM2:CM3"/>
    <mergeCell ref="CN2:CN3"/>
    <mergeCell ref="CO2:CO3"/>
    <mergeCell ref="BW2:BW3"/>
    <mergeCell ref="BX2:BX3"/>
    <mergeCell ref="CF2:CF3"/>
    <mergeCell ref="CL2:CL3"/>
    <mergeCell ref="A2:C3"/>
    <mergeCell ref="D34:D45"/>
    <mergeCell ref="Y2:Z2"/>
    <mergeCell ref="O2:R2"/>
    <mergeCell ref="U2:X2"/>
    <mergeCell ref="D2:E3"/>
    <mergeCell ref="F2:F3"/>
    <mergeCell ref="G2:G3"/>
    <mergeCell ref="J2:J3"/>
    <mergeCell ref="H2:H3"/>
    <mergeCell ref="I2:I3"/>
    <mergeCell ref="K2:L2"/>
    <mergeCell ref="G4:G7"/>
    <mergeCell ref="AG2:AH2"/>
    <mergeCell ref="AE2:AF2"/>
    <mergeCell ref="M2:N2"/>
    <mergeCell ref="S2:T2"/>
    <mergeCell ref="BZ2:BZ3"/>
    <mergeCell ref="BA2:BB2"/>
    <mergeCell ref="BO2:BP2"/>
    <mergeCell ref="BQ2:BR2"/>
    <mergeCell ref="BV2:BV3"/>
    <mergeCell ref="AK2:AL2"/>
    <mergeCell ref="AU2:AV2"/>
    <mergeCell ref="AA2:AD2"/>
    <mergeCell ref="AM2:AN2"/>
    <mergeCell ref="AW2:AX2"/>
    <mergeCell ref="AS2:AT2"/>
    <mergeCell ref="CR2:CR3"/>
    <mergeCell ref="CT2:CT3"/>
    <mergeCell ref="CD2:CD3"/>
    <mergeCell ref="CJ2:CJ3"/>
    <mergeCell ref="AI2:AJ2"/>
    <mergeCell ref="CA2:CA3"/>
    <mergeCell ref="AY2:AZ2"/>
    <mergeCell ref="AO2:AR2"/>
    <mergeCell ref="CP2:CP3"/>
    <mergeCell ref="CQ2:CQ3"/>
    <mergeCell ref="CI2:CI3"/>
    <mergeCell ref="CB2:CB3"/>
    <mergeCell ref="CC2:CC3"/>
    <mergeCell ref="CH2:CH3"/>
    <mergeCell ref="BY2:BY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0" orientation="landscape" r:id="rId1"/>
  <headerFooter>
    <oddFooter>&amp;L&amp;1#&amp;"Calibri"&amp;10&amp;K000000Public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B2A7-F589-034F-95E0-34DB62281DC5}">
  <dimension ref="A2:BG88"/>
  <sheetViews>
    <sheetView zoomScale="123" zoomScaleNormal="123" workbookViewId="0">
      <pane xSplit="11" ySplit="1" topLeftCell="BF2" activePane="bottomRight" state="frozen"/>
      <selection pane="topRight" activeCell="H1" sqref="H1"/>
      <selection pane="bottomLeft" activeCell="A2" sqref="A2"/>
      <selection pane="bottomRight" activeCell="K47" sqref="K47"/>
    </sheetView>
  </sheetViews>
  <sheetFormatPr baseColWidth="10" defaultColWidth="11.5" defaultRowHeight="15" x14ac:dyDescent="0.2"/>
  <cols>
    <col min="1" max="2" width="3.1640625" bestFit="1" customWidth="1"/>
    <col min="3" max="3" width="13.33203125" customWidth="1"/>
    <col min="4" max="4" width="3" customWidth="1"/>
    <col min="5" max="5" width="17.1640625" customWidth="1"/>
    <col min="6" max="6" width="6.6640625" customWidth="1"/>
    <col min="7" max="7" width="8.1640625" customWidth="1"/>
    <col min="8" max="8" width="9.5" customWidth="1"/>
    <col min="9" max="9" width="7.83203125" customWidth="1"/>
    <col min="10" max="10" width="6.6640625" hidden="1" customWidth="1"/>
    <col min="11" max="11" width="11" bestFit="1" customWidth="1"/>
    <col min="12" max="12" width="5.6640625" bestFit="1" customWidth="1"/>
    <col min="13" max="13" width="9" bestFit="1" customWidth="1"/>
    <col min="14" max="14" width="11" bestFit="1" customWidth="1"/>
    <col min="15" max="15" width="7.5" style="88" bestFit="1" customWidth="1"/>
    <col min="16" max="16" width="5.6640625" bestFit="1" customWidth="1"/>
    <col min="17" max="17" width="9" bestFit="1" customWidth="1"/>
    <col min="18" max="18" width="5.5" bestFit="1" customWidth="1"/>
    <col min="19" max="19" width="9.1640625" bestFit="1" customWidth="1"/>
    <col min="20" max="20" width="5.6640625" bestFit="1" customWidth="1"/>
    <col min="21" max="21" width="10" bestFit="1" customWidth="1"/>
    <col min="22" max="22" width="5.6640625" bestFit="1" customWidth="1"/>
    <col min="23" max="23" width="9.1640625" bestFit="1" customWidth="1"/>
    <col min="24" max="24" width="5.6640625" bestFit="1" customWidth="1"/>
    <col min="25" max="25" width="9.1640625" bestFit="1" customWidth="1"/>
    <col min="26" max="26" width="5.6640625" bestFit="1" customWidth="1"/>
    <col min="27" max="27" width="9.1640625" bestFit="1" customWidth="1"/>
    <col min="28" max="28" width="5.6640625" bestFit="1" customWidth="1"/>
    <col min="29" max="29" width="9" bestFit="1" customWidth="1"/>
    <col min="30" max="30" width="5.6640625" bestFit="1" customWidth="1"/>
    <col min="31" max="31" width="10.33203125" bestFit="1" customWidth="1"/>
    <col min="32" max="32" width="6.6640625" bestFit="1" customWidth="1"/>
    <col min="33" max="33" width="9.1640625" bestFit="1" customWidth="1"/>
    <col min="34" max="34" width="5.6640625" bestFit="1" customWidth="1"/>
    <col min="35" max="35" width="9.1640625" bestFit="1" customWidth="1"/>
    <col min="36" max="36" width="5.6640625" bestFit="1" customWidth="1"/>
    <col min="37" max="37" width="9" bestFit="1" customWidth="1"/>
    <col min="38" max="38" width="5.6640625" bestFit="1" customWidth="1"/>
    <col min="39" max="39" width="10" bestFit="1" customWidth="1"/>
    <col min="40" max="40" width="11.6640625" bestFit="1" customWidth="1"/>
    <col min="41" max="41" width="7.33203125" style="88" bestFit="1" customWidth="1"/>
    <col min="42" max="42" width="11.1640625" bestFit="1" customWidth="1"/>
    <col min="43" max="43" width="10.6640625" customWidth="1"/>
    <col min="44" max="44" width="10.33203125" customWidth="1"/>
    <col min="45" max="46" width="12.33203125" customWidth="1"/>
    <col min="47" max="47" width="15" customWidth="1"/>
    <col min="48" max="48" width="6.5" bestFit="1" customWidth="1"/>
    <col min="49" max="49" width="8.1640625" bestFit="1" customWidth="1"/>
    <col min="50" max="51" width="14.33203125" bestFit="1" customWidth="1"/>
    <col min="52" max="52" width="9.5" bestFit="1" customWidth="1"/>
    <col min="53" max="53" width="14.33203125" bestFit="1" customWidth="1"/>
    <col min="54" max="54" width="14.83203125" bestFit="1" customWidth="1"/>
    <col min="55" max="55" width="5.1640625" bestFit="1" customWidth="1"/>
    <col min="56" max="56" width="11.6640625" bestFit="1" customWidth="1"/>
  </cols>
  <sheetData>
    <row r="2" spans="1:56" ht="20.25" customHeight="1" x14ac:dyDescent="0.2">
      <c r="A2" s="279" t="s">
        <v>28</v>
      </c>
      <c r="B2" s="280"/>
      <c r="C2" s="281"/>
      <c r="D2" s="214" t="s">
        <v>149</v>
      </c>
      <c r="E2" s="214"/>
      <c r="F2" s="219" t="s">
        <v>370</v>
      </c>
      <c r="G2" s="278" t="s">
        <v>369</v>
      </c>
      <c r="H2" s="220" t="s">
        <v>156</v>
      </c>
      <c r="I2" s="220" t="s">
        <v>157</v>
      </c>
      <c r="J2" s="220" t="s">
        <v>0</v>
      </c>
      <c r="K2" s="220" t="s">
        <v>27</v>
      </c>
      <c r="L2" s="263" t="s">
        <v>5</v>
      </c>
      <c r="M2" s="270"/>
      <c r="N2" s="270"/>
      <c r="O2" s="264"/>
      <c r="P2" s="263" t="s">
        <v>14</v>
      </c>
      <c r="Q2" s="264"/>
      <c r="R2" s="263" t="s">
        <v>15</v>
      </c>
      <c r="S2" s="264"/>
      <c r="T2" s="263" t="s">
        <v>252</v>
      </c>
      <c r="U2" s="264"/>
      <c r="V2" s="263" t="s">
        <v>253</v>
      </c>
      <c r="W2" s="264"/>
      <c r="X2" s="263" t="s">
        <v>52</v>
      </c>
      <c r="Y2" s="264"/>
      <c r="Z2" s="263" t="s">
        <v>254</v>
      </c>
      <c r="AA2" s="264"/>
      <c r="AB2" s="263" t="s">
        <v>255</v>
      </c>
      <c r="AC2" s="264"/>
      <c r="AD2" s="263" t="s">
        <v>53</v>
      </c>
      <c r="AE2" s="264"/>
      <c r="AF2" s="274" t="s">
        <v>256</v>
      </c>
      <c r="AG2" s="277"/>
      <c r="AH2" s="277"/>
      <c r="AI2" s="275"/>
      <c r="AJ2" s="263" t="s">
        <v>257</v>
      </c>
      <c r="AK2" s="264"/>
      <c r="AL2" s="263" t="s">
        <v>258</v>
      </c>
      <c r="AM2" s="270"/>
      <c r="AN2" s="270"/>
      <c r="AO2" s="264"/>
      <c r="AP2" s="267" t="s">
        <v>259</v>
      </c>
      <c r="AQ2" s="204" t="s">
        <v>265</v>
      </c>
      <c r="AR2" s="204" t="s">
        <v>380</v>
      </c>
      <c r="AS2" s="199" t="s">
        <v>381</v>
      </c>
      <c r="AT2" s="178" t="s">
        <v>393</v>
      </c>
      <c r="AU2" s="201" t="s">
        <v>379</v>
      </c>
      <c r="AV2" s="257" t="s">
        <v>11</v>
      </c>
      <c r="AW2" s="257"/>
      <c r="AX2" s="257"/>
      <c r="AY2" s="257"/>
      <c r="AZ2" s="257"/>
      <c r="BA2" s="257"/>
      <c r="BB2" s="257"/>
      <c r="BC2" s="257"/>
      <c r="BD2" s="257"/>
    </row>
    <row r="3" spans="1:56" ht="17.25" customHeight="1" x14ac:dyDescent="0.2">
      <c r="A3" s="282"/>
      <c r="B3" s="209"/>
      <c r="C3" s="210"/>
      <c r="D3" s="214"/>
      <c r="E3" s="214"/>
      <c r="F3" s="217"/>
      <c r="G3" s="217"/>
      <c r="H3" s="220"/>
      <c r="I3" s="220"/>
      <c r="J3" s="220"/>
      <c r="K3" s="220"/>
      <c r="L3" s="265"/>
      <c r="M3" s="276"/>
      <c r="N3" s="276"/>
      <c r="O3" s="266"/>
      <c r="P3" s="265"/>
      <c r="Q3" s="266"/>
      <c r="R3" s="265"/>
      <c r="S3" s="266"/>
      <c r="T3" s="265"/>
      <c r="U3" s="266"/>
      <c r="V3" s="265"/>
      <c r="W3" s="266"/>
      <c r="X3" s="265"/>
      <c r="Y3" s="266"/>
      <c r="Z3" s="265"/>
      <c r="AA3" s="266"/>
      <c r="AB3" s="265"/>
      <c r="AC3" s="266"/>
      <c r="AD3" s="265"/>
      <c r="AE3" s="266"/>
      <c r="AF3" s="274" t="s">
        <v>13</v>
      </c>
      <c r="AG3" s="275"/>
      <c r="AH3" s="274" t="s">
        <v>12</v>
      </c>
      <c r="AI3" s="275"/>
      <c r="AJ3" s="265"/>
      <c r="AK3" s="266"/>
      <c r="AL3" s="271"/>
      <c r="AM3" s="272"/>
      <c r="AN3" s="272"/>
      <c r="AO3" s="273"/>
      <c r="AP3" s="268"/>
      <c r="AQ3" s="256"/>
      <c r="AR3" s="256"/>
      <c r="AS3" s="262"/>
      <c r="AT3" s="180"/>
      <c r="AU3" s="261"/>
      <c r="AV3" s="255" t="s">
        <v>260</v>
      </c>
      <c r="AW3" s="255" t="s">
        <v>261</v>
      </c>
      <c r="AX3" s="77" t="s">
        <v>262</v>
      </c>
      <c r="AY3" s="77" t="s">
        <v>263</v>
      </c>
      <c r="AZ3" s="258" t="s">
        <v>264</v>
      </c>
      <c r="BA3" s="259"/>
      <c r="BB3" s="260"/>
      <c r="BC3" s="255" t="s">
        <v>24</v>
      </c>
      <c r="BD3" s="255" t="s">
        <v>25</v>
      </c>
    </row>
    <row r="4" spans="1:56" ht="36" customHeight="1" x14ac:dyDescent="0.2">
      <c r="A4" s="283"/>
      <c r="B4" s="211"/>
      <c r="C4" s="212"/>
      <c r="D4" s="214"/>
      <c r="E4" s="214"/>
      <c r="F4" s="218"/>
      <c r="G4" s="218"/>
      <c r="H4" s="220"/>
      <c r="I4" s="220"/>
      <c r="J4" s="220"/>
      <c r="K4" s="220"/>
      <c r="L4" s="52" t="s">
        <v>3</v>
      </c>
      <c r="M4" s="52" t="s">
        <v>209</v>
      </c>
      <c r="N4" s="52" t="s">
        <v>207</v>
      </c>
      <c r="O4" s="90" t="s">
        <v>210</v>
      </c>
      <c r="P4" s="52" t="s">
        <v>3</v>
      </c>
      <c r="Q4" s="52" t="s">
        <v>2</v>
      </c>
      <c r="R4" s="52" t="s">
        <v>3</v>
      </c>
      <c r="S4" s="51" t="s">
        <v>2</v>
      </c>
      <c r="T4" s="52" t="s">
        <v>3</v>
      </c>
      <c r="U4" s="51" t="s">
        <v>2</v>
      </c>
      <c r="V4" s="51" t="s">
        <v>3</v>
      </c>
      <c r="W4" s="51" t="s">
        <v>2</v>
      </c>
      <c r="X4" s="51" t="s">
        <v>3</v>
      </c>
      <c r="Y4" s="51" t="s">
        <v>2</v>
      </c>
      <c r="Z4" s="52" t="s">
        <v>3</v>
      </c>
      <c r="AA4" s="51" t="s">
        <v>2</v>
      </c>
      <c r="AB4" s="51" t="s">
        <v>3</v>
      </c>
      <c r="AC4" s="51" t="s">
        <v>2</v>
      </c>
      <c r="AD4" s="51" t="s">
        <v>3</v>
      </c>
      <c r="AE4" s="51" t="s">
        <v>2</v>
      </c>
      <c r="AF4" s="51" t="s">
        <v>3</v>
      </c>
      <c r="AG4" s="51" t="s">
        <v>2</v>
      </c>
      <c r="AH4" s="52" t="s">
        <v>3</v>
      </c>
      <c r="AI4" s="51" t="s">
        <v>2</v>
      </c>
      <c r="AJ4" s="51" t="s">
        <v>3</v>
      </c>
      <c r="AK4" s="51" t="s">
        <v>2</v>
      </c>
      <c r="AL4" s="51" t="s">
        <v>3</v>
      </c>
      <c r="AM4" s="52" t="s">
        <v>209</v>
      </c>
      <c r="AN4" s="52" t="s">
        <v>207</v>
      </c>
      <c r="AO4" s="81" t="s">
        <v>210</v>
      </c>
      <c r="AP4" s="269"/>
      <c r="AQ4" s="205"/>
      <c r="AR4" s="205"/>
      <c r="AS4" s="200"/>
      <c r="AT4" s="179"/>
      <c r="AU4" s="202"/>
      <c r="AV4" s="255"/>
      <c r="AW4" s="255"/>
      <c r="AX4" s="76" t="s">
        <v>75</v>
      </c>
      <c r="AY4" s="76" t="s">
        <v>75</v>
      </c>
      <c r="AZ4" s="76" t="s">
        <v>72</v>
      </c>
      <c r="BA4" s="76" t="s">
        <v>75</v>
      </c>
      <c r="BB4" s="76" t="s">
        <v>76</v>
      </c>
      <c r="BC4" s="255"/>
      <c r="BD4" s="255"/>
    </row>
    <row r="5" spans="1:56" ht="18" x14ac:dyDescent="0.2">
      <c r="A5" s="55">
        <v>60</v>
      </c>
      <c r="B5" s="51">
        <v>32</v>
      </c>
      <c r="C5" s="51" t="s">
        <v>111</v>
      </c>
      <c r="D5" s="246" t="s">
        <v>152</v>
      </c>
      <c r="E5" s="247"/>
      <c r="F5" s="155">
        <v>0.03</v>
      </c>
      <c r="G5" s="221" t="s">
        <v>362</v>
      </c>
      <c r="H5" s="168">
        <v>3</v>
      </c>
      <c r="I5" s="9">
        <v>30.751000000000001</v>
      </c>
      <c r="J5" s="12"/>
      <c r="K5" s="8">
        <f t="shared" ref="K5:K36" si="0">3.01179/I5</f>
        <v>9.79412051640597E-2</v>
      </c>
      <c r="L5" s="56">
        <v>20.04</v>
      </c>
      <c r="M5" s="57">
        <v>822151</v>
      </c>
      <c r="N5" s="11">
        <v>124761644</v>
      </c>
      <c r="O5" s="82">
        <f t="shared" ref="O5:O65" si="1">M5/N5</f>
        <v>6.589773696794185E-3</v>
      </c>
      <c r="P5" s="56">
        <v>37.020000000000003</v>
      </c>
      <c r="Q5" s="57">
        <v>2613372</v>
      </c>
      <c r="R5" s="56">
        <v>37.57</v>
      </c>
      <c r="S5" s="57">
        <v>6286746</v>
      </c>
      <c r="T5" s="56">
        <v>39.340000000000003</v>
      </c>
      <c r="U5" s="57">
        <v>5370790</v>
      </c>
      <c r="V5" s="56">
        <v>40.08</v>
      </c>
      <c r="W5" s="57">
        <v>4590483</v>
      </c>
      <c r="X5" s="56">
        <v>41.08</v>
      </c>
      <c r="Y5" s="57"/>
      <c r="Z5" s="56">
        <v>40.700000000000003</v>
      </c>
      <c r="AA5" s="57">
        <v>6688369</v>
      </c>
      <c r="AB5" s="56">
        <v>41.28</v>
      </c>
      <c r="AC5" s="57">
        <v>2876203</v>
      </c>
      <c r="AD5" s="56">
        <v>42.71</v>
      </c>
      <c r="AE5" s="57">
        <v>4740185</v>
      </c>
      <c r="AF5" s="56">
        <v>42.27</v>
      </c>
      <c r="AG5" s="57">
        <v>1479161</v>
      </c>
      <c r="AH5" s="56">
        <v>42.47</v>
      </c>
      <c r="AI5" s="57">
        <v>3879675</v>
      </c>
      <c r="AJ5" s="56">
        <v>42.94</v>
      </c>
      <c r="AK5" s="57">
        <v>2550901</v>
      </c>
      <c r="AL5" s="56">
        <v>44.62</v>
      </c>
      <c r="AM5" s="57">
        <v>4955422</v>
      </c>
      <c r="AN5" s="57">
        <v>71247433</v>
      </c>
      <c r="AO5" s="83">
        <f t="shared" ref="AO5:AO24" si="2">AM5/AN5</f>
        <v>6.9552288290863754E-2</v>
      </c>
      <c r="AP5" s="135">
        <f t="shared" ref="AP5:AP65" si="3">SUM(Q5,S5,U5,W5,Y5,AA5,AC5,AE5,AG5,AI5,AK5,AM5)</f>
        <v>46031307</v>
      </c>
      <c r="AQ5" s="56">
        <f t="shared" ref="AQ5:AQ33" si="4">((AP5*K5)/M5)</f>
        <v>5.48361758710604</v>
      </c>
      <c r="AR5" s="56">
        <f>((AQ5*0.003)/0.08)</f>
        <v>0.20563565951647653</v>
      </c>
      <c r="AS5" s="161">
        <f t="shared" ref="AS5:AS46" si="5">AR5*F5</f>
        <v>6.1690697854942956E-3</v>
      </c>
      <c r="AT5" s="161">
        <f>(AS5/23.42)*100</f>
        <v>2.6341032388959417E-2</v>
      </c>
      <c r="AU5" s="162">
        <f>AS5/4.65</f>
        <v>1.3266816742998485E-3</v>
      </c>
      <c r="AV5" s="115">
        <f t="shared" ref="AV5:AV46" si="6">Q5/S5</f>
        <v>0.41569549652554755</v>
      </c>
      <c r="AW5" s="115">
        <f t="shared" ref="AW5:AW46" si="7">(U5+W5+Y5)/(AA5+AC5+AE5)</f>
        <v>0.69636086792666241</v>
      </c>
      <c r="AX5" s="115">
        <f t="shared" ref="AX5:AX10" si="8">(Y5/(U5+W5+Y5))</f>
        <v>0</v>
      </c>
      <c r="AY5" s="115">
        <f t="shared" ref="AY5:AY10" si="9">(AE5/(AA5+AC5+AE5))</f>
        <v>0.33137123545684838</v>
      </c>
      <c r="AZ5" s="115">
        <f t="shared" ref="AZ5:AZ10" si="10">((AG5+AI5)/((AG5+AI5)+AM5))</f>
        <v>0.51955613287935987</v>
      </c>
      <c r="BA5" s="115">
        <f t="shared" ref="BA5:BA46" si="11">(AM5/(AG5+AI5+AK5+AM5))</f>
        <v>0.38518155896868433</v>
      </c>
      <c r="BB5" s="115">
        <f t="shared" ref="BB5:BB46" si="12">(AG5/(AG5+AI5))</f>
        <v>0.27602281540244933</v>
      </c>
      <c r="BC5" s="116">
        <f t="shared" ref="BC5:BC10" si="13">SUM(27*Q5,28*S5,29*(U5+W5+Y5),30*(AA5+AC5+AE5),31*(AG5+AI5+AK5+AM5))/AP5</f>
        <v>29.6196127561618</v>
      </c>
      <c r="BD5" s="115">
        <f t="shared" ref="BD5:BD10" si="14">(SUM(AA5+AC5+AE5+AG5+AI5+AK5+AM5)/AP5)</f>
        <v>0.5902486323058348</v>
      </c>
    </row>
    <row r="6" spans="1:56" ht="15" customHeight="1" x14ac:dyDescent="0.2">
      <c r="A6" s="58">
        <v>59</v>
      </c>
      <c r="B6" s="51">
        <v>31</v>
      </c>
      <c r="C6" s="51" t="s">
        <v>112</v>
      </c>
      <c r="D6" s="248"/>
      <c r="E6" s="249"/>
      <c r="F6" s="155">
        <v>0.03</v>
      </c>
      <c r="G6" s="222"/>
      <c r="H6" s="168">
        <v>2.9</v>
      </c>
      <c r="I6" s="9">
        <v>30.834399999999999</v>
      </c>
      <c r="J6" s="12"/>
      <c r="K6" s="8">
        <f t="shared" si="0"/>
        <v>9.7676296603793164E-2</v>
      </c>
      <c r="L6" s="56" t="s">
        <v>288</v>
      </c>
      <c r="M6" s="57">
        <v>2010421</v>
      </c>
      <c r="N6" s="11">
        <v>748636524</v>
      </c>
      <c r="O6" s="82">
        <f t="shared" si="1"/>
        <v>2.6854433834702942E-3</v>
      </c>
      <c r="P6" s="56" t="s">
        <v>274</v>
      </c>
      <c r="Q6" s="57">
        <v>1211868</v>
      </c>
      <c r="R6" s="56" t="s">
        <v>289</v>
      </c>
      <c r="S6" s="57">
        <v>3390789</v>
      </c>
      <c r="T6" s="56" t="s">
        <v>277</v>
      </c>
      <c r="U6" s="57">
        <v>2752769</v>
      </c>
      <c r="V6" s="56" t="s">
        <v>285</v>
      </c>
      <c r="W6" s="57">
        <v>2580405</v>
      </c>
      <c r="X6" s="56" t="s">
        <v>290</v>
      </c>
      <c r="Y6" s="57">
        <v>1303406</v>
      </c>
      <c r="Z6" s="56" t="s">
        <v>279</v>
      </c>
      <c r="AA6" s="57">
        <v>2985083</v>
      </c>
      <c r="AB6" s="56" t="s">
        <v>280</v>
      </c>
      <c r="AC6" s="57">
        <v>1350812</v>
      </c>
      <c r="AD6" s="56" t="s">
        <v>281</v>
      </c>
      <c r="AE6" s="57">
        <v>1038841</v>
      </c>
      <c r="AF6" s="56" t="s">
        <v>291</v>
      </c>
      <c r="AG6" s="57">
        <v>567211</v>
      </c>
      <c r="AH6" s="56" t="s">
        <v>292</v>
      </c>
      <c r="AI6" s="57">
        <v>1514310</v>
      </c>
      <c r="AJ6" s="56" t="s">
        <v>293</v>
      </c>
      <c r="AK6" s="57">
        <v>489690</v>
      </c>
      <c r="AL6" s="56" t="s">
        <v>294</v>
      </c>
      <c r="AM6" s="57">
        <v>2128929</v>
      </c>
      <c r="AN6" s="57">
        <v>14788116</v>
      </c>
      <c r="AO6" s="83">
        <f t="shared" si="2"/>
        <v>0.14396215177105726</v>
      </c>
      <c r="AP6" s="135">
        <f t="shared" si="3"/>
        <v>21314113</v>
      </c>
      <c r="AQ6" s="56">
        <f t="shared" si="4"/>
        <v>1.0355460986702605</v>
      </c>
      <c r="AR6" s="56">
        <f t="shared" ref="AR6:AR65" si="15">((AQ6*0.003)/0.08)</f>
        <v>3.8832978700134767E-2</v>
      </c>
      <c r="AS6" s="161">
        <f t="shared" si="5"/>
        <v>1.164989361004043E-3</v>
      </c>
      <c r="AT6" s="161">
        <f t="shared" ref="AT6:AT65" si="16">(AS6/23.42)*100</f>
        <v>4.9743354440821641E-3</v>
      </c>
      <c r="AU6" s="162">
        <f t="shared" ref="AU6:AU65" si="17">AS6/4.65</f>
        <v>2.5053534645248234E-4</v>
      </c>
      <c r="AV6" s="115">
        <f t="shared" si="6"/>
        <v>0.35740000336204936</v>
      </c>
      <c r="AW6" s="115">
        <f t="shared" si="7"/>
        <v>1.2347732056048892</v>
      </c>
      <c r="AX6" s="115">
        <f t="shared" si="8"/>
        <v>0.19639724074749343</v>
      </c>
      <c r="AY6" s="115">
        <f t="shared" si="9"/>
        <v>0.19328223749036233</v>
      </c>
      <c r="AZ6" s="115">
        <f t="shared" si="10"/>
        <v>0.494370197959838</v>
      </c>
      <c r="BA6" s="115">
        <f t="shared" si="11"/>
        <v>0.45295012488989689</v>
      </c>
      <c r="BB6" s="115">
        <f t="shared" si="12"/>
        <v>0.27249833174875487</v>
      </c>
      <c r="BC6" s="116">
        <f t="shared" si="13"/>
        <v>29.420401777920574</v>
      </c>
      <c r="BD6" s="115">
        <f t="shared" si="14"/>
        <v>0.47268568014066548</v>
      </c>
    </row>
    <row r="7" spans="1:56" ht="18" x14ac:dyDescent="0.2">
      <c r="A7" s="58">
        <v>58</v>
      </c>
      <c r="B7" s="51">
        <v>30</v>
      </c>
      <c r="C7" s="51" t="s">
        <v>113</v>
      </c>
      <c r="D7" s="248"/>
      <c r="E7" s="249"/>
      <c r="F7" s="155">
        <v>0.03</v>
      </c>
      <c r="G7" s="222"/>
      <c r="H7" s="168">
        <v>2.8</v>
      </c>
      <c r="I7" s="9">
        <v>30.790299999999998</v>
      </c>
      <c r="J7" s="12"/>
      <c r="K7" s="8">
        <f t="shared" si="0"/>
        <v>9.7816195360227093E-2</v>
      </c>
      <c r="L7" s="56" t="s">
        <v>183</v>
      </c>
      <c r="M7" s="57">
        <v>1318073</v>
      </c>
      <c r="N7" s="11">
        <v>629507661</v>
      </c>
      <c r="O7" s="82">
        <f t="shared" si="1"/>
        <v>2.0938156620781776E-3</v>
      </c>
      <c r="P7" s="56" t="s">
        <v>274</v>
      </c>
      <c r="Q7" s="57">
        <v>1692933</v>
      </c>
      <c r="R7" s="56" t="s">
        <v>284</v>
      </c>
      <c r="S7" s="57">
        <v>3238561</v>
      </c>
      <c r="T7" s="56" t="s">
        <v>276</v>
      </c>
      <c r="U7" s="57">
        <v>2857436</v>
      </c>
      <c r="V7" s="56" t="s">
        <v>285</v>
      </c>
      <c r="W7" s="57">
        <v>2397789</v>
      </c>
      <c r="X7" s="56" t="s">
        <v>278</v>
      </c>
      <c r="Y7" s="57">
        <v>1371277</v>
      </c>
      <c r="Z7" s="56" t="s">
        <v>286</v>
      </c>
      <c r="AA7" s="57">
        <v>3840844</v>
      </c>
      <c r="AB7" s="56" t="s">
        <v>287</v>
      </c>
      <c r="AC7" s="57">
        <v>1620967</v>
      </c>
      <c r="AD7" s="56" t="s">
        <v>281</v>
      </c>
      <c r="AE7" s="57">
        <v>2707045</v>
      </c>
      <c r="AF7" s="56" t="s">
        <v>269</v>
      </c>
      <c r="AG7" s="57">
        <v>776467</v>
      </c>
      <c r="AH7" s="56" t="s">
        <v>270</v>
      </c>
      <c r="AI7" s="57">
        <v>2123190</v>
      </c>
      <c r="AJ7" s="56" t="s">
        <v>283</v>
      </c>
      <c r="AK7" s="57">
        <v>1141557</v>
      </c>
      <c r="AL7" s="56" t="s">
        <v>272</v>
      </c>
      <c r="AM7" s="57">
        <v>2876761</v>
      </c>
      <c r="AN7" s="57">
        <v>33467102</v>
      </c>
      <c r="AO7" s="83">
        <f t="shared" si="2"/>
        <v>8.5957875886594537E-2</v>
      </c>
      <c r="AP7" s="135">
        <f t="shared" si="3"/>
        <v>26644827</v>
      </c>
      <c r="AQ7" s="56">
        <f t="shared" si="4"/>
        <v>1.9773530018227012</v>
      </c>
      <c r="AR7" s="56">
        <f t="shared" si="15"/>
        <v>7.4150737568351305E-2</v>
      </c>
      <c r="AS7" s="161">
        <f t="shared" si="5"/>
        <v>2.224522127050539E-3</v>
      </c>
      <c r="AT7" s="161">
        <f t="shared" si="16"/>
        <v>9.4983865373635314E-3</v>
      </c>
      <c r="AU7" s="162">
        <f t="shared" si="17"/>
        <v>4.7839185527968577E-4</v>
      </c>
      <c r="AV7" s="115">
        <f t="shared" si="6"/>
        <v>0.52274235377996581</v>
      </c>
      <c r="AW7" s="115">
        <f t="shared" si="7"/>
        <v>0.81119094277093384</v>
      </c>
      <c r="AX7" s="115">
        <f t="shared" si="8"/>
        <v>0.20693829112252587</v>
      </c>
      <c r="AY7" s="115">
        <f t="shared" si="9"/>
        <v>0.33138605944332966</v>
      </c>
      <c r="AZ7" s="115">
        <f t="shared" si="10"/>
        <v>0.50198185103640358</v>
      </c>
      <c r="BA7" s="115">
        <f t="shared" si="11"/>
        <v>0.41583859438636306</v>
      </c>
      <c r="BB7" s="115">
        <f t="shared" si="12"/>
        <v>0.26777891316110836</v>
      </c>
      <c r="BC7" s="116">
        <f t="shared" si="13"/>
        <v>29.577236962356707</v>
      </c>
      <c r="BD7" s="115">
        <f t="shared" si="14"/>
        <v>0.5662198895117615</v>
      </c>
    </row>
    <row r="8" spans="1:56" ht="15" customHeight="1" x14ac:dyDescent="0.2">
      <c r="A8" s="58">
        <v>57</v>
      </c>
      <c r="B8" s="51">
        <v>29</v>
      </c>
      <c r="C8" s="51" t="s">
        <v>114</v>
      </c>
      <c r="D8" s="248"/>
      <c r="E8" s="249"/>
      <c r="F8" s="155">
        <v>0.03</v>
      </c>
      <c r="G8" s="223"/>
      <c r="H8" s="168">
        <v>2.7</v>
      </c>
      <c r="I8" s="9">
        <v>30.7911</v>
      </c>
      <c r="J8" s="12"/>
      <c r="K8" s="8">
        <f t="shared" si="0"/>
        <v>9.7813653945458268E-2</v>
      </c>
      <c r="L8" s="56" t="s">
        <v>273</v>
      </c>
      <c r="M8" s="57">
        <v>395324</v>
      </c>
      <c r="N8" s="11">
        <v>248162144</v>
      </c>
      <c r="O8" s="82">
        <f t="shared" si="1"/>
        <v>1.593006868928405E-3</v>
      </c>
      <c r="P8" s="56" t="s">
        <v>274</v>
      </c>
      <c r="Q8" s="57">
        <v>1501180</v>
      </c>
      <c r="R8" s="56" t="s">
        <v>275</v>
      </c>
      <c r="S8" s="57">
        <v>4645183</v>
      </c>
      <c r="T8" s="56" t="s">
        <v>276</v>
      </c>
      <c r="U8" s="57">
        <v>3805817</v>
      </c>
      <c r="V8" s="56" t="s">
        <v>276</v>
      </c>
      <c r="W8" s="57">
        <v>3805817</v>
      </c>
      <c r="X8" s="56" t="s">
        <v>278</v>
      </c>
      <c r="Y8" s="57">
        <v>2536854</v>
      </c>
      <c r="Z8" s="56" t="s">
        <v>279</v>
      </c>
      <c r="AA8" s="57">
        <v>4270079</v>
      </c>
      <c r="AB8" s="56" t="s">
        <v>280</v>
      </c>
      <c r="AC8" s="57">
        <v>648418</v>
      </c>
      <c r="AD8" s="56" t="s">
        <v>281</v>
      </c>
      <c r="AE8" s="57">
        <v>3173702</v>
      </c>
      <c r="AF8" s="56" t="s">
        <v>282</v>
      </c>
      <c r="AG8" s="57">
        <v>657816</v>
      </c>
      <c r="AH8" s="56" t="s">
        <v>270</v>
      </c>
      <c r="AI8" s="57">
        <v>2302726</v>
      </c>
      <c r="AJ8" s="56" t="s">
        <v>283</v>
      </c>
      <c r="AK8" s="57">
        <v>934806</v>
      </c>
      <c r="AL8" s="56" t="s">
        <v>272</v>
      </c>
      <c r="AM8" s="57">
        <v>2542990</v>
      </c>
      <c r="AN8" s="57">
        <v>37326126</v>
      </c>
      <c r="AO8" s="83">
        <f t="shared" si="2"/>
        <v>6.8128956109723249E-2</v>
      </c>
      <c r="AP8" s="135">
        <f t="shared" si="3"/>
        <v>30825388</v>
      </c>
      <c r="AQ8" s="56">
        <f t="shared" si="4"/>
        <v>7.6270194437132117</v>
      </c>
      <c r="AR8" s="56">
        <f t="shared" si="15"/>
        <v>0.28601322913924543</v>
      </c>
      <c r="AS8" s="161">
        <f t="shared" si="5"/>
        <v>8.580396874177363E-3</v>
      </c>
      <c r="AT8" s="161">
        <f t="shared" si="16"/>
        <v>3.6637048993071568E-2</v>
      </c>
      <c r="AU8" s="162">
        <f t="shared" si="17"/>
        <v>1.845246639608035E-3</v>
      </c>
      <c r="AV8" s="115">
        <f t="shared" si="6"/>
        <v>0.32316918407735495</v>
      </c>
      <c r="AW8" s="115">
        <f t="shared" si="7"/>
        <v>1.2541075670531583</v>
      </c>
      <c r="AX8" s="115">
        <f t="shared" si="8"/>
        <v>0.24997359212525058</v>
      </c>
      <c r="AY8" s="115">
        <f t="shared" si="9"/>
        <v>0.3921927772661053</v>
      </c>
      <c r="AZ8" s="115">
        <f t="shared" si="10"/>
        <v>0.5379349116167581</v>
      </c>
      <c r="BA8" s="115">
        <f t="shared" si="11"/>
        <v>0.39497615689017879</v>
      </c>
      <c r="BB8" s="115">
        <f t="shared" si="12"/>
        <v>0.2221944495298496</v>
      </c>
      <c r="BC8" s="116">
        <f t="shared" si="13"/>
        <v>29.432154560390288</v>
      </c>
      <c r="BD8" s="115">
        <f t="shared" si="14"/>
        <v>0.47138212826388431</v>
      </c>
    </row>
    <row r="9" spans="1:56" ht="18" x14ac:dyDescent="0.2">
      <c r="A9" s="58">
        <v>56</v>
      </c>
      <c r="B9" s="51">
        <v>28</v>
      </c>
      <c r="C9" s="51" t="s">
        <v>115</v>
      </c>
      <c r="D9" s="248"/>
      <c r="E9" s="249"/>
      <c r="F9" s="155">
        <v>0.03</v>
      </c>
      <c r="G9" s="221" t="s">
        <v>363</v>
      </c>
      <c r="H9" s="168">
        <v>2.6</v>
      </c>
      <c r="I9" s="9">
        <v>30.9315</v>
      </c>
      <c r="J9" s="12"/>
      <c r="K9" s="8">
        <f t="shared" si="0"/>
        <v>9.7369671693904272E-2</v>
      </c>
      <c r="L9" s="56">
        <v>19.920000000000002</v>
      </c>
      <c r="M9" s="57">
        <v>765085</v>
      </c>
      <c r="N9" s="11">
        <v>369629607</v>
      </c>
      <c r="O9" s="82">
        <f t="shared" si="1"/>
        <v>2.0698693651994169E-3</v>
      </c>
      <c r="P9" s="56">
        <v>36.86</v>
      </c>
      <c r="Q9" s="57">
        <v>3767788</v>
      </c>
      <c r="R9" s="56">
        <v>37.409999999999997</v>
      </c>
      <c r="S9" s="57">
        <v>10878885</v>
      </c>
      <c r="T9" s="56">
        <v>39.18</v>
      </c>
      <c r="U9" s="57">
        <v>6861911</v>
      </c>
      <c r="V9" s="56">
        <v>39.92</v>
      </c>
      <c r="W9" s="57">
        <v>7285257</v>
      </c>
      <c r="X9" s="56">
        <v>40.93</v>
      </c>
      <c r="Y9" s="57">
        <v>5135706</v>
      </c>
      <c r="Z9" s="56">
        <v>40.54</v>
      </c>
      <c r="AA9" s="57">
        <v>6399143</v>
      </c>
      <c r="AB9" s="56">
        <v>41.11</v>
      </c>
      <c r="AC9" s="57">
        <v>3399575</v>
      </c>
      <c r="AD9" s="56">
        <v>42.59</v>
      </c>
      <c r="AE9" s="57">
        <v>5172646</v>
      </c>
      <c r="AF9" s="56" t="s">
        <v>269</v>
      </c>
      <c r="AG9" s="57">
        <v>1049282</v>
      </c>
      <c r="AH9" s="56" t="s">
        <v>270</v>
      </c>
      <c r="AI9" s="57">
        <v>2969100</v>
      </c>
      <c r="AJ9" s="56" t="s">
        <v>271</v>
      </c>
      <c r="AK9" s="57">
        <v>1482074</v>
      </c>
      <c r="AL9" s="56" t="s">
        <v>272</v>
      </c>
      <c r="AM9" s="57">
        <v>4051698</v>
      </c>
      <c r="AN9" s="57">
        <v>54938234</v>
      </c>
      <c r="AO9" s="83">
        <f t="shared" si="2"/>
        <v>7.3750059020826916E-2</v>
      </c>
      <c r="AP9" s="135">
        <f t="shared" si="3"/>
        <v>58453065</v>
      </c>
      <c r="AQ9" s="56">
        <f t="shared" si="4"/>
        <v>7.4391155865720098</v>
      </c>
      <c r="AR9" s="56">
        <f t="shared" si="15"/>
        <v>0.27896683449645038</v>
      </c>
      <c r="AS9" s="161">
        <f t="shared" si="5"/>
        <v>8.3690050348935105E-3</v>
      </c>
      <c r="AT9" s="161">
        <f t="shared" si="16"/>
        <v>3.5734436528153335E-2</v>
      </c>
      <c r="AU9" s="162">
        <f t="shared" si="17"/>
        <v>1.799786029009357E-3</v>
      </c>
      <c r="AV9" s="115">
        <f t="shared" si="6"/>
        <v>0.34633953755371072</v>
      </c>
      <c r="AW9" s="115">
        <f t="shared" si="7"/>
        <v>1.287983780235388</v>
      </c>
      <c r="AX9" s="115">
        <f t="shared" si="8"/>
        <v>0.26633509092057545</v>
      </c>
      <c r="AY9" s="115">
        <f t="shared" si="9"/>
        <v>0.34550265426717297</v>
      </c>
      <c r="AZ9" s="115">
        <f t="shared" si="10"/>
        <v>0.49793583211071019</v>
      </c>
      <c r="BA9" s="115">
        <f t="shared" si="11"/>
        <v>0.42416590017288247</v>
      </c>
      <c r="BB9" s="115">
        <f t="shared" si="12"/>
        <v>0.26112052064736502</v>
      </c>
      <c r="BC9" s="116">
        <f t="shared" si="13"/>
        <v>29.267927969217695</v>
      </c>
      <c r="BD9" s="115">
        <f t="shared" si="14"/>
        <v>0.41954203770153026</v>
      </c>
    </row>
    <row r="10" spans="1:56" ht="15" customHeight="1" x14ac:dyDescent="0.2">
      <c r="A10" s="58">
        <v>55</v>
      </c>
      <c r="B10" s="51">
        <v>27</v>
      </c>
      <c r="C10" s="51" t="s">
        <v>116</v>
      </c>
      <c r="D10" s="248"/>
      <c r="E10" s="249"/>
      <c r="F10" s="155">
        <v>0.03</v>
      </c>
      <c r="G10" s="222"/>
      <c r="H10" s="168">
        <v>2.5</v>
      </c>
      <c r="I10" s="9">
        <v>30.470800000000001</v>
      </c>
      <c r="J10" s="12"/>
      <c r="K10" s="8">
        <f t="shared" si="0"/>
        <v>9.8841842025808313E-2</v>
      </c>
      <c r="L10" s="56">
        <v>19.920000000000002</v>
      </c>
      <c r="M10" s="57">
        <v>1496785</v>
      </c>
      <c r="N10" s="11">
        <v>926107920</v>
      </c>
      <c r="O10" s="82">
        <f t="shared" si="1"/>
        <v>1.6162101280809693E-3</v>
      </c>
      <c r="P10" s="56">
        <v>36.86</v>
      </c>
      <c r="Q10" s="57">
        <v>5629652</v>
      </c>
      <c r="R10" s="56">
        <v>37.409999999999997</v>
      </c>
      <c r="S10" s="57">
        <v>18176259</v>
      </c>
      <c r="T10" s="56">
        <v>39.18</v>
      </c>
      <c r="U10" s="57">
        <v>9972504</v>
      </c>
      <c r="V10" s="56">
        <v>39.92</v>
      </c>
      <c r="W10" s="57">
        <v>10480351</v>
      </c>
      <c r="X10" s="56">
        <v>40.94</v>
      </c>
      <c r="Y10" s="57">
        <v>8268989</v>
      </c>
      <c r="Z10" s="56">
        <v>40.53</v>
      </c>
      <c r="AA10" s="57">
        <v>9579148</v>
      </c>
      <c r="AB10" s="56">
        <v>41.12</v>
      </c>
      <c r="AC10" s="57">
        <v>7022287</v>
      </c>
      <c r="AD10" s="56">
        <v>42.6</v>
      </c>
      <c r="AE10" s="57">
        <v>8686892</v>
      </c>
      <c r="AF10" s="56">
        <v>42.11</v>
      </c>
      <c r="AG10" s="57">
        <v>930306</v>
      </c>
      <c r="AH10" s="56">
        <v>42.3</v>
      </c>
      <c r="AI10" s="57">
        <v>4364120</v>
      </c>
      <c r="AJ10" s="56">
        <v>42.78</v>
      </c>
      <c r="AK10" s="57">
        <v>3237505</v>
      </c>
      <c r="AL10" s="56">
        <v>44.46</v>
      </c>
      <c r="AM10" s="57">
        <v>5754506</v>
      </c>
      <c r="AN10" s="57">
        <v>99102427</v>
      </c>
      <c r="AO10" s="83">
        <f t="shared" si="2"/>
        <v>5.8066246954779424E-2</v>
      </c>
      <c r="AP10" s="135">
        <f t="shared" si="3"/>
        <v>92102519</v>
      </c>
      <c r="AQ10" s="56">
        <f t="shared" si="4"/>
        <v>6.0820910372411596</v>
      </c>
      <c r="AR10" s="56">
        <f t="shared" si="15"/>
        <v>0.22807841389654346</v>
      </c>
      <c r="AS10" s="161">
        <f t="shared" si="5"/>
        <v>6.8423524168963034E-3</v>
      </c>
      <c r="AT10" s="161">
        <f t="shared" si="16"/>
        <v>2.9215851481196854E-2</v>
      </c>
      <c r="AU10" s="162">
        <f t="shared" si="17"/>
        <v>1.4714736380422157E-3</v>
      </c>
      <c r="AV10" s="115">
        <f t="shared" si="6"/>
        <v>0.30972556013864017</v>
      </c>
      <c r="AW10" s="115">
        <f t="shared" si="7"/>
        <v>1.1357747786162367</v>
      </c>
      <c r="AX10" s="115">
        <f t="shared" si="8"/>
        <v>0.28789895941221599</v>
      </c>
      <c r="AY10" s="115">
        <f t="shared" si="9"/>
        <v>0.3435139066336812</v>
      </c>
      <c r="AZ10" s="115">
        <f t="shared" si="10"/>
        <v>0.47917988815570589</v>
      </c>
      <c r="BA10" s="115">
        <f t="shared" si="11"/>
        <v>0.40279504259879495</v>
      </c>
      <c r="BB10" s="115">
        <f t="shared" si="12"/>
        <v>0.17571423228882602</v>
      </c>
      <c r="BC10" s="116">
        <f t="shared" si="13"/>
        <v>29.265200542452046</v>
      </c>
      <c r="BD10" s="115">
        <f t="shared" si="14"/>
        <v>0.42968166809856745</v>
      </c>
    </row>
    <row r="11" spans="1:56" ht="18" x14ac:dyDescent="0.2">
      <c r="A11" s="58">
        <v>54</v>
      </c>
      <c r="B11" s="70">
        <v>16</v>
      </c>
      <c r="C11" s="70" t="s">
        <v>40</v>
      </c>
      <c r="D11" s="248"/>
      <c r="E11" s="249"/>
      <c r="F11" s="155">
        <v>0.03</v>
      </c>
      <c r="G11" s="222"/>
      <c r="H11" s="168">
        <v>2.4500000000000002</v>
      </c>
      <c r="I11" s="9">
        <v>30.62</v>
      </c>
      <c r="J11" s="12"/>
      <c r="K11" s="8">
        <f t="shared" si="0"/>
        <v>9.8360222077073803E-2</v>
      </c>
      <c r="L11" s="56">
        <v>20.2</v>
      </c>
      <c r="M11" s="57">
        <v>6721854</v>
      </c>
      <c r="N11" s="11">
        <v>2582249711</v>
      </c>
      <c r="O11" s="82">
        <f>M11/N11</f>
        <v>2.6030999137557848E-3</v>
      </c>
      <c r="P11" s="56">
        <v>37.17</v>
      </c>
      <c r="Q11" s="57">
        <v>15190155</v>
      </c>
      <c r="R11" s="56">
        <v>37.729999999999997</v>
      </c>
      <c r="S11" s="57">
        <v>22829015</v>
      </c>
      <c r="T11" s="56">
        <v>39.46</v>
      </c>
      <c r="U11" s="57">
        <v>41128733</v>
      </c>
      <c r="V11" s="56">
        <v>40.229999999999997</v>
      </c>
      <c r="W11" s="57">
        <v>11828902</v>
      </c>
      <c r="X11" s="56">
        <v>41.23</v>
      </c>
      <c r="Y11" s="57">
        <v>21716450</v>
      </c>
      <c r="Z11" s="56">
        <v>40.86</v>
      </c>
      <c r="AA11" s="57">
        <v>26633559</v>
      </c>
      <c r="AB11" s="56">
        <v>41.44</v>
      </c>
      <c r="AC11" s="57">
        <v>8815681</v>
      </c>
      <c r="AD11" s="56">
        <v>42.89</v>
      </c>
      <c r="AE11" s="57">
        <v>53612368</v>
      </c>
      <c r="AF11" s="56">
        <v>42.44</v>
      </c>
      <c r="AG11" s="57">
        <v>4608934</v>
      </c>
      <c r="AH11" s="56">
        <v>42.61</v>
      </c>
      <c r="AI11" s="57">
        <v>17337847</v>
      </c>
      <c r="AJ11" s="56">
        <v>42.09</v>
      </c>
      <c r="AK11" s="57">
        <v>7386813</v>
      </c>
      <c r="AL11" s="56">
        <v>44.75</v>
      </c>
      <c r="AM11" s="57">
        <v>58705106</v>
      </c>
      <c r="AN11" s="57"/>
      <c r="AO11" s="82"/>
      <c r="AP11" s="135">
        <f>SUM(Q12,S12,U12,W12,Y12,AA12,AC12,AE12,AG12,AI12,AK12,AM12)</f>
        <v>201484475</v>
      </c>
      <c r="AQ11" s="56">
        <f t="shared" si="4"/>
        <v>2.9483023145225444</v>
      </c>
      <c r="AR11" s="56">
        <f t="shared" si="15"/>
        <v>0.11056133679459541</v>
      </c>
      <c r="AS11" s="161">
        <f t="shared" si="5"/>
        <v>3.3168401038378621E-3</v>
      </c>
      <c r="AT11" s="161">
        <f t="shared" si="16"/>
        <v>1.416242572091316E-2</v>
      </c>
      <c r="AU11" s="162">
        <f t="shared" si="17"/>
        <v>7.132989470619058E-4</v>
      </c>
      <c r="AV11" s="115">
        <f t="shared" si="6"/>
        <v>0.66538810369172741</v>
      </c>
      <c r="AW11" s="115">
        <f t="shared" si="7"/>
        <v>0.83845426415386526</v>
      </c>
      <c r="AX11" s="115">
        <f t="shared" ref="AX11:AX29" si="18">(Y12/(U12+W12+Y12))</f>
        <v>0.26601965038176328</v>
      </c>
      <c r="AY11" s="115">
        <f t="shared" ref="AY11:AY28" si="19">(AE12/(AA12+AC12+AE12))</f>
        <v>0.63653113208099077</v>
      </c>
      <c r="AZ11" s="115">
        <f t="shared" ref="AZ11:AZ27" si="20">((AG12+AI12)/((AG12+AI12)+AM12))</f>
        <v>0.26970799053391131</v>
      </c>
      <c r="BA11" s="115">
        <f t="shared" si="11"/>
        <v>0.66681023231828729</v>
      </c>
      <c r="BB11" s="115">
        <f t="shared" si="12"/>
        <v>0.21000501166890945</v>
      </c>
      <c r="BC11" s="116">
        <f t="shared" ref="BC11:BC30" si="21">SUM(27*Q12,28*S12,29*(U12+W12+Y12),30*(AA12+AC12+AE12),31*(AG12+AI12+AK12+AM12))/AP11</f>
        <v>29.75890362768645</v>
      </c>
      <c r="BD11" s="115">
        <f t="shared" ref="BD11:BD30" si="22">(SUM(AA12+AC12+AE12+AG12+AI12+AK12+AM12)/AP11)</f>
        <v>0.62170308655294659</v>
      </c>
    </row>
    <row r="12" spans="1:56" ht="18" x14ac:dyDescent="0.2">
      <c r="A12" s="58">
        <v>53</v>
      </c>
      <c r="B12" s="51">
        <v>26</v>
      </c>
      <c r="C12" s="51" t="s">
        <v>117</v>
      </c>
      <c r="D12" s="248"/>
      <c r="E12" s="249"/>
      <c r="F12" s="155">
        <v>0.03</v>
      </c>
      <c r="G12" s="222"/>
      <c r="H12" s="168">
        <v>2.4</v>
      </c>
      <c r="I12" s="9">
        <v>30.5273</v>
      </c>
      <c r="J12" s="12"/>
      <c r="K12" s="8">
        <f t="shared" si="0"/>
        <v>9.8658905307708183E-2</v>
      </c>
      <c r="L12" s="56">
        <v>19.91</v>
      </c>
      <c r="M12" s="57">
        <v>858429</v>
      </c>
      <c r="N12" s="11">
        <v>403276777</v>
      </c>
      <c r="O12" s="82">
        <f>M12/N12</f>
        <v>2.1286348457402E-3</v>
      </c>
      <c r="P12" s="56">
        <v>36.85</v>
      </c>
      <c r="Q12" s="57">
        <v>8971902</v>
      </c>
      <c r="R12" s="56">
        <v>37.409999999999997</v>
      </c>
      <c r="S12" s="57">
        <v>15576062</v>
      </c>
      <c r="T12" s="56">
        <v>39.130000000000003</v>
      </c>
      <c r="U12" s="57">
        <v>29855438</v>
      </c>
      <c r="V12" s="56">
        <v>39.92</v>
      </c>
      <c r="W12" s="57">
        <v>8071522</v>
      </c>
      <c r="X12" s="56">
        <v>40.93</v>
      </c>
      <c r="Y12" s="57">
        <v>13746031</v>
      </c>
      <c r="Z12" s="56">
        <v>40.53</v>
      </c>
      <c r="AA12" s="57">
        <v>16456286</v>
      </c>
      <c r="AB12" s="56">
        <v>41.11</v>
      </c>
      <c r="AC12" s="57">
        <v>6842023</v>
      </c>
      <c r="AD12" s="56">
        <v>42.58</v>
      </c>
      <c r="AE12" s="57">
        <v>40801566</v>
      </c>
      <c r="AF12" s="56">
        <v>42.11</v>
      </c>
      <c r="AG12" s="57">
        <v>2856967</v>
      </c>
      <c r="AH12" s="56">
        <v>42.29</v>
      </c>
      <c r="AI12" s="57">
        <v>12278564</v>
      </c>
      <c r="AJ12" s="56">
        <v>42.78</v>
      </c>
      <c r="AK12" s="57">
        <v>5045430</v>
      </c>
      <c r="AL12" s="56">
        <v>44.45</v>
      </c>
      <c r="AM12" s="57">
        <v>40982684</v>
      </c>
      <c r="AN12" s="57">
        <v>568762125</v>
      </c>
      <c r="AO12" s="83">
        <f>AM12/AN12</f>
        <v>7.205593023621254E-2</v>
      </c>
      <c r="AP12" s="135">
        <f t="shared" ref="AP12:AP13" si="23">SUM(Q13,S13,U13,W13,Y13,AA13,AC13,AE13,AG13,AI13,AK13,AM13)</f>
        <v>130260717</v>
      </c>
      <c r="AQ12" s="56">
        <f t="shared" si="4"/>
        <v>14.970812663385292</v>
      </c>
      <c r="AR12" s="56">
        <f t="shared" si="15"/>
        <v>0.56140547487694847</v>
      </c>
      <c r="AS12" s="161">
        <f t="shared" si="5"/>
        <v>1.6842164246308453E-2</v>
      </c>
      <c r="AT12" s="161">
        <f t="shared" si="16"/>
        <v>7.191359626946392E-2</v>
      </c>
      <c r="AU12" s="162">
        <f t="shared" si="17"/>
        <v>3.6219708056577315E-3</v>
      </c>
      <c r="AV12" s="115">
        <f t="shared" si="6"/>
        <v>0.57600579658709627</v>
      </c>
      <c r="AW12" s="115">
        <f t="shared" si="7"/>
        <v>0.80613247685740419</v>
      </c>
      <c r="AX12" s="115">
        <f t="shared" si="18"/>
        <v>0.28214671651174433</v>
      </c>
      <c r="AY12" s="115">
        <f t="shared" si="19"/>
        <v>0.62213074158964954</v>
      </c>
      <c r="AZ12" s="115">
        <f t="shared" si="20"/>
        <v>0.27120398610699281</v>
      </c>
      <c r="BA12" s="115">
        <f t="shared" si="11"/>
        <v>0.67004973297454717</v>
      </c>
      <c r="BB12" s="115">
        <f t="shared" si="12"/>
        <v>0.18875895401357243</v>
      </c>
      <c r="BC12" s="116">
        <f t="shared" si="21"/>
        <v>29.789253916052065</v>
      </c>
      <c r="BD12" s="115">
        <f t="shared" si="22"/>
        <v>0.63604139381483671</v>
      </c>
    </row>
    <row r="13" spans="1:56" ht="18" x14ac:dyDescent="0.2">
      <c r="A13" s="58">
        <v>52</v>
      </c>
      <c r="B13" s="51">
        <v>25</v>
      </c>
      <c r="C13" s="51" t="s">
        <v>118</v>
      </c>
      <c r="D13" s="248"/>
      <c r="E13" s="249"/>
      <c r="F13" s="155">
        <v>0.03</v>
      </c>
      <c r="G13" s="222"/>
      <c r="H13" s="168">
        <v>2.2999999999999998</v>
      </c>
      <c r="I13" s="9">
        <v>30.357399999999998</v>
      </c>
      <c r="J13" s="12"/>
      <c r="K13" s="8">
        <f t="shared" si="0"/>
        <v>9.9211065506268653E-2</v>
      </c>
      <c r="L13" s="56">
        <v>19.91</v>
      </c>
      <c r="M13" s="57">
        <v>3024029</v>
      </c>
      <c r="N13" s="11">
        <v>1541851475</v>
      </c>
      <c r="O13" s="82">
        <f t="shared" si="1"/>
        <v>1.9612972124957756E-3</v>
      </c>
      <c r="P13" s="56">
        <v>36.85</v>
      </c>
      <c r="Q13" s="57">
        <v>6215486</v>
      </c>
      <c r="R13" s="56">
        <v>37.409999999999997</v>
      </c>
      <c r="S13" s="57">
        <v>8888593</v>
      </c>
      <c r="T13" s="56">
        <v>39.130000000000003</v>
      </c>
      <c r="U13" s="57">
        <v>17676422</v>
      </c>
      <c r="V13" s="56">
        <v>39.909999999999997</v>
      </c>
      <c r="W13" s="57">
        <v>5514137</v>
      </c>
      <c r="X13" s="56">
        <v>40.93</v>
      </c>
      <c r="Y13" s="57">
        <v>9114871</v>
      </c>
      <c r="Z13" s="56">
        <v>40.53</v>
      </c>
      <c r="AA13" s="57">
        <v>11243677</v>
      </c>
      <c r="AB13" s="56">
        <v>41.11</v>
      </c>
      <c r="AC13" s="57">
        <v>4465886</v>
      </c>
      <c r="AD13" s="56">
        <v>42.58</v>
      </c>
      <c r="AE13" s="57">
        <v>25864507</v>
      </c>
      <c r="AF13" s="56">
        <v>42.1</v>
      </c>
      <c r="AG13" s="57">
        <v>1608443</v>
      </c>
      <c r="AH13" s="56">
        <v>42.3</v>
      </c>
      <c r="AI13" s="57">
        <v>8764416</v>
      </c>
      <c r="AJ13" s="56">
        <v>42.78</v>
      </c>
      <c r="AK13" s="57">
        <v>3029695</v>
      </c>
      <c r="AL13" s="56">
        <v>44.45</v>
      </c>
      <c r="AM13" s="57">
        <v>27874584</v>
      </c>
      <c r="AN13" s="57">
        <v>363786230</v>
      </c>
      <c r="AO13" s="83">
        <f>AM13/AN13</f>
        <v>7.6623526954277515E-2</v>
      </c>
      <c r="AP13" s="135">
        <f t="shared" si="23"/>
        <v>188616794</v>
      </c>
      <c r="AQ13" s="56">
        <f t="shared" si="4"/>
        <v>6.1880600698989259</v>
      </c>
      <c r="AR13" s="56">
        <f t="shared" si="15"/>
        <v>0.23205225262120971</v>
      </c>
      <c r="AS13" s="161">
        <f t="shared" si="5"/>
        <v>6.9615675786362909E-3</v>
      </c>
      <c r="AT13" s="161">
        <f t="shared" si="16"/>
        <v>2.9724882914757857E-2</v>
      </c>
      <c r="AU13" s="162">
        <f t="shared" si="17"/>
        <v>1.4971113072336109E-3</v>
      </c>
      <c r="AV13" s="115">
        <f t="shared" si="6"/>
        <v>0.69926545179872679</v>
      </c>
      <c r="AW13" s="115">
        <f t="shared" si="7"/>
        <v>0.77705718973388938</v>
      </c>
      <c r="AX13" s="115">
        <f t="shared" si="18"/>
        <v>0.28903795400968058</v>
      </c>
      <c r="AY13" s="115">
        <f t="shared" si="19"/>
        <v>0.60440392983649471</v>
      </c>
      <c r="AZ13" s="115">
        <f t="shared" si="20"/>
        <v>0.28562941296509647</v>
      </c>
      <c r="BA13" s="115">
        <f t="shared" si="11"/>
        <v>0.67530321506302105</v>
      </c>
      <c r="BB13" s="115">
        <f t="shared" si="12"/>
        <v>0.15506264955495877</v>
      </c>
      <c r="BC13" s="116">
        <f t="shared" si="21"/>
        <v>29.702381141098179</v>
      </c>
      <c r="BD13" s="115">
        <f t="shared" si="22"/>
        <v>0.59722895618722049</v>
      </c>
    </row>
    <row r="14" spans="1:56" ht="15" customHeight="1" x14ac:dyDescent="0.2">
      <c r="A14" s="58">
        <v>51</v>
      </c>
      <c r="B14" s="51">
        <v>24</v>
      </c>
      <c r="C14" s="51" t="s">
        <v>119</v>
      </c>
      <c r="D14" s="248"/>
      <c r="E14" s="249"/>
      <c r="F14" s="155">
        <v>0.03</v>
      </c>
      <c r="G14" s="223"/>
      <c r="H14" s="168">
        <v>2.2000000000000002</v>
      </c>
      <c r="I14" s="9">
        <v>30.9955</v>
      </c>
      <c r="J14" s="12"/>
      <c r="K14" s="8">
        <f t="shared" si="0"/>
        <v>9.7168621251471993E-2</v>
      </c>
      <c r="L14" s="56">
        <v>19.91</v>
      </c>
      <c r="M14" s="57">
        <v>2555587</v>
      </c>
      <c r="N14" s="11">
        <v>1287343133</v>
      </c>
      <c r="O14" s="82">
        <f t="shared" si="1"/>
        <v>1.985163811022558E-3</v>
      </c>
      <c r="P14" s="56">
        <v>36.85</v>
      </c>
      <c r="Q14" s="57">
        <v>9659360</v>
      </c>
      <c r="R14" s="56">
        <v>37.409999999999997</v>
      </c>
      <c r="S14" s="57">
        <v>16335593</v>
      </c>
      <c r="T14" s="56">
        <v>39.130000000000003</v>
      </c>
      <c r="U14" s="57">
        <v>26027520</v>
      </c>
      <c r="V14" s="56">
        <v>39.909999999999997</v>
      </c>
      <c r="W14" s="57">
        <v>9502403</v>
      </c>
      <c r="X14" s="56">
        <v>40.93</v>
      </c>
      <c r="Y14" s="57">
        <v>14444507</v>
      </c>
      <c r="Z14" s="56">
        <v>40.533000000000001</v>
      </c>
      <c r="AA14" s="57">
        <v>16234189</v>
      </c>
      <c r="AB14" s="56">
        <v>41.11</v>
      </c>
      <c r="AC14" s="57">
        <v>6377936</v>
      </c>
      <c r="AD14" s="56">
        <v>42.58</v>
      </c>
      <c r="AE14" s="57">
        <v>34547505</v>
      </c>
      <c r="AF14" s="56">
        <v>42.11</v>
      </c>
      <c r="AG14" s="57">
        <v>3741255</v>
      </c>
      <c r="AH14" s="56">
        <v>42.28</v>
      </c>
      <c r="AI14" s="57">
        <v>10942878</v>
      </c>
      <c r="AJ14" s="56">
        <v>42.78</v>
      </c>
      <c r="AK14" s="57">
        <v>4078044</v>
      </c>
      <c r="AL14" s="56">
        <v>44.46</v>
      </c>
      <c r="AM14" s="57">
        <v>36725604</v>
      </c>
      <c r="AN14" s="57">
        <v>460764733</v>
      </c>
      <c r="AO14" s="83">
        <f t="shared" si="2"/>
        <v>7.9705761682068665E-2</v>
      </c>
      <c r="AP14" s="135">
        <f t="shared" si="3"/>
        <v>188616794</v>
      </c>
      <c r="AQ14" s="56">
        <f t="shared" si="4"/>
        <v>7.1715945564963803</v>
      </c>
      <c r="AR14" s="56">
        <f t="shared" si="15"/>
        <v>0.26893479586861424</v>
      </c>
      <c r="AS14" s="161">
        <f t="shared" si="5"/>
        <v>8.0680438760584276E-3</v>
      </c>
      <c r="AT14" s="161">
        <f t="shared" si="16"/>
        <v>3.4449376071983034E-2</v>
      </c>
      <c r="AU14" s="162">
        <f t="shared" si="17"/>
        <v>1.7350631991523498E-3</v>
      </c>
      <c r="AV14" s="115">
        <f t="shared" si="6"/>
        <v>0.59130758216123525</v>
      </c>
      <c r="AW14" s="115">
        <f t="shared" si="7"/>
        <v>0.87429589729674595</v>
      </c>
      <c r="AX14" s="115">
        <f t="shared" si="18"/>
        <v>0.27244968912016926</v>
      </c>
      <c r="AY14" s="115">
        <f t="shared" si="19"/>
        <v>0.6182096831520052</v>
      </c>
      <c r="AZ14" s="115">
        <f t="shared" si="20"/>
        <v>0.28216931534835765</v>
      </c>
      <c r="BA14" s="115">
        <f t="shared" si="11"/>
        <v>0.66186831295344106</v>
      </c>
      <c r="BB14" s="115">
        <f t="shared" si="12"/>
        <v>0.25478215159178957</v>
      </c>
      <c r="BC14" s="116">
        <f t="shared" si="21"/>
        <v>40.400931737817579</v>
      </c>
      <c r="BD14" s="115">
        <f t="shared" si="22"/>
        <v>0.84768528617870575</v>
      </c>
    </row>
    <row r="15" spans="1:56" ht="18" x14ac:dyDescent="0.2">
      <c r="A15" s="58">
        <v>50</v>
      </c>
      <c r="B15" s="51">
        <v>23</v>
      </c>
      <c r="C15" s="51" t="s">
        <v>120</v>
      </c>
      <c r="D15" s="248"/>
      <c r="E15" s="249"/>
      <c r="F15" s="167">
        <v>0.29399999999999998</v>
      </c>
      <c r="G15" s="239" t="s">
        <v>364</v>
      </c>
      <c r="H15" s="168">
        <v>2.1</v>
      </c>
      <c r="I15" s="9">
        <v>30.536200000000001</v>
      </c>
      <c r="J15" s="12"/>
      <c r="K15" s="8">
        <f t="shared" si="0"/>
        <v>9.8630150444390594E-2</v>
      </c>
      <c r="L15" s="56">
        <v>19.91</v>
      </c>
      <c r="M15" s="57">
        <v>2073425</v>
      </c>
      <c r="N15" s="11">
        <v>1112848412</v>
      </c>
      <c r="O15" s="82">
        <f t="shared" si="1"/>
        <v>1.8631693028825565E-3</v>
      </c>
      <c r="P15" s="56">
        <v>36.86</v>
      </c>
      <c r="Q15" s="57">
        <v>13375709</v>
      </c>
      <c r="R15" s="56">
        <v>37.409999999999997</v>
      </c>
      <c r="S15" s="57">
        <v>19939376</v>
      </c>
      <c r="T15" s="56">
        <v>39.14</v>
      </c>
      <c r="U15" s="57">
        <v>35865546</v>
      </c>
      <c r="V15" s="56">
        <v>39.92</v>
      </c>
      <c r="W15" s="57">
        <v>9827531</v>
      </c>
      <c r="X15" s="56">
        <v>40.93</v>
      </c>
      <c r="Y15" s="57">
        <v>17110933</v>
      </c>
      <c r="Z15" s="56">
        <v>40.54</v>
      </c>
      <c r="AA15" s="57">
        <v>21282439</v>
      </c>
      <c r="AB15" s="56">
        <v>41.11</v>
      </c>
      <c r="AC15" s="57">
        <v>8110396</v>
      </c>
      <c r="AD15" s="56">
        <v>42.59</v>
      </c>
      <c r="AE15" s="57">
        <v>47594018</v>
      </c>
      <c r="AF15" s="56">
        <v>42.11</v>
      </c>
      <c r="AG15" s="57">
        <v>3029376</v>
      </c>
      <c r="AH15" s="56">
        <v>42.3</v>
      </c>
      <c r="AI15" s="57">
        <v>18639123</v>
      </c>
      <c r="AJ15" s="56">
        <v>42.78</v>
      </c>
      <c r="AK15" s="57">
        <v>6108286</v>
      </c>
      <c r="AL15" s="56">
        <v>44.45</v>
      </c>
      <c r="AM15" s="57">
        <v>55124043</v>
      </c>
      <c r="AN15" s="57">
        <v>694261411</v>
      </c>
      <c r="AO15" s="83">
        <f t="shared" si="2"/>
        <v>7.9399549113064558E-2</v>
      </c>
      <c r="AP15" s="135">
        <f t="shared" si="3"/>
        <v>256006776</v>
      </c>
      <c r="AQ15" s="56">
        <f t="shared" si="4"/>
        <v>12.177911827851696</v>
      </c>
      <c r="AR15" s="56">
        <f t="shared" si="15"/>
        <v>0.45667169354443859</v>
      </c>
      <c r="AS15" s="161">
        <f t="shared" si="5"/>
        <v>0.13426147790206494</v>
      </c>
      <c r="AT15" s="161">
        <f t="shared" si="16"/>
        <v>0.57327701922316365</v>
      </c>
      <c r="AU15" s="162">
        <f t="shared" si="17"/>
        <v>2.8873436107970954E-2</v>
      </c>
      <c r="AV15" s="115">
        <f t="shared" si="6"/>
        <v>0.67081883605585246</v>
      </c>
      <c r="AW15" s="115">
        <f t="shared" si="7"/>
        <v>0.81577577927493672</v>
      </c>
      <c r="AX15" s="115">
        <f t="shared" si="18"/>
        <v>0.2671180539226678</v>
      </c>
      <c r="AY15" s="115">
        <f t="shared" si="19"/>
        <v>0.58720364744289677</v>
      </c>
      <c r="AZ15" s="115">
        <f t="shared" si="20"/>
        <v>0.27173656726971007</v>
      </c>
      <c r="BA15" s="115">
        <f t="shared" si="11"/>
        <v>0.66493959505446676</v>
      </c>
      <c r="BB15" s="115">
        <f t="shared" si="12"/>
        <v>0.13980553059997372</v>
      </c>
      <c r="BC15" s="116">
        <f t="shared" si="21"/>
        <v>81.928736878433256</v>
      </c>
      <c r="BD15" s="115">
        <f t="shared" si="22"/>
        <v>1.686410722191197</v>
      </c>
    </row>
    <row r="16" spans="1:56" ht="15" customHeight="1" x14ac:dyDescent="0.2">
      <c r="A16" s="58">
        <v>49</v>
      </c>
      <c r="B16" s="70">
        <v>15</v>
      </c>
      <c r="C16" s="70" t="s">
        <v>41</v>
      </c>
      <c r="D16" s="248"/>
      <c r="E16" s="249"/>
      <c r="F16" s="167">
        <v>0.29399999999999998</v>
      </c>
      <c r="G16" s="239"/>
      <c r="H16" s="168">
        <v>2.0499999999999998</v>
      </c>
      <c r="I16" s="9">
        <v>30.864999999999998</v>
      </c>
      <c r="J16" s="12"/>
      <c r="K16" s="8">
        <f t="shared" si="0"/>
        <v>9.757945893406772E-2</v>
      </c>
      <c r="L16" s="56">
        <v>20.190000000000001</v>
      </c>
      <c r="M16" s="57">
        <v>7863289</v>
      </c>
      <c r="N16" s="11">
        <v>2438969716</v>
      </c>
      <c r="O16" s="82">
        <f t="shared" si="1"/>
        <v>3.2240207610679493E-3</v>
      </c>
      <c r="P16" s="56">
        <v>37.18</v>
      </c>
      <c r="Q16" s="57">
        <v>35923605</v>
      </c>
      <c r="R16" s="56">
        <v>37.729999999999997</v>
      </c>
      <c r="S16" s="57">
        <v>54347918</v>
      </c>
      <c r="T16" s="56">
        <v>39.46</v>
      </c>
      <c r="U16" s="57">
        <v>105024438</v>
      </c>
      <c r="V16" s="56">
        <v>40.24</v>
      </c>
      <c r="W16" s="57">
        <v>29171323</v>
      </c>
      <c r="X16" s="56">
        <v>41.24</v>
      </c>
      <c r="Y16" s="57">
        <v>48911166</v>
      </c>
      <c r="Z16" s="56">
        <v>40.86</v>
      </c>
      <c r="AA16" s="57">
        <v>61629751</v>
      </c>
      <c r="AB16" s="56">
        <v>41.43</v>
      </c>
      <c r="AC16" s="57">
        <v>25543701</v>
      </c>
      <c r="AD16" s="56">
        <v>42.9</v>
      </c>
      <c r="AE16" s="57">
        <v>124004412</v>
      </c>
      <c r="AF16" s="56">
        <v>42.43</v>
      </c>
      <c r="AG16" s="57">
        <v>8912641</v>
      </c>
      <c r="AH16" s="56">
        <v>42.62</v>
      </c>
      <c r="AI16" s="57">
        <v>46010573</v>
      </c>
      <c r="AJ16" s="56">
        <v>43.1</v>
      </c>
      <c r="AK16" s="57">
        <v>18435374</v>
      </c>
      <c r="AL16" s="56">
        <v>44.77</v>
      </c>
      <c r="AM16" s="57">
        <v>147196120</v>
      </c>
      <c r="AN16" s="57"/>
      <c r="AO16" s="82"/>
      <c r="AP16" s="135">
        <f t="shared" si="3"/>
        <v>705111022</v>
      </c>
      <c r="AQ16" s="56">
        <f t="shared" si="4"/>
        <v>8.7500729039982517</v>
      </c>
      <c r="AR16" s="56">
        <f t="shared" si="15"/>
        <v>0.32812773389993444</v>
      </c>
      <c r="AS16" s="161">
        <f t="shared" si="5"/>
        <v>9.6469553766580715E-2</v>
      </c>
      <c r="AT16" s="161">
        <f t="shared" si="16"/>
        <v>0.41191098960965289</v>
      </c>
      <c r="AU16" s="162">
        <f t="shared" si="17"/>
        <v>2.0746140594963592E-2</v>
      </c>
      <c r="AV16" s="115">
        <f t="shared" si="6"/>
        <v>0.66099321412827627</v>
      </c>
      <c r="AW16" s="115">
        <f t="shared" si="7"/>
        <v>0.86707443446818844</v>
      </c>
      <c r="AX16" s="115">
        <f t="shared" si="18"/>
        <v>0.26777606878358889</v>
      </c>
      <c r="AY16" s="115">
        <f t="shared" si="19"/>
        <v>0.59507463846806496</v>
      </c>
      <c r="AZ16" s="115">
        <f t="shared" si="20"/>
        <v>0.26143830156368114</v>
      </c>
      <c r="BA16" s="115">
        <f t="shared" si="11"/>
        <v>0.66739051428455565</v>
      </c>
      <c r="BB16" s="115">
        <f t="shared" si="12"/>
        <v>0.16227457118587416</v>
      </c>
      <c r="BC16" s="116">
        <f t="shared" si="21"/>
        <v>8.5791325256010538</v>
      </c>
      <c r="BD16" s="115">
        <f t="shared" si="22"/>
        <v>0.18067114968456699</v>
      </c>
    </row>
    <row r="17" spans="1:56" ht="18" x14ac:dyDescent="0.2">
      <c r="A17" s="58">
        <v>48</v>
      </c>
      <c r="B17" s="51">
        <v>22</v>
      </c>
      <c r="C17" s="51" t="s">
        <v>121</v>
      </c>
      <c r="D17" s="248"/>
      <c r="E17" s="249"/>
      <c r="F17" s="167">
        <v>0.29399999999999998</v>
      </c>
      <c r="G17" s="239"/>
      <c r="H17" s="168">
        <v>2</v>
      </c>
      <c r="I17" s="9">
        <v>30.536200000000001</v>
      </c>
      <c r="J17" s="12"/>
      <c r="K17" s="8">
        <f t="shared" si="0"/>
        <v>9.8630150444390594E-2</v>
      </c>
      <c r="L17" s="56">
        <v>19.920000000000002</v>
      </c>
      <c r="M17" s="57">
        <v>1730505</v>
      </c>
      <c r="N17" s="11">
        <v>898260591</v>
      </c>
      <c r="O17" s="82">
        <f t="shared" si="1"/>
        <v>1.9265066477796753E-3</v>
      </c>
      <c r="P17" s="56">
        <v>36.86</v>
      </c>
      <c r="Q17" s="57">
        <v>9051230</v>
      </c>
      <c r="R17" s="56">
        <v>37.409999999999997</v>
      </c>
      <c r="S17" s="57">
        <v>14771451</v>
      </c>
      <c r="T17" s="56">
        <v>39.14</v>
      </c>
      <c r="U17" s="57">
        <v>30014348</v>
      </c>
      <c r="V17" s="56">
        <v>39.92</v>
      </c>
      <c r="W17" s="57">
        <v>7991350</v>
      </c>
      <c r="X17" s="56">
        <v>40.93</v>
      </c>
      <c r="Y17" s="57">
        <v>13898776</v>
      </c>
      <c r="Z17" s="56">
        <v>40.53</v>
      </c>
      <c r="AA17" s="57">
        <v>18468956</v>
      </c>
      <c r="AB17" s="56">
        <v>41.11</v>
      </c>
      <c r="AC17" s="57">
        <v>7107130</v>
      </c>
      <c r="AD17" s="56">
        <v>42.59</v>
      </c>
      <c r="AE17" s="57">
        <v>37586384</v>
      </c>
      <c r="AF17" s="56">
        <v>42.1</v>
      </c>
      <c r="AG17" s="57">
        <v>2403946</v>
      </c>
      <c r="AH17" s="56">
        <v>42.3</v>
      </c>
      <c r="AI17" s="57">
        <v>13067797</v>
      </c>
      <c r="AJ17" s="56">
        <v>42.78</v>
      </c>
      <c r="AK17" s="57">
        <v>5051421</v>
      </c>
      <c r="AL17" s="56">
        <v>44.46</v>
      </c>
      <c r="AM17" s="57">
        <v>43707585</v>
      </c>
      <c r="AN17" s="57">
        <v>536650006</v>
      </c>
      <c r="AO17" s="83">
        <f t="shared" si="2"/>
        <v>8.1445233413451223E-2</v>
      </c>
      <c r="AP17" s="135">
        <f t="shared" si="3"/>
        <v>203120374</v>
      </c>
      <c r="AQ17" s="56">
        <f t="shared" si="4"/>
        <v>11.576847825311619</v>
      </c>
      <c r="AR17" s="56">
        <f t="shared" si="15"/>
        <v>0.43413179344918568</v>
      </c>
      <c r="AS17" s="161">
        <f t="shared" si="5"/>
        <v>0.12763474727406057</v>
      </c>
      <c r="AT17" s="161">
        <f t="shared" si="16"/>
        <v>0.5449818414776284</v>
      </c>
      <c r="AU17" s="162">
        <f t="shared" si="17"/>
        <v>2.74483327471098E-2</v>
      </c>
      <c r="AV17" s="115">
        <f t="shared" si="6"/>
        <v>0.61275158411993513</v>
      </c>
      <c r="AW17" s="115">
        <f t="shared" si="7"/>
        <v>0.821761308574538</v>
      </c>
      <c r="AX17" s="115">
        <f t="shared" si="18"/>
        <v>0.24278271712129046</v>
      </c>
      <c r="AY17" s="115">
        <f t="shared" si="19"/>
        <v>0.55908530658991462</v>
      </c>
      <c r="AZ17" s="115">
        <f t="shared" si="20"/>
        <v>0.27300655120414125</v>
      </c>
      <c r="BA17" s="115">
        <f t="shared" si="11"/>
        <v>0.68047758558755089</v>
      </c>
      <c r="BB17" s="115">
        <f t="shared" si="12"/>
        <v>0.15537654677950635</v>
      </c>
      <c r="BC17" s="116">
        <f t="shared" si="21"/>
        <v>23.201373373800504</v>
      </c>
      <c r="BD17" s="115">
        <f t="shared" si="22"/>
        <v>0.47690341984108398</v>
      </c>
    </row>
    <row r="18" spans="1:56" ht="15" customHeight="1" x14ac:dyDescent="0.2">
      <c r="A18" s="58">
        <v>47</v>
      </c>
      <c r="B18" s="51">
        <v>21</v>
      </c>
      <c r="C18" s="51" t="s">
        <v>122</v>
      </c>
      <c r="D18" s="248"/>
      <c r="E18" s="249"/>
      <c r="F18" s="167">
        <v>0.29399999999999998</v>
      </c>
      <c r="G18" s="239"/>
      <c r="H18" s="168">
        <v>1.9</v>
      </c>
      <c r="I18" s="9">
        <v>30.8704</v>
      </c>
      <c r="J18" s="12"/>
      <c r="K18" s="8">
        <f t="shared" si="0"/>
        <v>9.7562389862133309E-2</v>
      </c>
      <c r="L18" s="56">
        <v>19.93</v>
      </c>
      <c r="M18" s="57">
        <v>4152750</v>
      </c>
      <c r="N18" s="16">
        <v>1771669959</v>
      </c>
      <c r="O18" s="82">
        <f t="shared" si="1"/>
        <v>2.3439749479886056E-3</v>
      </c>
      <c r="P18" s="56">
        <v>36.86</v>
      </c>
      <c r="Q18" s="57">
        <v>7918186</v>
      </c>
      <c r="R18" s="56">
        <v>37.42</v>
      </c>
      <c r="S18" s="57">
        <v>11209902</v>
      </c>
      <c r="T18" s="56">
        <v>39.14</v>
      </c>
      <c r="U18" s="57">
        <v>23886062</v>
      </c>
      <c r="V18" s="56">
        <v>39.93</v>
      </c>
      <c r="W18" s="57">
        <v>8246464</v>
      </c>
      <c r="X18" s="56">
        <v>40.93</v>
      </c>
      <c r="Y18" s="57">
        <v>10302488</v>
      </c>
      <c r="Z18" s="56">
        <v>40.54</v>
      </c>
      <c r="AA18" s="57">
        <v>16298978</v>
      </c>
      <c r="AB18" s="56">
        <v>41.12</v>
      </c>
      <c r="AC18" s="57">
        <v>5105172</v>
      </c>
      <c r="AD18" s="56">
        <v>42.6</v>
      </c>
      <c r="AE18" s="57">
        <v>27140728</v>
      </c>
      <c r="AF18" s="56">
        <v>42.11</v>
      </c>
      <c r="AG18" s="57">
        <v>2510387</v>
      </c>
      <c r="AH18" s="56">
        <v>42.3</v>
      </c>
      <c r="AI18" s="57">
        <v>9708182</v>
      </c>
      <c r="AJ18" s="56">
        <v>42.78</v>
      </c>
      <c r="AK18" s="57">
        <v>3568334</v>
      </c>
      <c r="AL18" s="56">
        <v>44.46</v>
      </c>
      <c r="AM18" s="57">
        <v>32537020</v>
      </c>
      <c r="AN18" s="57">
        <v>385001099</v>
      </c>
      <c r="AO18" s="83">
        <f t="shared" si="2"/>
        <v>8.4511499017824884E-2</v>
      </c>
      <c r="AP18" s="135">
        <f t="shared" si="3"/>
        <v>158431903</v>
      </c>
      <c r="AQ18" s="56">
        <f t="shared" si="4"/>
        <v>3.7221106705401694</v>
      </c>
      <c r="AR18" s="56">
        <f t="shared" si="15"/>
        <v>0.13957915014525635</v>
      </c>
      <c r="AS18" s="161">
        <f t="shared" si="5"/>
        <v>4.1036270142705361E-2</v>
      </c>
      <c r="AT18" s="161">
        <f t="shared" si="16"/>
        <v>0.17521891606620563</v>
      </c>
      <c r="AU18" s="162">
        <f t="shared" si="17"/>
        <v>8.8250043317645924E-3</v>
      </c>
      <c r="AV18" s="115">
        <f t="shared" si="6"/>
        <v>0.70635639812016193</v>
      </c>
      <c r="AW18" s="115">
        <f t="shared" si="7"/>
        <v>0.8741398835115004</v>
      </c>
      <c r="AX18" s="115">
        <f t="shared" si="18"/>
        <v>0.28920437424719664</v>
      </c>
      <c r="AY18" s="115">
        <f t="shared" si="19"/>
        <v>0.56132922479267011</v>
      </c>
      <c r="AZ18" s="115">
        <f t="shared" si="20"/>
        <v>0.25068532306136304</v>
      </c>
      <c r="BA18" s="115">
        <f t="shared" si="11"/>
        <v>0.67331081543193416</v>
      </c>
      <c r="BB18" s="115">
        <f t="shared" si="12"/>
        <v>0.20545671101092117</v>
      </c>
      <c r="BC18" s="116">
        <f t="shared" si="21"/>
        <v>54.981383882007655</v>
      </c>
      <c r="BD18" s="115">
        <f t="shared" si="22"/>
        <v>1.1495428417595919</v>
      </c>
    </row>
    <row r="19" spans="1:56" ht="18" x14ac:dyDescent="0.2">
      <c r="A19" s="58">
        <v>46</v>
      </c>
      <c r="B19" s="117">
        <v>43</v>
      </c>
      <c r="C19" s="117" t="s">
        <v>168</v>
      </c>
      <c r="D19" s="248"/>
      <c r="E19" s="249"/>
      <c r="F19" s="167">
        <v>0.29399999999999998</v>
      </c>
      <c r="G19" s="239"/>
      <c r="H19" s="168">
        <v>1.85</v>
      </c>
      <c r="I19" s="9">
        <v>30.978000000000002</v>
      </c>
      <c r="J19" s="12"/>
      <c r="K19" s="8">
        <f t="shared" si="0"/>
        <v>9.7223513461165978E-2</v>
      </c>
      <c r="L19" s="56">
        <v>20.059999999999999</v>
      </c>
      <c r="M19" s="57">
        <v>4571550</v>
      </c>
      <c r="N19" s="16">
        <v>2232069400</v>
      </c>
      <c r="O19" s="82">
        <f t="shared" si="1"/>
        <v>2.0481218012307323E-3</v>
      </c>
      <c r="P19" s="56">
        <v>37.020000000000003</v>
      </c>
      <c r="Q19" s="57">
        <v>13181747</v>
      </c>
      <c r="R19" s="56">
        <v>37.57</v>
      </c>
      <c r="S19" s="57">
        <v>21093520</v>
      </c>
      <c r="T19" s="56">
        <v>39.31</v>
      </c>
      <c r="U19" s="57">
        <v>38064005</v>
      </c>
      <c r="V19" s="56">
        <v>40.090000000000003</v>
      </c>
      <c r="W19" s="57">
        <v>16053897</v>
      </c>
      <c r="X19" s="56">
        <v>41.09</v>
      </c>
      <c r="Y19" s="57">
        <v>22019176</v>
      </c>
      <c r="Z19" s="56">
        <v>40.700000000000003</v>
      </c>
      <c r="AA19" s="57">
        <v>29094945</v>
      </c>
      <c r="AB19" s="56">
        <v>41.29</v>
      </c>
      <c r="AC19" s="57">
        <v>10187046</v>
      </c>
      <c r="AD19" s="56">
        <v>42.75</v>
      </c>
      <c r="AE19" s="57">
        <v>50265782</v>
      </c>
      <c r="AF19" s="56">
        <v>42.29</v>
      </c>
      <c r="AG19" s="57">
        <v>3949469</v>
      </c>
      <c r="AH19" s="56">
        <v>42.47</v>
      </c>
      <c r="AI19" s="57">
        <v>17307953</v>
      </c>
      <c r="AJ19" s="56">
        <v>42.95</v>
      </c>
      <c r="AK19" s="57">
        <v>7779253</v>
      </c>
      <c r="AL19" s="56">
        <v>44.61</v>
      </c>
      <c r="AM19" s="57">
        <v>63539812</v>
      </c>
      <c r="AN19" s="57">
        <v>765581369</v>
      </c>
      <c r="AO19" s="83">
        <f t="shared" si="2"/>
        <v>8.2995504557530575E-2</v>
      </c>
      <c r="AP19" s="135">
        <f t="shared" si="3"/>
        <v>292536605</v>
      </c>
      <c r="AQ19" s="56">
        <f t="shared" si="4"/>
        <v>6.2213989902989786</v>
      </c>
      <c r="AR19" s="56">
        <f t="shared" si="15"/>
        <v>0.2333024621362117</v>
      </c>
      <c r="AS19" s="161">
        <f t="shared" si="5"/>
        <v>6.859092386804623E-2</v>
      </c>
      <c r="AT19" s="161">
        <f t="shared" si="16"/>
        <v>0.29287328722479172</v>
      </c>
      <c r="AU19" s="162">
        <f t="shared" si="17"/>
        <v>1.4750736315708866E-2</v>
      </c>
      <c r="AV19" s="115">
        <f t="shared" si="6"/>
        <v>0.62491926430486711</v>
      </c>
      <c r="AW19" s="115">
        <f t="shared" si="7"/>
        <v>0.85023977089860181</v>
      </c>
      <c r="AX19" s="115">
        <f t="shared" si="18"/>
        <v>0.24358091026554832</v>
      </c>
      <c r="AY19" s="115">
        <f t="shared" si="19"/>
        <v>0.52927530347819818</v>
      </c>
      <c r="AZ19" s="115">
        <f t="shared" si="20"/>
        <v>0.25941436106242621</v>
      </c>
      <c r="BA19" s="115">
        <f t="shared" si="11"/>
        <v>0.68634935348108428</v>
      </c>
      <c r="BB19" s="115">
        <f t="shared" si="12"/>
        <v>0.18579247285959699</v>
      </c>
      <c r="BC19" s="116">
        <f t="shared" si="21"/>
        <v>20.426915236812842</v>
      </c>
      <c r="BD19" s="115">
        <f t="shared" si="22"/>
        <v>0.43497935924975956</v>
      </c>
    </row>
    <row r="20" spans="1:56" ht="18" x14ac:dyDescent="0.2">
      <c r="A20" s="58">
        <v>45</v>
      </c>
      <c r="B20" s="51">
        <v>20</v>
      </c>
      <c r="C20" s="51" t="s">
        <v>123</v>
      </c>
      <c r="D20" s="248"/>
      <c r="E20" s="249"/>
      <c r="F20" s="167">
        <v>0.29399999999999998</v>
      </c>
      <c r="G20" s="239"/>
      <c r="H20" s="168">
        <v>1.8</v>
      </c>
      <c r="I20" s="9">
        <v>30.523099999999999</v>
      </c>
      <c r="J20" s="18"/>
      <c r="K20" s="8">
        <f t="shared" si="0"/>
        <v>9.8672480842378396E-2</v>
      </c>
      <c r="L20" s="56">
        <v>19.920000000000002</v>
      </c>
      <c r="M20" s="57">
        <v>1181882</v>
      </c>
      <c r="N20" s="16">
        <v>451054738</v>
      </c>
      <c r="O20" s="82">
        <f t="shared" si="1"/>
        <v>2.6202629091992822E-3</v>
      </c>
      <c r="P20" s="56">
        <v>36.85</v>
      </c>
      <c r="Q20" s="57">
        <v>8588617</v>
      </c>
      <c r="R20" s="56">
        <v>37.409999999999997</v>
      </c>
      <c r="S20" s="57">
        <v>13085991</v>
      </c>
      <c r="T20" s="56">
        <v>39.14</v>
      </c>
      <c r="U20" s="57">
        <v>29763718</v>
      </c>
      <c r="V20" s="56">
        <v>39.92</v>
      </c>
      <c r="W20" s="57">
        <v>9380187</v>
      </c>
      <c r="X20" s="56">
        <v>40.93</v>
      </c>
      <c r="Y20" s="57">
        <v>12605060</v>
      </c>
      <c r="Z20" s="56">
        <v>40.54</v>
      </c>
      <c r="AA20" s="57">
        <v>19436649</v>
      </c>
      <c r="AB20" s="56">
        <v>41.12</v>
      </c>
      <c r="AC20" s="57">
        <v>12605060</v>
      </c>
      <c r="AD20" s="56">
        <v>42.59</v>
      </c>
      <c r="AE20" s="57">
        <v>36027184</v>
      </c>
      <c r="AF20" s="56">
        <v>42.12</v>
      </c>
      <c r="AG20" s="57">
        <v>2472743</v>
      </c>
      <c r="AH20" s="56">
        <v>42.3</v>
      </c>
      <c r="AI20" s="57">
        <v>11761585</v>
      </c>
      <c r="AJ20" s="56">
        <v>42.79</v>
      </c>
      <c r="AK20" s="57">
        <v>4307482</v>
      </c>
      <c r="AL20" s="56">
        <v>44.46</v>
      </c>
      <c r="AM20" s="57">
        <v>40636682</v>
      </c>
      <c r="AN20" s="57">
        <v>506281969</v>
      </c>
      <c r="AO20" s="83">
        <f t="shared" si="2"/>
        <v>8.0264920515073682E-2</v>
      </c>
      <c r="AP20" s="135">
        <f t="shared" si="3"/>
        <v>200670958</v>
      </c>
      <c r="AQ20" s="56">
        <f t="shared" si="4"/>
        <v>16.753534835860702</v>
      </c>
      <c r="AR20" s="56">
        <f t="shared" si="15"/>
        <v>0.62825755634477631</v>
      </c>
      <c r="AS20" s="161">
        <f t="shared" si="5"/>
        <v>0.18470772156536422</v>
      </c>
      <c r="AT20" s="161">
        <f t="shared" si="16"/>
        <v>0.78867515612879679</v>
      </c>
      <c r="AU20" s="162">
        <f t="shared" si="17"/>
        <v>3.9722090659218105E-2</v>
      </c>
      <c r="AV20" s="115">
        <f t="shared" si="6"/>
        <v>0.65632148149880276</v>
      </c>
      <c r="AW20" s="115">
        <f t="shared" si="7"/>
        <v>0.76024396342100053</v>
      </c>
      <c r="AX20" s="115">
        <f t="shared" si="18"/>
        <v>0.27309570021657642</v>
      </c>
      <c r="AY20" s="115">
        <f t="shared" si="19"/>
        <v>0.56248141870624879</v>
      </c>
      <c r="AZ20" s="115">
        <f t="shared" si="20"/>
        <v>0.27261331911578102</v>
      </c>
      <c r="BA20" s="115">
        <f t="shared" si="11"/>
        <v>0.68667991742675705</v>
      </c>
      <c r="BB20" s="115">
        <f t="shared" si="12"/>
        <v>0.17371687655363849</v>
      </c>
      <c r="BC20" s="116">
        <f t="shared" si="21"/>
        <v>31.846430029999656</v>
      </c>
      <c r="BD20" s="115">
        <f t="shared" si="22"/>
        <v>0.63276390996249687</v>
      </c>
    </row>
    <row r="21" spans="1:56" ht="18" x14ac:dyDescent="0.2">
      <c r="A21" s="58">
        <v>44</v>
      </c>
      <c r="B21" s="51">
        <v>19</v>
      </c>
      <c r="C21" s="51" t="s">
        <v>124</v>
      </c>
      <c r="D21" s="248"/>
      <c r="E21" s="249"/>
      <c r="F21" s="167">
        <v>0.29399999999999998</v>
      </c>
      <c r="G21" s="239"/>
      <c r="H21" s="168">
        <v>1.7</v>
      </c>
      <c r="I21" s="9">
        <v>30.1524</v>
      </c>
      <c r="J21" s="18"/>
      <c r="K21" s="8">
        <f t="shared" si="0"/>
        <v>9.9885581247263905E-2</v>
      </c>
      <c r="L21" s="56">
        <v>19.93</v>
      </c>
      <c r="M21" s="57">
        <v>3091241</v>
      </c>
      <c r="N21" s="16">
        <v>1707835247</v>
      </c>
      <c r="O21" s="82">
        <f t="shared" si="1"/>
        <v>1.8100346654808209E-3</v>
      </c>
      <c r="P21" s="56">
        <v>36.86</v>
      </c>
      <c r="Q21" s="57">
        <v>9114184</v>
      </c>
      <c r="R21" s="56">
        <v>37.42</v>
      </c>
      <c r="S21" s="57">
        <v>17666854</v>
      </c>
      <c r="T21" s="56">
        <v>39.14</v>
      </c>
      <c r="U21" s="57">
        <v>32464419</v>
      </c>
      <c r="V21" s="56">
        <v>39.93</v>
      </c>
      <c r="W21" s="57">
        <v>12115503</v>
      </c>
      <c r="X21" s="56">
        <v>40.94</v>
      </c>
      <c r="Y21" s="57">
        <v>16748539</v>
      </c>
      <c r="Z21" s="56">
        <v>40.549999999999997</v>
      </c>
      <c r="AA21" s="57">
        <v>20956380</v>
      </c>
      <c r="AB21" s="56">
        <v>41.12</v>
      </c>
      <c r="AC21" s="57">
        <v>7449149</v>
      </c>
      <c r="AD21" s="56">
        <v>42.59</v>
      </c>
      <c r="AE21" s="57">
        <v>36518637</v>
      </c>
      <c r="AF21" s="56">
        <v>42.11</v>
      </c>
      <c r="AG21" s="57">
        <v>2702694</v>
      </c>
      <c r="AH21" s="56">
        <v>42.3</v>
      </c>
      <c r="AI21" s="57">
        <v>12945678</v>
      </c>
      <c r="AJ21" s="56">
        <v>42.78</v>
      </c>
      <c r="AK21" s="57">
        <v>4651826</v>
      </c>
      <c r="AL21" s="56">
        <v>44.46</v>
      </c>
      <c r="AM21" s="57">
        <v>41752976</v>
      </c>
      <c r="AN21" s="57">
        <v>506831871</v>
      </c>
      <c r="AO21" s="83">
        <f t="shared" si="2"/>
        <v>8.2380328446235385E-2</v>
      </c>
      <c r="AP21" s="135">
        <f t="shared" si="3"/>
        <v>215086839</v>
      </c>
      <c r="AQ21" s="56">
        <f t="shared" si="4"/>
        <v>6.9499834959977793</v>
      </c>
      <c r="AR21" s="56">
        <f t="shared" si="15"/>
        <v>0.26062438109991676</v>
      </c>
      <c r="AS21" s="161">
        <f t="shared" si="5"/>
        <v>7.6623568043375528E-2</v>
      </c>
      <c r="AT21" s="161">
        <f t="shared" si="16"/>
        <v>0.3271715117138152</v>
      </c>
      <c r="AU21" s="162">
        <f t="shared" si="17"/>
        <v>1.6478186675994735E-2</v>
      </c>
      <c r="AV21" s="115">
        <f t="shared" si="6"/>
        <v>0.51589173714799474</v>
      </c>
      <c r="AW21" s="115">
        <f t="shared" si="7"/>
        <v>0.94461684729227013</v>
      </c>
      <c r="AX21" s="115">
        <f t="shared" si="18"/>
        <v>0.26087848584839757</v>
      </c>
      <c r="AY21" s="115">
        <f t="shared" si="19"/>
        <v>0.55998254450743901</v>
      </c>
      <c r="AZ21" s="115">
        <f t="shared" si="20"/>
        <v>0.28888757192656445</v>
      </c>
      <c r="BA21" s="115">
        <f t="shared" si="11"/>
        <v>0.67285802334623523</v>
      </c>
      <c r="BB21" s="115">
        <f t="shared" si="12"/>
        <v>0.17271406891400587</v>
      </c>
      <c r="BC21" s="116">
        <f t="shared" si="21"/>
        <v>72.161435023925378</v>
      </c>
      <c r="BD21" s="115">
        <f t="shared" si="22"/>
        <v>1.4712207937557722</v>
      </c>
    </row>
    <row r="22" spans="1:56" ht="18" x14ac:dyDescent="0.2">
      <c r="A22" s="58">
        <v>43</v>
      </c>
      <c r="B22" s="70">
        <v>14</v>
      </c>
      <c r="C22" s="70" t="s">
        <v>42</v>
      </c>
      <c r="D22" s="248"/>
      <c r="E22" s="249"/>
      <c r="F22" s="167">
        <v>0.29399999999999998</v>
      </c>
      <c r="G22" s="239"/>
      <c r="H22" s="168">
        <v>1.65</v>
      </c>
      <c r="I22" s="9">
        <v>32.731999999999999</v>
      </c>
      <c r="J22" s="12"/>
      <c r="K22" s="8">
        <f t="shared" si="0"/>
        <v>9.2013625809605273E-2</v>
      </c>
      <c r="L22" s="56">
        <v>20.190000000000001</v>
      </c>
      <c r="M22" s="57">
        <v>1450655</v>
      </c>
      <c r="N22" s="16">
        <v>422895963</v>
      </c>
      <c r="O22" s="82">
        <f t="shared" si="1"/>
        <v>3.4302881250252086E-3</v>
      </c>
      <c r="P22" s="56">
        <v>37.18</v>
      </c>
      <c r="Q22" s="57">
        <v>21010586</v>
      </c>
      <c r="R22" s="56">
        <v>37.729999999999997</v>
      </c>
      <c r="S22" s="57">
        <v>34979446</v>
      </c>
      <c r="T22" s="112">
        <v>39.47</v>
      </c>
      <c r="U22" s="57">
        <v>82831300</v>
      </c>
      <c r="V22" s="56">
        <v>40.24</v>
      </c>
      <c r="W22" s="57">
        <v>27513941</v>
      </c>
      <c r="X22" s="56">
        <v>41.24</v>
      </c>
      <c r="Y22" s="57">
        <v>38947181</v>
      </c>
      <c r="Z22" s="56">
        <v>40.86</v>
      </c>
      <c r="AA22" s="57">
        <v>50101415</v>
      </c>
      <c r="AB22" s="56">
        <v>41.44</v>
      </c>
      <c r="AC22" s="57">
        <v>22441060</v>
      </c>
      <c r="AD22" s="56">
        <v>42.9</v>
      </c>
      <c r="AE22" s="57">
        <v>92320246</v>
      </c>
      <c r="AF22" s="112">
        <v>42.44</v>
      </c>
      <c r="AG22" s="57">
        <v>6671165</v>
      </c>
      <c r="AH22" s="56">
        <v>42.62</v>
      </c>
      <c r="AI22" s="57">
        <v>33315548</v>
      </c>
      <c r="AJ22" s="56">
        <v>43.1</v>
      </c>
      <c r="AK22" s="57">
        <v>13161333</v>
      </c>
      <c r="AL22" s="56">
        <v>44.76</v>
      </c>
      <c r="AM22" s="57">
        <v>98429463</v>
      </c>
      <c r="AN22" s="57"/>
      <c r="AO22" s="82"/>
      <c r="AP22" s="135">
        <f t="shared" si="3"/>
        <v>521722684</v>
      </c>
      <c r="AQ22" s="56">
        <f t="shared" si="4"/>
        <v>33.092358846148073</v>
      </c>
      <c r="AR22" s="56">
        <f t="shared" si="15"/>
        <v>1.2409634567305527</v>
      </c>
      <c r="AS22" s="161">
        <f t="shared" si="5"/>
        <v>0.3648432562787825</v>
      </c>
      <c r="AT22" s="161">
        <f t="shared" si="16"/>
        <v>1.5578277381673036</v>
      </c>
      <c r="AU22" s="162">
        <f t="shared" si="17"/>
        <v>7.846091532877042E-2</v>
      </c>
      <c r="AV22" s="115">
        <f t="shared" si="6"/>
        <v>0.60065519619721819</v>
      </c>
      <c r="AW22" s="115">
        <f t="shared" si="7"/>
        <v>0.90555597465845539</v>
      </c>
      <c r="AX22" s="115">
        <f t="shared" si="18"/>
        <v>0.24003696485911288</v>
      </c>
      <c r="AY22" s="115">
        <f t="shared" si="19"/>
        <v>0.57597011379273289</v>
      </c>
      <c r="AZ22" s="115">
        <f t="shared" si="20"/>
        <v>0.27593867151113927</v>
      </c>
      <c r="BA22" s="115">
        <f t="shared" si="11"/>
        <v>0.64936720262370851</v>
      </c>
      <c r="BB22" s="115">
        <f t="shared" si="12"/>
        <v>0.16683454326440886</v>
      </c>
      <c r="BC22" s="116">
        <f t="shared" si="21"/>
        <v>12.009356144844183</v>
      </c>
      <c r="BD22" s="115">
        <f t="shared" si="22"/>
        <v>0.24550583850020982</v>
      </c>
    </row>
    <row r="23" spans="1:56" ht="18" x14ac:dyDescent="0.2">
      <c r="A23" s="58">
        <v>42</v>
      </c>
      <c r="B23" s="51">
        <v>18</v>
      </c>
      <c r="C23" s="51" t="s">
        <v>125</v>
      </c>
      <c r="D23" s="243" t="s">
        <v>150</v>
      </c>
      <c r="E23" s="254" t="s">
        <v>155</v>
      </c>
      <c r="F23" s="167">
        <v>0.3</v>
      </c>
      <c r="G23" s="237" t="s">
        <v>365</v>
      </c>
      <c r="H23" s="168">
        <v>1.45</v>
      </c>
      <c r="I23" s="33">
        <v>30.4681</v>
      </c>
      <c r="J23" s="27"/>
      <c r="K23" s="8">
        <f t="shared" si="0"/>
        <v>9.8850601120516218E-2</v>
      </c>
      <c r="L23" s="56">
        <v>19.920000000000002</v>
      </c>
      <c r="M23" s="57">
        <v>1268346</v>
      </c>
      <c r="N23" s="16">
        <v>758401006</v>
      </c>
      <c r="O23" s="82">
        <f t="shared" si="1"/>
        <v>1.6723949335056658E-3</v>
      </c>
      <c r="P23" s="56">
        <v>36.86</v>
      </c>
      <c r="Q23" s="57">
        <v>9805147</v>
      </c>
      <c r="R23" s="56">
        <v>37.42</v>
      </c>
      <c r="S23" s="57">
        <v>14619368</v>
      </c>
      <c r="T23" s="56">
        <v>39.14</v>
      </c>
      <c r="U23" s="57">
        <v>33100309</v>
      </c>
      <c r="V23" s="56">
        <v>39.93</v>
      </c>
      <c r="W23" s="57">
        <v>11049055</v>
      </c>
      <c r="X23" s="56">
        <v>40.94</v>
      </c>
      <c r="Y23" s="57">
        <v>13944730</v>
      </c>
      <c r="Z23" s="56">
        <v>40.54</v>
      </c>
      <c r="AA23" s="57">
        <v>19254330</v>
      </c>
      <c r="AB23" s="56">
        <v>41.13</v>
      </c>
      <c r="AC23" s="57">
        <v>7850251</v>
      </c>
      <c r="AD23" s="56">
        <v>42.6</v>
      </c>
      <c r="AE23" s="57">
        <v>36816812</v>
      </c>
      <c r="AF23" s="56">
        <v>42.11</v>
      </c>
      <c r="AG23" s="57">
        <v>2432328</v>
      </c>
      <c r="AH23" s="56">
        <v>42.3</v>
      </c>
      <c r="AI23" s="57">
        <v>14014382</v>
      </c>
      <c r="AJ23" s="56">
        <v>42.79</v>
      </c>
      <c r="AK23" s="57">
        <v>4561799</v>
      </c>
      <c r="AL23" s="56">
        <v>44.46</v>
      </c>
      <c r="AM23" s="57">
        <v>43156063</v>
      </c>
      <c r="AN23" s="57">
        <v>550397547</v>
      </c>
      <c r="AO23" s="83">
        <f t="shared" si="2"/>
        <v>7.8408894144290212E-2</v>
      </c>
      <c r="AP23" s="135">
        <f t="shared" si="3"/>
        <v>210604574</v>
      </c>
      <c r="AQ23" s="56">
        <f t="shared" si="4"/>
        <v>16.413808801880752</v>
      </c>
      <c r="AR23" s="56">
        <f t="shared" si="15"/>
        <v>0.61551783007052818</v>
      </c>
      <c r="AS23" s="161">
        <f t="shared" si="5"/>
        <v>0.18465534902115846</v>
      </c>
      <c r="AT23" s="161">
        <f t="shared" si="16"/>
        <v>0.78845153296822568</v>
      </c>
      <c r="AU23" s="162">
        <f t="shared" si="17"/>
        <v>3.971082774648569E-2</v>
      </c>
      <c r="AV23" s="115">
        <f t="shared" si="6"/>
        <v>0.67069568260406331</v>
      </c>
      <c r="AW23" s="115">
        <f t="shared" si="7"/>
        <v>0.90883648295962516</v>
      </c>
      <c r="AX23" s="115">
        <f t="shared" si="18"/>
        <v>0.37124449984355445</v>
      </c>
      <c r="AY23" s="115">
        <f t="shared" si="19"/>
        <v>0.53559638142448396</v>
      </c>
      <c r="AZ23" s="115">
        <f t="shared" si="20"/>
        <v>0.38541535025558576</v>
      </c>
      <c r="BA23" s="115">
        <f t="shared" si="11"/>
        <v>0.67258397671537495</v>
      </c>
      <c r="BB23" s="115">
        <f t="shared" si="12"/>
        <v>0.14789146279103846</v>
      </c>
      <c r="BC23" s="116">
        <f t="shared" si="21"/>
        <v>4.87070918032388</v>
      </c>
      <c r="BD23" s="115">
        <f t="shared" si="22"/>
        <v>0.11576642680134763</v>
      </c>
    </row>
    <row r="24" spans="1:56" ht="18" customHeight="1" x14ac:dyDescent="0.2">
      <c r="A24" s="58">
        <v>41</v>
      </c>
      <c r="B24" s="51">
        <v>17</v>
      </c>
      <c r="C24" s="51" t="s">
        <v>126</v>
      </c>
      <c r="D24" s="244"/>
      <c r="E24" s="254"/>
      <c r="F24" s="167">
        <v>0.3</v>
      </c>
      <c r="G24" s="237"/>
      <c r="H24" s="168">
        <v>1.35</v>
      </c>
      <c r="I24" s="33">
        <v>30.2959</v>
      </c>
      <c r="J24" s="27"/>
      <c r="K24" s="8">
        <f t="shared" si="0"/>
        <v>9.9412461752250311E-2</v>
      </c>
      <c r="L24" s="56">
        <v>19.93</v>
      </c>
      <c r="M24" s="57">
        <v>753106</v>
      </c>
      <c r="N24" s="16">
        <v>421886255</v>
      </c>
      <c r="O24" s="82">
        <f t="shared" si="1"/>
        <v>1.7850925245241755E-3</v>
      </c>
      <c r="P24" s="56">
        <v>36.86</v>
      </c>
      <c r="Q24" s="57">
        <v>767917</v>
      </c>
      <c r="R24" s="56">
        <v>37.43</v>
      </c>
      <c r="S24" s="57">
        <v>1753195</v>
      </c>
      <c r="T24" s="56">
        <v>39.18</v>
      </c>
      <c r="U24" s="57">
        <v>2380204</v>
      </c>
      <c r="V24" s="56">
        <v>39.93</v>
      </c>
      <c r="W24" s="57">
        <v>2195434</v>
      </c>
      <c r="X24" s="56">
        <v>40.94</v>
      </c>
      <c r="Y24" s="57">
        <v>2701655</v>
      </c>
      <c r="Z24" s="56">
        <v>40.54</v>
      </c>
      <c r="AA24" s="57">
        <v>3473962</v>
      </c>
      <c r="AB24" s="56">
        <v>41.12</v>
      </c>
      <c r="AC24" s="57">
        <v>1578839</v>
      </c>
      <c r="AD24" s="56">
        <v>42.6</v>
      </c>
      <c r="AE24" s="57">
        <v>5827392</v>
      </c>
      <c r="AF24" s="56">
        <v>42.14</v>
      </c>
      <c r="AG24" s="57">
        <v>783231</v>
      </c>
      <c r="AH24" s="56">
        <v>42.3</v>
      </c>
      <c r="AI24" s="57">
        <v>3818863</v>
      </c>
      <c r="AJ24" s="56">
        <v>42.79</v>
      </c>
      <c r="AK24" s="57">
        <v>1560137</v>
      </c>
      <c r="AL24" s="56">
        <v>44.46</v>
      </c>
      <c r="AM24" s="57">
        <v>7338515</v>
      </c>
      <c r="AN24" s="57">
        <v>99639768</v>
      </c>
      <c r="AO24" s="83">
        <f t="shared" si="2"/>
        <v>7.3650462534196187E-2</v>
      </c>
      <c r="AP24" s="135">
        <f t="shared" si="3"/>
        <v>34179344</v>
      </c>
      <c r="AQ24" s="56">
        <f t="shared" si="4"/>
        <v>4.5117854964865591</v>
      </c>
      <c r="AR24" s="56">
        <f t="shared" si="15"/>
        <v>0.16919195611824597</v>
      </c>
      <c r="AS24" s="161">
        <f t="shared" si="5"/>
        <v>5.0757586835473788E-2</v>
      </c>
      <c r="AT24" s="161">
        <f t="shared" si="16"/>
        <v>0.21672752705155329</v>
      </c>
      <c r="AU24" s="162">
        <f t="shared" si="17"/>
        <v>1.09156100721449E-2</v>
      </c>
      <c r="AV24" s="115">
        <f t="shared" si="6"/>
        <v>0.43801003311097736</v>
      </c>
      <c r="AW24" s="115">
        <f t="shared" si="7"/>
        <v>0.66885697707752056</v>
      </c>
      <c r="AX24" s="115">
        <f t="shared" si="18"/>
        <v>0.33406470384855713</v>
      </c>
      <c r="AY24" s="115">
        <f t="shared" si="19"/>
        <v>0.51278072942375619</v>
      </c>
      <c r="AZ24" s="115">
        <f t="shared" si="20"/>
        <v>0.37210758355438739</v>
      </c>
      <c r="BA24" s="115">
        <f t="shared" si="11"/>
        <v>0.54356366677811729</v>
      </c>
      <c r="BB24" s="115">
        <f t="shared" si="12"/>
        <v>0.17019013518628695</v>
      </c>
      <c r="BC24" s="116">
        <f t="shared" si="21"/>
        <v>51.942691293314468</v>
      </c>
      <c r="BD24" s="115">
        <f t="shared" si="22"/>
        <v>1.214614007805416</v>
      </c>
    </row>
    <row r="25" spans="1:56" ht="18" x14ac:dyDescent="0.2">
      <c r="A25" s="58">
        <v>40</v>
      </c>
      <c r="B25" s="51">
        <v>16</v>
      </c>
      <c r="C25" s="51" t="s">
        <v>127</v>
      </c>
      <c r="D25" s="244"/>
      <c r="E25" s="254"/>
      <c r="F25" s="167">
        <v>0.3</v>
      </c>
      <c r="G25" s="237"/>
      <c r="H25" s="168">
        <v>1.3</v>
      </c>
      <c r="I25" s="9">
        <v>30.429400000000001</v>
      </c>
      <c r="J25" s="18"/>
      <c r="K25" s="8">
        <f t="shared" si="0"/>
        <v>9.8976318954695122E-2</v>
      </c>
      <c r="L25" s="56">
        <v>19.91</v>
      </c>
      <c r="M25" s="57">
        <v>925774</v>
      </c>
      <c r="N25" s="16">
        <v>288923280</v>
      </c>
      <c r="O25" s="82">
        <f>M25/N25</f>
        <v>3.2042208575231461E-3</v>
      </c>
      <c r="P25" s="56">
        <v>36.840000000000003</v>
      </c>
      <c r="Q25" s="57">
        <v>2410228</v>
      </c>
      <c r="R25" s="56">
        <v>37.4</v>
      </c>
      <c r="S25" s="57">
        <v>2283311</v>
      </c>
      <c r="T25" s="56">
        <v>39.159999999999997</v>
      </c>
      <c r="U25" s="57">
        <v>5964773</v>
      </c>
      <c r="V25" s="56">
        <v>39.909999999999997</v>
      </c>
      <c r="W25" s="57">
        <v>2729581</v>
      </c>
      <c r="X25" s="56">
        <v>40.92</v>
      </c>
      <c r="Y25" s="57">
        <v>4361500</v>
      </c>
      <c r="Z25" s="56">
        <v>40.520000000000003</v>
      </c>
      <c r="AA25" s="57">
        <v>7040407</v>
      </c>
      <c r="AB25" s="56">
        <v>41.1</v>
      </c>
      <c r="AC25" s="57">
        <v>2322742</v>
      </c>
      <c r="AD25" s="56">
        <v>42.57</v>
      </c>
      <c r="AE25" s="57">
        <v>9854377</v>
      </c>
      <c r="AF25" s="56">
        <v>42.1</v>
      </c>
      <c r="AG25" s="57">
        <v>1796726</v>
      </c>
      <c r="AH25" s="56">
        <v>42.29</v>
      </c>
      <c r="AI25" s="57">
        <v>5829754</v>
      </c>
      <c r="AJ25" s="56">
        <v>42.76</v>
      </c>
      <c r="AK25" s="57">
        <v>1801821</v>
      </c>
      <c r="AL25" s="56">
        <v>44.45</v>
      </c>
      <c r="AM25" s="57">
        <v>12868883</v>
      </c>
      <c r="AN25" s="57">
        <v>148176383</v>
      </c>
      <c r="AO25" s="83">
        <f>AM25/AN25</f>
        <v>8.6848408224406454E-2</v>
      </c>
      <c r="AP25" s="135">
        <f>SUM(Q26,S26,U26,W26,Y26,AA26,AC26,AE26,AG26,AI26,AK26,AM26)</f>
        <v>63459207</v>
      </c>
      <c r="AQ25" s="56">
        <f t="shared" si="4"/>
        <v>6.784548618392849</v>
      </c>
      <c r="AR25" s="56">
        <f t="shared" si="15"/>
        <v>0.25442057318973182</v>
      </c>
      <c r="AS25" s="161">
        <f t="shared" si="5"/>
        <v>7.6326171956919542E-2</v>
      </c>
      <c r="AT25" s="161">
        <f t="shared" si="16"/>
        <v>0.32590167359914407</v>
      </c>
      <c r="AU25" s="162">
        <f t="shared" si="17"/>
        <v>1.6414230528369794E-2</v>
      </c>
      <c r="AV25" s="115">
        <f t="shared" si="6"/>
        <v>1.0555846312657364</v>
      </c>
      <c r="AW25" s="115">
        <f t="shared" si="7"/>
        <v>0.67937225634558784</v>
      </c>
      <c r="AX25" s="115">
        <f t="shared" si="18"/>
        <v>0.41926839733583549</v>
      </c>
      <c r="AY25" s="115">
        <f t="shared" si="19"/>
        <v>0.42437236669255118</v>
      </c>
      <c r="AZ25" s="115">
        <f t="shared" si="20"/>
        <v>0.38314805372328126</v>
      </c>
      <c r="BA25" s="115">
        <f t="shared" si="11"/>
        <v>0.57715283687841479</v>
      </c>
      <c r="BB25" s="115">
        <f t="shared" si="12"/>
        <v>0.23559046899749295</v>
      </c>
      <c r="BC25" s="116">
        <f t="shared" si="21"/>
        <v>29.783428258093423</v>
      </c>
      <c r="BD25" s="115">
        <f t="shared" si="22"/>
        <v>0.60834267910092221</v>
      </c>
    </row>
    <row r="26" spans="1:56" ht="18" x14ac:dyDescent="0.2">
      <c r="A26" s="58">
        <v>39</v>
      </c>
      <c r="B26" s="70">
        <v>13</v>
      </c>
      <c r="C26" s="70" t="s">
        <v>43</v>
      </c>
      <c r="D26" s="244"/>
      <c r="E26" s="254"/>
      <c r="F26" s="167">
        <v>0.3</v>
      </c>
      <c r="G26" s="237"/>
      <c r="H26" s="168">
        <v>1.3</v>
      </c>
      <c r="I26" s="9">
        <v>30.36</v>
      </c>
      <c r="J26" s="12"/>
      <c r="K26" s="8">
        <f t="shared" si="0"/>
        <v>9.9202569169960481E-2</v>
      </c>
      <c r="L26" s="56" t="s">
        <v>4</v>
      </c>
      <c r="M26" s="57">
        <v>573276</v>
      </c>
      <c r="N26" s="16">
        <v>228754966</v>
      </c>
      <c r="O26" s="82">
        <f>M26/N26</f>
        <v>2.5060701851604829E-3</v>
      </c>
      <c r="P26" s="56" t="s">
        <v>100</v>
      </c>
      <c r="Q26" s="57">
        <v>1557864</v>
      </c>
      <c r="R26" s="56" t="s">
        <v>89</v>
      </c>
      <c r="S26" s="57">
        <v>4621426</v>
      </c>
      <c r="T26" s="112" t="s">
        <v>101</v>
      </c>
      <c r="U26" s="57">
        <v>5547538</v>
      </c>
      <c r="V26" s="56" t="s">
        <v>64</v>
      </c>
      <c r="W26" s="57">
        <v>5297609</v>
      </c>
      <c r="X26" s="57" t="s">
        <v>82</v>
      </c>
      <c r="Y26" s="57">
        <v>7829826</v>
      </c>
      <c r="Z26" s="56" t="s">
        <v>102</v>
      </c>
      <c r="AA26" s="57">
        <v>7501190</v>
      </c>
      <c r="AB26" s="56" t="s">
        <v>103</v>
      </c>
      <c r="AC26" s="57">
        <v>3871484</v>
      </c>
      <c r="AD26" s="56">
        <v>42.88</v>
      </c>
      <c r="AE26" s="57">
        <v>8384324</v>
      </c>
      <c r="AF26" s="112">
        <v>42.42</v>
      </c>
      <c r="AG26" s="57">
        <v>1151436</v>
      </c>
      <c r="AH26" s="56">
        <v>42.61</v>
      </c>
      <c r="AI26" s="57">
        <v>4943384</v>
      </c>
      <c r="AJ26" s="56">
        <v>43.09</v>
      </c>
      <c r="AK26" s="57">
        <v>2940727</v>
      </c>
      <c r="AL26" s="56">
        <v>44.76</v>
      </c>
      <c r="AM26" s="57">
        <v>9812399</v>
      </c>
      <c r="AN26" s="57"/>
      <c r="AO26" s="82"/>
      <c r="AP26" s="135">
        <f t="shared" ref="AP26:AP28" si="24">SUM(Q27,S27,U27,W27,Y27,AA27,AC27,AE27,AG27,AI27,AK27,AM27)</f>
        <v>82506439</v>
      </c>
      <c r="AQ26" s="56">
        <f t="shared" si="4"/>
        <v>14.277330154872391</v>
      </c>
      <c r="AR26" s="56">
        <f t="shared" si="15"/>
        <v>0.53539988080771472</v>
      </c>
      <c r="AS26" s="161">
        <f t="shared" si="5"/>
        <v>0.16061996424231442</v>
      </c>
      <c r="AT26" s="161">
        <f t="shared" si="16"/>
        <v>0.68582392930108638</v>
      </c>
      <c r="AU26" s="162">
        <f t="shared" si="17"/>
        <v>3.4541927794046107E-2</v>
      </c>
      <c r="AV26" s="115">
        <f t="shared" si="6"/>
        <v>0.33709595263453312</v>
      </c>
      <c r="AW26" s="115">
        <f t="shared" si="7"/>
        <v>0.9452333294764721</v>
      </c>
      <c r="AX26" s="115">
        <f t="shared" si="18"/>
        <v>0.38171899780293589</v>
      </c>
      <c r="AY26" s="115">
        <f t="shared" si="19"/>
        <v>0.46761307277963488</v>
      </c>
      <c r="AZ26" s="115">
        <f t="shared" si="20"/>
        <v>0.41740781088603424</v>
      </c>
      <c r="BA26" s="115">
        <f t="shared" si="11"/>
        <v>0.52060839945105952</v>
      </c>
      <c r="BB26" s="115">
        <f t="shared" si="12"/>
        <v>0.18892042751057456</v>
      </c>
      <c r="BC26" s="116">
        <f t="shared" si="21"/>
        <v>29.927471806170182</v>
      </c>
      <c r="BD26" s="115">
        <f t="shared" si="22"/>
        <v>0.68036693475523768</v>
      </c>
    </row>
    <row r="27" spans="1:56" ht="18" x14ac:dyDescent="0.2">
      <c r="A27" s="58">
        <v>38</v>
      </c>
      <c r="B27" s="51">
        <v>15</v>
      </c>
      <c r="C27" s="51" t="s">
        <v>128</v>
      </c>
      <c r="D27" s="244"/>
      <c r="E27" s="254"/>
      <c r="F27" s="167">
        <v>0.3</v>
      </c>
      <c r="G27" s="237"/>
      <c r="H27" s="168">
        <v>1.25</v>
      </c>
      <c r="I27" s="9">
        <v>30.040600000000001</v>
      </c>
      <c r="J27" s="11"/>
      <c r="K27" s="8">
        <f t="shared" si="0"/>
        <v>0.10025731842905933</v>
      </c>
      <c r="L27" s="56">
        <v>19.899999999999999</v>
      </c>
      <c r="M27" s="57">
        <v>3008200</v>
      </c>
      <c r="N27" s="11">
        <v>1185885852</v>
      </c>
      <c r="O27" s="82">
        <f t="shared" si="1"/>
        <v>2.5366691026178123E-3</v>
      </c>
      <c r="P27" s="56">
        <v>36.85</v>
      </c>
      <c r="Q27" s="57">
        <v>1513301</v>
      </c>
      <c r="R27" s="56">
        <v>37.4</v>
      </c>
      <c r="S27" s="57">
        <v>5039309</v>
      </c>
      <c r="T27" s="56">
        <v>39.17</v>
      </c>
      <c r="U27" s="57">
        <v>6017076</v>
      </c>
      <c r="V27" s="56">
        <v>39.9</v>
      </c>
      <c r="W27" s="57">
        <v>6236744</v>
      </c>
      <c r="X27" s="56">
        <v>40.92</v>
      </c>
      <c r="Y27" s="57">
        <v>7565356</v>
      </c>
      <c r="Z27" s="56">
        <v>40.53</v>
      </c>
      <c r="AA27" s="57">
        <v>10040783</v>
      </c>
      <c r="AB27" s="56">
        <v>41.1</v>
      </c>
      <c r="AC27" s="57">
        <v>4696219</v>
      </c>
      <c r="AD27" s="56">
        <v>42.57</v>
      </c>
      <c r="AE27" s="57">
        <v>12943997</v>
      </c>
      <c r="AF27" s="56">
        <v>42.07</v>
      </c>
      <c r="AG27" s="57">
        <v>2350243</v>
      </c>
      <c r="AH27" s="56">
        <v>42.28</v>
      </c>
      <c r="AI27" s="57">
        <v>7734821</v>
      </c>
      <c r="AJ27" s="56">
        <v>42.77</v>
      </c>
      <c r="AK27" s="57">
        <v>4292477</v>
      </c>
      <c r="AL27" s="56">
        <v>44.45</v>
      </c>
      <c r="AM27" s="57">
        <v>14076113</v>
      </c>
      <c r="AN27" s="57">
        <v>164629409</v>
      </c>
      <c r="AO27" s="83">
        <f t="shared" ref="AO27:AO64" si="25">AM27/AN27</f>
        <v>8.5501813348549408E-2</v>
      </c>
      <c r="AP27" s="135">
        <f t="shared" si="24"/>
        <v>117905115</v>
      </c>
      <c r="AQ27" s="56">
        <f t="shared" si="4"/>
        <v>3.9295428026626751</v>
      </c>
      <c r="AR27" s="56">
        <f t="shared" si="15"/>
        <v>0.14735785509985033</v>
      </c>
      <c r="AS27" s="161">
        <f t="shared" si="5"/>
        <v>4.4207356529955097E-2</v>
      </c>
      <c r="AT27" s="161">
        <f t="shared" si="16"/>
        <v>0.18875899457709264</v>
      </c>
      <c r="AU27" s="162">
        <f t="shared" si="17"/>
        <v>9.5069583935387305E-3</v>
      </c>
      <c r="AV27" s="115">
        <f t="shared" si="6"/>
        <v>0.30029930690894324</v>
      </c>
      <c r="AW27" s="115">
        <f t="shared" si="7"/>
        <v>0.71598485300331827</v>
      </c>
      <c r="AX27" s="115">
        <f t="shared" si="18"/>
        <v>0.34321219250643115</v>
      </c>
      <c r="AY27" s="115">
        <f t="shared" si="19"/>
        <v>0.40681631956796072</v>
      </c>
      <c r="AZ27" s="115">
        <f t="shared" si="20"/>
        <v>0.43765104472831573</v>
      </c>
      <c r="BA27" s="115">
        <f t="shared" si="11"/>
        <v>0.49470317590844398</v>
      </c>
      <c r="BB27" s="115">
        <f t="shared" si="12"/>
        <v>0.23304195194001742</v>
      </c>
      <c r="BC27" s="116">
        <f t="shared" si="21"/>
        <v>29.594918939691464</v>
      </c>
      <c r="BD27" s="115">
        <f t="shared" si="22"/>
        <v>0.56107285082585268</v>
      </c>
    </row>
    <row r="28" spans="1:56" ht="18" x14ac:dyDescent="0.2">
      <c r="A28" s="58">
        <v>37</v>
      </c>
      <c r="B28" s="51">
        <v>14</v>
      </c>
      <c r="C28" s="51" t="s">
        <v>129</v>
      </c>
      <c r="D28" s="244"/>
      <c r="E28" s="254"/>
      <c r="F28" s="167">
        <v>0.3</v>
      </c>
      <c r="G28" s="237"/>
      <c r="H28" s="168">
        <v>1.2</v>
      </c>
      <c r="I28" s="9">
        <v>30.5273</v>
      </c>
      <c r="J28" s="18"/>
      <c r="K28" s="8">
        <f t="shared" si="0"/>
        <v>9.8658905307708183E-2</v>
      </c>
      <c r="L28" s="56">
        <v>19.899999999999999</v>
      </c>
      <c r="M28" s="57">
        <v>1578476</v>
      </c>
      <c r="N28" s="11">
        <v>652617497</v>
      </c>
      <c r="O28" s="82">
        <f t="shared" si="1"/>
        <v>2.4186847690355444E-3</v>
      </c>
      <c r="P28" s="56">
        <v>36.840000000000003</v>
      </c>
      <c r="Q28" s="57">
        <v>4855711</v>
      </c>
      <c r="R28" s="56">
        <v>37.4</v>
      </c>
      <c r="S28" s="57">
        <v>15355426</v>
      </c>
      <c r="T28" s="56">
        <v>39.159999999999997</v>
      </c>
      <c r="U28" s="57">
        <v>9956627</v>
      </c>
      <c r="V28" s="56">
        <v>39.909999999999997</v>
      </c>
      <c r="W28" s="57">
        <v>10758867</v>
      </c>
      <c r="X28" s="56">
        <v>40.92</v>
      </c>
      <c r="Y28" s="57">
        <v>10825125</v>
      </c>
      <c r="Z28" s="56">
        <v>40.54</v>
      </c>
      <c r="AA28" s="57">
        <v>14488729</v>
      </c>
      <c r="AB28" s="56">
        <v>41.1</v>
      </c>
      <c r="AC28" s="57">
        <v>7515944</v>
      </c>
      <c r="AD28" s="56">
        <v>42.58</v>
      </c>
      <c r="AE28" s="57">
        <v>15091211</v>
      </c>
      <c r="AF28" s="56">
        <v>42.1</v>
      </c>
      <c r="AG28" s="57">
        <v>2804740</v>
      </c>
      <c r="AH28" s="56">
        <v>42.28</v>
      </c>
      <c r="AI28" s="57">
        <v>8001098</v>
      </c>
      <c r="AJ28" s="56">
        <v>42.76</v>
      </c>
      <c r="AK28" s="57">
        <v>4366941</v>
      </c>
      <c r="AL28" s="56">
        <v>44.44</v>
      </c>
      <c r="AM28" s="57">
        <v>13884696</v>
      </c>
      <c r="AN28" s="57">
        <v>148449052</v>
      </c>
      <c r="AO28" s="83">
        <f t="shared" si="25"/>
        <v>9.3531725618564404E-2</v>
      </c>
      <c r="AP28" s="135">
        <f t="shared" si="24"/>
        <v>144295926</v>
      </c>
      <c r="AQ28" s="56">
        <f t="shared" si="4"/>
        <v>9.0188752312496785</v>
      </c>
      <c r="AR28" s="56">
        <f t="shared" si="15"/>
        <v>0.33820782117186293</v>
      </c>
      <c r="AS28" s="161">
        <f t="shared" si="5"/>
        <v>0.10146234635155887</v>
      </c>
      <c r="AT28" s="161">
        <f t="shared" si="16"/>
        <v>0.43322948911852632</v>
      </c>
      <c r="AU28" s="162">
        <f t="shared" si="17"/>
        <v>2.1819859430442765E-2</v>
      </c>
      <c r="AV28" s="115">
        <f t="shared" si="6"/>
        <v>0.31622118461578336</v>
      </c>
      <c r="AW28" s="115">
        <f t="shared" si="7"/>
        <v>0.85024578468058609</v>
      </c>
      <c r="AX28" s="115">
        <f t="shared" si="18"/>
        <v>0.33834505952801974</v>
      </c>
      <c r="AY28" s="115">
        <f t="shared" si="19"/>
        <v>0.41510642597310854</v>
      </c>
      <c r="AZ28" s="115">
        <f t="shared" ref="AZ28:AZ46" si="26">((AG28+AI28)/((AG28+AI28)+AM28))</f>
        <v>0.43765104472831573</v>
      </c>
      <c r="BA28" s="115">
        <f t="shared" si="11"/>
        <v>0.47783559996179986</v>
      </c>
      <c r="BB28" s="115">
        <f t="shared" si="12"/>
        <v>0.25955784271428095</v>
      </c>
      <c r="BC28" s="116">
        <f t="shared" si="21"/>
        <v>29.543429223358668</v>
      </c>
      <c r="BD28" s="115">
        <f t="shared" si="22"/>
        <v>0.53835847728646202</v>
      </c>
    </row>
    <row r="29" spans="1:56" ht="18" x14ac:dyDescent="0.2">
      <c r="A29" s="58">
        <v>36</v>
      </c>
      <c r="B29" s="51">
        <v>13</v>
      </c>
      <c r="C29" s="51" t="s">
        <v>130</v>
      </c>
      <c r="D29" s="244"/>
      <c r="E29" s="254"/>
      <c r="F29" s="167">
        <v>0.3</v>
      </c>
      <c r="G29" s="237"/>
      <c r="H29" s="168">
        <v>1.1499999999999999</v>
      </c>
      <c r="I29" s="9">
        <v>30.782299999999999</v>
      </c>
      <c r="J29" s="18"/>
      <c r="K29" s="8">
        <f t="shared" si="0"/>
        <v>9.7841616773275547E-2</v>
      </c>
      <c r="L29" s="56">
        <v>19.899999999999999</v>
      </c>
      <c r="M29" s="57">
        <v>853042</v>
      </c>
      <c r="N29" s="11">
        <v>505562113</v>
      </c>
      <c r="O29" s="82">
        <f t="shared" si="1"/>
        <v>1.6873139384161091E-3</v>
      </c>
      <c r="P29" s="56">
        <v>36.85</v>
      </c>
      <c r="Q29" s="57">
        <v>6088869</v>
      </c>
      <c r="R29" s="56">
        <v>37.4</v>
      </c>
      <c r="S29" s="57">
        <v>21432867</v>
      </c>
      <c r="T29" s="56">
        <v>39.159999999999997</v>
      </c>
      <c r="U29" s="57">
        <v>12302645</v>
      </c>
      <c r="V29" s="56">
        <v>39.909999999999997</v>
      </c>
      <c r="W29" s="57">
        <v>13562277</v>
      </c>
      <c r="X29" s="56">
        <v>40.92</v>
      </c>
      <c r="Y29" s="57">
        <v>13226333</v>
      </c>
      <c r="Z29" s="56">
        <v>40.520000000000003</v>
      </c>
      <c r="AA29" s="57">
        <v>17325490</v>
      </c>
      <c r="AB29" s="56">
        <v>41.1</v>
      </c>
      <c r="AC29" s="57">
        <v>8024173</v>
      </c>
      <c r="AD29" s="56">
        <v>42.58</v>
      </c>
      <c r="AE29" s="57">
        <v>17990979</v>
      </c>
      <c r="AF29" s="56">
        <v>42.12</v>
      </c>
      <c r="AG29" s="57">
        <v>2240508</v>
      </c>
      <c r="AH29" s="56">
        <v>42.28</v>
      </c>
      <c r="AI29" s="57">
        <v>10048732</v>
      </c>
      <c r="AJ29" s="56">
        <v>42.77</v>
      </c>
      <c r="AK29" s="57">
        <v>5117052</v>
      </c>
      <c r="AL29" s="56">
        <v>44.44</v>
      </c>
      <c r="AM29" s="57">
        <v>16936001</v>
      </c>
      <c r="AN29" s="57">
        <v>217893471</v>
      </c>
      <c r="AO29" s="83">
        <f t="shared" si="25"/>
        <v>7.7726059997456284E-2</v>
      </c>
      <c r="AP29" s="135">
        <f t="shared" si="3"/>
        <v>144295926</v>
      </c>
      <c r="AQ29" s="56">
        <f t="shared" si="4"/>
        <v>16.550353550747708</v>
      </c>
      <c r="AR29" s="56">
        <f t="shared" si="15"/>
        <v>0.62063825815303908</v>
      </c>
      <c r="AS29" s="161">
        <f t="shared" si="5"/>
        <v>0.18619147744591172</v>
      </c>
      <c r="AT29" s="161">
        <f t="shared" si="16"/>
        <v>0.79501057833437971</v>
      </c>
      <c r="AU29" s="162">
        <f t="shared" si="17"/>
        <v>4.0041177945357359E-2</v>
      </c>
      <c r="AV29" s="115">
        <f t="shared" si="6"/>
        <v>0.28409027126422237</v>
      </c>
      <c r="AW29" s="115">
        <f t="shared" si="7"/>
        <v>0.90195375970665137</v>
      </c>
      <c r="AX29" s="115">
        <f t="shared" si="18"/>
        <v>0.34609008781958678</v>
      </c>
      <c r="AY29" s="115">
        <f t="shared" ref="AY29:AY46" si="27">(AE29/(AA29+AC29+AE29))</f>
        <v>0.41510642597310854</v>
      </c>
      <c r="AZ29" s="115">
        <f t="shared" si="26"/>
        <v>0.42050089509954769</v>
      </c>
      <c r="BA29" s="115">
        <f t="shared" si="11"/>
        <v>0.49315288877187086</v>
      </c>
      <c r="BB29" s="115">
        <f t="shared" si="12"/>
        <v>0.18231461017931133</v>
      </c>
      <c r="BC29" s="116">
        <f t="shared" si="21"/>
        <v>19.972259591029619</v>
      </c>
      <c r="BD29" s="115">
        <f t="shared" si="22"/>
        <v>0.35327924642862057</v>
      </c>
    </row>
    <row r="30" spans="1:56" ht="18" x14ac:dyDescent="0.2">
      <c r="A30" s="58">
        <v>35</v>
      </c>
      <c r="B30" s="51">
        <v>12</v>
      </c>
      <c r="C30" s="51" t="s">
        <v>131</v>
      </c>
      <c r="D30" s="244"/>
      <c r="E30" s="254"/>
      <c r="F30" s="167">
        <v>0.3</v>
      </c>
      <c r="G30" s="237"/>
      <c r="H30" s="168">
        <v>1.1000000000000001</v>
      </c>
      <c r="I30" s="9">
        <v>30.902200000000001</v>
      </c>
      <c r="J30" s="11"/>
      <c r="K30" s="8">
        <f t="shared" si="0"/>
        <v>9.7461992997262326E-2</v>
      </c>
      <c r="L30" s="56">
        <v>19.91</v>
      </c>
      <c r="M30" s="57">
        <v>84275</v>
      </c>
      <c r="N30" s="11">
        <v>167688867</v>
      </c>
      <c r="O30" s="82">
        <f t="shared" si="1"/>
        <v>5.0256765107727758E-4</v>
      </c>
      <c r="P30" s="56">
        <v>36.840000000000003</v>
      </c>
      <c r="Q30" s="57">
        <v>4581955</v>
      </c>
      <c r="R30" s="56">
        <v>37.4</v>
      </c>
      <c r="S30" s="57">
        <v>15542706</v>
      </c>
      <c r="T30" s="56">
        <v>39.17</v>
      </c>
      <c r="U30" s="57">
        <v>8572536</v>
      </c>
      <c r="V30" s="56">
        <v>39.909999999999997</v>
      </c>
      <c r="W30" s="57">
        <v>8821758</v>
      </c>
      <c r="X30" s="56">
        <v>40.92</v>
      </c>
      <c r="Y30" s="57">
        <v>9206150</v>
      </c>
      <c r="Z30" s="56">
        <v>40.53</v>
      </c>
      <c r="AA30" s="57">
        <v>11353586</v>
      </c>
      <c r="AB30" s="56">
        <v>41.12</v>
      </c>
      <c r="AC30" s="57">
        <v>5766383</v>
      </c>
      <c r="AD30" s="56">
        <v>42.59</v>
      </c>
      <c r="AE30" s="57">
        <v>11565204</v>
      </c>
      <c r="AF30" s="56">
        <v>42.12</v>
      </c>
      <c r="AG30" s="57">
        <v>1637127</v>
      </c>
      <c r="AH30" s="56">
        <v>42.29</v>
      </c>
      <c r="AI30" s="57">
        <v>6482324</v>
      </c>
      <c r="AJ30" s="56">
        <v>42.77</v>
      </c>
      <c r="AK30" s="57">
        <v>3302158</v>
      </c>
      <c r="AL30" s="56">
        <v>44.45</v>
      </c>
      <c r="AM30" s="57">
        <v>10869974</v>
      </c>
      <c r="AN30" s="57">
        <v>126005088</v>
      </c>
      <c r="AO30" s="83">
        <f t="shared" si="25"/>
        <v>8.6266151411282688E-2</v>
      </c>
      <c r="AP30" s="135">
        <f t="shared" si="3"/>
        <v>97701861</v>
      </c>
      <c r="AQ30" s="56">
        <f t="shared" si="4"/>
        <v>112.98983200951049</v>
      </c>
      <c r="AR30" s="56">
        <f t="shared" si="15"/>
        <v>4.2371187003566435</v>
      </c>
      <c r="AS30" s="161">
        <f t="shared" si="5"/>
        <v>1.2711356101069931</v>
      </c>
      <c r="AT30" s="161">
        <f t="shared" si="16"/>
        <v>5.4275645179632495</v>
      </c>
      <c r="AU30" s="162">
        <f t="shared" si="17"/>
        <v>0.27336249679720276</v>
      </c>
      <c r="AV30" s="115">
        <f t="shared" si="6"/>
        <v>0.29479776558856613</v>
      </c>
      <c r="AW30" s="115">
        <f t="shared" si="7"/>
        <v>0.92732381289804322</v>
      </c>
      <c r="AX30" s="115">
        <f t="shared" ref="AX30:AX46" si="28">(Y30/(U30+W30+Y30))</f>
        <v>0.34609008781958678</v>
      </c>
      <c r="AY30" s="115">
        <f t="shared" si="27"/>
        <v>0.40317706990994967</v>
      </c>
      <c r="AZ30" s="115">
        <f t="shared" si="26"/>
        <v>0.42757750695452862</v>
      </c>
      <c r="BA30" s="115">
        <f t="shared" si="11"/>
        <v>0.48762683206482016</v>
      </c>
      <c r="BB30" s="115">
        <f t="shared" si="12"/>
        <v>0.20163025800636028</v>
      </c>
      <c r="BC30" s="116">
        <f t="shared" si="21"/>
        <v>17.65233223141983</v>
      </c>
      <c r="BD30" s="115">
        <f t="shared" si="22"/>
        <v>0.32701455911878691</v>
      </c>
    </row>
    <row r="31" spans="1:56" ht="18" x14ac:dyDescent="0.2">
      <c r="A31" s="58">
        <v>34</v>
      </c>
      <c r="B31" s="70">
        <v>12</v>
      </c>
      <c r="C31" s="70" t="s">
        <v>44</v>
      </c>
      <c r="D31" s="244"/>
      <c r="E31" s="254"/>
      <c r="F31" s="167">
        <v>0.3</v>
      </c>
      <c r="G31" s="237"/>
      <c r="H31" s="168">
        <v>1.05</v>
      </c>
      <c r="I31" s="9">
        <v>30.076000000000001</v>
      </c>
      <c r="J31" s="12"/>
      <c r="K31" s="8">
        <f t="shared" si="0"/>
        <v>0.10013931373852905</v>
      </c>
      <c r="L31" s="56" t="s">
        <v>67</v>
      </c>
      <c r="M31" s="57">
        <v>1024240</v>
      </c>
      <c r="N31" s="11">
        <v>423581157</v>
      </c>
      <c r="O31" s="82">
        <f t="shared" si="1"/>
        <v>2.4180490162833187E-3</v>
      </c>
      <c r="P31" s="56" t="s">
        <v>88</v>
      </c>
      <c r="Q31" s="57">
        <v>4837210</v>
      </c>
      <c r="R31" s="56" t="s">
        <v>89</v>
      </c>
      <c r="S31" s="57">
        <v>4837210</v>
      </c>
      <c r="T31" s="112" t="s">
        <v>90</v>
      </c>
      <c r="U31" s="57">
        <v>5342015</v>
      </c>
      <c r="V31" s="56" t="s">
        <v>91</v>
      </c>
      <c r="W31" s="57">
        <v>4857192</v>
      </c>
      <c r="X31" s="57" t="s">
        <v>63</v>
      </c>
      <c r="Y31" s="57">
        <v>6554431</v>
      </c>
      <c r="Z31" s="56" t="s">
        <v>92</v>
      </c>
      <c r="AA31" s="57">
        <v>6017806</v>
      </c>
      <c r="AB31" s="56" t="s">
        <v>83</v>
      </c>
      <c r="AC31" s="57">
        <v>3468084</v>
      </c>
      <c r="AD31" s="57" t="s">
        <v>93</v>
      </c>
      <c r="AE31" s="57">
        <v>8198313</v>
      </c>
      <c r="AF31" s="112" t="s">
        <v>94</v>
      </c>
      <c r="AG31" s="57">
        <v>911828</v>
      </c>
      <c r="AH31" s="56" t="s">
        <v>85</v>
      </c>
      <c r="AI31" s="57">
        <v>4812777</v>
      </c>
      <c r="AJ31" s="56" t="s">
        <v>95</v>
      </c>
      <c r="AK31" s="57">
        <v>1955352</v>
      </c>
      <c r="AL31" s="57" t="s">
        <v>96</v>
      </c>
      <c r="AM31" s="57">
        <v>6585771</v>
      </c>
      <c r="AN31" s="57"/>
      <c r="AO31" s="82"/>
      <c r="AP31" s="135">
        <f t="shared" si="3"/>
        <v>58377989</v>
      </c>
      <c r="AQ31" s="56">
        <f t="shared" si="4"/>
        <v>5.7075800163002786</v>
      </c>
      <c r="AR31" s="56">
        <f t="shared" si="15"/>
        <v>0.21403425061126044</v>
      </c>
      <c r="AS31" s="161">
        <f t="shared" si="5"/>
        <v>6.4210275183378129E-2</v>
      </c>
      <c r="AT31" s="161">
        <f t="shared" si="16"/>
        <v>0.27416855330221229</v>
      </c>
      <c r="AU31" s="162">
        <f t="shared" si="17"/>
        <v>1.3808661329758736E-2</v>
      </c>
      <c r="AV31" s="115">
        <f t="shared" si="6"/>
        <v>1</v>
      </c>
      <c r="AW31" s="115">
        <f t="shared" si="7"/>
        <v>0.94737874248559573</v>
      </c>
      <c r="AX31" s="115">
        <f t="shared" si="28"/>
        <v>0.39122434184145555</v>
      </c>
      <c r="AY31" s="115">
        <f t="shared" si="27"/>
        <v>0.46359527766108544</v>
      </c>
      <c r="AZ31" s="115">
        <f t="shared" si="26"/>
        <v>0.4650227580376099</v>
      </c>
      <c r="BA31" s="115">
        <f t="shared" si="11"/>
        <v>0.46164983658737918</v>
      </c>
      <c r="BB31" s="115">
        <f t="shared" si="12"/>
        <v>0.15928225615566488</v>
      </c>
      <c r="BC31" s="116">
        <f t="shared" ref="BC31:BC46" si="29">SUM(27*Q31,28*S31,29*(U31+W31+Y31),30*(AA31+AC31+AE31),31*(AG31+AI31+AK31+AM31))/AP31</f>
        <v>29.543081896843002</v>
      </c>
      <c r="BD31" s="115">
        <f t="shared" ref="BD31:BD46" si="30">(SUM(AA31+AC31+AE31+AG31+AI31+AK31+AM31)/AP31)</f>
        <v>0.54729413512342806</v>
      </c>
    </row>
    <row r="32" spans="1:56" ht="18" x14ac:dyDescent="0.2">
      <c r="A32" s="58">
        <v>33</v>
      </c>
      <c r="B32" s="51">
        <v>11</v>
      </c>
      <c r="C32" s="51" t="s">
        <v>132</v>
      </c>
      <c r="D32" s="244"/>
      <c r="E32" s="254"/>
      <c r="F32" s="167">
        <v>0.3</v>
      </c>
      <c r="G32" s="237"/>
      <c r="H32" s="168">
        <v>1.05</v>
      </c>
      <c r="I32" s="9">
        <v>30.666799999999999</v>
      </c>
      <c r="J32" s="18"/>
      <c r="K32" s="8">
        <f t="shared" si="0"/>
        <v>9.8210116477754447E-2</v>
      </c>
      <c r="L32" s="56">
        <v>19.95</v>
      </c>
      <c r="M32" s="57">
        <v>133659</v>
      </c>
      <c r="N32" s="11">
        <v>32198637</v>
      </c>
      <c r="O32" s="82">
        <f t="shared" si="1"/>
        <v>4.1510763328273803E-3</v>
      </c>
      <c r="P32" s="56">
        <v>36.85</v>
      </c>
      <c r="Q32" s="57">
        <v>4872921</v>
      </c>
      <c r="R32" s="56">
        <v>37.4</v>
      </c>
      <c r="S32" s="57">
        <v>16707472</v>
      </c>
      <c r="T32" s="56">
        <v>39.17</v>
      </c>
      <c r="U32" s="57">
        <v>9510764</v>
      </c>
      <c r="V32" s="56">
        <v>39.909999999999997</v>
      </c>
      <c r="W32" s="57">
        <v>10639537</v>
      </c>
      <c r="X32" s="56">
        <v>40.92</v>
      </c>
      <c r="Y32" s="57">
        <v>6952205</v>
      </c>
      <c r="Z32" s="56">
        <v>40.53</v>
      </c>
      <c r="AA32" s="57">
        <v>10853054</v>
      </c>
      <c r="AB32" s="56">
        <v>41.11</v>
      </c>
      <c r="AC32" s="57">
        <v>5293817</v>
      </c>
      <c r="AD32" s="56">
        <v>42.59</v>
      </c>
      <c r="AE32" s="57">
        <v>6586023</v>
      </c>
      <c r="AF32" s="56">
        <v>42.12</v>
      </c>
      <c r="AG32" s="57">
        <v>1420996</v>
      </c>
      <c r="AH32" s="56">
        <v>42.29</v>
      </c>
      <c r="AI32" s="57">
        <v>4539399</v>
      </c>
      <c r="AJ32" s="56">
        <v>42.77</v>
      </c>
      <c r="AK32" s="57">
        <v>2526555</v>
      </c>
      <c r="AL32" s="56">
        <v>44.45</v>
      </c>
      <c r="AM32" s="57">
        <v>6277568</v>
      </c>
      <c r="AN32" s="57">
        <v>70033086</v>
      </c>
      <c r="AO32" s="83">
        <f t="shared" si="25"/>
        <v>8.963717520601619E-2</v>
      </c>
      <c r="AP32" s="135">
        <f t="shared" si="3"/>
        <v>86180311</v>
      </c>
      <c r="AQ32" s="56">
        <f t="shared" si="4"/>
        <v>63.323669797014063</v>
      </c>
      <c r="AR32" s="56">
        <f t="shared" si="15"/>
        <v>2.3746376173880273</v>
      </c>
      <c r="AS32" s="161">
        <f t="shared" si="5"/>
        <v>0.71239128521640815</v>
      </c>
      <c r="AT32" s="161">
        <f t="shared" si="16"/>
        <v>3.0418073664236043</v>
      </c>
      <c r="AU32" s="162">
        <f t="shared" si="17"/>
        <v>0.15320242692825981</v>
      </c>
      <c r="AV32" s="115">
        <f t="shared" si="6"/>
        <v>0.29166118009953867</v>
      </c>
      <c r="AW32" s="115">
        <f t="shared" si="7"/>
        <v>1.1922153862152352</v>
      </c>
      <c r="AX32" s="115">
        <f t="shared" si="28"/>
        <v>0.25651520933156513</v>
      </c>
      <c r="AY32" s="115">
        <f t="shared" si="27"/>
        <v>0.28971335545751459</v>
      </c>
      <c r="AZ32" s="115">
        <f t="shared" si="26"/>
        <v>0.48704143001576322</v>
      </c>
      <c r="BA32" s="115">
        <f t="shared" si="11"/>
        <v>0.42517933873628655</v>
      </c>
      <c r="BB32" s="115">
        <f t="shared" si="12"/>
        <v>0.23840634723034296</v>
      </c>
      <c r="BC32" s="116">
        <f t="shared" si="29"/>
        <v>29.29947230058151</v>
      </c>
      <c r="BD32" s="115">
        <f t="shared" si="30"/>
        <v>0.43510416201677432</v>
      </c>
    </row>
    <row r="33" spans="1:59" ht="18" x14ac:dyDescent="0.2">
      <c r="A33" s="58">
        <v>32</v>
      </c>
      <c r="B33" s="51">
        <v>10</v>
      </c>
      <c r="C33" s="51" t="s">
        <v>133</v>
      </c>
      <c r="D33" s="245"/>
      <c r="E33" s="254"/>
      <c r="F33" s="167">
        <v>0.3</v>
      </c>
      <c r="G33" s="237"/>
      <c r="H33" s="168">
        <v>1</v>
      </c>
      <c r="I33" s="10">
        <v>30.787299999999998</v>
      </c>
      <c r="J33" s="27"/>
      <c r="K33" s="8">
        <f t="shared" si="0"/>
        <v>9.7825726841912097E-2</v>
      </c>
      <c r="L33" s="56">
        <v>19.899999999999999</v>
      </c>
      <c r="M33" s="57">
        <v>969876</v>
      </c>
      <c r="N33" s="11">
        <v>431737049</v>
      </c>
      <c r="O33" s="82">
        <f t="shared" si="1"/>
        <v>2.246450709399276E-3</v>
      </c>
      <c r="P33" s="56">
        <v>36.86</v>
      </c>
      <c r="Q33" s="57">
        <v>2634953</v>
      </c>
      <c r="R33" s="56">
        <v>37.409999999999997</v>
      </c>
      <c r="S33" s="57">
        <v>8732322</v>
      </c>
      <c r="T33" s="56">
        <v>39.17</v>
      </c>
      <c r="U33" s="57">
        <v>6129841</v>
      </c>
      <c r="V33" s="56">
        <v>39.909999999999997</v>
      </c>
      <c r="W33" s="57">
        <v>6586676</v>
      </c>
      <c r="X33" s="56">
        <v>40.93</v>
      </c>
      <c r="Y33" s="57">
        <v>4777481</v>
      </c>
      <c r="Z33" s="56">
        <v>40.53</v>
      </c>
      <c r="AA33" s="57">
        <v>7106688</v>
      </c>
      <c r="AB33" s="56">
        <v>41.11</v>
      </c>
      <c r="AC33" s="57">
        <v>3518103</v>
      </c>
      <c r="AD33" s="56">
        <v>42.6</v>
      </c>
      <c r="AE33" s="57">
        <v>4166725</v>
      </c>
      <c r="AF33" s="56">
        <v>42.11</v>
      </c>
      <c r="AG33" s="57">
        <v>908313</v>
      </c>
      <c r="AH33" s="56">
        <v>42.28</v>
      </c>
      <c r="AI33" s="57">
        <v>3018343</v>
      </c>
      <c r="AJ33" s="56">
        <v>42.78</v>
      </c>
      <c r="AK33" s="57">
        <v>1772405</v>
      </c>
      <c r="AL33" s="56">
        <v>44.46</v>
      </c>
      <c r="AM33" s="57">
        <v>3826085</v>
      </c>
      <c r="AN33" s="57">
        <v>42880280</v>
      </c>
      <c r="AO33" s="83">
        <f t="shared" si="25"/>
        <v>8.9227145904830843E-2</v>
      </c>
      <c r="AP33" s="135">
        <f t="shared" si="3"/>
        <v>53177935</v>
      </c>
      <c r="AQ33" s="56">
        <f t="shared" si="4"/>
        <v>5.3637476783908014</v>
      </c>
      <c r="AR33" s="56">
        <f t="shared" si="15"/>
        <v>0.20114053793965506</v>
      </c>
      <c r="AS33" s="161">
        <f t="shared" si="5"/>
        <v>6.0342161381896513E-2</v>
      </c>
      <c r="AT33" s="161">
        <f t="shared" si="16"/>
        <v>0.25765226892355469</v>
      </c>
      <c r="AU33" s="162">
        <f t="shared" si="17"/>
        <v>1.2976808899332582E-2</v>
      </c>
      <c r="AV33" s="115">
        <f t="shared" si="6"/>
        <v>0.30174711834950657</v>
      </c>
      <c r="AW33" s="115">
        <f t="shared" si="7"/>
        <v>1.1827048694670648</v>
      </c>
      <c r="AX33" s="115">
        <f t="shared" si="28"/>
        <v>0.27309257723706154</v>
      </c>
      <c r="AY33" s="115">
        <f t="shared" si="27"/>
        <v>0.28169695384840876</v>
      </c>
      <c r="AZ33" s="115">
        <f t="shared" si="26"/>
        <v>0.50648615760541982</v>
      </c>
      <c r="BA33" s="115">
        <f t="shared" si="11"/>
        <v>0.40168255688679205</v>
      </c>
      <c r="BB33" s="115">
        <f t="shared" si="12"/>
        <v>0.23131972854255631</v>
      </c>
      <c r="BC33" s="116">
        <f t="shared" si="29"/>
        <v>29.373079172780965</v>
      </c>
      <c r="BD33" s="115">
        <f t="shared" si="30"/>
        <v>0.45726976799682051</v>
      </c>
    </row>
    <row r="34" spans="1:59" ht="18" x14ac:dyDescent="0.2">
      <c r="A34" s="58">
        <v>31</v>
      </c>
      <c r="B34" s="51">
        <v>9</v>
      </c>
      <c r="C34" s="51" t="s">
        <v>134</v>
      </c>
      <c r="D34" s="243" t="s">
        <v>151</v>
      </c>
      <c r="E34" s="254"/>
      <c r="F34" s="167">
        <v>0.3</v>
      </c>
      <c r="G34" s="237"/>
      <c r="H34" s="170">
        <v>0.95</v>
      </c>
      <c r="I34" s="10">
        <v>30.715</v>
      </c>
      <c r="J34" s="18"/>
      <c r="K34" s="8">
        <f t="shared" si="0"/>
        <v>9.8055998697704705E-2</v>
      </c>
      <c r="L34" s="56">
        <v>19.93</v>
      </c>
      <c r="M34" s="57"/>
      <c r="N34" s="11"/>
      <c r="O34" s="82"/>
      <c r="P34" s="56">
        <v>37.03</v>
      </c>
      <c r="Q34" s="57">
        <v>937722</v>
      </c>
      <c r="R34" s="56">
        <v>37.56</v>
      </c>
      <c r="S34" s="57">
        <v>2824137</v>
      </c>
      <c r="T34" s="56">
        <v>39.340000000000003</v>
      </c>
      <c r="U34" s="57">
        <v>2198216</v>
      </c>
      <c r="V34" s="56">
        <v>40.090000000000003</v>
      </c>
      <c r="W34" s="57">
        <v>2235347</v>
      </c>
      <c r="X34" s="56">
        <v>41.07</v>
      </c>
      <c r="Y34" s="57">
        <v>1612359</v>
      </c>
      <c r="Z34" s="56">
        <v>40.700000000000003</v>
      </c>
      <c r="AA34" s="57">
        <v>3098397</v>
      </c>
      <c r="AB34" s="56">
        <v>41.28</v>
      </c>
      <c r="AC34" s="57">
        <v>1494530</v>
      </c>
      <c r="AD34" s="56">
        <v>42.73</v>
      </c>
      <c r="AE34" s="57">
        <v>1866234</v>
      </c>
      <c r="AF34" s="56">
        <v>42.29</v>
      </c>
      <c r="AG34" s="57">
        <v>408978</v>
      </c>
      <c r="AH34" s="56">
        <v>42.47</v>
      </c>
      <c r="AI34" s="57">
        <v>1785256</v>
      </c>
      <c r="AJ34" s="56">
        <v>42.96</v>
      </c>
      <c r="AK34" s="57">
        <v>823606</v>
      </c>
      <c r="AL34" s="56">
        <v>44.61</v>
      </c>
      <c r="AM34" s="57">
        <v>2018872</v>
      </c>
      <c r="AN34" s="57">
        <v>23959825</v>
      </c>
      <c r="AO34" s="83">
        <f t="shared" si="25"/>
        <v>8.4260715593707389E-2</v>
      </c>
      <c r="AP34" s="135">
        <f t="shared" si="3"/>
        <v>21303654</v>
      </c>
      <c r="AQ34" s="56"/>
      <c r="AR34" s="56">
        <f t="shared" si="15"/>
        <v>0</v>
      </c>
      <c r="AS34" s="161">
        <f t="shared" si="5"/>
        <v>0</v>
      </c>
      <c r="AT34" s="161">
        <f t="shared" si="16"/>
        <v>0</v>
      </c>
      <c r="AU34" s="162">
        <f t="shared" si="17"/>
        <v>0</v>
      </c>
      <c r="AV34" s="115">
        <f t="shared" si="6"/>
        <v>0.33203842448153187</v>
      </c>
      <c r="AW34" s="115">
        <f t="shared" si="7"/>
        <v>0.93602280543866301</v>
      </c>
      <c r="AX34" s="115">
        <f t="shared" si="28"/>
        <v>0.26668537900422795</v>
      </c>
      <c r="AY34" s="115">
        <f t="shared" si="27"/>
        <v>0.28892823696452219</v>
      </c>
      <c r="AZ34" s="115">
        <f t="shared" si="26"/>
        <v>0.52081148682231115</v>
      </c>
      <c r="BA34" s="115">
        <f t="shared" si="11"/>
        <v>0.40083133599856413</v>
      </c>
      <c r="BB34" s="115">
        <f t="shared" si="12"/>
        <v>0.18638759585349601</v>
      </c>
      <c r="BC34" s="116">
        <f t="shared" si="29"/>
        <v>29.555444807731106</v>
      </c>
      <c r="BD34" s="115">
        <f t="shared" si="30"/>
        <v>0.53961977602527722</v>
      </c>
    </row>
    <row r="35" spans="1:59" ht="18" x14ac:dyDescent="0.2">
      <c r="A35" s="58">
        <v>30</v>
      </c>
      <c r="B35" s="51">
        <v>8</v>
      </c>
      <c r="C35" s="51" t="s">
        <v>47</v>
      </c>
      <c r="D35" s="244"/>
      <c r="E35" s="254"/>
      <c r="F35" s="167">
        <v>0.3</v>
      </c>
      <c r="G35" s="237"/>
      <c r="H35" s="168">
        <v>0.9</v>
      </c>
      <c r="I35" s="11">
        <v>30.372</v>
      </c>
      <c r="J35" s="18"/>
      <c r="K35" s="8">
        <f t="shared" si="0"/>
        <v>9.9163374160410905E-2</v>
      </c>
      <c r="L35" s="56">
        <v>19.96</v>
      </c>
      <c r="M35" s="57">
        <v>189179</v>
      </c>
      <c r="N35" s="11">
        <v>80851374</v>
      </c>
      <c r="O35" s="82">
        <f t="shared" si="1"/>
        <v>2.3398365499638879E-3</v>
      </c>
      <c r="P35" s="56">
        <v>36.86</v>
      </c>
      <c r="Q35" s="57">
        <v>1482675</v>
      </c>
      <c r="R35" s="56">
        <v>37.42</v>
      </c>
      <c r="S35" s="57">
        <v>3634541</v>
      </c>
      <c r="T35" s="56">
        <v>39.17</v>
      </c>
      <c r="U35" s="57">
        <v>3587794</v>
      </c>
      <c r="V35" s="56">
        <v>39.93</v>
      </c>
      <c r="W35" s="57">
        <v>3563462</v>
      </c>
      <c r="X35" s="56">
        <v>40.94</v>
      </c>
      <c r="Y35" s="57">
        <v>3990578</v>
      </c>
      <c r="Z35" s="56">
        <v>40.549999999999997</v>
      </c>
      <c r="AA35" s="57">
        <v>5149660</v>
      </c>
      <c r="AB35" s="56">
        <v>41.13</v>
      </c>
      <c r="AC35" s="57">
        <v>2576132</v>
      </c>
      <c r="AD35" s="56">
        <v>42.6</v>
      </c>
      <c r="AE35" s="57">
        <v>4330580</v>
      </c>
      <c r="AF35" s="56">
        <v>42.13</v>
      </c>
      <c r="AG35" s="57">
        <v>1020219</v>
      </c>
      <c r="AH35" s="56">
        <v>42.29</v>
      </c>
      <c r="AI35" s="57">
        <v>3692437</v>
      </c>
      <c r="AJ35" s="56">
        <v>42.77</v>
      </c>
      <c r="AK35" s="57">
        <v>1545704</v>
      </c>
      <c r="AL35" s="56">
        <v>44.47</v>
      </c>
      <c r="AM35" s="57">
        <v>3855367</v>
      </c>
      <c r="AN35" s="57">
        <v>44121092</v>
      </c>
      <c r="AO35" s="83">
        <f t="shared" si="25"/>
        <v>8.7381495453467017E-2</v>
      </c>
      <c r="AP35" s="135">
        <f t="shared" si="3"/>
        <v>38429149</v>
      </c>
      <c r="AQ35" s="56">
        <f t="shared" ref="AQ35:AQ65" si="31">((AP35*K35)/M35)</f>
        <v>20.14369502404168</v>
      </c>
      <c r="AR35" s="56">
        <f t="shared" si="15"/>
        <v>0.75538856340156291</v>
      </c>
      <c r="AS35" s="161">
        <f t="shared" si="5"/>
        <v>0.22661656902046887</v>
      </c>
      <c r="AT35" s="161">
        <f t="shared" si="16"/>
        <v>0.96761985064248024</v>
      </c>
      <c r="AU35" s="162">
        <f t="shared" si="17"/>
        <v>4.8734746025907279E-2</v>
      </c>
      <c r="AV35" s="115">
        <f t="shared" si="6"/>
        <v>0.40794009477400311</v>
      </c>
      <c r="AW35" s="115">
        <f t="shared" si="7"/>
        <v>0.9241448422460754</v>
      </c>
      <c r="AX35" s="115">
        <f t="shared" si="28"/>
        <v>0.35816168146105926</v>
      </c>
      <c r="AY35" s="115">
        <f t="shared" si="27"/>
        <v>0.35919429161608485</v>
      </c>
      <c r="AZ35" s="115">
        <f t="shared" si="26"/>
        <v>0.55002840211796822</v>
      </c>
      <c r="BA35" s="115">
        <f t="shared" si="11"/>
        <v>0.38120141071634622</v>
      </c>
      <c r="BB35" s="115">
        <f t="shared" si="12"/>
        <v>0.21648492909306344</v>
      </c>
      <c r="BC35" s="116">
        <f t="shared" si="29"/>
        <v>29.668345140820058</v>
      </c>
      <c r="BD35" s="115">
        <f t="shared" si="30"/>
        <v>0.57690840356626161</v>
      </c>
    </row>
    <row r="36" spans="1:59" ht="18" x14ac:dyDescent="0.2">
      <c r="A36" s="58">
        <v>29</v>
      </c>
      <c r="B36" s="70">
        <v>11</v>
      </c>
      <c r="C36" s="70" t="s">
        <v>45</v>
      </c>
      <c r="D36" s="244"/>
      <c r="E36" s="254"/>
      <c r="F36" s="167">
        <v>0.3</v>
      </c>
      <c r="G36" s="237"/>
      <c r="H36" s="168">
        <v>0.85</v>
      </c>
      <c r="I36" s="11">
        <v>30.346</v>
      </c>
      <c r="J36" s="18"/>
      <c r="K36" s="8">
        <f t="shared" si="0"/>
        <v>9.9248335859750875E-2</v>
      </c>
      <c r="L36" s="56">
        <v>19.920000000000002</v>
      </c>
      <c r="M36" s="57">
        <v>100143</v>
      </c>
      <c r="N36" s="11">
        <v>50500616</v>
      </c>
      <c r="O36" s="82">
        <f>M36/N36</f>
        <v>1.9830055142297672E-3</v>
      </c>
      <c r="P36" s="56">
        <v>36.86</v>
      </c>
      <c r="Q36" s="57">
        <v>1815274</v>
      </c>
      <c r="R36" s="56">
        <v>37.42</v>
      </c>
      <c r="S36" s="57">
        <v>4731927</v>
      </c>
      <c r="T36" s="56">
        <v>39.18</v>
      </c>
      <c r="U36" s="57">
        <v>5380226</v>
      </c>
      <c r="V36" s="56">
        <v>39.92</v>
      </c>
      <c r="W36" s="57">
        <v>4591630</v>
      </c>
      <c r="X36" s="56">
        <v>40.94</v>
      </c>
      <c r="Y36" s="57">
        <v>4231943</v>
      </c>
      <c r="Z36" s="56">
        <v>40.54</v>
      </c>
      <c r="AA36" s="57">
        <v>5896575</v>
      </c>
      <c r="AB36" s="56">
        <v>41.13</v>
      </c>
      <c r="AC36" s="57">
        <v>2987563</v>
      </c>
      <c r="AD36" s="56">
        <v>42.6</v>
      </c>
      <c r="AE36" s="57">
        <v>5810318</v>
      </c>
      <c r="AF36" s="56">
        <v>42.12</v>
      </c>
      <c r="AG36" s="57">
        <v>1237993</v>
      </c>
      <c r="AH36" s="56">
        <v>42.29</v>
      </c>
      <c r="AI36" s="57">
        <v>4252169</v>
      </c>
      <c r="AJ36" s="56">
        <v>42.77</v>
      </c>
      <c r="AK36" s="57">
        <v>1249830</v>
      </c>
      <c r="AL36" s="56">
        <v>44.47</v>
      </c>
      <c r="AM36" s="57">
        <v>4752964</v>
      </c>
      <c r="AN36" s="57">
        <v>47946121</v>
      </c>
      <c r="AO36" s="83">
        <f>AM36/AN36</f>
        <v>9.9131356215448593E-2</v>
      </c>
      <c r="AP36" s="135">
        <f>SUM(Q36,S36,U36,W36,Y36,AA36,AC36,AE36,AG36,AI36,AK36,AM36)</f>
        <v>46938412</v>
      </c>
      <c r="AQ36" s="56">
        <f t="shared" si="31"/>
        <v>46.519070518152645</v>
      </c>
      <c r="AR36" s="56">
        <f t="shared" si="15"/>
        <v>1.7444651444307242</v>
      </c>
      <c r="AS36" s="161">
        <f t="shared" si="5"/>
        <v>0.52333954332921728</v>
      </c>
      <c r="AT36" s="161">
        <f t="shared" si="16"/>
        <v>2.234583874164036</v>
      </c>
      <c r="AU36" s="162">
        <f t="shared" si="17"/>
        <v>0.11254613835036929</v>
      </c>
      <c r="AV36" s="115">
        <f t="shared" si="6"/>
        <v>0.38362257067786548</v>
      </c>
      <c r="AW36" s="115">
        <f t="shared" si="7"/>
        <v>0.96660937975519479</v>
      </c>
      <c r="AX36" s="115">
        <f t="shared" si="28"/>
        <v>0.29794444429972572</v>
      </c>
      <c r="AY36" s="115">
        <f t="shared" si="27"/>
        <v>0.39540885351591104</v>
      </c>
      <c r="AZ36" s="115">
        <f t="shared" si="26"/>
        <v>0.53598501082579675</v>
      </c>
      <c r="BA36" s="115">
        <f t="shared" si="11"/>
        <v>0.41355452853034502</v>
      </c>
      <c r="BB36" s="115">
        <f t="shared" si="12"/>
        <v>0.22549298181000851</v>
      </c>
      <c r="BC36" s="116">
        <f t="shared" si="29"/>
        <v>29.624603427146194</v>
      </c>
      <c r="BD36" s="115">
        <f t="shared" si="30"/>
        <v>0.55791005456256171</v>
      </c>
    </row>
    <row r="37" spans="1:59" ht="18" x14ac:dyDescent="0.2">
      <c r="A37" s="58">
        <v>28</v>
      </c>
      <c r="B37" s="51">
        <v>7</v>
      </c>
      <c r="C37" s="51" t="s">
        <v>135</v>
      </c>
      <c r="D37" s="244"/>
      <c r="E37" s="254"/>
      <c r="F37" s="167">
        <v>0.3</v>
      </c>
      <c r="G37" s="237"/>
      <c r="H37" s="168">
        <v>0.8</v>
      </c>
      <c r="I37" s="9">
        <v>30.024000000000001</v>
      </c>
      <c r="J37" s="12"/>
      <c r="K37" s="8">
        <f t="shared" ref="K37:K65" si="32">3.01179/I37</f>
        <v>0.10031274980015986</v>
      </c>
      <c r="L37" s="56" t="s">
        <v>67</v>
      </c>
      <c r="M37" s="57">
        <v>3532915</v>
      </c>
      <c r="N37" s="11">
        <v>1068450744</v>
      </c>
      <c r="O37" s="82">
        <f t="shared" si="1"/>
        <v>3.3065773222017616E-3</v>
      </c>
      <c r="P37" s="56" t="s">
        <v>77</v>
      </c>
      <c r="Q37" s="57">
        <v>14658694</v>
      </c>
      <c r="R37" s="56" t="s">
        <v>78</v>
      </c>
      <c r="S37" s="57">
        <v>8329649</v>
      </c>
      <c r="T37" s="112" t="s">
        <v>79</v>
      </c>
      <c r="U37" s="57">
        <v>28284720</v>
      </c>
      <c r="V37" s="56" t="s">
        <v>80</v>
      </c>
      <c r="W37" s="57">
        <v>5205764</v>
      </c>
      <c r="X37" s="57" t="s">
        <v>82</v>
      </c>
      <c r="Y37" s="57">
        <v>4871552</v>
      </c>
      <c r="Z37" s="57" t="s">
        <v>81</v>
      </c>
      <c r="AA37" s="57">
        <v>19109320</v>
      </c>
      <c r="AB37" s="56" t="s">
        <v>83</v>
      </c>
      <c r="AC37" s="57">
        <v>4023741</v>
      </c>
      <c r="AD37" s="57" t="s">
        <v>84</v>
      </c>
      <c r="AE37" s="57">
        <v>6672716</v>
      </c>
      <c r="AF37" s="112" t="s">
        <v>69</v>
      </c>
      <c r="AG37" s="57">
        <v>4212293</v>
      </c>
      <c r="AH37" s="56" t="s">
        <v>85</v>
      </c>
      <c r="AI37" s="57">
        <v>7817749</v>
      </c>
      <c r="AJ37" s="56" t="s">
        <v>86</v>
      </c>
      <c r="AK37" s="57">
        <v>1398056</v>
      </c>
      <c r="AL37" s="57" t="s">
        <v>87</v>
      </c>
      <c r="AM37" s="57">
        <v>5496647</v>
      </c>
      <c r="AN37" s="57"/>
      <c r="AO37" s="82"/>
      <c r="AP37" s="135">
        <f t="shared" si="3"/>
        <v>110080901</v>
      </c>
      <c r="AQ37" s="56">
        <f t="shared" si="31"/>
        <v>3.1256109699183727</v>
      </c>
      <c r="AR37" s="56">
        <f t="shared" si="15"/>
        <v>0.11721041137193898</v>
      </c>
      <c r="AS37" s="161">
        <f t="shared" si="5"/>
        <v>3.516312341158169E-2</v>
      </c>
      <c r="AT37" s="161">
        <f t="shared" si="16"/>
        <v>0.15014143215876041</v>
      </c>
      <c r="AU37" s="162">
        <f t="shared" si="17"/>
        <v>7.5619620239960614E-3</v>
      </c>
      <c r="AV37" s="115">
        <f t="shared" si="6"/>
        <v>1.7598213322073955</v>
      </c>
      <c r="AW37" s="115">
        <f t="shared" si="7"/>
        <v>1.2870671346698996</v>
      </c>
      <c r="AX37" s="115">
        <f t="shared" si="28"/>
        <v>0.12698888036078168</v>
      </c>
      <c r="AY37" s="115">
        <f t="shared" si="27"/>
        <v>0.22387324443848586</v>
      </c>
      <c r="AZ37" s="115">
        <f t="shared" si="26"/>
        <v>0.68638417672613461</v>
      </c>
      <c r="BA37" s="115">
        <f t="shared" si="11"/>
        <v>0.29044761237205574</v>
      </c>
      <c r="BB37" s="115">
        <f t="shared" si="12"/>
        <v>0.35014782159530283</v>
      </c>
      <c r="BC37" s="116">
        <f t="shared" si="29"/>
        <v>29.272601602343354</v>
      </c>
      <c r="BD37" s="115">
        <f t="shared" si="30"/>
        <v>0.44267917102168342</v>
      </c>
    </row>
    <row r="38" spans="1:59" ht="18" x14ac:dyDescent="0.2">
      <c r="A38" s="58">
        <v>27</v>
      </c>
      <c r="B38" s="51">
        <v>6</v>
      </c>
      <c r="C38" s="51" t="s">
        <v>136</v>
      </c>
      <c r="D38" s="244"/>
      <c r="E38" s="254"/>
      <c r="F38" s="167">
        <v>0.3</v>
      </c>
      <c r="G38" s="238"/>
      <c r="H38" s="168">
        <v>0.7</v>
      </c>
      <c r="I38" s="11">
        <v>30.367999999999999</v>
      </c>
      <c r="J38" s="18"/>
      <c r="K38" s="8">
        <f t="shared" si="32"/>
        <v>9.9176435721812436E-2</v>
      </c>
      <c r="L38" s="56">
        <v>19.920000000000002</v>
      </c>
      <c r="M38" s="57">
        <v>1415154</v>
      </c>
      <c r="N38" s="11">
        <v>438862829</v>
      </c>
      <c r="O38" s="82">
        <f t="shared" si="1"/>
        <v>3.2245929855225903E-3</v>
      </c>
      <c r="P38" s="56">
        <v>36.869999999999997</v>
      </c>
      <c r="Q38" s="57">
        <v>11447747</v>
      </c>
      <c r="R38" s="56">
        <v>37.44</v>
      </c>
      <c r="S38" s="57">
        <v>6377403</v>
      </c>
      <c r="T38" s="56">
        <v>39.19</v>
      </c>
      <c r="U38" s="57">
        <v>22957528</v>
      </c>
      <c r="V38" s="56">
        <v>39.93</v>
      </c>
      <c r="W38" s="57">
        <v>4540200</v>
      </c>
      <c r="X38" s="56">
        <v>40.96</v>
      </c>
      <c r="Y38" s="57">
        <v>3193547</v>
      </c>
      <c r="Z38" s="56">
        <v>40.549999999999997</v>
      </c>
      <c r="AA38" s="57">
        <v>17562240</v>
      </c>
      <c r="AB38" s="56">
        <v>41.14</v>
      </c>
      <c r="AC38" s="57">
        <v>4103208</v>
      </c>
      <c r="AD38" s="56">
        <v>42.6</v>
      </c>
      <c r="AE38" s="57">
        <v>5327403</v>
      </c>
      <c r="AF38" s="56">
        <v>42.12</v>
      </c>
      <c r="AG38" s="57">
        <v>4403327</v>
      </c>
      <c r="AH38" s="56">
        <v>42.31</v>
      </c>
      <c r="AI38" s="57">
        <v>6790693</v>
      </c>
      <c r="AJ38" s="56">
        <v>42.79</v>
      </c>
      <c r="AK38" s="57">
        <v>1676199</v>
      </c>
      <c r="AL38" s="56">
        <v>44.47</v>
      </c>
      <c r="AM38" s="57">
        <v>3854936</v>
      </c>
      <c r="AN38" s="57">
        <v>30630433</v>
      </c>
      <c r="AO38" s="83">
        <f t="shared" si="25"/>
        <v>0.12585313436476722</v>
      </c>
      <c r="AP38" s="135">
        <f t="shared" si="3"/>
        <v>92234431</v>
      </c>
      <c r="AQ38" s="56">
        <f t="shared" si="31"/>
        <v>6.4639481762475626</v>
      </c>
      <c r="AR38" s="56">
        <f t="shared" si="15"/>
        <v>0.24239805660928357</v>
      </c>
      <c r="AS38" s="161">
        <f t="shared" si="5"/>
        <v>7.2719416982785071E-2</v>
      </c>
      <c r="AT38" s="161">
        <f t="shared" si="16"/>
        <v>0.31050135347047425</v>
      </c>
      <c r="AU38" s="162">
        <f t="shared" si="17"/>
        <v>1.5638584297373134E-2</v>
      </c>
      <c r="AV38" s="115">
        <f t="shared" si="6"/>
        <v>1.7950483919551579</v>
      </c>
      <c r="AW38" s="115">
        <f t="shared" si="7"/>
        <v>1.1370149451793736</v>
      </c>
      <c r="AX38" s="115">
        <f t="shared" si="28"/>
        <v>0.10405390457059864</v>
      </c>
      <c r="AY38" s="115">
        <f t="shared" si="27"/>
        <v>0.19736347968578791</v>
      </c>
      <c r="AZ38" s="115">
        <f t="shared" si="26"/>
        <v>0.74384030360644282</v>
      </c>
      <c r="BA38" s="115">
        <f t="shared" si="11"/>
        <v>0.23048731087992907</v>
      </c>
      <c r="BB38" s="115">
        <f t="shared" si="12"/>
        <v>0.39336422482718453</v>
      </c>
      <c r="BC38" s="116">
        <f t="shared" si="29"/>
        <v>29.337946075690542</v>
      </c>
      <c r="BD38" s="115">
        <f t="shared" si="30"/>
        <v>0.4739879188933252</v>
      </c>
      <c r="BF38" s="78" t="s">
        <v>76</v>
      </c>
      <c r="BG38" s="79" t="s">
        <v>266</v>
      </c>
    </row>
    <row r="39" spans="1:59" ht="18" x14ac:dyDescent="0.2">
      <c r="A39" s="58">
        <v>26</v>
      </c>
      <c r="B39" s="70">
        <v>10</v>
      </c>
      <c r="C39" s="70" t="s">
        <v>46</v>
      </c>
      <c r="D39" s="244"/>
      <c r="E39" s="254"/>
      <c r="F39" s="167">
        <v>1</v>
      </c>
      <c r="G39" s="236" t="s">
        <v>366</v>
      </c>
      <c r="H39" s="168">
        <v>0.65</v>
      </c>
      <c r="I39" s="9">
        <v>30.073</v>
      </c>
      <c r="J39" s="12"/>
      <c r="K39" s="8">
        <f t="shared" si="32"/>
        <v>0.10014930336181957</v>
      </c>
      <c r="L39" s="56">
        <v>20.2</v>
      </c>
      <c r="M39" s="57">
        <v>274842</v>
      </c>
      <c r="N39" s="11">
        <v>98188536</v>
      </c>
      <c r="O39" s="82">
        <f t="shared" si="1"/>
        <v>2.7991251443040153E-3</v>
      </c>
      <c r="P39" s="56">
        <v>37.159999999999997</v>
      </c>
      <c r="Q39" s="57">
        <v>1304329</v>
      </c>
      <c r="R39" s="56">
        <v>37.729999999999997</v>
      </c>
      <c r="S39" s="57">
        <v>3250046</v>
      </c>
      <c r="T39" s="112">
        <v>39.479999999999997</v>
      </c>
      <c r="U39" s="57">
        <v>4263312</v>
      </c>
      <c r="V39" s="56">
        <v>40.21</v>
      </c>
      <c r="W39" s="57">
        <v>3983389</v>
      </c>
      <c r="X39" s="56">
        <v>41.23</v>
      </c>
      <c r="Y39" s="57">
        <v>3995565</v>
      </c>
      <c r="Z39" s="56">
        <v>40.86</v>
      </c>
      <c r="AA39" s="57">
        <v>3905446</v>
      </c>
      <c r="AB39" s="56">
        <v>41.43</v>
      </c>
      <c r="AC39" s="57">
        <v>2191863</v>
      </c>
      <c r="AD39" s="56">
        <v>42.89</v>
      </c>
      <c r="AE39" s="57">
        <v>4771625</v>
      </c>
      <c r="AF39" s="112">
        <v>42.42</v>
      </c>
      <c r="AG39" s="57">
        <v>1161461</v>
      </c>
      <c r="AH39" s="56">
        <v>42.62</v>
      </c>
      <c r="AI39" s="57">
        <v>3479009</v>
      </c>
      <c r="AJ39" s="56">
        <v>43.09</v>
      </c>
      <c r="AK39" s="57">
        <v>1107500</v>
      </c>
      <c r="AL39" s="56">
        <v>44.75</v>
      </c>
      <c r="AM39" s="57">
        <v>3434563</v>
      </c>
      <c r="AN39" s="57"/>
      <c r="AO39" s="82"/>
      <c r="AP39" s="135">
        <f t="shared" si="3"/>
        <v>36848108</v>
      </c>
      <c r="AQ39" s="56">
        <f t="shared" si="31"/>
        <v>13.427032063516823</v>
      </c>
      <c r="AR39" s="56">
        <f t="shared" si="15"/>
        <v>0.50351370238188087</v>
      </c>
      <c r="AS39" s="161">
        <f t="shared" si="5"/>
        <v>0.50351370238188087</v>
      </c>
      <c r="AT39" s="161">
        <f t="shared" si="16"/>
        <v>2.1499304115366389</v>
      </c>
      <c r="AU39" s="162">
        <f t="shared" si="17"/>
        <v>0.10828251664126469</v>
      </c>
      <c r="AV39" s="115">
        <f t="shared" si="6"/>
        <v>0.40132631968901361</v>
      </c>
      <c r="AW39" s="115">
        <f t="shared" si="7"/>
        <v>1.1263538816226135</v>
      </c>
      <c r="AX39" s="115">
        <f t="shared" si="28"/>
        <v>0.32637462705025361</v>
      </c>
      <c r="AY39" s="115">
        <f t="shared" si="27"/>
        <v>0.43901499447875936</v>
      </c>
      <c r="AZ39" s="115">
        <f t="shared" si="26"/>
        <v>0.57466885893840924</v>
      </c>
      <c r="BA39" s="115">
        <f t="shared" si="11"/>
        <v>0.37403219786958564</v>
      </c>
      <c r="BB39" s="115">
        <f t="shared" si="12"/>
        <v>0.25028951808760752</v>
      </c>
      <c r="BC39" s="116">
        <f t="shared" si="29"/>
        <v>29.634368961358884</v>
      </c>
      <c r="BD39" s="115">
        <f t="shared" si="30"/>
        <v>0.54416544263276689</v>
      </c>
      <c r="BF39" s="78" t="s">
        <v>75</v>
      </c>
      <c r="BG39" s="79" t="s">
        <v>267</v>
      </c>
    </row>
    <row r="40" spans="1:59" ht="18" x14ac:dyDescent="0.2">
      <c r="A40" s="58">
        <v>25</v>
      </c>
      <c r="B40" s="51">
        <v>5</v>
      </c>
      <c r="C40" s="51" t="s">
        <v>137</v>
      </c>
      <c r="D40" s="244"/>
      <c r="E40" s="254"/>
      <c r="F40" s="167">
        <v>1</v>
      </c>
      <c r="G40" s="237"/>
      <c r="H40" s="168">
        <v>0.6</v>
      </c>
      <c r="I40" s="9">
        <v>30.64</v>
      </c>
      <c r="J40" s="18"/>
      <c r="K40" s="8">
        <f t="shared" si="32"/>
        <v>9.8296018276762404E-2</v>
      </c>
      <c r="L40" s="56">
        <v>19.91</v>
      </c>
      <c r="M40" s="57">
        <v>1015028</v>
      </c>
      <c r="N40" s="11">
        <v>434319108</v>
      </c>
      <c r="O40" s="82">
        <f t="shared" si="1"/>
        <v>2.3370558220984373E-3</v>
      </c>
      <c r="P40" s="56">
        <v>36.869999999999997</v>
      </c>
      <c r="Q40" s="57">
        <v>2127880</v>
      </c>
      <c r="R40" s="56">
        <v>37.42</v>
      </c>
      <c r="S40" s="57">
        <v>3037658</v>
      </c>
      <c r="T40" s="56">
        <v>39.19</v>
      </c>
      <c r="U40" s="57">
        <v>5483183</v>
      </c>
      <c r="V40" s="56">
        <v>39.93</v>
      </c>
      <c r="W40" s="57">
        <v>3706343</v>
      </c>
      <c r="X40" s="56">
        <v>40.950000000000003</v>
      </c>
      <c r="Y40" s="57">
        <v>3798363</v>
      </c>
      <c r="Z40" s="56">
        <v>40.54</v>
      </c>
      <c r="AA40" s="57">
        <v>4781731</v>
      </c>
      <c r="AB40" s="56">
        <v>41.15</v>
      </c>
      <c r="AC40" s="57">
        <v>3411227</v>
      </c>
      <c r="AD40" s="56">
        <v>42.6</v>
      </c>
      <c r="AE40" s="57">
        <v>4690951</v>
      </c>
      <c r="AF40" s="56">
        <v>42.12</v>
      </c>
      <c r="AG40" s="57">
        <v>1444349</v>
      </c>
      <c r="AH40" s="56">
        <v>42.31</v>
      </c>
      <c r="AI40" s="57">
        <v>4422096</v>
      </c>
      <c r="AJ40" s="56">
        <v>42.8</v>
      </c>
      <c r="AK40" s="57">
        <v>872808</v>
      </c>
      <c r="AL40" s="56">
        <v>44.47</v>
      </c>
      <c r="AM40" s="57">
        <v>3836057</v>
      </c>
      <c r="AN40" s="57">
        <v>48163064</v>
      </c>
      <c r="AO40" s="83">
        <f t="shared" si="25"/>
        <v>7.9647279085068176E-2</v>
      </c>
      <c r="AP40" s="135">
        <f t="shared" si="3"/>
        <v>41612646</v>
      </c>
      <c r="AQ40" s="56">
        <f t="shared" si="31"/>
        <v>4.0297976132288404</v>
      </c>
      <c r="AR40" s="56">
        <f t="shared" si="15"/>
        <v>0.15111741049608152</v>
      </c>
      <c r="AS40" s="161">
        <f t="shared" si="5"/>
        <v>0.15111741049608152</v>
      </c>
      <c r="AT40" s="161">
        <f t="shared" si="16"/>
        <v>0.64524940433852052</v>
      </c>
      <c r="AU40" s="162">
        <f t="shared" si="17"/>
        <v>3.2498367848619682E-2</v>
      </c>
      <c r="AV40" s="115">
        <f t="shared" si="6"/>
        <v>0.70050018797376135</v>
      </c>
      <c r="AW40" s="115">
        <f t="shared" si="7"/>
        <v>1.008070532010122</v>
      </c>
      <c r="AX40" s="115">
        <f t="shared" si="28"/>
        <v>0.29245422408522276</v>
      </c>
      <c r="AY40" s="115">
        <f t="shared" si="27"/>
        <v>0.36409376998859583</v>
      </c>
      <c r="AZ40" s="115">
        <f t="shared" si="26"/>
        <v>0.60463218662567653</v>
      </c>
      <c r="BA40" s="115">
        <f t="shared" si="11"/>
        <v>0.36273707342858036</v>
      </c>
      <c r="BB40" s="115">
        <f t="shared" si="12"/>
        <v>0.24620515491068271</v>
      </c>
      <c r="BC40" s="116">
        <f t="shared" si="29"/>
        <v>29.64261981802359</v>
      </c>
      <c r="BD40" s="115">
        <f t="shared" si="30"/>
        <v>0.56375215841838078</v>
      </c>
    </row>
    <row r="41" spans="1:59" ht="18" x14ac:dyDescent="0.2">
      <c r="A41" s="58">
        <v>25</v>
      </c>
      <c r="B41" s="51">
        <v>4</v>
      </c>
      <c r="C41" s="51" t="s">
        <v>138</v>
      </c>
      <c r="D41" s="244"/>
      <c r="E41" s="254"/>
      <c r="F41" s="167">
        <v>1</v>
      </c>
      <c r="G41" s="237"/>
      <c r="H41" s="168"/>
      <c r="I41" s="9"/>
      <c r="J41" s="18"/>
      <c r="K41" s="8"/>
      <c r="L41" s="56"/>
      <c r="M41" s="57"/>
      <c r="N41" s="11"/>
      <c r="O41" s="82"/>
      <c r="P41" s="56"/>
      <c r="Q41" s="57"/>
      <c r="R41" s="56"/>
      <c r="S41" s="57"/>
      <c r="T41" s="56"/>
      <c r="U41" s="57"/>
      <c r="V41" s="56"/>
      <c r="W41" s="57"/>
      <c r="X41" s="56"/>
      <c r="Y41" s="57"/>
      <c r="Z41" s="56"/>
      <c r="AA41" s="57"/>
      <c r="AB41" s="56"/>
      <c r="AC41" s="57"/>
      <c r="AD41" s="56"/>
      <c r="AE41" s="57"/>
      <c r="AF41" s="56"/>
      <c r="AG41" s="57"/>
      <c r="AH41" s="56"/>
      <c r="AI41" s="57"/>
      <c r="AJ41" s="56"/>
      <c r="AK41" s="57"/>
      <c r="AL41" s="56"/>
      <c r="AM41" s="57"/>
      <c r="AN41" s="57"/>
      <c r="AO41" s="83"/>
      <c r="AP41" s="135"/>
      <c r="AQ41" s="56"/>
      <c r="AR41" s="56"/>
      <c r="AS41" s="161"/>
      <c r="AT41" s="161"/>
      <c r="AU41" s="162"/>
      <c r="AV41" s="115"/>
      <c r="AW41" s="115"/>
      <c r="AX41" s="115"/>
      <c r="AY41" s="115"/>
      <c r="AZ41" s="115"/>
      <c r="BA41" s="115"/>
      <c r="BB41" s="115"/>
      <c r="BC41" s="116"/>
      <c r="BD41" s="115"/>
    </row>
    <row r="42" spans="1:59" ht="15" customHeight="1" x14ac:dyDescent="0.2">
      <c r="A42" s="58">
        <v>24</v>
      </c>
      <c r="B42" s="70">
        <v>9</v>
      </c>
      <c r="C42" s="70" t="s">
        <v>139</v>
      </c>
      <c r="D42" s="244"/>
      <c r="E42" s="254"/>
      <c r="F42" s="167">
        <v>1</v>
      </c>
      <c r="G42" s="237"/>
      <c r="H42" s="168">
        <v>0.55000000000000004</v>
      </c>
      <c r="I42" s="11">
        <v>30.231999999999999</v>
      </c>
      <c r="J42" s="12"/>
      <c r="K42" s="8">
        <f t="shared" si="32"/>
        <v>9.9622585340037054E-2</v>
      </c>
      <c r="L42" s="56">
        <v>20.2</v>
      </c>
      <c r="M42" s="57">
        <v>6380760</v>
      </c>
      <c r="N42" s="11">
        <v>2895957620</v>
      </c>
      <c r="O42" s="82">
        <f t="shared" si="1"/>
        <v>2.2033333485039054E-3</v>
      </c>
      <c r="P42" s="56">
        <v>37.17</v>
      </c>
      <c r="Q42" s="57">
        <v>1730053</v>
      </c>
      <c r="R42" s="56">
        <v>37.72</v>
      </c>
      <c r="S42" s="57">
        <v>3696831</v>
      </c>
      <c r="T42" s="112">
        <v>39.49</v>
      </c>
      <c r="U42" s="57">
        <v>8555830</v>
      </c>
      <c r="V42" s="56">
        <v>40.24</v>
      </c>
      <c r="W42" s="57">
        <v>4335511</v>
      </c>
      <c r="X42" s="56">
        <v>41.24</v>
      </c>
      <c r="Y42" s="57">
        <v>4291931</v>
      </c>
      <c r="Z42" s="56">
        <v>40.85</v>
      </c>
      <c r="AA42" s="57">
        <v>6478306</v>
      </c>
      <c r="AB42" s="56">
        <v>41.43</v>
      </c>
      <c r="AC42" s="57">
        <v>2754607</v>
      </c>
      <c r="AD42" s="56">
        <v>42.89</v>
      </c>
      <c r="AE42" s="57">
        <v>4516037</v>
      </c>
      <c r="AF42" s="112" t="s">
        <v>69</v>
      </c>
      <c r="AG42" s="57">
        <v>2336245</v>
      </c>
      <c r="AH42" s="56">
        <v>42.61</v>
      </c>
      <c r="AI42" s="57">
        <v>4300458</v>
      </c>
      <c r="AJ42" s="56">
        <v>43.09</v>
      </c>
      <c r="AK42" s="57">
        <v>1538325</v>
      </c>
      <c r="AL42" s="56">
        <v>44.76</v>
      </c>
      <c r="AM42" s="57">
        <v>3850812</v>
      </c>
      <c r="AN42" s="57"/>
      <c r="AO42" s="82"/>
      <c r="AP42" s="135">
        <f t="shared" si="3"/>
        <v>48384946</v>
      </c>
      <c r="AQ42" s="56">
        <f t="shared" si="31"/>
        <v>0.75543248955580278</v>
      </c>
      <c r="AR42" s="56">
        <f t="shared" si="15"/>
        <v>2.8328718358342601E-2</v>
      </c>
      <c r="AS42" s="161">
        <f t="shared" si="5"/>
        <v>2.8328718358342601E-2</v>
      </c>
      <c r="AT42" s="161">
        <f t="shared" si="16"/>
        <v>0.12095951476662084</v>
      </c>
      <c r="AU42" s="162">
        <f t="shared" si="17"/>
        <v>6.0921974964177634E-3</v>
      </c>
      <c r="AV42" s="115">
        <f t="shared" si="6"/>
        <v>0.46798271276128123</v>
      </c>
      <c r="AW42" s="115">
        <f t="shared" si="7"/>
        <v>1.2497879474432594</v>
      </c>
      <c r="AX42" s="115">
        <f t="shared" si="28"/>
        <v>0.24977379162711269</v>
      </c>
      <c r="AY42" s="115">
        <f t="shared" si="27"/>
        <v>0.32846413726139084</v>
      </c>
      <c r="AZ42" s="115">
        <f t="shared" si="26"/>
        <v>0.63281940478750209</v>
      </c>
      <c r="BA42" s="115">
        <f t="shared" si="11"/>
        <v>0.32021147795081256</v>
      </c>
      <c r="BB42" s="115">
        <f t="shared" si="12"/>
        <v>0.35201891662170209</v>
      </c>
      <c r="BC42" s="116">
        <f t="shared" si="29"/>
        <v>29.63333113981361</v>
      </c>
      <c r="BD42" s="115">
        <f t="shared" si="30"/>
        <v>0.53270267161195139</v>
      </c>
    </row>
    <row r="43" spans="1:59" ht="15" customHeight="1" x14ac:dyDescent="0.2">
      <c r="A43" s="58">
        <v>23</v>
      </c>
      <c r="B43" s="70">
        <v>8</v>
      </c>
      <c r="C43" s="51" t="s">
        <v>141</v>
      </c>
      <c r="D43" s="244"/>
      <c r="E43" s="254"/>
      <c r="F43" s="167">
        <v>1</v>
      </c>
      <c r="G43" s="237"/>
      <c r="H43" s="168">
        <v>0.52</v>
      </c>
      <c r="I43" s="9">
        <v>30.016999999999999</v>
      </c>
      <c r="J43" s="18"/>
      <c r="K43" s="8">
        <f t="shared" si="32"/>
        <v>0.10033614285238365</v>
      </c>
      <c r="L43" s="56">
        <v>19.96</v>
      </c>
      <c r="M43" s="57">
        <v>265961</v>
      </c>
      <c r="N43" s="11">
        <v>47521873</v>
      </c>
      <c r="O43" s="82">
        <f>M43/N43</f>
        <v>5.5966018006066388E-3</v>
      </c>
      <c r="P43" s="56">
        <v>36.89</v>
      </c>
      <c r="Q43" s="57">
        <v>1998075</v>
      </c>
      <c r="R43" s="56">
        <v>37.43</v>
      </c>
      <c r="S43" s="57">
        <v>3340608</v>
      </c>
      <c r="T43" s="56">
        <v>39.19</v>
      </c>
      <c r="U43" s="57">
        <v>5920050</v>
      </c>
      <c r="V43" s="56">
        <v>39.94</v>
      </c>
      <c r="W43" s="57">
        <v>5332255</v>
      </c>
      <c r="X43" s="56">
        <v>40.950000000000003</v>
      </c>
      <c r="Y43" s="57">
        <v>3865849</v>
      </c>
      <c r="Z43" s="56">
        <v>40.56</v>
      </c>
      <c r="AA43" s="57">
        <v>5784342</v>
      </c>
      <c r="AB43" s="56">
        <v>41.16</v>
      </c>
      <c r="AC43" s="57">
        <v>3408395</v>
      </c>
      <c r="AD43" s="56">
        <v>42.62</v>
      </c>
      <c r="AE43" s="57">
        <v>4840323</v>
      </c>
      <c r="AF43" s="56">
        <v>42.15</v>
      </c>
      <c r="AG43" s="57">
        <v>1668320</v>
      </c>
      <c r="AH43" s="56">
        <v>42.32</v>
      </c>
      <c r="AI43" s="57">
        <v>3941033</v>
      </c>
      <c r="AJ43" s="56">
        <v>42.81</v>
      </c>
      <c r="AK43" s="57">
        <v>1394919</v>
      </c>
      <c r="AL43" s="56">
        <v>44.45</v>
      </c>
      <c r="AM43" s="57">
        <v>4367109</v>
      </c>
      <c r="AN43" s="57">
        <v>57180771</v>
      </c>
      <c r="AO43" s="83">
        <f>AM43/AN43</f>
        <v>7.6373734100227506E-2</v>
      </c>
      <c r="AP43" s="135">
        <f>SUM(Q43,S43,U43,W43,Y43,AA43,AC43,AE43,AG43,AI43,AK43,AM43)</f>
        <v>45861278</v>
      </c>
      <c r="AQ43" s="56">
        <f t="shared" si="31"/>
        <v>17.301573316391803</v>
      </c>
      <c r="AR43" s="56">
        <f t="shared" si="15"/>
        <v>0.64880899936469261</v>
      </c>
      <c r="AS43" s="161">
        <f t="shared" si="5"/>
        <v>0.64880899936469261</v>
      </c>
      <c r="AT43" s="161">
        <f t="shared" si="16"/>
        <v>2.7703202363991997</v>
      </c>
      <c r="AU43" s="162">
        <f t="shared" si="17"/>
        <v>0.13952881706767581</v>
      </c>
      <c r="AV43" s="115">
        <f t="shared" si="6"/>
        <v>0.59811716909017765</v>
      </c>
      <c r="AW43" s="115">
        <f t="shared" si="7"/>
        <v>1.0773241189020784</v>
      </c>
      <c r="AX43" s="115">
        <f t="shared" si="28"/>
        <v>0.25570906342136746</v>
      </c>
      <c r="AY43" s="115">
        <f t="shared" si="27"/>
        <v>0.34492284647824495</v>
      </c>
      <c r="AZ43" s="115">
        <f t="shared" si="26"/>
        <v>0.56225874463311742</v>
      </c>
      <c r="BA43" s="115">
        <f t="shared" si="11"/>
        <v>0.38404385535934465</v>
      </c>
      <c r="BB43" s="115">
        <f t="shared" si="12"/>
        <v>0.29741754530335318</v>
      </c>
      <c r="BC43" s="116">
        <f t="shared" si="29"/>
        <v>29.64191547387755</v>
      </c>
      <c r="BD43" s="115">
        <f t="shared" si="30"/>
        <v>0.55394097390831543</v>
      </c>
    </row>
    <row r="44" spans="1:59" ht="15" customHeight="1" x14ac:dyDescent="0.2">
      <c r="A44" s="58">
        <v>22</v>
      </c>
      <c r="B44" s="51">
        <v>3</v>
      </c>
      <c r="C44" s="70" t="s">
        <v>140</v>
      </c>
      <c r="D44" s="244"/>
      <c r="E44" s="254"/>
      <c r="F44" s="167">
        <v>1</v>
      </c>
      <c r="G44" s="237"/>
      <c r="H44" s="168">
        <v>0.45</v>
      </c>
      <c r="I44" s="9">
        <v>31.193999999999999</v>
      </c>
      <c r="J44" s="12"/>
      <c r="K44" s="8">
        <f t="shared" si="32"/>
        <v>9.6550298134256585E-2</v>
      </c>
      <c r="L44" s="56">
        <v>20.2</v>
      </c>
      <c r="M44" s="57">
        <v>725357</v>
      </c>
      <c r="N44" s="11">
        <v>391173127</v>
      </c>
      <c r="O44" s="82">
        <f t="shared" si="1"/>
        <v>1.8543119399917266E-3</v>
      </c>
      <c r="P44" s="56">
        <v>37.159999999999997</v>
      </c>
      <c r="Q44" s="57">
        <v>1631111</v>
      </c>
      <c r="R44" s="56">
        <v>37.729999999999997</v>
      </c>
      <c r="S44" s="57">
        <v>3520311</v>
      </c>
      <c r="T44" s="112">
        <v>39.49</v>
      </c>
      <c r="U44" s="57">
        <v>5694094</v>
      </c>
      <c r="V44" s="56">
        <v>40.24</v>
      </c>
      <c r="W44" s="57">
        <v>4427546</v>
      </c>
      <c r="X44" s="56">
        <v>41.23</v>
      </c>
      <c r="Y44" s="57">
        <v>5582997</v>
      </c>
      <c r="Z44" s="56">
        <v>40.85</v>
      </c>
      <c r="AA44" s="57">
        <v>6151435</v>
      </c>
      <c r="AB44" s="56">
        <v>41.43</v>
      </c>
      <c r="AC44" s="57">
        <v>3240393</v>
      </c>
      <c r="AD44" s="56">
        <v>42.9</v>
      </c>
      <c r="AE44" s="57">
        <v>6442780</v>
      </c>
      <c r="AF44" s="112">
        <v>42.44</v>
      </c>
      <c r="AG44" s="57">
        <v>1429941</v>
      </c>
      <c r="AH44" s="56">
        <v>42.61</v>
      </c>
      <c r="AI44" s="57">
        <v>4874957</v>
      </c>
      <c r="AJ44" s="56">
        <v>43.11</v>
      </c>
      <c r="AK44" s="57">
        <v>967125</v>
      </c>
      <c r="AL44" s="56">
        <v>44.75</v>
      </c>
      <c r="AM44" s="57">
        <v>4897226</v>
      </c>
      <c r="AN44" s="57"/>
      <c r="AO44" s="82"/>
      <c r="AP44" s="135">
        <f t="shared" si="3"/>
        <v>48859916</v>
      </c>
      <c r="AQ44" s="56">
        <f t="shared" si="31"/>
        <v>6.5036105760539069</v>
      </c>
      <c r="AR44" s="56">
        <f t="shared" si="15"/>
        <v>0.24388539660202152</v>
      </c>
      <c r="AS44" s="161">
        <f t="shared" si="5"/>
        <v>0.24388539660202152</v>
      </c>
      <c r="AT44" s="161">
        <f t="shared" si="16"/>
        <v>1.0413552374125599</v>
      </c>
      <c r="AU44" s="162">
        <f t="shared" si="17"/>
        <v>5.2448472387531503E-2</v>
      </c>
      <c r="AV44" s="115">
        <f t="shared" si="6"/>
        <v>0.46334286942261638</v>
      </c>
      <c r="AW44" s="115">
        <f t="shared" si="7"/>
        <v>0.99179196605309083</v>
      </c>
      <c r="AX44" s="115">
        <f t="shared" si="28"/>
        <v>0.35549990744771753</v>
      </c>
      <c r="AY44" s="115">
        <f t="shared" si="27"/>
        <v>0.40687966509811924</v>
      </c>
      <c r="AZ44" s="115">
        <f t="shared" si="26"/>
        <v>0.56283058462841506</v>
      </c>
      <c r="BA44" s="115">
        <f t="shared" si="11"/>
        <v>0.40242631242075827</v>
      </c>
      <c r="BB44" s="115">
        <f t="shared" si="12"/>
        <v>0.22679843512139292</v>
      </c>
      <c r="BC44" s="116">
        <f t="shared" si="29"/>
        <v>29.68339399109896</v>
      </c>
      <c r="BD44" s="115">
        <f t="shared" si="30"/>
        <v>0.57314582775787004</v>
      </c>
    </row>
    <row r="45" spans="1:59" ht="15" customHeight="1" x14ac:dyDescent="0.2">
      <c r="A45" s="58">
        <v>21</v>
      </c>
      <c r="B45" s="70">
        <v>7</v>
      </c>
      <c r="C45" s="70" t="s">
        <v>142</v>
      </c>
      <c r="D45" s="244"/>
      <c r="E45" s="254"/>
      <c r="F45" s="167">
        <v>1</v>
      </c>
      <c r="G45" s="237"/>
      <c r="H45" s="168">
        <v>0.4</v>
      </c>
      <c r="I45" s="11">
        <v>30.372</v>
      </c>
      <c r="J45" s="12"/>
      <c r="K45" s="8">
        <f t="shared" si="32"/>
        <v>9.9163374160410905E-2</v>
      </c>
      <c r="L45" s="56">
        <v>20.8</v>
      </c>
      <c r="M45" s="57">
        <v>2535712</v>
      </c>
      <c r="N45" s="11">
        <v>1510254604</v>
      </c>
      <c r="O45" s="82">
        <f t="shared" si="1"/>
        <v>1.6789963713959319E-3</v>
      </c>
      <c r="P45" s="56">
        <v>37.82</v>
      </c>
      <c r="Q45" s="57">
        <v>1873517</v>
      </c>
      <c r="R45" s="56">
        <v>38.369999999999997</v>
      </c>
      <c r="S45" s="57">
        <v>2836672</v>
      </c>
      <c r="T45" s="56">
        <v>40.14</v>
      </c>
      <c r="U45" s="57">
        <v>3794723</v>
      </c>
      <c r="V45" s="56">
        <v>40.880000000000003</v>
      </c>
      <c r="W45" s="57">
        <v>2817598</v>
      </c>
      <c r="X45" s="56">
        <v>41.89</v>
      </c>
      <c r="Y45" s="57">
        <v>2602079</v>
      </c>
      <c r="Z45" s="56">
        <v>41.5</v>
      </c>
      <c r="AA45" s="57">
        <v>4683080</v>
      </c>
      <c r="AB45" s="56">
        <v>42.08</v>
      </c>
      <c r="AC45" s="57">
        <v>1868855</v>
      </c>
      <c r="AD45" s="56">
        <v>43.55</v>
      </c>
      <c r="AE45" s="57">
        <v>3326436</v>
      </c>
      <c r="AF45" s="112">
        <v>43.08</v>
      </c>
      <c r="AG45" s="57">
        <v>1180011</v>
      </c>
      <c r="AH45" s="56">
        <v>43.27</v>
      </c>
      <c r="AI45" s="57">
        <v>2322546</v>
      </c>
      <c r="AJ45" s="56">
        <v>43.75</v>
      </c>
      <c r="AK45" s="57">
        <v>632988</v>
      </c>
      <c r="AL45" s="56">
        <v>45.43</v>
      </c>
      <c r="AM45" s="57">
        <v>2207294</v>
      </c>
      <c r="AN45" s="57"/>
      <c r="AO45" s="83"/>
      <c r="AP45" s="135">
        <f t="shared" si="3"/>
        <v>30145799</v>
      </c>
      <c r="AQ45" s="56">
        <f t="shared" si="31"/>
        <v>1.1789032609387584</v>
      </c>
      <c r="AR45" s="56">
        <f t="shared" si="15"/>
        <v>4.420887228520344E-2</v>
      </c>
      <c r="AS45" s="161">
        <f t="shared" si="5"/>
        <v>4.420887228520344E-2</v>
      </c>
      <c r="AT45" s="161">
        <f t="shared" si="16"/>
        <v>0.1887654666319532</v>
      </c>
      <c r="AU45" s="162">
        <f t="shared" si="17"/>
        <v>9.5072843624093416E-3</v>
      </c>
      <c r="AV45" s="115">
        <f t="shared" si="6"/>
        <v>0.66046303555715991</v>
      </c>
      <c r="AW45" s="115">
        <f t="shared" si="7"/>
        <v>0.93278537524051286</v>
      </c>
      <c r="AX45" s="115">
        <f t="shared" si="28"/>
        <v>0.28239266799791629</v>
      </c>
      <c r="AY45" s="115">
        <f t="shared" si="27"/>
        <v>0.3367393267574178</v>
      </c>
      <c r="AZ45" s="115">
        <f t="shared" si="26"/>
        <v>0.61342353767199875</v>
      </c>
      <c r="BA45" s="115">
        <f t="shared" si="11"/>
        <v>0.3479977972009064</v>
      </c>
      <c r="BB45" s="115">
        <f t="shared" si="12"/>
        <v>0.33689987058026466</v>
      </c>
      <c r="BC45" s="116">
        <f t="shared" si="29"/>
        <v>29.530101822811197</v>
      </c>
      <c r="BD45" s="115">
        <f t="shared" si="30"/>
        <v>0.53809189134446234</v>
      </c>
    </row>
    <row r="46" spans="1:59" ht="15" customHeight="1" x14ac:dyDescent="0.2">
      <c r="A46" s="58">
        <v>20</v>
      </c>
      <c r="B46" s="51">
        <v>2</v>
      </c>
      <c r="C46" s="51" t="s">
        <v>143</v>
      </c>
      <c r="D46" s="245"/>
      <c r="E46" s="254"/>
      <c r="F46" s="167">
        <v>1</v>
      </c>
      <c r="G46" s="238"/>
      <c r="H46" s="168">
        <v>0.37</v>
      </c>
      <c r="I46" s="9">
        <v>32.942</v>
      </c>
      <c r="J46" s="18"/>
      <c r="K46" s="8">
        <f t="shared" si="32"/>
        <v>9.1427053609374045E-2</v>
      </c>
      <c r="L46" s="56">
        <v>20.14</v>
      </c>
      <c r="M46" s="57">
        <v>1049111</v>
      </c>
      <c r="N46" s="11">
        <v>451115567</v>
      </c>
      <c r="O46" s="82">
        <f t="shared" si="1"/>
        <v>2.3255925460005239E-3</v>
      </c>
      <c r="P46" s="56">
        <v>37.08</v>
      </c>
      <c r="Q46" s="57">
        <v>2206907</v>
      </c>
      <c r="R46" s="56">
        <v>37.630000000000003</v>
      </c>
      <c r="S46" s="57">
        <v>5788034</v>
      </c>
      <c r="T46" s="56">
        <v>39.4</v>
      </c>
      <c r="U46" s="57">
        <v>6088804</v>
      </c>
      <c r="V46" s="56">
        <v>40.15</v>
      </c>
      <c r="W46" s="57">
        <v>5023274</v>
      </c>
      <c r="X46" s="56">
        <v>41.15</v>
      </c>
      <c r="Y46" s="57">
        <v>5503828</v>
      </c>
      <c r="Z46" s="56">
        <v>40.770000000000003</v>
      </c>
      <c r="AA46" s="57">
        <v>4950269</v>
      </c>
      <c r="AB46" s="56">
        <v>41.36</v>
      </c>
      <c r="AC46" s="57">
        <v>3555130</v>
      </c>
      <c r="AD46" s="56">
        <v>42.82</v>
      </c>
      <c r="AE46" s="57">
        <v>5299379</v>
      </c>
      <c r="AF46" s="56">
        <v>42.35</v>
      </c>
      <c r="AG46" s="57">
        <v>1775926</v>
      </c>
      <c r="AH46" s="56">
        <v>42.54</v>
      </c>
      <c r="AI46" s="57">
        <v>7146301</v>
      </c>
      <c r="AJ46" s="56">
        <v>43.02</v>
      </c>
      <c r="AK46" s="57">
        <v>2565760</v>
      </c>
      <c r="AL46" s="56">
        <v>44.72</v>
      </c>
      <c r="AM46" s="57">
        <v>4262657</v>
      </c>
      <c r="AN46" s="57">
        <v>47971987</v>
      </c>
      <c r="AO46" s="83">
        <f t="shared" si="25"/>
        <v>8.8857211605598077E-2</v>
      </c>
      <c r="AP46" s="135">
        <f>SUM(Q46,S46,U46,W46,Y46,AA46,AC46,AE46,AG46,AI46,AK46,AM46)</f>
        <v>54166269</v>
      </c>
      <c r="AQ46" s="56">
        <f t="shared" si="31"/>
        <v>4.7204369982611709</v>
      </c>
      <c r="AR46" s="56">
        <f t="shared" si="15"/>
        <v>0.17701638743479389</v>
      </c>
      <c r="AS46" s="161">
        <f t="shared" si="5"/>
        <v>0.17701638743479389</v>
      </c>
      <c r="AT46" s="161">
        <f t="shared" si="16"/>
        <v>0.75583427598118658</v>
      </c>
      <c r="AU46" s="162">
        <f t="shared" si="17"/>
        <v>3.8068040308557823E-2</v>
      </c>
      <c r="AV46" s="115">
        <f t="shared" si="6"/>
        <v>0.38128784316056197</v>
      </c>
      <c r="AW46" s="115">
        <f t="shared" si="7"/>
        <v>1.2036344228063647</v>
      </c>
      <c r="AX46" s="115">
        <f t="shared" si="28"/>
        <v>0.33123851326554204</v>
      </c>
      <c r="AY46" s="115">
        <f t="shared" si="27"/>
        <v>0.38388005949824039</v>
      </c>
      <c r="AZ46" s="115">
        <f t="shared" si="26"/>
        <v>0.67670121329850152</v>
      </c>
      <c r="BA46" s="115">
        <f t="shared" si="11"/>
        <v>0.27063382297257177</v>
      </c>
      <c r="BB46" s="115">
        <f t="shared" si="12"/>
        <v>0.19904514870558662</v>
      </c>
      <c r="BC46" s="116">
        <f t="shared" si="29"/>
        <v>29.648082628692777</v>
      </c>
      <c r="BD46" s="115">
        <f t="shared" si="30"/>
        <v>0.54564256585588344</v>
      </c>
    </row>
    <row r="47" spans="1:59" ht="15" customHeight="1" x14ac:dyDescent="0.2">
      <c r="A47" s="58">
        <v>19</v>
      </c>
      <c r="B47" s="70">
        <v>6</v>
      </c>
      <c r="C47" s="70" t="s">
        <v>144</v>
      </c>
      <c r="D47" s="252" t="s">
        <v>153</v>
      </c>
      <c r="E47" s="252"/>
      <c r="F47" s="146"/>
      <c r="G47" s="253" t="s">
        <v>367</v>
      </c>
      <c r="H47" s="168">
        <v>0.35</v>
      </c>
      <c r="I47" s="11">
        <v>30.338999999999999</v>
      </c>
      <c r="J47" s="19"/>
      <c r="K47" s="8">
        <f t="shared" si="32"/>
        <v>9.9271235044002773E-2</v>
      </c>
      <c r="L47" s="59">
        <v>19.95</v>
      </c>
      <c r="M47" s="60">
        <v>57302</v>
      </c>
      <c r="N47" s="35">
        <v>27203599</v>
      </c>
      <c r="O47" s="85">
        <f t="shared" si="1"/>
        <v>2.1064124640272782E-3</v>
      </c>
      <c r="P47" s="59"/>
      <c r="Q47" s="60"/>
      <c r="R47" s="59"/>
      <c r="S47" s="60"/>
      <c r="T47" s="59"/>
      <c r="U47" s="60"/>
      <c r="V47" s="59"/>
      <c r="W47" s="60"/>
      <c r="X47" s="59"/>
      <c r="Y47" s="60"/>
      <c r="Z47" s="59"/>
      <c r="AA47" s="60"/>
      <c r="AB47" s="59"/>
      <c r="AC47" s="60"/>
      <c r="AD47" s="59"/>
      <c r="AE47" s="60"/>
      <c r="AF47" s="59"/>
      <c r="AG47" s="60"/>
      <c r="AH47" s="59"/>
      <c r="AI47" s="60"/>
      <c r="AJ47" s="59"/>
      <c r="AK47" s="60"/>
      <c r="AL47" s="59"/>
      <c r="AM47" s="60"/>
      <c r="AN47" s="60"/>
      <c r="AO47" s="84"/>
      <c r="AP47" s="136"/>
      <c r="AQ47" s="56">
        <f t="shared" si="31"/>
        <v>0</v>
      </c>
      <c r="AR47" s="56"/>
      <c r="AS47" s="161"/>
      <c r="AT47" s="161">
        <f t="shared" si="16"/>
        <v>0</v>
      </c>
      <c r="AU47" s="162">
        <f t="shared" si="17"/>
        <v>0</v>
      </c>
      <c r="AV47" s="115"/>
      <c r="AW47" s="115"/>
      <c r="AX47" s="115"/>
      <c r="AY47" s="115"/>
      <c r="AZ47" s="115"/>
      <c r="BA47" s="115"/>
      <c r="BB47" s="115"/>
      <c r="BC47" s="116"/>
      <c r="BD47" s="115"/>
    </row>
    <row r="48" spans="1:59" ht="15" customHeight="1" x14ac:dyDescent="0.2">
      <c r="A48" s="58">
        <v>18</v>
      </c>
      <c r="B48" s="70">
        <v>6</v>
      </c>
      <c r="C48" s="70" t="s">
        <v>145</v>
      </c>
      <c r="D48" s="252"/>
      <c r="E48" s="252"/>
      <c r="F48" s="146">
        <v>0</v>
      </c>
      <c r="G48" s="253"/>
      <c r="H48" s="168">
        <v>0.25</v>
      </c>
      <c r="I48" s="7">
        <v>30.355699999999999</v>
      </c>
      <c r="J48" s="69"/>
      <c r="K48" s="8">
        <f t="shared" si="32"/>
        <v>9.9216621590014403E-2</v>
      </c>
      <c r="L48" s="59">
        <v>20.190000000000001</v>
      </c>
      <c r="M48" s="60">
        <v>211634</v>
      </c>
      <c r="N48" s="35">
        <v>36405894</v>
      </c>
      <c r="O48" s="85">
        <f t="shared" si="1"/>
        <v>5.8131795911947667E-3</v>
      </c>
      <c r="P48" s="59">
        <v>37.18</v>
      </c>
      <c r="Q48" s="60">
        <v>893031</v>
      </c>
      <c r="R48" s="59">
        <v>37.729999999999997</v>
      </c>
      <c r="S48" s="60">
        <v>949850</v>
      </c>
      <c r="T48" s="113">
        <v>39.49</v>
      </c>
      <c r="U48" s="60">
        <v>5369427</v>
      </c>
      <c r="V48" s="59">
        <v>40.24</v>
      </c>
      <c r="W48" s="60">
        <v>1845533</v>
      </c>
      <c r="X48" s="59">
        <v>41.22</v>
      </c>
      <c r="Y48" s="60">
        <v>977817</v>
      </c>
      <c r="Z48" s="59">
        <v>40.86</v>
      </c>
      <c r="AA48" s="60">
        <v>6994188</v>
      </c>
      <c r="AB48" s="59">
        <v>41.44</v>
      </c>
      <c r="AC48" s="60">
        <v>887198</v>
      </c>
      <c r="AD48" s="59">
        <v>42.89</v>
      </c>
      <c r="AE48" s="60">
        <v>1876357</v>
      </c>
      <c r="AF48" s="113">
        <v>42.44</v>
      </c>
      <c r="AG48" s="60">
        <v>4385741</v>
      </c>
      <c r="AH48" s="59">
        <v>42.62</v>
      </c>
      <c r="AI48" s="60">
        <v>3598862</v>
      </c>
      <c r="AJ48" s="59">
        <v>43.1</v>
      </c>
      <c r="AK48" s="60">
        <v>1170055</v>
      </c>
      <c r="AL48" s="59">
        <v>44.75</v>
      </c>
      <c r="AM48" s="113">
        <v>1247461</v>
      </c>
      <c r="AN48" s="113"/>
      <c r="AO48" s="85"/>
      <c r="AP48" s="136">
        <f t="shared" si="3"/>
        <v>30195520</v>
      </c>
      <c r="AQ48" s="56">
        <f t="shared" si="31"/>
        <v>14.156031079853483</v>
      </c>
      <c r="AR48" s="59">
        <f t="shared" si="15"/>
        <v>0.53085116549450562</v>
      </c>
      <c r="AS48" s="163">
        <f t="shared" ref="AS48:AS65" si="33">AR48*F48</f>
        <v>0</v>
      </c>
      <c r="AT48" s="161">
        <f t="shared" si="16"/>
        <v>0</v>
      </c>
      <c r="AU48" s="162">
        <f t="shared" si="17"/>
        <v>0</v>
      </c>
      <c r="AV48" s="115">
        <f t="shared" ref="AV48:AV65" si="34">Q48/S48</f>
        <v>0.94018108122335109</v>
      </c>
      <c r="AW48" s="115">
        <f t="shared" ref="AW48:AW65" si="35">(U48+W48+Y48)/(AA48+AC48+AE48)</f>
        <v>0.83961803462132589</v>
      </c>
      <c r="AX48" s="115">
        <f t="shared" ref="AX48:AX65" si="36">(Y48/(U48+W48+Y48))</f>
        <v>0.1193511064685393</v>
      </c>
      <c r="AY48" s="115">
        <f t="shared" ref="AY48:AY65" si="37">(AE48/(AA48+AC48+AE48))</f>
        <v>0.19229416064760058</v>
      </c>
      <c r="AZ48" s="115">
        <f t="shared" ref="AZ48:AZ65" si="38">((AG48+AI48)/((AG48+AI48)+AM48))</f>
        <v>0.8648773448710928</v>
      </c>
      <c r="BA48" s="115">
        <f t="shared" ref="BA48:BA65" si="39">(AM48/(AG48+AI48+AK48+AM48))</f>
        <v>0.11992373861518023</v>
      </c>
      <c r="BB48" s="115">
        <f t="shared" ref="BB48:BB65" si="40">(AG48/(AG48+AI48))</f>
        <v>0.54927477295990801</v>
      </c>
      <c r="BC48" s="116">
        <f t="shared" ref="BC48:BC65" si="41">SUM(27*Q48,28*S48,29*(U48+W48+Y48),30*(AA48+AC48+AE48),31*(AG48+AI48+AK48+AM48))/AP48</f>
        <v>29.921529716991131</v>
      </c>
      <c r="BD48" s="115">
        <f t="shared" ref="BD48:BD65" si="42">(SUM(AA48+AC48+AE48+AG48+AI48+AK48+AM48)/AP48)</f>
        <v>0.6676441405877428</v>
      </c>
    </row>
    <row r="49" spans="1:56" ht="15" customHeight="1" x14ac:dyDescent="0.2">
      <c r="A49" s="58">
        <v>17</v>
      </c>
      <c r="B49" s="70">
        <v>5</v>
      </c>
      <c r="C49" s="70" t="s">
        <v>48</v>
      </c>
      <c r="D49" s="252"/>
      <c r="E49" s="252"/>
      <c r="F49" s="146">
        <v>0</v>
      </c>
      <c r="G49" s="253"/>
      <c r="H49" s="168">
        <v>0.2</v>
      </c>
      <c r="I49" s="41">
        <v>30.238</v>
      </c>
      <c r="J49" s="69"/>
      <c r="K49" s="8">
        <f t="shared" si="32"/>
        <v>9.9602817646669756E-2</v>
      </c>
      <c r="L49" s="59">
        <v>20.21</v>
      </c>
      <c r="M49" s="60">
        <v>295016</v>
      </c>
      <c r="N49" s="35">
        <v>24397048</v>
      </c>
      <c r="O49" s="85">
        <f t="shared" si="1"/>
        <v>1.2092282640096458E-2</v>
      </c>
      <c r="P49" s="59">
        <v>37.18</v>
      </c>
      <c r="Q49" s="60">
        <v>2079895</v>
      </c>
      <c r="R49" s="59">
        <v>37.729999999999997</v>
      </c>
      <c r="S49" s="60">
        <v>5922720</v>
      </c>
      <c r="T49" s="113">
        <v>39.49</v>
      </c>
      <c r="U49" s="60">
        <v>5279768</v>
      </c>
      <c r="V49" s="59">
        <v>40.229999999999997</v>
      </c>
      <c r="W49" s="60">
        <v>3831098</v>
      </c>
      <c r="X49" s="59">
        <v>41.24</v>
      </c>
      <c r="Y49" s="60">
        <v>4816709</v>
      </c>
      <c r="Z49" s="59">
        <v>40.86</v>
      </c>
      <c r="AA49" s="60">
        <v>6162420</v>
      </c>
      <c r="AB49" s="59">
        <v>41.44</v>
      </c>
      <c r="AC49" s="60">
        <v>1692826</v>
      </c>
      <c r="AD49" s="59">
        <v>42.88</v>
      </c>
      <c r="AE49" s="60">
        <v>5775064</v>
      </c>
      <c r="AF49" s="59">
        <v>42.42</v>
      </c>
      <c r="AG49" s="60">
        <v>2634199</v>
      </c>
      <c r="AH49" s="59">
        <v>42.62</v>
      </c>
      <c r="AI49" s="60">
        <v>3699070</v>
      </c>
      <c r="AJ49" s="59">
        <v>43.09</v>
      </c>
      <c r="AK49" s="60">
        <v>1380844</v>
      </c>
      <c r="AL49" s="59">
        <v>44.76</v>
      </c>
      <c r="AM49" s="60">
        <v>4330207</v>
      </c>
      <c r="AN49" s="60"/>
      <c r="AO49" s="85"/>
      <c r="AP49" s="136">
        <f t="shared" si="3"/>
        <v>47604820</v>
      </c>
      <c r="AQ49" s="56">
        <f t="shared" si="31"/>
        <v>16.072261184351145</v>
      </c>
      <c r="AR49" s="59">
        <f t="shared" si="15"/>
        <v>0.60270979441316797</v>
      </c>
      <c r="AS49" s="163">
        <f t="shared" si="33"/>
        <v>0</v>
      </c>
      <c r="AT49" s="161">
        <f t="shared" si="16"/>
        <v>0</v>
      </c>
      <c r="AU49" s="162">
        <f t="shared" si="17"/>
        <v>0</v>
      </c>
      <c r="AV49" s="115">
        <f t="shared" si="34"/>
        <v>0.35117226544560609</v>
      </c>
      <c r="AW49" s="115">
        <f t="shared" si="35"/>
        <v>1.0218091151265085</v>
      </c>
      <c r="AX49" s="115">
        <f t="shared" si="36"/>
        <v>0.3458397459715708</v>
      </c>
      <c r="AY49" s="115">
        <f t="shared" si="37"/>
        <v>0.42369278468354721</v>
      </c>
      <c r="AZ49" s="115">
        <f t="shared" si="38"/>
        <v>0.5939216255562445</v>
      </c>
      <c r="BA49" s="115">
        <f t="shared" si="39"/>
        <v>0.35952274599147149</v>
      </c>
      <c r="BB49" s="115">
        <f t="shared" si="40"/>
        <v>0.41593038287178391</v>
      </c>
      <c r="BC49" s="116">
        <f t="shared" si="41"/>
        <v>29.5805386933508</v>
      </c>
      <c r="BD49" s="115">
        <f t="shared" si="42"/>
        <v>0.53932837053054716</v>
      </c>
    </row>
    <row r="50" spans="1:56" ht="15" customHeight="1" x14ac:dyDescent="0.2">
      <c r="A50" s="58">
        <v>16</v>
      </c>
      <c r="B50" s="70">
        <v>4</v>
      </c>
      <c r="C50" s="70" t="s">
        <v>146</v>
      </c>
      <c r="D50" s="252"/>
      <c r="E50" s="252"/>
      <c r="F50" s="146">
        <v>0</v>
      </c>
      <c r="G50" s="253"/>
      <c r="H50" s="168">
        <v>0.1</v>
      </c>
      <c r="I50" s="41">
        <v>30.36</v>
      </c>
      <c r="J50" s="19"/>
      <c r="K50" s="8">
        <f t="shared" si="32"/>
        <v>9.9202569169960481E-2</v>
      </c>
      <c r="L50" s="59">
        <v>19.97</v>
      </c>
      <c r="M50" s="60">
        <v>277884</v>
      </c>
      <c r="N50" s="35">
        <v>90559065</v>
      </c>
      <c r="O50" s="85">
        <f t="shared" si="1"/>
        <v>3.0685387487161004E-3</v>
      </c>
      <c r="P50" s="59">
        <v>36.89</v>
      </c>
      <c r="Q50" s="60">
        <v>3918845</v>
      </c>
      <c r="R50" s="59">
        <v>37.450000000000003</v>
      </c>
      <c r="S50" s="60">
        <v>6614562</v>
      </c>
      <c r="T50" s="59">
        <v>39.21</v>
      </c>
      <c r="U50" s="60">
        <v>3735529</v>
      </c>
      <c r="V50" s="59">
        <v>39.950000000000003</v>
      </c>
      <c r="W50" s="60">
        <v>5260693</v>
      </c>
      <c r="X50" s="59">
        <v>40.97</v>
      </c>
      <c r="Y50" s="60">
        <v>5947502</v>
      </c>
      <c r="Z50" s="59">
        <v>40.549999999999997</v>
      </c>
      <c r="AA50" s="60">
        <v>7308073</v>
      </c>
      <c r="AB50" s="59">
        <v>41.15</v>
      </c>
      <c r="AC50" s="60">
        <v>5069954</v>
      </c>
      <c r="AD50" s="59">
        <v>42.63</v>
      </c>
      <c r="AE50" s="60">
        <v>7629393</v>
      </c>
      <c r="AF50" s="59">
        <v>42.16</v>
      </c>
      <c r="AG50" s="60">
        <v>2905590</v>
      </c>
      <c r="AH50" s="59">
        <v>42.32</v>
      </c>
      <c r="AI50" s="60">
        <v>5305321</v>
      </c>
      <c r="AJ50" s="59">
        <v>42.81</v>
      </c>
      <c r="AK50" s="60">
        <v>1236587</v>
      </c>
      <c r="AL50" s="59">
        <v>44.49</v>
      </c>
      <c r="AM50" s="60">
        <v>2803679</v>
      </c>
      <c r="AN50" s="60">
        <v>55002082</v>
      </c>
      <c r="AO50" s="84">
        <f t="shared" si="25"/>
        <v>5.0974052218605105E-2</v>
      </c>
      <c r="AP50" s="136">
        <f t="shared" si="3"/>
        <v>57735728</v>
      </c>
      <c r="AQ50" s="56">
        <f t="shared" si="31"/>
        <v>20.611235445358581</v>
      </c>
      <c r="AR50" s="59">
        <f t="shared" si="15"/>
        <v>0.77292132920094681</v>
      </c>
      <c r="AS50" s="163">
        <f t="shared" si="33"/>
        <v>0</v>
      </c>
      <c r="AT50" s="161">
        <f t="shared" si="16"/>
        <v>0</v>
      </c>
      <c r="AU50" s="162">
        <f t="shared" si="17"/>
        <v>0</v>
      </c>
      <c r="AV50" s="115">
        <f t="shared" si="34"/>
        <v>0.59245721787776728</v>
      </c>
      <c r="AW50" s="115">
        <f t="shared" si="35"/>
        <v>0.74690909672511496</v>
      </c>
      <c r="AX50" s="115">
        <f t="shared" si="36"/>
        <v>0.39799329805609363</v>
      </c>
      <c r="AY50" s="115">
        <f t="shared" si="37"/>
        <v>0.38132817724624163</v>
      </c>
      <c r="AZ50" s="115">
        <f t="shared" si="38"/>
        <v>0.74545770655103827</v>
      </c>
      <c r="BA50" s="115">
        <f t="shared" si="39"/>
        <v>0.22884976684281028</v>
      </c>
      <c r="BB50" s="115">
        <f t="shared" si="40"/>
        <v>0.35386938185056444</v>
      </c>
      <c r="BC50" s="116">
        <f t="shared" si="41"/>
        <v>29.520605230785346</v>
      </c>
      <c r="BD50" s="115">
        <f t="shared" si="42"/>
        <v>0.55872850516408146</v>
      </c>
    </row>
    <row r="51" spans="1:56" ht="15" customHeight="1" x14ac:dyDescent="0.2">
      <c r="A51" s="58">
        <v>15</v>
      </c>
      <c r="B51" s="70">
        <v>4</v>
      </c>
      <c r="C51" s="70" t="s">
        <v>147</v>
      </c>
      <c r="D51" s="252"/>
      <c r="E51" s="252"/>
      <c r="F51" s="146">
        <v>0</v>
      </c>
      <c r="G51" s="253"/>
      <c r="H51" s="168">
        <v>0.05</v>
      </c>
      <c r="I51" s="7">
        <v>30.233599999999999</v>
      </c>
      <c r="J51" s="69"/>
      <c r="K51" s="8">
        <f t="shared" si="32"/>
        <v>9.9617313187976286E-2</v>
      </c>
      <c r="L51" s="59">
        <v>20.2</v>
      </c>
      <c r="M51" s="60">
        <v>224859</v>
      </c>
      <c r="N51" s="35">
        <v>62268955</v>
      </c>
      <c r="O51" s="85">
        <f t="shared" si="1"/>
        <v>3.6110932004559896E-3</v>
      </c>
      <c r="P51" s="59">
        <v>37.18</v>
      </c>
      <c r="Q51" s="60">
        <v>1127166</v>
      </c>
      <c r="R51" s="59">
        <v>37.729999999999997</v>
      </c>
      <c r="S51" s="60">
        <v>2239925</v>
      </c>
      <c r="T51" s="59">
        <v>39.5</v>
      </c>
      <c r="U51" s="60">
        <v>3903529</v>
      </c>
      <c r="V51" s="59">
        <v>40.25</v>
      </c>
      <c r="W51" s="60">
        <v>2201082</v>
      </c>
      <c r="X51" s="59">
        <v>41.24</v>
      </c>
      <c r="Y51" s="60">
        <v>3040847</v>
      </c>
      <c r="Z51" s="59">
        <v>40.86</v>
      </c>
      <c r="AA51" s="60">
        <v>6006149</v>
      </c>
      <c r="AB51" s="59">
        <v>41.43</v>
      </c>
      <c r="AC51" s="60">
        <v>1661887</v>
      </c>
      <c r="AD51" s="59">
        <v>42.89</v>
      </c>
      <c r="AE51" s="60">
        <v>3399694</v>
      </c>
      <c r="AF51" s="59">
        <v>42.44</v>
      </c>
      <c r="AG51" s="60">
        <v>2327539</v>
      </c>
      <c r="AH51" s="59">
        <v>42.63</v>
      </c>
      <c r="AI51" s="60">
        <v>2653136</v>
      </c>
      <c r="AJ51" s="59">
        <v>43.1</v>
      </c>
      <c r="AK51" s="60">
        <v>741779</v>
      </c>
      <c r="AL51" s="59">
        <v>44.76</v>
      </c>
      <c r="AM51" s="60">
        <v>2316726</v>
      </c>
      <c r="AN51" s="60"/>
      <c r="AO51" s="85"/>
      <c r="AP51" s="136">
        <f t="shared" si="3"/>
        <v>31619459</v>
      </c>
      <c r="AQ51" s="56">
        <f t="shared" si="31"/>
        <v>14.008091960016614</v>
      </c>
      <c r="AR51" s="59">
        <f t="shared" si="15"/>
        <v>0.52530344850062305</v>
      </c>
      <c r="AS51" s="163">
        <f t="shared" si="33"/>
        <v>0</v>
      </c>
      <c r="AT51" s="161">
        <f t="shared" si="16"/>
        <v>0</v>
      </c>
      <c r="AU51" s="162">
        <f t="shared" si="17"/>
        <v>0</v>
      </c>
      <c r="AV51" s="115">
        <f t="shared" si="34"/>
        <v>0.50321595589138024</v>
      </c>
      <c r="AW51" s="115">
        <f t="shared" si="35"/>
        <v>0.82631741106803291</v>
      </c>
      <c r="AX51" s="115">
        <f t="shared" si="36"/>
        <v>0.33249805531882604</v>
      </c>
      <c r="AY51" s="115">
        <f t="shared" si="37"/>
        <v>0.30717175066612573</v>
      </c>
      <c r="AZ51" s="115">
        <f t="shared" si="38"/>
        <v>0.6825272449739298</v>
      </c>
      <c r="BA51" s="115">
        <f t="shared" si="39"/>
        <v>0.28817939143046928</v>
      </c>
      <c r="BB51" s="115">
        <f t="shared" si="40"/>
        <v>0.46731396848820694</v>
      </c>
      <c r="BC51" s="116">
        <f t="shared" si="41"/>
        <v>29.716389012221871</v>
      </c>
      <c r="BD51" s="115">
        <f t="shared" si="42"/>
        <v>0.60427694224622885</v>
      </c>
    </row>
    <row r="52" spans="1:56" ht="15" customHeight="1" x14ac:dyDescent="0.2">
      <c r="A52" s="58">
        <v>14</v>
      </c>
      <c r="B52" s="51">
        <v>1</v>
      </c>
      <c r="C52" s="51" t="s">
        <v>148</v>
      </c>
      <c r="D52" s="227" t="s">
        <v>154</v>
      </c>
      <c r="E52" s="228"/>
      <c r="F52" s="156">
        <v>2.8</v>
      </c>
      <c r="G52" s="233" t="s">
        <v>368</v>
      </c>
      <c r="H52" s="168">
        <v>-0.06</v>
      </c>
      <c r="I52" s="3">
        <v>30.626000000000001</v>
      </c>
      <c r="J52" s="22"/>
      <c r="K52" s="8">
        <f t="shared" si="32"/>
        <v>9.8340952132175266E-2</v>
      </c>
      <c r="L52" s="61">
        <v>19.96</v>
      </c>
      <c r="M52" s="62">
        <v>657306</v>
      </c>
      <c r="N52" s="62">
        <v>442169661</v>
      </c>
      <c r="O52" s="121">
        <f>M52/N52</f>
        <v>1.4865470383324197E-3</v>
      </c>
      <c r="P52" s="61">
        <v>36.9</v>
      </c>
      <c r="Q52" s="62">
        <v>7780458</v>
      </c>
      <c r="R52" s="61">
        <v>37.450000000000003</v>
      </c>
      <c r="S52" s="62">
        <v>9169680</v>
      </c>
      <c r="T52" s="61">
        <v>39.18</v>
      </c>
      <c r="U52" s="62">
        <v>22450983</v>
      </c>
      <c r="V52" s="61">
        <v>39.96</v>
      </c>
      <c r="W52" s="62">
        <v>8926748</v>
      </c>
      <c r="X52" s="61">
        <v>40.97</v>
      </c>
      <c r="Y52" s="62">
        <v>10717562</v>
      </c>
      <c r="Z52" s="61">
        <v>40.57</v>
      </c>
      <c r="AA52" s="62">
        <v>19658711</v>
      </c>
      <c r="AB52" s="61">
        <v>41.14</v>
      </c>
      <c r="AC52" s="62">
        <v>6135116</v>
      </c>
      <c r="AD52" s="61">
        <v>42.62</v>
      </c>
      <c r="AE52" s="62">
        <v>28002092</v>
      </c>
      <c r="AF52" s="61">
        <v>42.15</v>
      </c>
      <c r="AG52" s="62">
        <v>2386493</v>
      </c>
      <c r="AH52" s="61">
        <v>43.34</v>
      </c>
      <c r="AI52" s="62">
        <v>9508364</v>
      </c>
      <c r="AJ52" s="61">
        <v>42.84</v>
      </c>
      <c r="AK52" s="62">
        <v>343560</v>
      </c>
      <c r="AL52" s="61">
        <v>44.49</v>
      </c>
      <c r="AM52" s="62">
        <v>28595833</v>
      </c>
      <c r="AN52" s="62">
        <v>399512517</v>
      </c>
      <c r="AO52" s="61">
        <f>AM52/AN52</f>
        <v>7.1576813699681899E-2</v>
      </c>
      <c r="AP52" s="137">
        <f>SUM(Q52,S52,U52,W52,Y52,AA52,AC52,AE52,AG52,AI52,AK52,AM52)</f>
        <v>153675600</v>
      </c>
      <c r="AQ52" s="56">
        <f t="shared" si="31"/>
        <v>22.991734174772954</v>
      </c>
      <c r="AR52" s="61">
        <f>((AQ52*0.003)/0.08)</f>
        <v>0.86219003155398577</v>
      </c>
      <c r="AS52" s="164">
        <f t="shared" si="33"/>
        <v>2.4141320883511601</v>
      </c>
      <c r="AT52" s="161">
        <f t="shared" si="16"/>
        <v>10.307993545478906</v>
      </c>
      <c r="AU52" s="162">
        <f t="shared" si="17"/>
        <v>0.51916819104326017</v>
      </c>
      <c r="AV52" s="115">
        <f t="shared" si="34"/>
        <v>0.84849831182767554</v>
      </c>
      <c r="AW52" s="115">
        <f t="shared" si="35"/>
        <v>0.78249974686741575</v>
      </c>
      <c r="AX52" s="115">
        <f t="shared" si="36"/>
        <v>0.25460238511702482</v>
      </c>
      <c r="AY52" s="115">
        <f t="shared" si="37"/>
        <v>0.52052446580566825</v>
      </c>
      <c r="AZ52" s="115">
        <f t="shared" si="38"/>
        <v>0.29376770314361156</v>
      </c>
      <c r="BA52" s="115">
        <f t="shared" si="39"/>
        <v>0.70029039348096267</v>
      </c>
      <c r="BB52" s="115">
        <f t="shared" si="40"/>
        <v>0.20063234051489648</v>
      </c>
      <c r="BC52" s="116">
        <f t="shared" si="41"/>
        <v>29.720568671929701</v>
      </c>
      <c r="BD52" s="115">
        <f t="shared" si="42"/>
        <v>0.61577875082316258</v>
      </c>
    </row>
    <row r="53" spans="1:56" ht="15" customHeight="1" x14ac:dyDescent="0.2">
      <c r="A53" s="58">
        <v>13</v>
      </c>
      <c r="B53" s="70">
        <v>3</v>
      </c>
      <c r="C53" s="70" t="s">
        <v>49</v>
      </c>
      <c r="D53" s="229"/>
      <c r="E53" s="230"/>
      <c r="F53" s="156">
        <v>2.8</v>
      </c>
      <c r="G53" s="234"/>
      <c r="H53" s="168">
        <v>-0.1</v>
      </c>
      <c r="I53" s="39">
        <v>31.483000000000001</v>
      </c>
      <c r="J53" s="67"/>
      <c r="K53" s="8">
        <f t="shared" si="32"/>
        <v>9.5664009147794049E-2</v>
      </c>
      <c r="L53" s="61">
        <v>20.21</v>
      </c>
      <c r="M53" s="62">
        <v>288238</v>
      </c>
      <c r="N53" s="62">
        <v>22225101</v>
      </c>
      <c r="O53" s="121">
        <f t="shared" ref="O53:O55" si="43">M53/N53</f>
        <v>1.2969029927018105E-2</v>
      </c>
      <c r="P53" s="61">
        <v>37.18</v>
      </c>
      <c r="Q53" s="62">
        <v>3046511</v>
      </c>
      <c r="R53" s="61">
        <v>37.72</v>
      </c>
      <c r="S53" s="62">
        <v>8904980</v>
      </c>
      <c r="T53" s="61">
        <v>39.49</v>
      </c>
      <c r="U53" s="62">
        <v>5599655</v>
      </c>
      <c r="V53" s="61">
        <v>40.24</v>
      </c>
      <c r="W53" s="62">
        <v>8340846</v>
      </c>
      <c r="X53" s="61">
        <v>41.24</v>
      </c>
      <c r="Y53" s="62">
        <v>4924938</v>
      </c>
      <c r="Z53" s="61">
        <v>40.85</v>
      </c>
      <c r="AA53" s="62">
        <v>8340846</v>
      </c>
      <c r="AB53" s="61">
        <v>41.42</v>
      </c>
      <c r="AC53" s="62">
        <v>3373488</v>
      </c>
      <c r="AD53" s="61">
        <v>42.89</v>
      </c>
      <c r="AE53" s="62">
        <v>4229834</v>
      </c>
      <c r="AF53" s="61">
        <v>42.42</v>
      </c>
      <c r="AG53" s="62">
        <v>1382752</v>
      </c>
      <c r="AH53" s="61">
        <v>42.61</v>
      </c>
      <c r="AI53" s="62">
        <v>2591546</v>
      </c>
      <c r="AJ53" s="61">
        <v>43.1</v>
      </c>
      <c r="AK53" s="62">
        <v>1885885</v>
      </c>
      <c r="AL53" s="61">
        <v>44.75</v>
      </c>
      <c r="AM53" s="62">
        <v>3588820</v>
      </c>
      <c r="AN53" s="62"/>
      <c r="AO53" s="62"/>
      <c r="AP53" s="137">
        <f t="shared" ref="AP53:AP55" si="44">SUM(Q53,S53,U53,W53,Y53,AA53,AC53,AE53,AG53,AI53,AK53,AM53)</f>
        <v>56210101</v>
      </c>
      <c r="AQ53" s="56">
        <f t="shared" si="31"/>
        <v>18.655706798765006</v>
      </c>
      <c r="AR53" s="61">
        <f t="shared" si="15"/>
        <v>0.6995890049536877</v>
      </c>
      <c r="AS53" s="164">
        <f t="shared" si="33"/>
        <v>1.9588492138703255</v>
      </c>
      <c r="AT53" s="161">
        <f t="shared" si="16"/>
        <v>8.3640017671662061</v>
      </c>
      <c r="AU53" s="162">
        <f t="shared" si="17"/>
        <v>0.42125789545598397</v>
      </c>
      <c r="AV53" s="115">
        <f t="shared" si="34"/>
        <v>0.3421131771211165</v>
      </c>
      <c r="AW53" s="115">
        <f t="shared" si="35"/>
        <v>1.1832187794308238</v>
      </c>
      <c r="AX53" s="115">
        <f t="shared" si="36"/>
        <v>0.26105610370370919</v>
      </c>
      <c r="AY53" s="115">
        <f t="shared" si="37"/>
        <v>0.26529035569620191</v>
      </c>
      <c r="AZ53" s="115">
        <f t="shared" si="38"/>
        <v>0.52548406622771193</v>
      </c>
      <c r="BA53" s="115">
        <f t="shared" si="39"/>
        <v>0.37980938306401213</v>
      </c>
      <c r="BB53" s="115">
        <f t="shared" si="40"/>
        <v>0.34792358298245374</v>
      </c>
      <c r="BC53" s="116">
        <f t="shared" si="41"/>
        <v>29.353035693709213</v>
      </c>
      <c r="BD53" s="115">
        <f t="shared" si="42"/>
        <v>0.4517545876674372</v>
      </c>
    </row>
    <row r="54" spans="1:56" ht="15" customHeight="1" x14ac:dyDescent="0.2">
      <c r="A54" s="58">
        <v>12</v>
      </c>
      <c r="B54" s="70">
        <v>2</v>
      </c>
      <c r="C54" s="70" t="s">
        <v>50</v>
      </c>
      <c r="D54" s="229"/>
      <c r="E54" s="230"/>
      <c r="F54" s="156">
        <v>2.8</v>
      </c>
      <c r="G54" s="234"/>
      <c r="H54" s="168">
        <v>-0.3</v>
      </c>
      <c r="I54" s="39">
        <v>30.067</v>
      </c>
      <c r="J54" s="67"/>
      <c r="K54" s="8">
        <f t="shared" si="32"/>
        <v>0.10016928858881831</v>
      </c>
      <c r="L54" s="61">
        <v>20.8</v>
      </c>
      <c r="M54" s="62">
        <v>3799127</v>
      </c>
      <c r="N54" s="5">
        <v>2039938062</v>
      </c>
      <c r="O54" s="86">
        <f t="shared" si="43"/>
        <v>1.8623737018148741E-3</v>
      </c>
      <c r="P54" s="61">
        <v>37.82</v>
      </c>
      <c r="Q54" s="62">
        <v>10088653</v>
      </c>
      <c r="R54" s="61">
        <v>38.39</v>
      </c>
      <c r="S54" s="62">
        <v>9639204</v>
      </c>
      <c r="T54" s="114">
        <v>40.119999999999997</v>
      </c>
      <c r="U54" s="62">
        <v>26321845</v>
      </c>
      <c r="V54" s="61">
        <v>40.89</v>
      </c>
      <c r="W54" s="62">
        <v>15539463</v>
      </c>
      <c r="X54" s="61">
        <v>41.9</v>
      </c>
      <c r="Y54" s="62">
        <v>17565847</v>
      </c>
      <c r="Z54" s="61">
        <v>41.51</v>
      </c>
      <c r="AA54" s="62">
        <v>20739603</v>
      </c>
      <c r="AB54" s="61">
        <v>42.09</v>
      </c>
      <c r="AC54" s="62">
        <v>5946352</v>
      </c>
      <c r="AD54" s="61">
        <v>43.56</v>
      </c>
      <c r="AE54" s="62">
        <v>28416400</v>
      </c>
      <c r="AF54" s="114">
        <v>43.06</v>
      </c>
      <c r="AG54" s="62">
        <v>4400734</v>
      </c>
      <c r="AH54" s="61">
        <v>43.28</v>
      </c>
      <c r="AI54" s="62">
        <v>11976105</v>
      </c>
      <c r="AJ54" s="61">
        <v>43.75</v>
      </c>
      <c r="AK54" s="62">
        <v>3073849</v>
      </c>
      <c r="AL54" s="61">
        <v>45.42</v>
      </c>
      <c r="AM54" s="62">
        <v>36016591</v>
      </c>
      <c r="AN54" s="62"/>
      <c r="AO54" s="86"/>
      <c r="AP54" s="137">
        <f t="shared" si="44"/>
        <v>189724646</v>
      </c>
      <c r="AQ54" s="56">
        <f t="shared" si="31"/>
        <v>5.0023552299213465</v>
      </c>
      <c r="AR54" s="61">
        <f t="shared" ref="AR54:AR55" si="45">((AQ54*0.003)/0.08)</f>
        <v>0.18758832112205048</v>
      </c>
      <c r="AS54" s="164">
        <f t="shared" si="33"/>
        <v>0.52524729914174129</v>
      </c>
      <c r="AT54" s="161">
        <f t="shared" si="16"/>
        <v>2.2427297145249412</v>
      </c>
      <c r="AU54" s="162">
        <f t="shared" si="17"/>
        <v>0.11295640841757876</v>
      </c>
      <c r="AV54" s="115">
        <f t="shared" si="34"/>
        <v>1.0466271903779607</v>
      </c>
      <c r="AW54" s="115">
        <f t="shared" si="35"/>
        <v>1.0784866635917829</v>
      </c>
      <c r="AX54" s="115">
        <f t="shared" si="36"/>
        <v>0.29558620129131202</v>
      </c>
      <c r="AY54" s="115">
        <f t="shared" si="37"/>
        <v>0.5157020965800827</v>
      </c>
      <c r="AZ54" s="115">
        <f t="shared" si="38"/>
        <v>0.31257428650882374</v>
      </c>
      <c r="BA54" s="115">
        <f t="shared" si="39"/>
        <v>0.64933040973580114</v>
      </c>
      <c r="BB54" s="115">
        <f t="shared" si="40"/>
        <v>0.26871693615599446</v>
      </c>
      <c r="BC54" s="116">
        <f t="shared" si="41"/>
        <v>29.717990023288802</v>
      </c>
      <c r="BD54" s="115">
        <f t="shared" si="42"/>
        <v>0.58279003983488786</v>
      </c>
    </row>
    <row r="55" spans="1:56" ht="18" x14ac:dyDescent="0.2">
      <c r="A55" s="58">
        <v>11</v>
      </c>
      <c r="B55" s="70">
        <v>1</v>
      </c>
      <c r="C55" s="70" t="s">
        <v>51</v>
      </c>
      <c r="D55" s="229"/>
      <c r="E55" s="230"/>
      <c r="F55" s="156">
        <v>2.8</v>
      </c>
      <c r="G55" s="234"/>
      <c r="H55" s="168">
        <v>-0.7</v>
      </c>
      <c r="I55" s="39">
        <v>30.36</v>
      </c>
      <c r="J55" s="22"/>
      <c r="K55" s="8">
        <f t="shared" si="32"/>
        <v>9.9202569169960481E-2</v>
      </c>
      <c r="L55" s="61">
        <v>20.2</v>
      </c>
      <c r="M55" s="62">
        <v>1424595</v>
      </c>
      <c r="N55" s="5">
        <v>581943479</v>
      </c>
      <c r="O55" s="86">
        <f t="shared" si="43"/>
        <v>2.4479954693331996E-3</v>
      </c>
      <c r="P55" s="61">
        <v>37.19</v>
      </c>
      <c r="Q55" s="62">
        <v>27800573</v>
      </c>
      <c r="R55" s="61">
        <v>37.74</v>
      </c>
      <c r="S55" s="62">
        <v>34829159</v>
      </c>
      <c r="T55" s="61">
        <v>39.56</v>
      </c>
      <c r="U55" s="62">
        <v>97791232</v>
      </c>
      <c r="V55" s="61">
        <v>40.26</v>
      </c>
      <c r="W55" s="62">
        <v>58081083</v>
      </c>
      <c r="X55" s="61">
        <v>41.26</v>
      </c>
      <c r="Y55" s="62">
        <v>70966351</v>
      </c>
      <c r="Z55" s="61">
        <v>40.869999999999997</v>
      </c>
      <c r="AA55" s="62">
        <v>65412193</v>
      </c>
      <c r="AB55" s="61">
        <v>41.45</v>
      </c>
      <c r="AC55" s="62">
        <v>18267083</v>
      </c>
      <c r="AD55" s="61">
        <v>42.9</v>
      </c>
      <c r="AE55" s="62">
        <v>82759220</v>
      </c>
      <c r="AF55" s="61">
        <v>42.42</v>
      </c>
      <c r="AG55" s="62">
        <v>14140607</v>
      </c>
      <c r="AH55" s="61">
        <v>42.63</v>
      </c>
      <c r="AI55" s="62">
        <v>39921775</v>
      </c>
      <c r="AJ55" s="61">
        <v>43.11</v>
      </c>
      <c r="AK55" s="62">
        <v>11314384</v>
      </c>
      <c r="AL55" s="61">
        <v>44.78</v>
      </c>
      <c r="AM55" s="62">
        <v>115227641</v>
      </c>
      <c r="AN55" s="62"/>
      <c r="AO55" s="87"/>
      <c r="AP55" s="137">
        <f t="shared" si="44"/>
        <v>636511301</v>
      </c>
      <c r="AQ55" s="56">
        <f t="shared" si="31"/>
        <v>44.323864933482177</v>
      </c>
      <c r="AR55" s="61">
        <f t="shared" si="45"/>
        <v>1.6621449350055817</v>
      </c>
      <c r="AS55" s="164">
        <f t="shared" si="33"/>
        <v>4.6540058180156283</v>
      </c>
      <c r="AT55" s="161">
        <f t="shared" si="16"/>
        <v>19.871929197334019</v>
      </c>
      <c r="AU55" s="162">
        <f t="shared" si="17"/>
        <v>1.00086146623992</v>
      </c>
      <c r="AV55" s="115">
        <f t="shared" si="34"/>
        <v>0.79819822809962193</v>
      </c>
      <c r="AW55" s="115">
        <f t="shared" si="35"/>
        <v>1.3628978358468224</v>
      </c>
      <c r="AX55" s="115">
        <f t="shared" si="36"/>
        <v>0.31284944604638082</v>
      </c>
      <c r="AY55" s="115">
        <f t="shared" si="37"/>
        <v>0.49723604808349148</v>
      </c>
      <c r="AZ55" s="115">
        <f t="shared" si="38"/>
        <v>0.31934771489752822</v>
      </c>
      <c r="BA55" s="115">
        <f t="shared" si="39"/>
        <v>0.63801123634818058</v>
      </c>
      <c r="BB55" s="115">
        <f t="shared" si="40"/>
        <v>0.26156093159195243</v>
      </c>
      <c r="BC55" s="116">
        <f t="shared" si="41"/>
        <v>29.686895903204082</v>
      </c>
      <c r="BD55" s="115">
        <f t="shared" si="42"/>
        <v>0.54522661648704962</v>
      </c>
    </row>
    <row r="56" spans="1:56" ht="18" x14ac:dyDescent="0.2">
      <c r="A56" s="58">
        <v>10</v>
      </c>
      <c r="B56" s="117">
        <v>42</v>
      </c>
      <c r="C56" s="117" t="s">
        <v>167</v>
      </c>
      <c r="D56" s="229"/>
      <c r="E56" s="230"/>
      <c r="F56" s="156">
        <v>2.8</v>
      </c>
      <c r="G56" s="234"/>
      <c r="H56" s="168">
        <v>-0.76</v>
      </c>
      <c r="I56" s="39">
        <v>30.241</v>
      </c>
      <c r="J56" s="22"/>
      <c r="K56" s="8">
        <f t="shared" si="32"/>
        <v>9.9592936741509874E-2</v>
      </c>
      <c r="L56" s="61">
        <v>20.07</v>
      </c>
      <c r="M56" s="62">
        <v>12525762</v>
      </c>
      <c r="N56" s="62">
        <v>5808380777</v>
      </c>
      <c r="O56" s="121">
        <f t="shared" si="1"/>
        <v>2.1564980811174528E-3</v>
      </c>
      <c r="P56" s="61">
        <v>37.01</v>
      </c>
      <c r="Q56" s="62">
        <v>25080276</v>
      </c>
      <c r="R56" s="61">
        <v>37.58</v>
      </c>
      <c r="S56" s="62">
        <v>49294583</v>
      </c>
      <c r="T56" s="61">
        <v>39.32</v>
      </c>
      <c r="U56" s="62">
        <v>67125210</v>
      </c>
      <c r="V56" s="61">
        <v>40.090000000000003</v>
      </c>
      <c r="W56" s="62">
        <v>33238307</v>
      </c>
      <c r="X56" s="61">
        <v>41.09</v>
      </c>
      <c r="Y56" s="62">
        <v>44262137</v>
      </c>
      <c r="Z56" s="61">
        <v>40.71</v>
      </c>
      <c r="AA56" s="62">
        <v>52894560</v>
      </c>
      <c r="AB56" s="61">
        <v>41.29</v>
      </c>
      <c r="AC56" s="62">
        <v>20911531</v>
      </c>
      <c r="AD56" s="61">
        <v>42.75</v>
      </c>
      <c r="AE56" s="62">
        <v>105955745</v>
      </c>
      <c r="AF56" s="61">
        <v>42.29</v>
      </c>
      <c r="AG56" s="62">
        <v>9169989</v>
      </c>
      <c r="AH56" s="61">
        <v>42.47</v>
      </c>
      <c r="AI56" s="62">
        <v>34364487</v>
      </c>
      <c r="AJ56" s="61">
        <v>42.95</v>
      </c>
      <c r="AK56" s="62">
        <v>12924703</v>
      </c>
      <c r="AL56" s="61">
        <v>44.62</v>
      </c>
      <c r="AM56" s="62">
        <v>112642281</v>
      </c>
      <c r="AN56" s="62">
        <v>1373576709</v>
      </c>
      <c r="AO56" s="61">
        <f t="shared" si="25"/>
        <v>8.2006545584197149E-2</v>
      </c>
      <c r="AP56" s="137">
        <f t="shared" si="3"/>
        <v>567863809</v>
      </c>
      <c r="AQ56" s="56">
        <f t="shared" si="31"/>
        <v>4.5151124863724732</v>
      </c>
      <c r="AR56" s="61">
        <f t="shared" si="15"/>
        <v>0.16931671823896774</v>
      </c>
      <c r="AS56" s="164">
        <f t="shared" si="33"/>
        <v>0.47408681106910966</v>
      </c>
      <c r="AT56" s="161">
        <f t="shared" si="16"/>
        <v>2.0242818576819368</v>
      </c>
      <c r="AU56" s="162">
        <f t="shared" si="17"/>
        <v>0.1019541529180881</v>
      </c>
      <c r="AV56" s="115">
        <f t="shared" si="34"/>
        <v>0.50878361218716461</v>
      </c>
      <c r="AW56" s="115">
        <f t="shared" si="35"/>
        <v>0.80454036973676657</v>
      </c>
      <c r="AX56" s="115">
        <f t="shared" si="36"/>
        <v>0.30604623575289069</v>
      </c>
      <c r="AY56" s="115">
        <f t="shared" si="37"/>
        <v>0.58942291288124138</v>
      </c>
      <c r="AZ56" s="115">
        <f t="shared" si="38"/>
        <v>0.27875131252725399</v>
      </c>
      <c r="BA56" s="115">
        <f t="shared" si="39"/>
        <v>0.66612246281019694</v>
      </c>
      <c r="BB56" s="115">
        <f t="shared" si="40"/>
        <v>0.21063740379004448</v>
      </c>
      <c r="BC56" s="116">
        <f t="shared" si="41"/>
        <v>29.736989423110074</v>
      </c>
      <c r="BD56" s="115">
        <f t="shared" si="42"/>
        <v>0.61434324651599692</v>
      </c>
    </row>
    <row r="57" spans="1:56" ht="18" x14ac:dyDescent="0.2">
      <c r="A57" s="58">
        <v>9</v>
      </c>
      <c r="B57" s="117">
        <v>41</v>
      </c>
      <c r="C57" s="117" t="s">
        <v>166</v>
      </c>
      <c r="D57" s="229"/>
      <c r="E57" s="230"/>
      <c r="F57" s="156">
        <v>2.8</v>
      </c>
      <c r="G57" s="234"/>
      <c r="H57" s="168">
        <v>-0.9</v>
      </c>
      <c r="I57" s="4">
        <v>30.056000000000001</v>
      </c>
      <c r="J57" s="22"/>
      <c r="K57" s="8">
        <f t="shared" si="32"/>
        <v>0.10020594889539526</v>
      </c>
      <c r="L57" s="61">
        <v>20.05</v>
      </c>
      <c r="M57" s="62">
        <v>3298011</v>
      </c>
      <c r="N57" s="5">
        <v>1836776207</v>
      </c>
      <c r="O57" s="120">
        <f t="shared" si="1"/>
        <v>1.7955431845377776E-3</v>
      </c>
      <c r="P57" s="61">
        <v>37.01</v>
      </c>
      <c r="Q57" s="62">
        <v>9122664</v>
      </c>
      <c r="R57" s="61">
        <v>37.57</v>
      </c>
      <c r="S57" s="62">
        <v>14418948</v>
      </c>
      <c r="T57" s="4">
        <v>39.31</v>
      </c>
      <c r="U57" s="4">
        <v>24349281</v>
      </c>
      <c r="V57" s="4">
        <v>40.08</v>
      </c>
      <c r="W57" s="4">
        <v>11937353</v>
      </c>
      <c r="X57" s="4">
        <v>41.08</v>
      </c>
      <c r="Y57" s="4">
        <v>15624309</v>
      </c>
      <c r="Z57" s="4">
        <v>40.71</v>
      </c>
      <c r="AA57" s="4">
        <v>16762373</v>
      </c>
      <c r="AB57" s="4">
        <v>41.28</v>
      </c>
      <c r="AC57" s="4">
        <v>7347513</v>
      </c>
      <c r="AD57" s="4">
        <v>42.74</v>
      </c>
      <c r="AE57" s="4">
        <v>27493758</v>
      </c>
      <c r="AF57" s="4">
        <v>42.28</v>
      </c>
      <c r="AG57" s="4">
        <v>3911116</v>
      </c>
      <c r="AH57" s="4">
        <v>42.47</v>
      </c>
      <c r="AI57" s="4">
        <v>12233208</v>
      </c>
      <c r="AJ57" s="4">
        <v>42.94</v>
      </c>
      <c r="AK57" s="4">
        <v>4077649</v>
      </c>
      <c r="AL57" s="4">
        <v>44.61</v>
      </c>
      <c r="AM57" s="4">
        <v>36834586</v>
      </c>
      <c r="AN57" s="62">
        <v>413211312</v>
      </c>
      <c r="AO57" s="87">
        <f t="shared" si="25"/>
        <v>8.9142249813335211E-2</v>
      </c>
      <c r="AP57" s="137">
        <f t="shared" si="3"/>
        <v>184112758</v>
      </c>
      <c r="AQ57" s="56">
        <f t="shared" si="31"/>
        <v>5.5940364113819738</v>
      </c>
      <c r="AR57" s="61">
        <f t="shared" si="15"/>
        <v>0.20977636542682401</v>
      </c>
      <c r="AS57" s="164">
        <f t="shared" si="33"/>
        <v>0.58737382319510723</v>
      </c>
      <c r="AT57" s="161">
        <f t="shared" si="16"/>
        <v>2.508000953010705</v>
      </c>
      <c r="AU57" s="162">
        <f t="shared" si="17"/>
        <v>0.12631695122475423</v>
      </c>
      <c r="AV57" s="115">
        <f t="shared" si="34"/>
        <v>0.63268582423627573</v>
      </c>
      <c r="AW57" s="115">
        <f t="shared" si="35"/>
        <v>1.0059549864346788</v>
      </c>
      <c r="AX57" s="115">
        <f t="shared" si="36"/>
        <v>0.30098295459591246</v>
      </c>
      <c r="AY57" s="115">
        <f t="shared" si="37"/>
        <v>0.53278714193129462</v>
      </c>
      <c r="AZ57" s="115">
        <f t="shared" si="38"/>
        <v>0.30473114679029828</v>
      </c>
      <c r="BA57" s="115">
        <f t="shared" si="39"/>
        <v>0.64558022154823602</v>
      </c>
      <c r="BB57" s="115">
        <f t="shared" si="40"/>
        <v>0.24225950866694698</v>
      </c>
      <c r="BC57" s="116">
        <f t="shared" si="41"/>
        <v>29.722668474718084</v>
      </c>
      <c r="BD57" s="115">
        <f t="shared" si="42"/>
        <v>0.59018290845439403</v>
      </c>
    </row>
    <row r="58" spans="1:56" ht="18" x14ac:dyDescent="0.2">
      <c r="A58" s="58">
        <v>8</v>
      </c>
      <c r="B58" s="117">
        <v>40</v>
      </c>
      <c r="C58" s="117" t="s">
        <v>165</v>
      </c>
      <c r="D58" s="229"/>
      <c r="E58" s="230"/>
      <c r="F58" s="156">
        <v>2.8</v>
      </c>
      <c r="G58" s="234"/>
      <c r="H58" s="168">
        <v>-1.1000000000000001</v>
      </c>
      <c r="I58" s="4">
        <v>30.343</v>
      </c>
      <c r="J58" s="22"/>
      <c r="K58" s="8">
        <f t="shared" si="32"/>
        <v>9.9258148502125693E-2</v>
      </c>
      <c r="L58" s="61">
        <v>20.04</v>
      </c>
      <c r="M58" s="62">
        <v>3853631</v>
      </c>
      <c r="N58" s="5">
        <v>1828276340</v>
      </c>
      <c r="O58" s="86">
        <f t="shared" si="1"/>
        <v>2.1077946017722901E-3</v>
      </c>
      <c r="P58" s="61">
        <v>37.020000000000003</v>
      </c>
      <c r="Q58" s="62">
        <v>13277848</v>
      </c>
      <c r="R58" s="61">
        <v>37.57</v>
      </c>
      <c r="S58" s="62">
        <v>24227409</v>
      </c>
      <c r="T58" s="61">
        <v>39.31</v>
      </c>
      <c r="U58" s="62">
        <v>43485749</v>
      </c>
      <c r="V58" s="61">
        <v>40.08</v>
      </c>
      <c r="W58" s="62">
        <v>23610377</v>
      </c>
      <c r="X58" s="61">
        <v>41.08</v>
      </c>
      <c r="Y58" s="62">
        <v>29239928</v>
      </c>
      <c r="Z58" s="61">
        <v>40.71</v>
      </c>
      <c r="AA58" s="62">
        <v>29669154</v>
      </c>
      <c r="AB58" s="61">
        <v>41.28</v>
      </c>
      <c r="AC58" s="62">
        <v>10970428</v>
      </c>
      <c r="AD58" s="61">
        <v>42.74</v>
      </c>
      <c r="AE58" s="62">
        <v>49363156</v>
      </c>
      <c r="AF58" s="61">
        <v>42.28</v>
      </c>
      <c r="AG58" s="62">
        <v>5756263</v>
      </c>
      <c r="AH58" s="61">
        <v>42.47</v>
      </c>
      <c r="AI58" s="62">
        <v>17715264</v>
      </c>
      <c r="AJ58" s="61">
        <v>42.94</v>
      </c>
      <c r="AK58" s="62">
        <v>6289924</v>
      </c>
      <c r="AL58" s="61">
        <v>44.61</v>
      </c>
      <c r="AM58" s="62">
        <v>61452945</v>
      </c>
      <c r="AN58" s="62">
        <v>672212879</v>
      </c>
      <c r="AO58" s="87">
        <f t="shared" si="25"/>
        <v>9.141887476392728E-2</v>
      </c>
      <c r="AP58" s="137">
        <f t="shared" si="3"/>
        <v>315058445</v>
      </c>
      <c r="AQ58" s="56">
        <f t="shared" si="31"/>
        <v>8.1149746617304039</v>
      </c>
      <c r="AR58" s="61">
        <f t="shared" si="15"/>
        <v>0.30431154981489011</v>
      </c>
      <c r="AS58" s="164">
        <f t="shared" si="33"/>
        <v>0.85207233948169225</v>
      </c>
      <c r="AT58" s="161">
        <f t="shared" si="16"/>
        <v>3.6382251899303677</v>
      </c>
      <c r="AU58" s="162">
        <f t="shared" si="17"/>
        <v>0.18324136332939617</v>
      </c>
      <c r="AV58" s="115">
        <f t="shared" si="34"/>
        <v>0.54805068094570075</v>
      </c>
      <c r="AW58" s="115">
        <f t="shared" si="35"/>
        <v>1.070368037025718</v>
      </c>
      <c r="AX58" s="115">
        <f t="shared" si="36"/>
        <v>0.30352009228030036</v>
      </c>
      <c r="AY58" s="115">
        <f t="shared" si="37"/>
        <v>0.54846282565314841</v>
      </c>
      <c r="AZ58" s="115">
        <f t="shared" si="38"/>
        <v>0.27638119433936548</v>
      </c>
      <c r="BA58" s="115">
        <f t="shared" si="39"/>
        <v>0.67371980405373733</v>
      </c>
      <c r="BB58" s="115">
        <f t="shared" si="40"/>
        <v>0.24524450411769119</v>
      </c>
      <c r="BC58" s="116">
        <f t="shared" si="41"/>
        <v>29.703515263652115</v>
      </c>
      <c r="BD58" s="115">
        <f t="shared" si="42"/>
        <v>0.57518576910388797</v>
      </c>
    </row>
    <row r="59" spans="1:56" ht="18" x14ac:dyDescent="0.2">
      <c r="A59" s="58">
        <v>7</v>
      </c>
      <c r="B59" s="117">
        <v>39</v>
      </c>
      <c r="C59" s="117" t="s">
        <v>164</v>
      </c>
      <c r="D59" s="229"/>
      <c r="E59" s="230"/>
      <c r="F59" s="156">
        <v>2.8</v>
      </c>
      <c r="G59" s="234"/>
      <c r="H59" s="168">
        <v>-1.3</v>
      </c>
      <c r="I59" s="5">
        <v>30.998000000000001</v>
      </c>
      <c r="J59" s="22"/>
      <c r="K59" s="8">
        <f t="shared" si="32"/>
        <v>9.7160784566746233E-2</v>
      </c>
      <c r="L59" s="61">
        <v>20.059999999999999</v>
      </c>
      <c r="M59" s="62">
        <v>4602805</v>
      </c>
      <c r="N59" s="5">
        <v>2225455027</v>
      </c>
      <c r="O59" s="86">
        <f t="shared" si="1"/>
        <v>2.0682534331887895E-3</v>
      </c>
      <c r="P59" s="61">
        <v>37.020000000000003</v>
      </c>
      <c r="Q59" s="62">
        <v>20372386</v>
      </c>
      <c r="R59" s="61">
        <v>37.58</v>
      </c>
      <c r="S59" s="62">
        <v>35171078</v>
      </c>
      <c r="T59" s="61">
        <v>39.32</v>
      </c>
      <c r="U59" s="62">
        <v>60292138</v>
      </c>
      <c r="V59" s="61">
        <v>40.090000000000003</v>
      </c>
      <c r="W59" s="62">
        <v>33544698</v>
      </c>
      <c r="X59" s="61">
        <v>41.09</v>
      </c>
      <c r="Y59" s="62">
        <v>42607779</v>
      </c>
      <c r="Z59" s="61">
        <v>40.71</v>
      </c>
      <c r="AA59" s="62">
        <v>44182212</v>
      </c>
      <c r="AB59" s="61">
        <v>41.29</v>
      </c>
      <c r="AC59" s="62">
        <v>16157586</v>
      </c>
      <c r="AD59" s="61">
        <v>42.75</v>
      </c>
      <c r="AE59" s="62">
        <v>65363734</v>
      </c>
      <c r="AF59" s="61">
        <v>42.26</v>
      </c>
      <c r="AG59" s="62">
        <v>9557509</v>
      </c>
      <c r="AH59" s="61">
        <v>42.48</v>
      </c>
      <c r="AI59" s="62">
        <v>30156528</v>
      </c>
      <c r="AJ59" s="61">
        <v>42.95</v>
      </c>
      <c r="AK59" s="62">
        <v>10900249</v>
      </c>
      <c r="AL59" s="61">
        <v>44.62</v>
      </c>
      <c r="AM59" s="62">
        <v>85551258</v>
      </c>
      <c r="AN59" s="62">
        <v>1080189256</v>
      </c>
      <c r="AO59" s="87">
        <f t="shared" si="25"/>
        <v>7.9200248960817288E-2</v>
      </c>
      <c r="AP59" s="137">
        <f t="shared" si="3"/>
        <v>453857155</v>
      </c>
      <c r="AQ59" s="56">
        <f t="shared" si="31"/>
        <v>9.5804878244964442</v>
      </c>
      <c r="AR59" s="61">
        <f t="shared" si="15"/>
        <v>0.35926829341861666</v>
      </c>
      <c r="AS59" s="164">
        <f t="shared" si="33"/>
        <v>1.0059512215721267</v>
      </c>
      <c r="AT59" s="161">
        <f t="shared" si="16"/>
        <v>4.2952656770799598</v>
      </c>
      <c r="AU59" s="162">
        <f t="shared" si="17"/>
        <v>0.21633359603701646</v>
      </c>
      <c r="AV59" s="115">
        <f t="shared" si="34"/>
        <v>0.57923689458708094</v>
      </c>
      <c r="AW59" s="115">
        <f t="shared" si="35"/>
        <v>1.0854477422320958</v>
      </c>
      <c r="AX59" s="115">
        <f t="shared" si="36"/>
        <v>0.31227160558883177</v>
      </c>
      <c r="AY59" s="115">
        <f t="shared" si="37"/>
        <v>0.51998327302370473</v>
      </c>
      <c r="AZ59" s="115">
        <f t="shared" si="38"/>
        <v>0.3170394242076387</v>
      </c>
      <c r="BA59" s="115">
        <f t="shared" si="39"/>
        <v>0.62828859259725789</v>
      </c>
      <c r="BB59" s="115">
        <f t="shared" si="40"/>
        <v>0.2406582085825221</v>
      </c>
      <c r="BC59" s="116">
        <f t="shared" si="41"/>
        <v>29.709736018153112</v>
      </c>
      <c r="BD59" s="115">
        <f t="shared" si="42"/>
        <v>0.57698567294813274</v>
      </c>
    </row>
    <row r="60" spans="1:56" ht="18" x14ac:dyDescent="0.2">
      <c r="A60" s="58">
        <v>6</v>
      </c>
      <c r="B60" s="117">
        <v>38</v>
      </c>
      <c r="C60" s="117" t="s">
        <v>163</v>
      </c>
      <c r="D60" s="229"/>
      <c r="E60" s="230"/>
      <c r="F60" s="156">
        <v>2.8</v>
      </c>
      <c r="G60" s="234"/>
      <c r="H60" s="168">
        <v>-1.7</v>
      </c>
      <c r="I60" s="5">
        <v>30.56</v>
      </c>
      <c r="J60" s="22"/>
      <c r="K60" s="8">
        <f t="shared" si="32"/>
        <v>9.8553337696335078E-2</v>
      </c>
      <c r="L60" s="61">
        <v>20.059999999999999</v>
      </c>
      <c r="M60" s="62">
        <v>6312232</v>
      </c>
      <c r="N60" s="5">
        <v>3110707058</v>
      </c>
      <c r="O60" s="86">
        <f t="shared" si="1"/>
        <v>2.029195254425015E-3</v>
      </c>
      <c r="P60" s="61">
        <v>37.03</v>
      </c>
      <c r="Q60" s="62">
        <v>21482476</v>
      </c>
      <c r="R60" s="61">
        <v>37.57</v>
      </c>
      <c r="S60" s="62">
        <v>32710692</v>
      </c>
      <c r="T60" s="61">
        <v>39.32</v>
      </c>
      <c r="U60" s="62">
        <v>54519268</v>
      </c>
      <c r="V60" s="61">
        <v>40.090000000000003</v>
      </c>
      <c r="W60" s="62">
        <v>35888322</v>
      </c>
      <c r="X60" s="61">
        <v>41.09</v>
      </c>
      <c r="Y60" s="62">
        <v>42431323</v>
      </c>
      <c r="Z60" s="61">
        <v>40.71</v>
      </c>
      <c r="AA60" s="62">
        <v>38052442</v>
      </c>
      <c r="AB60" s="61">
        <v>41.29</v>
      </c>
      <c r="AC60" s="62">
        <v>18404786</v>
      </c>
      <c r="AD60" s="61">
        <v>42.74</v>
      </c>
      <c r="AE60" s="62">
        <v>68487021</v>
      </c>
      <c r="AF60" s="61">
        <v>42.27</v>
      </c>
      <c r="AG60" s="62">
        <v>9757530</v>
      </c>
      <c r="AH60" s="61">
        <v>42.46</v>
      </c>
      <c r="AI60" s="62">
        <v>28250446</v>
      </c>
      <c r="AJ60" s="61">
        <v>42.96</v>
      </c>
      <c r="AK60" s="62">
        <v>9480179</v>
      </c>
      <c r="AL60" s="61">
        <v>44.61</v>
      </c>
      <c r="AM60" s="62">
        <v>83222866</v>
      </c>
      <c r="AN60" s="62">
        <v>940341797</v>
      </c>
      <c r="AO60" s="87">
        <f t="shared" si="25"/>
        <v>8.8502782993915993E-2</v>
      </c>
      <c r="AP60" s="137">
        <f t="shared" si="3"/>
        <v>442687351</v>
      </c>
      <c r="AQ60" s="56">
        <f t="shared" si="31"/>
        <v>6.9117098352847322</v>
      </c>
      <c r="AR60" s="61">
        <f t="shared" si="15"/>
        <v>0.25918911882317747</v>
      </c>
      <c r="AS60" s="164">
        <f t="shared" si="33"/>
        <v>0.72572953270489682</v>
      </c>
      <c r="AT60" s="161">
        <f t="shared" si="16"/>
        <v>3.0987597468185175</v>
      </c>
      <c r="AU60" s="162">
        <f t="shared" si="17"/>
        <v>0.15607086724836489</v>
      </c>
      <c r="AV60" s="115">
        <f t="shared" si="34"/>
        <v>0.65674171613367271</v>
      </c>
      <c r="AW60" s="115">
        <f t="shared" si="35"/>
        <v>1.063185493235467</v>
      </c>
      <c r="AX60" s="115">
        <f t="shared" si="36"/>
        <v>0.31941937826606576</v>
      </c>
      <c r="AY60" s="115">
        <f t="shared" si="37"/>
        <v>0.5481406431119531</v>
      </c>
      <c r="AZ60" s="115">
        <f t="shared" si="38"/>
        <v>0.31351738033791765</v>
      </c>
      <c r="BA60" s="115">
        <f t="shared" si="39"/>
        <v>0.63669356541863442</v>
      </c>
      <c r="BB60" s="115">
        <f t="shared" si="40"/>
        <v>0.2567232204103686</v>
      </c>
      <c r="BC60" s="116">
        <f t="shared" si="41"/>
        <v>29.70182860725108</v>
      </c>
      <c r="BD60" s="115">
        <f t="shared" si="42"/>
        <v>0.57750751048678595</v>
      </c>
    </row>
    <row r="61" spans="1:56" ht="18" x14ac:dyDescent="0.2">
      <c r="A61" s="58">
        <v>5</v>
      </c>
      <c r="B61" s="117">
        <v>37</v>
      </c>
      <c r="C61" s="117" t="s">
        <v>162</v>
      </c>
      <c r="D61" s="229"/>
      <c r="E61" s="230"/>
      <c r="F61" s="156">
        <v>2.8</v>
      </c>
      <c r="G61" s="234"/>
      <c r="H61" s="168">
        <v>-1.9</v>
      </c>
      <c r="I61" s="4">
        <v>30.324999999999999</v>
      </c>
      <c r="J61" s="22"/>
      <c r="K61" s="8">
        <f t="shared" si="32"/>
        <v>9.9317065127782364E-2</v>
      </c>
      <c r="L61" s="61">
        <v>20.059999999999999</v>
      </c>
      <c r="M61" s="62">
        <v>5932001</v>
      </c>
      <c r="N61" s="5">
        <v>2951660442</v>
      </c>
      <c r="O61" s="86">
        <f t="shared" si="1"/>
        <v>2.0097166041160774E-3</v>
      </c>
      <c r="P61" s="61">
        <v>37.020000000000003</v>
      </c>
      <c r="Q61" s="62">
        <v>23840117</v>
      </c>
      <c r="R61" s="61">
        <v>37.58</v>
      </c>
      <c r="S61" s="62">
        <v>33619930</v>
      </c>
      <c r="T61" s="61">
        <v>39.32</v>
      </c>
      <c r="U61" s="62">
        <v>54664474</v>
      </c>
      <c r="V61" s="61">
        <v>40.090000000000003</v>
      </c>
      <c r="W61" s="62">
        <v>36362443</v>
      </c>
      <c r="X61" s="61">
        <v>41.09</v>
      </c>
      <c r="Y61" s="62">
        <v>46097591</v>
      </c>
      <c r="Z61" s="61">
        <v>40.72</v>
      </c>
      <c r="AA61" s="62">
        <v>49271892</v>
      </c>
      <c r="AB61" s="61">
        <v>41.29</v>
      </c>
      <c r="AC61" s="62">
        <v>18995463</v>
      </c>
      <c r="AD61" s="61">
        <v>42.75</v>
      </c>
      <c r="AE61" s="62">
        <v>76718321</v>
      </c>
      <c r="AF61" s="61">
        <v>42.27</v>
      </c>
      <c r="AG61" s="62">
        <v>8785056</v>
      </c>
      <c r="AH61" s="61">
        <v>42.48</v>
      </c>
      <c r="AI61" s="62">
        <v>35669751</v>
      </c>
      <c r="AJ61" s="61">
        <v>42.96</v>
      </c>
      <c r="AK61" s="62">
        <v>14194846</v>
      </c>
      <c r="AL61" s="61">
        <v>44.62</v>
      </c>
      <c r="AM61" s="62">
        <v>97472036</v>
      </c>
      <c r="AN61" s="62">
        <v>1111614530</v>
      </c>
      <c r="AO61" s="87">
        <f t="shared" si="25"/>
        <v>8.7685104296000876E-2</v>
      </c>
      <c r="AP61" s="137">
        <f t="shared" si="3"/>
        <v>495691920</v>
      </c>
      <c r="AQ61" s="56">
        <f t="shared" si="31"/>
        <v>8.2991669593372421</v>
      </c>
      <c r="AR61" s="61">
        <f t="shared" si="15"/>
        <v>0.31121876097514656</v>
      </c>
      <c r="AS61" s="164">
        <f t="shared" si="33"/>
        <v>0.87141253073041036</v>
      </c>
      <c r="AT61" s="161">
        <f t="shared" si="16"/>
        <v>3.7208049988488909</v>
      </c>
      <c r="AU61" s="162">
        <f t="shared" si="17"/>
        <v>0.18740054424309899</v>
      </c>
      <c r="AV61" s="115">
        <f t="shared" si="34"/>
        <v>0.70910668166174051</v>
      </c>
      <c r="AW61" s="115">
        <f t="shared" si="35"/>
        <v>0.94577969205730361</v>
      </c>
      <c r="AX61" s="115">
        <f t="shared" si="36"/>
        <v>0.3361732462879648</v>
      </c>
      <c r="AY61" s="115">
        <f t="shared" si="37"/>
        <v>0.5291441411081188</v>
      </c>
      <c r="AZ61" s="115">
        <f t="shared" si="38"/>
        <v>0.31322339072954647</v>
      </c>
      <c r="BA61" s="115">
        <f t="shared" si="39"/>
        <v>0.62433372726322478</v>
      </c>
      <c r="BB61" s="115">
        <f t="shared" si="40"/>
        <v>0.1976176839548533</v>
      </c>
      <c r="BC61" s="116">
        <f t="shared" si="41"/>
        <v>29.758392208612154</v>
      </c>
      <c r="BD61" s="115">
        <f t="shared" si="42"/>
        <v>0.60744860436700276</v>
      </c>
    </row>
    <row r="62" spans="1:56" ht="18" x14ac:dyDescent="0.2">
      <c r="A62" s="58">
        <v>4</v>
      </c>
      <c r="B62" s="117">
        <v>36</v>
      </c>
      <c r="C62" s="117" t="s">
        <v>161</v>
      </c>
      <c r="D62" s="229"/>
      <c r="E62" s="230"/>
      <c r="F62" s="156">
        <v>2.8</v>
      </c>
      <c r="G62" s="234"/>
      <c r="H62" s="168">
        <v>-2.1</v>
      </c>
      <c r="I62" s="4">
        <v>30.126999999999999</v>
      </c>
      <c r="J62" s="22"/>
      <c r="K62" s="8">
        <f t="shared" si="32"/>
        <v>9.9969794536462306E-2</v>
      </c>
      <c r="L62" s="61">
        <v>20.059999999999999</v>
      </c>
      <c r="M62" s="62">
        <v>5473075</v>
      </c>
      <c r="N62" s="5">
        <v>2737713289</v>
      </c>
      <c r="O62" s="86">
        <f t="shared" si="1"/>
        <v>1.9991410429976548E-3</v>
      </c>
      <c r="P62" s="61">
        <v>37.01</v>
      </c>
      <c r="Q62" s="62">
        <v>13357057</v>
      </c>
      <c r="R62" s="61">
        <v>37.58</v>
      </c>
      <c r="S62" s="62">
        <v>24345950</v>
      </c>
      <c r="T62" s="61">
        <v>39.31</v>
      </c>
      <c r="U62" s="62">
        <v>36783511</v>
      </c>
      <c r="V62" s="61">
        <v>40.090000000000003</v>
      </c>
      <c r="W62" s="62">
        <v>26587712</v>
      </c>
      <c r="X62" s="61">
        <v>41.09</v>
      </c>
      <c r="Y62" s="62">
        <v>35859738</v>
      </c>
      <c r="Z62" s="61">
        <v>40.71</v>
      </c>
      <c r="AA62" s="62">
        <v>31198486</v>
      </c>
      <c r="AB62" s="61">
        <v>41.29</v>
      </c>
      <c r="AC62" s="62">
        <v>10103947</v>
      </c>
      <c r="AD62" s="61">
        <v>42.74</v>
      </c>
      <c r="AE62" s="62">
        <v>49570821</v>
      </c>
      <c r="AF62" s="61">
        <v>42.26</v>
      </c>
      <c r="AG62" s="62">
        <v>7771084</v>
      </c>
      <c r="AH62" s="61">
        <v>42.47</v>
      </c>
      <c r="AI62" s="62">
        <v>18525994</v>
      </c>
      <c r="AJ62" s="61">
        <v>42.95</v>
      </c>
      <c r="AK62" s="62">
        <v>8387057</v>
      </c>
      <c r="AL62" s="61">
        <v>44.61</v>
      </c>
      <c r="AM62" s="62">
        <v>56992562</v>
      </c>
      <c r="AN62" s="62">
        <v>637773741</v>
      </c>
      <c r="AO62" s="87">
        <f t="shared" si="25"/>
        <v>8.9361725540217873E-2</v>
      </c>
      <c r="AP62" s="137">
        <f t="shared" si="3"/>
        <v>319483919</v>
      </c>
      <c r="AQ62" s="56">
        <f t="shared" si="31"/>
        <v>5.8356119256786663</v>
      </c>
      <c r="AR62" s="61">
        <f t="shared" si="15"/>
        <v>0.21883544721295001</v>
      </c>
      <c r="AS62" s="164">
        <f t="shared" si="33"/>
        <v>0.61273925219626002</v>
      </c>
      <c r="AT62" s="161">
        <f t="shared" si="16"/>
        <v>2.6163076524178477</v>
      </c>
      <c r="AU62" s="162">
        <f t="shared" si="17"/>
        <v>0.13177188219274408</v>
      </c>
      <c r="AV62" s="115">
        <f t="shared" si="34"/>
        <v>0.54863568683908415</v>
      </c>
      <c r="AW62" s="115">
        <f t="shared" si="35"/>
        <v>1.0919710325328507</v>
      </c>
      <c r="AX62" s="115">
        <f t="shared" si="36"/>
        <v>0.36137650627005419</v>
      </c>
      <c r="AY62" s="115">
        <f t="shared" si="37"/>
        <v>0.54549406803458367</v>
      </c>
      <c r="AZ62" s="115">
        <f t="shared" si="38"/>
        <v>0.31573047980517144</v>
      </c>
      <c r="BA62" s="115">
        <f t="shared" si="39"/>
        <v>0.62166901584597878</v>
      </c>
      <c r="BB62" s="115">
        <f t="shared" si="40"/>
        <v>0.29551131118065666</v>
      </c>
      <c r="BC62" s="116">
        <f t="shared" si="41"/>
        <v>29.698522118729862</v>
      </c>
      <c r="BD62" s="115">
        <f t="shared" si="42"/>
        <v>0.57139010805736357</v>
      </c>
    </row>
    <row r="63" spans="1:56" ht="18" x14ac:dyDescent="0.2">
      <c r="A63" s="58">
        <v>3</v>
      </c>
      <c r="B63" s="117">
        <v>35</v>
      </c>
      <c r="C63" s="117" t="s">
        <v>160</v>
      </c>
      <c r="D63" s="229"/>
      <c r="E63" s="230"/>
      <c r="F63" s="156">
        <v>2.8</v>
      </c>
      <c r="G63" s="234"/>
      <c r="H63" s="168">
        <v>-2.2999999999999998</v>
      </c>
      <c r="I63" s="4">
        <v>30.097000000000001</v>
      </c>
      <c r="J63" s="22"/>
      <c r="K63" s="8">
        <f t="shared" si="32"/>
        <v>0.10006944213709007</v>
      </c>
      <c r="L63" s="61">
        <v>19.91</v>
      </c>
      <c r="M63" s="62">
        <v>2622547</v>
      </c>
      <c r="N63" s="5">
        <v>1308393071</v>
      </c>
      <c r="O63" s="86">
        <f t="shared" si="1"/>
        <v>2.0044030025285881E-3</v>
      </c>
      <c r="P63" s="61">
        <v>36.86</v>
      </c>
      <c r="Q63" s="62">
        <v>5928644</v>
      </c>
      <c r="R63" s="61">
        <v>37.42</v>
      </c>
      <c r="S63" s="62">
        <v>8027914</v>
      </c>
      <c r="T63" s="61">
        <v>39.15</v>
      </c>
      <c r="U63" s="62">
        <v>12335911</v>
      </c>
      <c r="V63" s="61">
        <v>39.93</v>
      </c>
      <c r="W63" s="62">
        <v>9005306</v>
      </c>
      <c r="X63" s="61">
        <v>40.93</v>
      </c>
      <c r="Y63" s="62">
        <v>10775836</v>
      </c>
      <c r="Z63" s="61">
        <v>40.53</v>
      </c>
      <c r="AA63" s="62">
        <v>11521635</v>
      </c>
      <c r="AB63" s="61">
        <v>41.11</v>
      </c>
      <c r="AC63" s="62">
        <v>3996644</v>
      </c>
      <c r="AD63" s="61">
        <v>42.59</v>
      </c>
      <c r="AE63" s="62">
        <v>18560979</v>
      </c>
      <c r="AF63" s="61">
        <v>42.1</v>
      </c>
      <c r="AG63" s="62">
        <v>2532289</v>
      </c>
      <c r="AH63" s="61">
        <v>42.3</v>
      </c>
      <c r="AI63" s="62">
        <v>6247802</v>
      </c>
      <c r="AJ63" s="61">
        <v>42.79</v>
      </c>
      <c r="AK63" s="62">
        <v>2166114</v>
      </c>
      <c r="AL63" s="61">
        <v>44.45</v>
      </c>
      <c r="AM63" s="62">
        <v>21004568</v>
      </c>
      <c r="AN63" s="62">
        <v>247774258</v>
      </c>
      <c r="AO63" s="87">
        <f t="shared" si="25"/>
        <v>8.4773003335963978E-2</v>
      </c>
      <c r="AP63" s="137">
        <f t="shared" si="3"/>
        <v>112103642</v>
      </c>
      <c r="AQ63" s="56">
        <f t="shared" si="31"/>
        <v>4.2775778342489419</v>
      </c>
      <c r="AR63" s="61">
        <f t="shared" si="15"/>
        <v>0.16040916878433531</v>
      </c>
      <c r="AS63" s="164">
        <f t="shared" si="33"/>
        <v>0.44914567259613886</v>
      </c>
      <c r="AT63" s="161">
        <f t="shared" si="16"/>
        <v>1.9177868172337267</v>
      </c>
      <c r="AU63" s="162">
        <f t="shared" si="17"/>
        <v>9.6590467224976093E-2</v>
      </c>
      <c r="AV63" s="115">
        <f t="shared" si="34"/>
        <v>0.73850367604834832</v>
      </c>
      <c r="AW63" s="115">
        <f t="shared" si="35"/>
        <v>0.94242230860777543</v>
      </c>
      <c r="AX63" s="115">
        <f t="shared" si="36"/>
        <v>0.33551758313566316</v>
      </c>
      <c r="AY63" s="115">
        <f t="shared" si="37"/>
        <v>0.54464152359185758</v>
      </c>
      <c r="AZ63" s="115">
        <f t="shared" si="38"/>
        <v>0.29478568144762041</v>
      </c>
      <c r="BA63" s="115">
        <f t="shared" si="39"/>
        <v>0.65740406343220559</v>
      </c>
      <c r="BB63" s="115">
        <f t="shared" si="40"/>
        <v>0.2884126144022881</v>
      </c>
      <c r="BC63" s="116">
        <f t="shared" si="41"/>
        <v>29.696637509778675</v>
      </c>
      <c r="BD63" s="115">
        <f t="shared" si="42"/>
        <v>0.58900879420135166</v>
      </c>
    </row>
    <row r="64" spans="1:56" ht="18" x14ac:dyDescent="0.2">
      <c r="A64" s="58">
        <v>2</v>
      </c>
      <c r="B64" s="117">
        <v>34</v>
      </c>
      <c r="C64" s="117" t="s">
        <v>159</v>
      </c>
      <c r="D64" s="229"/>
      <c r="E64" s="230"/>
      <c r="F64" s="156">
        <v>2.8</v>
      </c>
      <c r="G64" s="234"/>
      <c r="H64" s="168">
        <v>-2.5</v>
      </c>
      <c r="I64" s="3">
        <v>30.098500000000001</v>
      </c>
      <c r="J64" s="22"/>
      <c r="K64" s="8">
        <f t="shared" si="32"/>
        <v>0.10006445503928767</v>
      </c>
      <c r="L64" s="61">
        <v>19.91</v>
      </c>
      <c r="M64" s="62">
        <v>943196</v>
      </c>
      <c r="N64" s="38">
        <v>444274966</v>
      </c>
      <c r="O64" s="86">
        <f t="shared" si="1"/>
        <v>2.1230005563716591E-3</v>
      </c>
      <c r="P64" s="61">
        <v>36.86</v>
      </c>
      <c r="Q64" s="62">
        <v>3865241</v>
      </c>
      <c r="R64" s="61">
        <v>37.409999999999997</v>
      </c>
      <c r="S64" s="62">
        <v>5581667</v>
      </c>
      <c r="T64" s="61">
        <v>39.14</v>
      </c>
      <c r="U64" s="62">
        <v>10145113</v>
      </c>
      <c r="V64" s="61">
        <v>39.92</v>
      </c>
      <c r="W64" s="62">
        <v>5913434</v>
      </c>
      <c r="X64" s="61">
        <v>40.93</v>
      </c>
      <c r="Y64" s="62">
        <v>7876527</v>
      </c>
      <c r="Z64" s="61">
        <v>40.54</v>
      </c>
      <c r="AA64" s="62">
        <v>7479306</v>
      </c>
      <c r="AB64" s="61">
        <v>41.12</v>
      </c>
      <c r="AC64" s="62">
        <v>2706986</v>
      </c>
      <c r="AD64" s="61">
        <v>42.59</v>
      </c>
      <c r="AE64" s="62">
        <v>12349991</v>
      </c>
      <c r="AF64" s="61">
        <v>42.11</v>
      </c>
      <c r="AG64" s="62">
        <v>2107809</v>
      </c>
      <c r="AH64" s="61">
        <v>42.3</v>
      </c>
      <c r="AI64" s="62">
        <v>5228741</v>
      </c>
      <c r="AJ64" s="61">
        <v>42.77</v>
      </c>
      <c r="AK64" s="62">
        <v>1414038</v>
      </c>
      <c r="AL64" s="61">
        <v>44.46</v>
      </c>
      <c r="AM64" s="62">
        <v>15342715</v>
      </c>
      <c r="AN64" s="62">
        <v>175225311</v>
      </c>
      <c r="AO64" s="87">
        <f t="shared" si="25"/>
        <v>8.755992449058915E-2</v>
      </c>
      <c r="AP64" s="137">
        <f t="shared" si="3"/>
        <v>80011568</v>
      </c>
      <c r="AQ64" s="56">
        <f t="shared" si="31"/>
        <v>8.488494383732446</v>
      </c>
      <c r="AR64" s="61">
        <f t="shared" si="15"/>
        <v>0.31831853938996674</v>
      </c>
      <c r="AS64" s="164">
        <f t="shared" si="33"/>
        <v>0.8912919102919068</v>
      </c>
      <c r="AT64" s="161">
        <f t="shared" si="16"/>
        <v>3.8056870635862801</v>
      </c>
      <c r="AU64" s="162">
        <f t="shared" si="17"/>
        <v>0.1916756796326681</v>
      </c>
      <c r="AV64" s="115">
        <f t="shared" si="34"/>
        <v>0.69248864183406145</v>
      </c>
      <c r="AW64" s="115">
        <f t="shared" si="35"/>
        <v>1.0620683987683328</v>
      </c>
      <c r="AX64" s="115">
        <f t="shared" si="36"/>
        <v>0.32907886560116756</v>
      </c>
      <c r="AY64" s="115">
        <f t="shared" si="37"/>
        <v>0.54800478854476575</v>
      </c>
      <c r="AZ64" s="115">
        <f t="shared" si="38"/>
        <v>0.3234915240859878</v>
      </c>
      <c r="BA64" s="115">
        <f t="shared" si="39"/>
        <v>0.6368041359874983</v>
      </c>
      <c r="BB64" s="115">
        <f t="shared" si="40"/>
        <v>0.2873024786854857</v>
      </c>
      <c r="BC64" s="116">
        <f t="shared" si="41"/>
        <v>29.717530495090411</v>
      </c>
      <c r="BD64" s="115">
        <f t="shared" si="42"/>
        <v>0.58278555420886136</v>
      </c>
    </row>
    <row r="65" spans="1:56" ht="18" x14ac:dyDescent="0.2">
      <c r="A65" s="58">
        <v>1</v>
      </c>
      <c r="B65" s="117">
        <v>33</v>
      </c>
      <c r="C65" s="117" t="s">
        <v>158</v>
      </c>
      <c r="D65" s="231"/>
      <c r="E65" s="232"/>
      <c r="F65" s="156">
        <v>2.8</v>
      </c>
      <c r="G65" s="235"/>
      <c r="H65" s="168">
        <v>-2.7</v>
      </c>
      <c r="I65" s="4">
        <v>30.507999999999999</v>
      </c>
      <c r="J65" s="22"/>
      <c r="K65" s="8">
        <f t="shared" si="32"/>
        <v>9.8721318998295532E-2</v>
      </c>
      <c r="L65" s="61">
        <v>19.920000000000002</v>
      </c>
      <c r="M65" s="149">
        <v>811632</v>
      </c>
      <c r="N65" s="38">
        <v>401835719</v>
      </c>
      <c r="O65" s="86">
        <f t="shared" si="1"/>
        <v>2.0198104887733984E-3</v>
      </c>
      <c r="P65" s="61">
        <v>36.85</v>
      </c>
      <c r="Q65" s="62">
        <v>5249988</v>
      </c>
      <c r="R65" s="61">
        <v>37.42</v>
      </c>
      <c r="S65" s="62">
        <v>7552045</v>
      </c>
      <c r="T65" s="61">
        <v>39.14</v>
      </c>
      <c r="U65" s="62">
        <v>14388285</v>
      </c>
      <c r="V65" s="61">
        <v>39.93</v>
      </c>
      <c r="W65" s="62">
        <v>9835314</v>
      </c>
      <c r="X65" s="61">
        <v>40.93</v>
      </c>
      <c r="Y65" s="62">
        <v>11093003</v>
      </c>
      <c r="Z65" s="61">
        <v>40.53</v>
      </c>
      <c r="AA65" s="62">
        <v>9757374</v>
      </c>
      <c r="AB65" s="61">
        <v>41.11</v>
      </c>
      <c r="AC65" s="62">
        <v>3637166</v>
      </c>
      <c r="AD65" s="61">
        <v>42.58</v>
      </c>
      <c r="AE65" s="62">
        <v>16274648</v>
      </c>
      <c r="AF65" s="61">
        <v>42.1</v>
      </c>
      <c r="AG65" s="62">
        <v>2027090</v>
      </c>
      <c r="AH65" s="61">
        <v>42.3</v>
      </c>
      <c r="AI65" s="62">
        <v>6919275</v>
      </c>
      <c r="AJ65" s="61">
        <v>42.77</v>
      </c>
      <c r="AK65" s="62">
        <v>2281860</v>
      </c>
      <c r="AL65" s="61">
        <v>44.45</v>
      </c>
      <c r="AM65" s="62">
        <v>18144809</v>
      </c>
      <c r="AN65" s="62">
        <v>216973870</v>
      </c>
      <c r="AO65" s="87">
        <f>AM65/AN65</f>
        <v>8.3626701224437758E-2</v>
      </c>
      <c r="AP65" s="137">
        <f t="shared" si="3"/>
        <v>107160857</v>
      </c>
      <c r="AQ65" s="56">
        <f t="shared" si="31"/>
        <v>13.034307602494396</v>
      </c>
      <c r="AR65" s="61">
        <f t="shared" si="15"/>
        <v>0.48878653509353986</v>
      </c>
      <c r="AS65" s="164">
        <f t="shared" si="33"/>
        <v>1.3686022982619115</v>
      </c>
      <c r="AT65" s="161">
        <f t="shared" si="16"/>
        <v>5.8437331266520554</v>
      </c>
      <c r="AU65" s="162">
        <f t="shared" si="17"/>
        <v>0.29432307489503473</v>
      </c>
      <c r="AV65" s="115">
        <f t="shared" si="34"/>
        <v>0.69517435343671818</v>
      </c>
      <c r="AW65" s="115">
        <f t="shared" si="35"/>
        <v>1.190346092383789</v>
      </c>
      <c r="AX65" s="115">
        <f t="shared" si="36"/>
        <v>0.31410165111581234</v>
      </c>
      <c r="AY65" s="115">
        <f t="shared" si="37"/>
        <v>0.54853702096599344</v>
      </c>
      <c r="AZ65" s="115">
        <f t="shared" si="38"/>
        <v>0.33023172048579363</v>
      </c>
      <c r="BA65" s="115">
        <f t="shared" si="39"/>
        <v>0.61773696922149757</v>
      </c>
      <c r="BB65" s="115">
        <f t="shared" si="40"/>
        <v>0.2265825282111785</v>
      </c>
      <c r="BC65" s="116">
        <f t="shared" si="41"/>
        <v>29.656613216521777</v>
      </c>
      <c r="BD65" s="115">
        <f t="shared" si="42"/>
        <v>0.55096817674759735</v>
      </c>
    </row>
    <row r="66" spans="1:56" x14ac:dyDescent="0.2">
      <c r="F66" s="147"/>
      <c r="G66" s="148"/>
      <c r="I66" s="177"/>
      <c r="M66" s="150"/>
      <c r="P66" t="s">
        <v>220</v>
      </c>
    </row>
    <row r="67" spans="1:56" x14ac:dyDescent="0.2">
      <c r="AP67" s="182">
        <f>SUM(AP5:AP65)</f>
        <v>9525895895</v>
      </c>
      <c r="AS67" s="183">
        <f>SUM(AS5:AS65)</f>
        <v>24.120364005662786</v>
      </c>
    </row>
    <row r="68" spans="1:56" x14ac:dyDescent="0.2">
      <c r="AP68" s="182"/>
    </row>
    <row r="84" spans="29:42" x14ac:dyDescent="0.2">
      <c r="AC84" s="47"/>
      <c r="AD84" s="48"/>
      <c r="AE84" s="49"/>
      <c r="AF84" s="50"/>
      <c r="AG84" s="48"/>
      <c r="AH84" s="48"/>
      <c r="AI84" s="50"/>
      <c r="AJ84" s="48"/>
      <c r="AK84" s="48"/>
      <c r="AL84" s="50"/>
      <c r="AM84" s="48"/>
      <c r="AN84" s="48"/>
      <c r="AO84" s="89"/>
      <c r="AP84" s="50"/>
    </row>
    <row r="85" spans="29:42" x14ac:dyDescent="0.2">
      <c r="AC85" s="47"/>
      <c r="AD85" s="48"/>
      <c r="AE85" s="49"/>
      <c r="AF85" s="50"/>
      <c r="AG85" s="48"/>
      <c r="AH85" s="48"/>
      <c r="AI85" s="50"/>
      <c r="AJ85" s="48"/>
      <c r="AK85" s="48"/>
      <c r="AL85" s="50"/>
      <c r="AM85" s="48"/>
      <c r="AN85" s="48"/>
      <c r="AO85" s="89"/>
      <c r="AP85" s="50"/>
    </row>
    <row r="86" spans="29:42" x14ac:dyDescent="0.2">
      <c r="AC86" s="47"/>
      <c r="AD86" s="48"/>
      <c r="AE86" s="49"/>
      <c r="AF86" s="50"/>
      <c r="AG86" s="48"/>
      <c r="AH86" s="48"/>
      <c r="AI86" s="50"/>
      <c r="AJ86" s="48"/>
      <c r="AK86" s="48"/>
      <c r="AL86" s="50"/>
      <c r="AM86" s="48"/>
      <c r="AN86" s="48"/>
      <c r="AO86" s="89"/>
      <c r="AP86" s="50"/>
    </row>
    <row r="87" spans="29:42" x14ac:dyDescent="0.2">
      <c r="AC87" s="47"/>
      <c r="AD87" s="48"/>
      <c r="AE87" s="49"/>
      <c r="AF87" s="50"/>
      <c r="AG87" s="48"/>
      <c r="AH87" s="48"/>
      <c r="AI87" s="50"/>
      <c r="AJ87" s="48"/>
      <c r="AK87" s="48"/>
      <c r="AL87" s="50"/>
      <c r="AM87" s="48"/>
      <c r="AN87" s="48"/>
      <c r="AO87" s="89"/>
      <c r="AP87" s="50"/>
    </row>
    <row r="88" spans="29:42" x14ac:dyDescent="0.2">
      <c r="AC88" s="47"/>
      <c r="AD88" s="48"/>
      <c r="AE88" s="49"/>
      <c r="AF88" s="50"/>
      <c r="AG88" s="48"/>
      <c r="AH88" s="48"/>
      <c r="AI88" s="50"/>
      <c r="AJ88" s="48"/>
      <c r="AK88" s="48"/>
      <c r="AL88" s="50"/>
      <c r="AM88" s="48"/>
      <c r="AN88" s="48"/>
      <c r="AO88" s="89"/>
      <c r="AP88" s="50"/>
    </row>
  </sheetData>
  <mergeCells count="46">
    <mergeCell ref="A2:C4"/>
    <mergeCell ref="G47:G51"/>
    <mergeCell ref="G39:G46"/>
    <mergeCell ref="G9:G14"/>
    <mergeCell ref="G5:G8"/>
    <mergeCell ref="Z2:AA3"/>
    <mergeCell ref="D2:E4"/>
    <mergeCell ref="H2:H4"/>
    <mergeCell ref="I2:I4"/>
    <mergeCell ref="J2:J4"/>
    <mergeCell ref="G2:G4"/>
    <mergeCell ref="F2:F4"/>
    <mergeCell ref="AJ2:AK3"/>
    <mergeCell ref="AP2:AP4"/>
    <mergeCell ref="AL2:AO3"/>
    <mergeCell ref="D47:E51"/>
    <mergeCell ref="AF3:AG3"/>
    <mergeCell ref="AH3:AI3"/>
    <mergeCell ref="K2:K4"/>
    <mergeCell ref="L2:O3"/>
    <mergeCell ref="R2:S3"/>
    <mergeCell ref="T2:U3"/>
    <mergeCell ref="AB2:AC3"/>
    <mergeCell ref="AD2:AE3"/>
    <mergeCell ref="AF2:AI2"/>
    <mergeCell ref="P2:Q3"/>
    <mergeCell ref="V2:W3"/>
    <mergeCell ref="X2:Y3"/>
    <mergeCell ref="BD3:BD4"/>
    <mergeCell ref="AQ2:AQ4"/>
    <mergeCell ref="AV2:BD2"/>
    <mergeCell ref="AV3:AV4"/>
    <mergeCell ref="AW3:AW4"/>
    <mergeCell ref="AZ3:BB3"/>
    <mergeCell ref="BC3:BC4"/>
    <mergeCell ref="AR2:AR4"/>
    <mergeCell ref="AU2:AU4"/>
    <mergeCell ref="AS2:AS4"/>
    <mergeCell ref="D52:E65"/>
    <mergeCell ref="G52:G65"/>
    <mergeCell ref="D34:D46"/>
    <mergeCell ref="G15:G22"/>
    <mergeCell ref="G23:G38"/>
    <mergeCell ref="D5:E22"/>
    <mergeCell ref="E23:E46"/>
    <mergeCell ref="D23:D33"/>
  </mergeCells>
  <pageMargins left="0.7" right="0.7" top="0.75" bottom="0.75" header="0.3" footer="0.3"/>
  <pageSetup paperSize="9" orientation="portrait" r:id="rId1"/>
  <headerFooter>
    <oddFooter>&amp;L&amp;1#&amp;"Calibri"&amp;10&amp;K000000Public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88"/>
  <sheetViews>
    <sheetView tabSelected="1" zoomScale="87" zoomScaleNormal="87" workbookViewId="0">
      <pane xSplit="12" ySplit="1" topLeftCell="M2" activePane="bottomRight" state="frozen"/>
      <selection pane="topRight" activeCell="H1" sqref="H1"/>
      <selection pane="bottomLeft" activeCell="A2" sqref="A2"/>
      <selection pane="bottomRight" activeCell="O78" sqref="O78"/>
    </sheetView>
  </sheetViews>
  <sheetFormatPr baseColWidth="10" defaultColWidth="11.5" defaultRowHeight="15" x14ac:dyDescent="0.2"/>
  <cols>
    <col min="1" max="2" width="3.83203125" bestFit="1" customWidth="1"/>
    <col min="3" max="3" width="13.5" bestFit="1" customWidth="1"/>
    <col min="4" max="4" width="3" customWidth="1"/>
    <col min="5" max="5" width="11" bestFit="1" customWidth="1"/>
    <col min="6" max="7" width="11" customWidth="1"/>
    <col min="8" max="8" width="8.6640625" customWidth="1"/>
    <col min="9" max="9" width="7.1640625" bestFit="1" customWidth="1"/>
    <col min="10" max="11" width="6.6640625" hidden="1" customWidth="1"/>
    <col min="12" max="12" width="9.83203125" bestFit="1" customWidth="1"/>
    <col min="13" max="13" width="6" bestFit="1" customWidth="1"/>
    <col min="14" max="14" width="10.6640625" bestFit="1" customWidth="1"/>
    <col min="15" max="15" width="11.6640625" bestFit="1" customWidth="1"/>
    <col min="16" max="16" width="7.5" bestFit="1" customWidth="1"/>
    <col min="17" max="17" width="5.6640625" bestFit="1" customWidth="1"/>
    <col min="18" max="18" width="9.1640625" bestFit="1" customWidth="1"/>
    <col min="19" max="19" width="5.6640625" bestFit="1" customWidth="1"/>
    <col min="20" max="20" width="10.6640625" bestFit="1" customWidth="1"/>
    <col min="21" max="21" width="5.6640625" bestFit="1" customWidth="1"/>
    <col min="22" max="22" width="8.5" bestFit="1" customWidth="1"/>
    <col min="23" max="23" width="6.1640625" bestFit="1" customWidth="1"/>
    <col min="24" max="24" width="9.5" bestFit="1" customWidth="1"/>
    <col min="25" max="25" width="11.6640625" bestFit="1" customWidth="1"/>
    <col min="26" max="26" width="7.33203125" customWidth="1"/>
    <col min="27" max="27" width="6.1640625" bestFit="1" customWidth="1"/>
    <col min="28" max="28" width="8.1640625" bestFit="1" customWidth="1"/>
    <col min="29" max="29" width="5.6640625" bestFit="1" customWidth="1"/>
    <col min="30" max="30" width="9.83203125" customWidth="1"/>
    <col min="31" max="31" width="5.6640625" bestFit="1" customWidth="1"/>
    <col min="32" max="32" width="9.83203125" customWidth="1"/>
    <col min="33" max="33" width="6.1640625" bestFit="1" customWidth="1"/>
    <col min="34" max="34" width="9.83203125" customWidth="1"/>
    <col min="35" max="35" width="5.6640625" bestFit="1" customWidth="1"/>
    <col min="36" max="36" width="9.83203125" bestFit="1" customWidth="1"/>
    <col min="37" max="37" width="5.6640625" bestFit="1" customWidth="1"/>
    <col min="38" max="38" width="8.1640625" bestFit="1" customWidth="1"/>
    <col min="39" max="39" width="5.6640625" bestFit="1" customWidth="1"/>
    <col min="40" max="40" width="7.1640625" bestFit="1" customWidth="1"/>
    <col min="41" max="41" width="6.1640625" bestFit="1" customWidth="1"/>
    <col min="42" max="42" width="9.83203125" customWidth="1"/>
    <col min="43" max="43" width="11" bestFit="1" customWidth="1"/>
    <col min="44" max="44" width="11.1640625" customWidth="1"/>
    <col min="45" max="47" width="11.6640625" customWidth="1"/>
    <col min="48" max="48" width="12.83203125" customWidth="1"/>
    <col min="49" max="50" width="10" customWidth="1"/>
    <col min="51" max="52" width="13.6640625" customWidth="1"/>
    <col min="53" max="53" width="11.33203125" customWidth="1"/>
    <col min="54" max="57" width="10" customWidth="1"/>
    <col min="58" max="59" width="12.6640625" customWidth="1"/>
    <col min="60" max="60" width="11.1640625" customWidth="1"/>
    <col min="61" max="61" width="10.6640625" customWidth="1"/>
    <col min="62" max="62" width="8.1640625" bestFit="1" customWidth="1"/>
    <col min="63" max="64" width="7" bestFit="1" customWidth="1"/>
    <col min="65" max="67" width="4.6640625" bestFit="1" customWidth="1"/>
    <col min="68" max="68" width="5" bestFit="1" customWidth="1"/>
    <col min="69" max="69" width="11.5" bestFit="1" customWidth="1"/>
    <col min="70" max="70" width="7.1640625" bestFit="1" customWidth="1"/>
  </cols>
  <sheetData>
    <row r="1" spans="1:70" x14ac:dyDescent="0.2">
      <c r="A1" s="63"/>
      <c r="B1" s="63"/>
      <c r="C1" s="63"/>
      <c r="D1" s="63"/>
      <c r="E1" s="63"/>
      <c r="F1" s="63"/>
      <c r="G1" s="63"/>
      <c r="H1" s="140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</row>
    <row r="2" spans="1:70" ht="20.25" customHeight="1" x14ac:dyDescent="0.2">
      <c r="A2" s="214" t="s">
        <v>28</v>
      </c>
      <c r="B2" s="214"/>
      <c r="C2" s="214"/>
      <c r="D2" s="214" t="s">
        <v>149</v>
      </c>
      <c r="E2" s="214"/>
      <c r="F2" s="152" t="s">
        <v>370</v>
      </c>
      <c r="G2" s="151" t="s">
        <v>369</v>
      </c>
      <c r="H2" s="216" t="s">
        <v>156</v>
      </c>
      <c r="I2" s="220" t="s">
        <v>157</v>
      </c>
      <c r="J2" s="220" t="s">
        <v>0</v>
      </c>
      <c r="K2" s="220" t="s">
        <v>1</v>
      </c>
      <c r="L2" s="220" t="s">
        <v>27</v>
      </c>
      <c r="M2" s="285" t="s">
        <v>5</v>
      </c>
      <c r="N2" s="286"/>
      <c r="O2" s="286"/>
      <c r="P2" s="287"/>
      <c r="Q2" s="302" t="s">
        <v>16</v>
      </c>
      <c r="R2" s="303"/>
      <c r="S2" s="302" t="s">
        <v>349</v>
      </c>
      <c r="T2" s="303"/>
      <c r="U2" s="302" t="s">
        <v>307</v>
      </c>
      <c r="V2" s="303"/>
      <c r="W2" s="313" t="s">
        <v>306</v>
      </c>
      <c r="X2" s="314"/>
      <c r="Y2" s="314"/>
      <c r="Z2" s="315"/>
      <c r="AA2" s="306" t="s">
        <v>17</v>
      </c>
      <c r="AB2" s="311"/>
      <c r="AC2" s="306" t="s">
        <v>309</v>
      </c>
      <c r="AD2" s="307"/>
      <c r="AE2" s="306" t="s">
        <v>308</v>
      </c>
      <c r="AF2" s="307"/>
      <c r="AG2" s="306" t="s">
        <v>353</v>
      </c>
      <c r="AH2" s="307"/>
      <c r="AI2" s="310" t="s">
        <v>18</v>
      </c>
      <c r="AJ2" s="310"/>
      <c r="AK2" s="319" t="s">
        <v>310</v>
      </c>
      <c r="AL2" s="320"/>
      <c r="AM2" s="319" t="s">
        <v>311</v>
      </c>
      <c r="AN2" s="320"/>
      <c r="AO2" s="319" t="s">
        <v>305</v>
      </c>
      <c r="AP2" s="320"/>
      <c r="AQ2" s="219" t="s">
        <v>384</v>
      </c>
      <c r="AR2" s="219" t="s">
        <v>383</v>
      </c>
      <c r="AS2" s="219" t="s">
        <v>382</v>
      </c>
      <c r="AT2" s="199" t="s">
        <v>386</v>
      </c>
      <c r="AU2" s="199" t="s">
        <v>401</v>
      </c>
      <c r="AV2" s="323" t="s">
        <v>385</v>
      </c>
      <c r="AW2" s="219" t="s">
        <v>359</v>
      </c>
      <c r="AX2" s="215" t="s">
        <v>356</v>
      </c>
      <c r="AY2" s="295" t="s">
        <v>390</v>
      </c>
      <c r="AZ2" s="295" t="s">
        <v>399</v>
      </c>
      <c r="BA2" s="323" t="s">
        <v>387</v>
      </c>
      <c r="BB2" s="219" t="s">
        <v>360</v>
      </c>
      <c r="BC2" s="144" t="s">
        <v>20</v>
      </c>
      <c r="BD2" s="219" t="s">
        <v>361</v>
      </c>
      <c r="BE2" s="144" t="s">
        <v>19</v>
      </c>
      <c r="BF2" s="297" t="s">
        <v>389</v>
      </c>
      <c r="BG2" s="297" t="s">
        <v>400</v>
      </c>
      <c r="BH2" s="323" t="s">
        <v>388</v>
      </c>
      <c r="BI2" s="292" t="s">
        <v>268</v>
      </c>
      <c r="BJ2" s="220" t="s">
        <v>21</v>
      </c>
      <c r="BK2" s="220" t="s">
        <v>20</v>
      </c>
      <c r="BL2" s="220" t="s">
        <v>19</v>
      </c>
      <c r="BM2" s="326" t="s">
        <v>11</v>
      </c>
      <c r="BN2" s="327"/>
      <c r="BO2" s="327"/>
      <c r="BP2" s="327"/>
      <c r="BQ2" s="327"/>
      <c r="BR2" s="328"/>
    </row>
    <row r="3" spans="1:70" ht="17.25" customHeight="1" x14ac:dyDescent="0.2">
      <c r="A3" s="214"/>
      <c r="B3" s="214"/>
      <c r="C3" s="214"/>
      <c r="D3" s="214"/>
      <c r="E3" s="214"/>
      <c r="F3" s="215" t="s">
        <v>370</v>
      </c>
      <c r="G3" s="217" t="s">
        <v>369</v>
      </c>
      <c r="H3" s="220"/>
      <c r="I3" s="220"/>
      <c r="J3" s="220"/>
      <c r="K3" s="220"/>
      <c r="L3" s="220"/>
      <c r="M3" s="288"/>
      <c r="N3" s="289"/>
      <c r="O3" s="289"/>
      <c r="P3" s="290"/>
      <c r="Q3" s="304"/>
      <c r="R3" s="305"/>
      <c r="S3" s="304"/>
      <c r="T3" s="305"/>
      <c r="U3" s="304"/>
      <c r="V3" s="305"/>
      <c r="W3" s="316"/>
      <c r="X3" s="317"/>
      <c r="Y3" s="317"/>
      <c r="Z3" s="318"/>
      <c r="AA3" s="308"/>
      <c r="AB3" s="312"/>
      <c r="AC3" s="308"/>
      <c r="AD3" s="309"/>
      <c r="AE3" s="308"/>
      <c r="AF3" s="309"/>
      <c r="AG3" s="308"/>
      <c r="AH3" s="309"/>
      <c r="AI3" s="310"/>
      <c r="AJ3" s="310"/>
      <c r="AK3" s="321"/>
      <c r="AL3" s="322"/>
      <c r="AM3" s="321"/>
      <c r="AN3" s="322"/>
      <c r="AO3" s="321"/>
      <c r="AP3" s="322"/>
      <c r="AQ3" s="215"/>
      <c r="AR3" s="215"/>
      <c r="AS3" s="215"/>
      <c r="AT3" s="262"/>
      <c r="AU3" s="262"/>
      <c r="AV3" s="324"/>
      <c r="AW3" s="215"/>
      <c r="AX3" s="215"/>
      <c r="AY3" s="295"/>
      <c r="AZ3" s="295"/>
      <c r="BA3" s="324"/>
      <c r="BB3" s="215"/>
      <c r="BC3" s="145" t="s">
        <v>357</v>
      </c>
      <c r="BD3" s="215"/>
      <c r="BE3" s="145" t="s">
        <v>357</v>
      </c>
      <c r="BF3" s="297"/>
      <c r="BG3" s="297"/>
      <c r="BH3" s="324"/>
      <c r="BI3" s="293"/>
      <c r="BJ3" s="220"/>
      <c r="BK3" s="220"/>
      <c r="BL3" s="220"/>
      <c r="BM3" s="299" t="s">
        <v>344</v>
      </c>
      <c r="BN3" s="300"/>
      <c r="BO3" s="300"/>
      <c r="BP3" s="301"/>
      <c r="BQ3" s="291" t="s">
        <v>392</v>
      </c>
      <c r="BR3" s="291" t="s">
        <v>23</v>
      </c>
    </row>
    <row r="4" spans="1:70" ht="29" customHeight="1" x14ac:dyDescent="0.2">
      <c r="A4" s="214"/>
      <c r="B4" s="214"/>
      <c r="C4" s="214"/>
      <c r="D4" s="214"/>
      <c r="E4" s="214"/>
      <c r="F4" s="216"/>
      <c r="G4" s="218"/>
      <c r="H4" s="220"/>
      <c r="I4" s="220"/>
      <c r="J4" s="220"/>
      <c r="K4" s="220"/>
      <c r="L4" s="220"/>
      <c r="M4" s="52" t="s">
        <v>3</v>
      </c>
      <c r="N4" s="52" t="s">
        <v>107</v>
      </c>
      <c r="O4" s="52" t="s">
        <v>106</v>
      </c>
      <c r="P4" s="53" t="s">
        <v>110</v>
      </c>
      <c r="Q4" s="52" t="s">
        <v>3</v>
      </c>
      <c r="R4" s="52" t="s">
        <v>2</v>
      </c>
      <c r="S4" s="52" t="s">
        <v>3</v>
      </c>
      <c r="T4" s="52" t="s">
        <v>2</v>
      </c>
      <c r="U4" s="52" t="s">
        <v>3</v>
      </c>
      <c r="V4" s="52" t="s">
        <v>2</v>
      </c>
      <c r="W4" s="52" t="s">
        <v>3</v>
      </c>
      <c r="X4" s="52" t="s">
        <v>208</v>
      </c>
      <c r="Y4" s="52" t="s">
        <v>207</v>
      </c>
      <c r="Z4" s="53" t="s">
        <v>110</v>
      </c>
      <c r="AA4" s="52" t="s">
        <v>3</v>
      </c>
      <c r="AB4" s="52" t="s">
        <v>2</v>
      </c>
      <c r="AC4" s="52" t="s">
        <v>3</v>
      </c>
      <c r="AD4" s="52" t="s">
        <v>2</v>
      </c>
      <c r="AE4" s="52" t="s">
        <v>3</v>
      </c>
      <c r="AF4" s="52" t="s">
        <v>2</v>
      </c>
      <c r="AG4" s="52" t="s">
        <v>3</v>
      </c>
      <c r="AH4" s="52" t="s">
        <v>2</v>
      </c>
      <c r="AI4" s="52" t="s">
        <v>3</v>
      </c>
      <c r="AJ4" s="52" t="s">
        <v>2</v>
      </c>
      <c r="AK4" s="52" t="s">
        <v>3</v>
      </c>
      <c r="AL4" s="52" t="s">
        <v>2</v>
      </c>
      <c r="AM4" s="52" t="s">
        <v>3</v>
      </c>
      <c r="AN4" s="52" t="s">
        <v>2</v>
      </c>
      <c r="AO4" s="52" t="s">
        <v>3</v>
      </c>
      <c r="AP4" s="52" t="s">
        <v>2</v>
      </c>
      <c r="AQ4" s="216"/>
      <c r="AR4" s="216"/>
      <c r="AS4" s="216"/>
      <c r="AT4" s="200"/>
      <c r="AU4" s="200"/>
      <c r="AV4" s="325"/>
      <c r="AW4" s="216"/>
      <c r="AX4" s="216"/>
      <c r="AY4" s="296"/>
      <c r="AZ4" s="296"/>
      <c r="BA4" s="325"/>
      <c r="BB4" s="216"/>
      <c r="BC4" s="54" t="s">
        <v>358</v>
      </c>
      <c r="BD4" s="216"/>
      <c r="BE4" s="54" t="s">
        <v>358</v>
      </c>
      <c r="BF4" s="298"/>
      <c r="BG4" s="298"/>
      <c r="BH4" s="325"/>
      <c r="BI4" s="294"/>
      <c r="BJ4" s="54" t="s">
        <v>22</v>
      </c>
      <c r="BK4" s="54" t="s">
        <v>22</v>
      </c>
      <c r="BL4" s="54" t="s">
        <v>22</v>
      </c>
      <c r="BM4" s="131" t="s">
        <v>345</v>
      </c>
      <c r="BN4" s="131" t="s">
        <v>346</v>
      </c>
      <c r="BO4" s="131" t="s">
        <v>347</v>
      </c>
      <c r="BP4" s="131" t="s">
        <v>348</v>
      </c>
      <c r="BQ4" s="291"/>
      <c r="BR4" s="291"/>
    </row>
    <row r="5" spans="1:70" ht="18" x14ac:dyDescent="0.2">
      <c r="A5" s="51">
        <v>61</v>
      </c>
      <c r="B5" s="51">
        <v>32</v>
      </c>
      <c r="C5" s="51" t="s">
        <v>111</v>
      </c>
      <c r="D5" s="246" t="s">
        <v>152</v>
      </c>
      <c r="E5" s="247"/>
      <c r="F5" s="167">
        <v>0.04</v>
      </c>
      <c r="G5" s="221" t="s">
        <v>362</v>
      </c>
      <c r="H5" s="168">
        <v>3</v>
      </c>
      <c r="I5" s="9">
        <v>30.751000000000001</v>
      </c>
      <c r="J5" s="12"/>
      <c r="K5" s="12"/>
      <c r="L5" s="8">
        <f>3.01179/I5</f>
        <v>9.79412051640597E-2</v>
      </c>
      <c r="M5" s="128">
        <v>20.04</v>
      </c>
      <c r="N5" s="128">
        <v>3259805</v>
      </c>
      <c r="O5" s="11">
        <v>124761644</v>
      </c>
      <c r="P5" s="64">
        <f t="shared" ref="P5:P65" si="0">N5/O5</f>
        <v>2.6128262625330585E-2</v>
      </c>
      <c r="Q5" s="8">
        <v>35.69</v>
      </c>
      <c r="R5" s="16">
        <v>1742242</v>
      </c>
      <c r="S5" s="8">
        <v>35.869999999999997</v>
      </c>
      <c r="T5" s="16">
        <v>722501</v>
      </c>
      <c r="U5" s="8">
        <v>35.93</v>
      </c>
      <c r="V5" s="16">
        <v>262424</v>
      </c>
      <c r="W5" s="129">
        <v>36.299999999999997</v>
      </c>
      <c r="X5" s="128">
        <v>3605966</v>
      </c>
      <c r="Y5" s="128">
        <v>77522522</v>
      </c>
      <c r="Z5" s="64">
        <f t="shared" ref="Z5:Z65" si="1">X5/Y5</f>
        <v>4.6515075967213763E-2</v>
      </c>
      <c r="AA5" s="128">
        <v>37.479999999999997</v>
      </c>
      <c r="AB5" s="128">
        <v>790067</v>
      </c>
      <c r="AC5" s="16">
        <v>37.64</v>
      </c>
      <c r="AD5" s="16">
        <v>212152</v>
      </c>
      <c r="AE5" s="16">
        <v>37.840000000000003</v>
      </c>
      <c r="AF5" s="16">
        <v>231156</v>
      </c>
      <c r="AG5" s="128">
        <v>38.08</v>
      </c>
      <c r="AH5" s="128">
        <v>857129</v>
      </c>
      <c r="AI5" s="128">
        <v>38.950000000000003</v>
      </c>
      <c r="AJ5" s="128">
        <v>1153596</v>
      </c>
      <c r="AK5" s="129">
        <v>39.32</v>
      </c>
      <c r="AL5" s="128">
        <v>281252</v>
      </c>
      <c r="AM5" s="129">
        <v>39.39</v>
      </c>
      <c r="AN5" s="128">
        <v>247132</v>
      </c>
      <c r="AO5" s="128">
        <v>39.57</v>
      </c>
      <c r="AP5" s="128">
        <v>1811049</v>
      </c>
      <c r="AQ5" s="133">
        <f>(R5+T5+V5+X5)+(AB5+AD5+AF5+AH5)+(AJ5+AL5+AN5+AP5)</f>
        <v>11916666</v>
      </c>
      <c r="AR5" s="8">
        <f>(AQ5*L5)/N5</f>
        <v>0.35803756039934126</v>
      </c>
      <c r="AS5" s="8">
        <f>(AR5*0.02)/0.04</f>
        <v>0.17901878019967063</v>
      </c>
      <c r="AT5" s="159">
        <f>+AS5*F5</f>
        <v>7.1607512079868256E-3</v>
      </c>
      <c r="AU5" s="159">
        <f>(AT5/12.63)*100</f>
        <v>5.6696367442492679E-2</v>
      </c>
      <c r="AV5" s="160">
        <f>AT5/3.68</f>
        <v>1.9458563065181591E-3</v>
      </c>
      <c r="AW5" s="8">
        <f>(((R5+T5+V5+X5)*L5)/N5)</f>
        <v>0.19027968804400167</v>
      </c>
      <c r="AX5" s="8">
        <f>((AW5*0.02)/0.04)</f>
        <v>9.5139844022000833E-2</v>
      </c>
      <c r="AY5" s="165">
        <f>AX5*F5</f>
        <v>3.8055937608800334E-3</v>
      </c>
      <c r="AZ5" s="165">
        <f>(AY5/3.1515)*100</f>
        <v>0.12075499796541436</v>
      </c>
      <c r="BA5" s="166">
        <f>AY5/3</f>
        <v>1.2685312536266779E-3</v>
      </c>
      <c r="BB5" s="8">
        <f>(((AB5+AD5+AF5+AH5)*L5)/N5)</f>
        <v>6.280942607312015E-2</v>
      </c>
      <c r="BC5" s="8">
        <f>((BB5*0.02)/0.04)</f>
        <v>3.1404713036560075E-2</v>
      </c>
      <c r="BD5" s="8">
        <f>0.02/0.04</f>
        <v>0.5</v>
      </c>
      <c r="BE5" s="8">
        <f>((BD5*0.02)/0.04)</f>
        <v>0.25</v>
      </c>
      <c r="BF5" s="159">
        <f>BE5*F5</f>
        <v>0.01</v>
      </c>
      <c r="BG5" s="159">
        <f>(BF5/7.56)*100</f>
        <v>0.1322751322751323</v>
      </c>
      <c r="BH5" s="160">
        <f>BF5/3</f>
        <v>3.3333333333333335E-3</v>
      </c>
      <c r="BI5" s="122">
        <v>46031307</v>
      </c>
      <c r="BJ5" s="16">
        <f t="shared" ref="BJ5:BJ36" si="2">((R5+T5+V5+X5)*100)/AQ5</f>
        <v>53.145175001128671</v>
      </c>
      <c r="BK5" s="16">
        <f t="shared" ref="BK5:BK36" si="3">(AB5+AD5+AF5+AH5)*100/AQ5</f>
        <v>17.542691890500247</v>
      </c>
      <c r="BL5" s="16">
        <f t="shared" ref="BL5:BL36" si="4">(AJ5+AL5+AN5+AP5)*100/AQ5</f>
        <v>29.312133108371082</v>
      </c>
      <c r="BM5" s="134">
        <f>((R5+V5)/((R5+V5)+(T5+X5)))</f>
        <v>0.31653622306684542</v>
      </c>
      <c r="BN5" s="134">
        <f>((AB5+AF5)/((AB5+AF5)+(AD5+AH5)))</f>
        <v>0.48850564265842111</v>
      </c>
      <c r="BO5" s="134">
        <f>((AJ5+AN5)/((+AN5)+(AL5+AP5)))</f>
        <v>0.59874679035475686</v>
      </c>
      <c r="BP5" s="134">
        <f>((R5+V5+AB5+AF5+AJ5+AN5)/((R5+V5+AB5+AF5+AJ5+AN5)+(T5+X5+AD5+AH5+AL5+AP5)))</f>
        <v>0.37146438441758795</v>
      </c>
      <c r="BQ5" s="44">
        <f>((AJ5+AP5)/(R5+X5 ))</f>
        <v>0.55432492528338462</v>
      </c>
      <c r="BR5" s="44">
        <f>(AQ5/(AQ5+BI5))</f>
        <v>0.20564422503613716</v>
      </c>
    </row>
    <row r="6" spans="1:70" ht="15" customHeight="1" x14ac:dyDescent="0.2">
      <c r="A6" s="65">
        <v>60</v>
      </c>
      <c r="B6" s="51">
        <v>31</v>
      </c>
      <c r="C6" s="51" t="s">
        <v>112</v>
      </c>
      <c r="D6" s="248"/>
      <c r="E6" s="249"/>
      <c r="F6" s="167">
        <v>0.04</v>
      </c>
      <c r="G6" s="222"/>
      <c r="H6" s="168">
        <v>2.9</v>
      </c>
      <c r="I6" s="9">
        <v>30.834399999999999</v>
      </c>
      <c r="J6" s="12"/>
      <c r="K6" s="12"/>
      <c r="L6" s="8">
        <f t="shared" ref="L6:L65" si="5">3.01179/I6</f>
        <v>9.7676296603793164E-2</v>
      </c>
      <c r="M6" s="8">
        <v>19.920000000000002</v>
      </c>
      <c r="N6" s="16">
        <v>16491360</v>
      </c>
      <c r="O6" s="11">
        <v>743599127</v>
      </c>
      <c r="P6" s="64">
        <f t="shared" si="0"/>
        <v>2.217775599943651E-2</v>
      </c>
      <c r="Q6" s="8">
        <v>35.53</v>
      </c>
      <c r="R6" s="16">
        <v>413050</v>
      </c>
      <c r="S6" s="8"/>
      <c r="T6" s="16"/>
      <c r="U6" s="8"/>
      <c r="V6" s="16"/>
      <c r="W6" s="8">
        <v>36.18</v>
      </c>
      <c r="X6" s="16">
        <v>1052864</v>
      </c>
      <c r="Y6" s="16">
        <v>16929595</v>
      </c>
      <c r="Z6" s="64">
        <f t="shared" si="1"/>
        <v>6.2190737581141194E-2</v>
      </c>
      <c r="AA6" s="8">
        <v>37.29</v>
      </c>
      <c r="AB6" s="16">
        <v>113981</v>
      </c>
      <c r="AC6" s="16"/>
      <c r="AD6" s="16"/>
      <c r="AE6" s="16"/>
      <c r="AF6" s="16"/>
      <c r="AG6" s="8">
        <v>37.950000000000003</v>
      </c>
      <c r="AH6" s="16">
        <v>202308</v>
      </c>
      <c r="AI6" s="8">
        <v>38.79</v>
      </c>
      <c r="AJ6" s="16">
        <v>223557</v>
      </c>
      <c r="AK6" s="8"/>
      <c r="AL6" s="16"/>
      <c r="AM6" s="8"/>
      <c r="AN6" s="16"/>
      <c r="AO6" s="8">
        <v>39.450000000000003</v>
      </c>
      <c r="AP6" s="16">
        <v>415109</v>
      </c>
      <c r="AQ6" s="133">
        <f t="shared" ref="AQ6:AQ65" si="6">(R6+T6+V6+X6)+(AB6+AD6+AF6+AH6)+(AJ6+AL6+AN6+AP6)</f>
        <v>2420869</v>
      </c>
      <c r="AR6" s="8">
        <f t="shared" ref="AR6:AR65" si="7">(AQ6*L6)/N6</f>
        <v>1.433850928503945E-2</v>
      </c>
      <c r="AS6" s="8">
        <f t="shared" ref="AS6:AS65" si="8">(AR6*0.02)/0.04</f>
        <v>7.1692546425197248E-3</v>
      </c>
      <c r="AT6" s="159">
        <f t="shared" ref="AT6:AT19" si="9">+AS6*F6</f>
        <v>2.86770185700789E-4</v>
      </c>
      <c r="AU6" s="159">
        <f t="shared" ref="AU6:AU65" si="10">(AT6/12.63)*100</f>
        <v>2.270547788604822E-3</v>
      </c>
      <c r="AV6" s="160">
        <f t="shared" ref="AV6:AV65" si="11">AT6/3.68</f>
        <v>7.7926680896953524E-5</v>
      </c>
      <c r="AW6" s="8">
        <f t="shared" ref="AW6:AW65" si="12">(((R6+T6+V6+X6)*L6)/N6)</f>
        <v>8.6824282933398375E-3</v>
      </c>
      <c r="AX6" s="8">
        <f t="shared" ref="AX6:AX65" si="13">((AW6*0.02)/0.04)</f>
        <v>4.3412141466699188E-3</v>
      </c>
      <c r="AY6" s="165">
        <f t="shared" ref="AY6:AY65" si="14">AX6*F6</f>
        <v>1.7364856586679674E-4</v>
      </c>
      <c r="AZ6" s="165">
        <f t="shared" ref="AZ6:AZ65" si="15">(AY6/3.1515)*100</f>
        <v>5.5100290612976914E-3</v>
      </c>
      <c r="BA6" s="166">
        <f t="shared" ref="BA6:BA65" si="16">AY6/3</f>
        <v>5.7882855288932247E-5</v>
      </c>
      <c r="BB6" s="8">
        <f t="shared" ref="BB6:BB65" si="17">(((AB6+AD6+AF6+AH6)*L6)/N6)</f>
        <v>1.8733408388706047E-3</v>
      </c>
      <c r="BC6" s="8">
        <f t="shared" ref="BC6:BC65" si="18">((BB6*0.02)/0.04)</f>
        <v>9.3667041943530226E-4</v>
      </c>
      <c r="BD6" s="8">
        <f t="shared" ref="BD6:BD65" si="19">(((AJ6+AL6+AN6+AP6)*L6)/N6)</f>
        <v>3.7827401528290065E-3</v>
      </c>
      <c r="BE6" s="8">
        <f t="shared" ref="BE6:BE65" si="20">((BD6*0.02)/0.04)</f>
        <v>1.8913700764145033E-3</v>
      </c>
      <c r="BF6" s="159">
        <f t="shared" ref="BF6:BF65" si="21">BE6*F6</f>
        <v>7.5654803056580128E-5</v>
      </c>
      <c r="BG6" s="159">
        <f t="shared" ref="BG6:BG65" si="22">(BF6/7.56)*100</f>
        <v>1.0007249081558217E-3</v>
      </c>
      <c r="BH6" s="160">
        <f t="shared" ref="BH6:BH65" si="23">BF6/3</f>
        <v>2.5218267685526711E-5</v>
      </c>
      <c r="BI6" s="122">
        <v>21314113</v>
      </c>
      <c r="BJ6" s="16">
        <f t="shared" si="2"/>
        <v>60.553214568818056</v>
      </c>
      <c r="BK6" s="16">
        <f t="shared" si="3"/>
        <v>13.065101829136562</v>
      </c>
      <c r="BL6" s="16">
        <f t="shared" si="4"/>
        <v>26.381683602045381</v>
      </c>
      <c r="BM6" s="134">
        <f t="shared" ref="BM6:BM65" si="24">((R6+V6)/((R6+V6)+(T6+X6)))</f>
        <v>0.2817695990351412</v>
      </c>
      <c r="BN6" s="134">
        <f t="shared" ref="BN6:BN65" si="25">((AB6+AF6)/((AB6+AF6)+(AD6+AH6)))</f>
        <v>0.36036978838973216</v>
      </c>
      <c r="BO6" s="134">
        <f t="shared" ref="BO6:BO65" si="26">((AJ6+AN6)/((+AN6)+(AL6+AP6)))</f>
        <v>0.53855011575273004</v>
      </c>
      <c r="BP6" s="134">
        <f t="shared" ref="BP6:BP65" si="27">((R6+V6+AB6+AF6+AJ6+AN6)/((R6+V6+AB6+AF6+AJ6+AN6)+(T6+X6+AD6+AH6+AL6+AP6)))</f>
        <v>0.31004899480310583</v>
      </c>
      <c r="BQ6" s="44">
        <f>((AJ6+AP6)/(R6+X6 ))</f>
        <v>0.43567767276934388</v>
      </c>
      <c r="BR6" s="44">
        <f t="shared" ref="BR6:BR65" si="28">(AQ6/(AQ6+BI6))</f>
        <v>0.10199582203180099</v>
      </c>
    </row>
    <row r="7" spans="1:70" ht="18" x14ac:dyDescent="0.2">
      <c r="A7" s="65">
        <v>59</v>
      </c>
      <c r="B7" s="51">
        <v>30</v>
      </c>
      <c r="C7" s="51" t="s">
        <v>113</v>
      </c>
      <c r="D7" s="248"/>
      <c r="E7" s="249"/>
      <c r="F7" s="167">
        <v>0.04</v>
      </c>
      <c r="G7" s="222"/>
      <c r="H7" s="168">
        <v>2.8</v>
      </c>
      <c r="I7" s="9">
        <v>30.790299999999998</v>
      </c>
      <c r="J7" s="12"/>
      <c r="K7" s="12"/>
      <c r="L7" s="8">
        <f t="shared" si="5"/>
        <v>9.7816195360227093E-2</v>
      </c>
      <c r="M7" s="8">
        <v>19.91</v>
      </c>
      <c r="N7" s="16">
        <v>14857669</v>
      </c>
      <c r="O7" s="11">
        <v>629507661</v>
      </c>
      <c r="P7" s="64">
        <f t="shared" si="0"/>
        <v>2.3602046361751901E-2</v>
      </c>
      <c r="Q7" s="8">
        <v>35.520000000000003</v>
      </c>
      <c r="R7" s="16">
        <v>1206449</v>
      </c>
      <c r="S7" s="8">
        <v>35.659999999999997</v>
      </c>
      <c r="T7" s="16">
        <v>1347676</v>
      </c>
      <c r="U7" s="8">
        <v>35.79</v>
      </c>
      <c r="V7" s="16">
        <v>440653</v>
      </c>
      <c r="W7" s="8">
        <v>36.159999999999997</v>
      </c>
      <c r="X7" s="16">
        <v>2074240</v>
      </c>
      <c r="Y7" s="16">
        <v>36510407</v>
      </c>
      <c r="Z7" s="64">
        <f t="shared" si="1"/>
        <v>5.681229464245633E-2</v>
      </c>
      <c r="AA7" s="8">
        <v>37.32</v>
      </c>
      <c r="AB7" s="16">
        <v>806539</v>
      </c>
      <c r="AC7" s="8">
        <v>37.49</v>
      </c>
      <c r="AD7" s="16">
        <v>395666</v>
      </c>
      <c r="AE7" s="8">
        <v>37.64</v>
      </c>
      <c r="AF7" s="16">
        <v>178943</v>
      </c>
      <c r="AG7" s="8">
        <v>37.92</v>
      </c>
      <c r="AH7" s="16">
        <v>549749</v>
      </c>
      <c r="AI7" s="8">
        <v>38.79</v>
      </c>
      <c r="AJ7" s="16">
        <v>480646</v>
      </c>
      <c r="AK7" s="8"/>
      <c r="AL7" s="16"/>
      <c r="AM7" s="8"/>
      <c r="AN7" s="16"/>
      <c r="AO7" s="8">
        <v>39.42</v>
      </c>
      <c r="AP7" s="16">
        <v>1221825</v>
      </c>
      <c r="AQ7" s="133">
        <f t="shared" si="6"/>
        <v>8702386</v>
      </c>
      <c r="AR7" s="8">
        <f t="shared" si="7"/>
        <v>5.729258668207679E-2</v>
      </c>
      <c r="AS7" s="8">
        <f t="shared" si="8"/>
        <v>2.8646293341038395E-2</v>
      </c>
      <c r="AT7" s="159">
        <f t="shared" si="9"/>
        <v>1.1458517336415358E-3</v>
      </c>
      <c r="AU7" s="159">
        <f t="shared" si="10"/>
        <v>9.072460282197433E-3</v>
      </c>
      <c r="AV7" s="160">
        <f t="shared" si="11"/>
        <v>3.1137275370693906E-4</v>
      </c>
      <c r="AW7" s="8">
        <f t="shared" si="12"/>
        <v>3.3372129569753349E-2</v>
      </c>
      <c r="AX7" s="8">
        <f t="shared" si="13"/>
        <v>1.6686064784876675E-2</v>
      </c>
      <c r="AY7" s="165">
        <f t="shared" si="14"/>
        <v>6.67442591395067E-4</v>
      </c>
      <c r="AZ7" s="165">
        <f t="shared" si="15"/>
        <v>2.1178568662385117E-2</v>
      </c>
      <c r="BA7" s="166">
        <f t="shared" si="16"/>
        <v>2.2248086379835568E-4</v>
      </c>
      <c r="BB7" s="8">
        <f t="shared" si="17"/>
        <v>1.2712155464795752E-2</v>
      </c>
      <c r="BC7" s="8">
        <f t="shared" si="18"/>
        <v>6.3560777323978749E-3</v>
      </c>
      <c r="BD7" s="8">
        <f t="shared" si="19"/>
        <v>1.1208301647527697E-2</v>
      </c>
      <c r="BE7" s="8">
        <f t="shared" si="20"/>
        <v>5.6041508237638484E-3</v>
      </c>
      <c r="BF7" s="159">
        <f t="shared" si="21"/>
        <v>2.2416603295055394E-4</v>
      </c>
      <c r="BG7" s="159">
        <f t="shared" si="22"/>
        <v>2.9651591660126183E-3</v>
      </c>
      <c r="BH7" s="160">
        <f t="shared" si="23"/>
        <v>7.4722010983517976E-5</v>
      </c>
      <c r="BI7" s="122">
        <v>26644827</v>
      </c>
      <c r="BJ7" s="16">
        <f t="shared" si="2"/>
        <v>58.248599866749188</v>
      </c>
      <c r="BK7" s="16">
        <f t="shared" si="3"/>
        <v>22.188133231506853</v>
      </c>
      <c r="BL7" s="16">
        <f t="shared" si="4"/>
        <v>19.563266901743958</v>
      </c>
      <c r="BM7" s="134">
        <f t="shared" si="24"/>
        <v>0.32493512550162573</v>
      </c>
      <c r="BN7" s="134">
        <f t="shared" si="25"/>
        <v>0.51037522975073246</v>
      </c>
      <c r="BO7" s="134">
        <f t="shared" si="26"/>
        <v>0.39338366787387719</v>
      </c>
      <c r="BP7" s="134">
        <f t="shared" si="27"/>
        <v>0.35774441630146031</v>
      </c>
      <c r="BQ7" s="44">
        <f t="shared" ref="BQ7:BQ65" si="29">((AJ7+AP7)/(R7+X7 ))</f>
        <v>0.51893702816694909</v>
      </c>
      <c r="BR7" s="44">
        <f t="shared" si="28"/>
        <v>0.24619723201373755</v>
      </c>
    </row>
    <row r="8" spans="1:70" ht="15" customHeight="1" x14ac:dyDescent="0.2">
      <c r="A8" s="65">
        <v>58</v>
      </c>
      <c r="B8" s="51">
        <v>29</v>
      </c>
      <c r="C8" s="51" t="s">
        <v>114</v>
      </c>
      <c r="D8" s="248"/>
      <c r="E8" s="249"/>
      <c r="F8" s="167">
        <v>0.04</v>
      </c>
      <c r="G8" s="223"/>
      <c r="H8" s="168">
        <v>2.7</v>
      </c>
      <c r="I8" s="9">
        <v>30.7911</v>
      </c>
      <c r="J8" s="12"/>
      <c r="K8" s="12"/>
      <c r="L8" s="8">
        <f t="shared" si="5"/>
        <v>9.7813653945458268E-2</v>
      </c>
      <c r="M8" s="8">
        <v>19.93</v>
      </c>
      <c r="N8" s="16">
        <v>6201241</v>
      </c>
      <c r="O8" s="11">
        <v>248162144</v>
      </c>
      <c r="P8" s="64">
        <f t="shared" si="0"/>
        <v>2.4988666281026327E-2</v>
      </c>
      <c r="Q8" s="8">
        <v>35.53</v>
      </c>
      <c r="R8" s="16">
        <v>534093</v>
      </c>
      <c r="S8" s="8"/>
      <c r="T8" s="16"/>
      <c r="U8" s="8"/>
      <c r="V8" s="16"/>
      <c r="W8" s="8">
        <v>36.17</v>
      </c>
      <c r="X8" s="16">
        <v>1513818</v>
      </c>
      <c r="Y8" s="16">
        <v>23803370</v>
      </c>
      <c r="Z8" s="64">
        <f t="shared" si="1"/>
        <v>6.3596793227177498E-2</v>
      </c>
      <c r="AA8" s="8">
        <v>37.299999999999997</v>
      </c>
      <c r="AB8" s="16">
        <v>171951</v>
      </c>
      <c r="AC8" s="16"/>
      <c r="AD8" s="16"/>
      <c r="AE8" s="16"/>
      <c r="AF8" s="16"/>
      <c r="AG8" s="8">
        <v>37.950000000000003</v>
      </c>
      <c r="AH8" s="16">
        <v>342639</v>
      </c>
      <c r="AI8" s="8">
        <v>38.799999999999997</v>
      </c>
      <c r="AJ8" s="16">
        <v>486840</v>
      </c>
      <c r="AK8" s="8"/>
      <c r="AL8" s="16"/>
      <c r="AM8" s="8"/>
      <c r="AN8" s="16"/>
      <c r="AO8" s="8">
        <v>39.43</v>
      </c>
      <c r="AP8" s="16">
        <v>1080069</v>
      </c>
      <c r="AQ8" s="133">
        <f t="shared" si="6"/>
        <v>4129410</v>
      </c>
      <c r="AR8" s="8">
        <f t="shared" si="7"/>
        <v>6.5134169231435265E-2</v>
      </c>
      <c r="AS8" s="8">
        <f t="shared" si="8"/>
        <v>3.2567084615717633E-2</v>
      </c>
      <c r="AT8" s="159">
        <f t="shared" si="9"/>
        <v>1.3026833846287054E-3</v>
      </c>
      <c r="AU8" s="159">
        <f t="shared" si="10"/>
        <v>1.0314199403235989E-2</v>
      </c>
      <c r="AV8" s="160">
        <f t="shared" si="11"/>
        <v>3.5399005017084387E-4</v>
      </c>
      <c r="AW8" s="8">
        <f t="shared" si="12"/>
        <v>3.2302188846570774E-2</v>
      </c>
      <c r="AX8" s="8">
        <f t="shared" si="13"/>
        <v>1.6151094423285387E-2</v>
      </c>
      <c r="AY8" s="165">
        <f t="shared" si="14"/>
        <v>6.4604377693141548E-4</v>
      </c>
      <c r="AZ8" s="165">
        <f t="shared" si="15"/>
        <v>2.0499564554384116E-2</v>
      </c>
      <c r="BA8" s="166">
        <f t="shared" si="16"/>
        <v>2.1534792564380516E-4</v>
      </c>
      <c r="BB8" s="8">
        <f t="shared" si="17"/>
        <v>8.1167508541908576E-3</v>
      </c>
      <c r="BC8" s="8">
        <f t="shared" si="18"/>
        <v>4.0583754270954288E-3</v>
      </c>
      <c r="BD8" s="8">
        <f t="shared" si="19"/>
        <v>2.4715229530673628E-2</v>
      </c>
      <c r="BE8" s="8">
        <f t="shared" si="20"/>
        <v>1.2357614765336816E-2</v>
      </c>
      <c r="BF8" s="159">
        <f t="shared" si="21"/>
        <v>4.9430459061347261E-4</v>
      </c>
      <c r="BG8" s="159">
        <f t="shared" si="22"/>
        <v>6.5384205107602202E-3</v>
      </c>
      <c r="BH8" s="160">
        <f t="shared" si="23"/>
        <v>1.6476819687115754E-4</v>
      </c>
      <c r="BI8" s="122">
        <v>30825388</v>
      </c>
      <c r="BJ8" s="16">
        <f t="shared" si="2"/>
        <v>49.593307518507487</v>
      </c>
      <c r="BK8" s="16">
        <f t="shared" si="3"/>
        <v>12.461586522045522</v>
      </c>
      <c r="BL8" s="16">
        <f t="shared" si="4"/>
        <v>37.945105959446991</v>
      </c>
      <c r="BM8" s="134">
        <f t="shared" si="24"/>
        <v>0.2607989312035533</v>
      </c>
      <c r="BN8" s="134">
        <f t="shared" si="25"/>
        <v>0.33415146038593829</v>
      </c>
      <c r="BO8" s="134">
        <f t="shared" si="26"/>
        <v>0.45074897992628249</v>
      </c>
      <c r="BP8" s="134">
        <f t="shared" si="27"/>
        <v>0.28887516618596848</v>
      </c>
      <c r="BQ8" s="44">
        <f t="shared" si="29"/>
        <v>0.76512553524054516</v>
      </c>
      <c r="BR8" s="44">
        <f t="shared" si="28"/>
        <v>0.11813571344340196</v>
      </c>
    </row>
    <row r="9" spans="1:70" ht="18" x14ac:dyDescent="0.2">
      <c r="A9" s="65">
        <v>57</v>
      </c>
      <c r="B9" s="51">
        <v>28</v>
      </c>
      <c r="C9" s="51" t="s">
        <v>115</v>
      </c>
      <c r="D9" s="248"/>
      <c r="E9" s="249"/>
      <c r="F9" s="167">
        <v>0.04</v>
      </c>
      <c r="G9" s="221" t="s">
        <v>363</v>
      </c>
      <c r="H9" s="168">
        <v>2.6</v>
      </c>
      <c r="I9" s="9">
        <v>30.9315</v>
      </c>
      <c r="J9" s="12"/>
      <c r="K9" s="12"/>
      <c r="L9" s="8">
        <f t="shared" si="5"/>
        <v>9.7369671693904272E-2</v>
      </c>
      <c r="M9" s="8">
        <v>19.920000000000002</v>
      </c>
      <c r="N9" s="16">
        <v>8924510</v>
      </c>
      <c r="O9" s="11">
        <v>369629607</v>
      </c>
      <c r="P9" s="64">
        <f t="shared" si="0"/>
        <v>2.4144467410047051E-2</v>
      </c>
      <c r="Q9" s="8">
        <v>35.53</v>
      </c>
      <c r="R9" s="16">
        <v>927505</v>
      </c>
      <c r="S9" s="8"/>
      <c r="T9" s="16"/>
      <c r="U9" s="8"/>
      <c r="V9" s="16"/>
      <c r="W9" s="8">
        <v>36.159999999999997</v>
      </c>
      <c r="X9" s="16">
        <v>2413122</v>
      </c>
      <c r="Y9" s="16">
        <v>25662954</v>
      </c>
      <c r="Z9" s="64">
        <f t="shared" si="1"/>
        <v>9.4031341832276988E-2</v>
      </c>
      <c r="AA9" s="8">
        <v>37.299999999999997</v>
      </c>
      <c r="AB9" s="16">
        <v>237065</v>
      </c>
      <c r="AC9" s="16"/>
      <c r="AD9" s="16"/>
      <c r="AE9" s="16"/>
      <c r="AF9" s="16"/>
      <c r="AG9" s="8">
        <v>37.94</v>
      </c>
      <c r="AH9" s="16">
        <v>436753</v>
      </c>
      <c r="AI9" s="8">
        <v>38.79</v>
      </c>
      <c r="AJ9" s="16">
        <v>469361</v>
      </c>
      <c r="AK9" s="8"/>
      <c r="AL9" s="16"/>
      <c r="AM9" s="8"/>
      <c r="AN9" s="16"/>
      <c r="AO9" s="8">
        <v>39.42</v>
      </c>
      <c r="AP9" s="16">
        <v>1213452</v>
      </c>
      <c r="AQ9" s="133">
        <f t="shared" si="6"/>
        <v>5697258</v>
      </c>
      <c r="AR9" s="8">
        <f t="shared" si="7"/>
        <v>6.2159170757326694E-2</v>
      </c>
      <c r="AS9" s="8">
        <f t="shared" si="8"/>
        <v>3.1079585378663344E-2</v>
      </c>
      <c r="AT9" s="159">
        <f t="shared" si="9"/>
        <v>1.2431834151465338E-3</v>
      </c>
      <c r="AU9" s="159">
        <f t="shared" si="10"/>
        <v>9.84309909062972E-3</v>
      </c>
      <c r="AV9" s="160">
        <f t="shared" si="11"/>
        <v>3.3782158020286246E-4</v>
      </c>
      <c r="AW9" s="8">
        <f t="shared" si="12"/>
        <v>3.6447463697367406E-2</v>
      </c>
      <c r="AX9" s="8">
        <f t="shared" si="13"/>
        <v>1.8223731848683703E-2</v>
      </c>
      <c r="AY9" s="165">
        <f t="shared" si="14"/>
        <v>7.289492739473481E-4</v>
      </c>
      <c r="AZ9" s="165">
        <f t="shared" si="15"/>
        <v>2.3130232395600449E-2</v>
      </c>
      <c r="BA9" s="166">
        <f t="shared" si="16"/>
        <v>2.4298309131578271E-4</v>
      </c>
      <c r="BB9" s="8">
        <f t="shared" si="17"/>
        <v>7.3516010897453415E-3</v>
      </c>
      <c r="BC9" s="8">
        <f t="shared" si="18"/>
        <v>3.6758005448726712E-3</v>
      </c>
      <c r="BD9" s="8">
        <f t="shared" si="19"/>
        <v>1.8360105970213952E-2</v>
      </c>
      <c r="BE9" s="8">
        <f t="shared" si="20"/>
        <v>9.1800529851069762E-3</v>
      </c>
      <c r="BF9" s="159">
        <f t="shared" si="21"/>
        <v>3.6720211940427907E-4</v>
      </c>
      <c r="BG9" s="159">
        <f t="shared" si="22"/>
        <v>4.8571708915909929E-3</v>
      </c>
      <c r="BH9" s="160">
        <f t="shared" si="23"/>
        <v>1.2240070646809303E-4</v>
      </c>
      <c r="BI9" s="122">
        <v>58453065</v>
      </c>
      <c r="BJ9" s="16">
        <f t="shared" si="2"/>
        <v>58.635698084938404</v>
      </c>
      <c r="BK9" s="16">
        <f t="shared" si="3"/>
        <v>11.827057858359233</v>
      </c>
      <c r="BL9" s="16">
        <f t="shared" si="4"/>
        <v>29.537244056702363</v>
      </c>
      <c r="BM9" s="134">
        <f t="shared" si="24"/>
        <v>0.27764398719162603</v>
      </c>
      <c r="BN9" s="134">
        <f t="shared" si="25"/>
        <v>0.35182348942889624</v>
      </c>
      <c r="BO9" s="134">
        <f t="shared" si="26"/>
        <v>0.38679815930090355</v>
      </c>
      <c r="BP9" s="134">
        <f t="shared" si="27"/>
        <v>0.28679252370175268</v>
      </c>
      <c r="BQ9" s="44">
        <f t="shared" si="29"/>
        <v>0.50374166286747968</v>
      </c>
      <c r="BR9" s="44">
        <f t="shared" si="28"/>
        <v>8.8811057116579134E-2</v>
      </c>
    </row>
    <row r="10" spans="1:70" ht="15" customHeight="1" x14ac:dyDescent="0.2">
      <c r="A10" s="65">
        <v>56</v>
      </c>
      <c r="B10" s="51">
        <v>27</v>
      </c>
      <c r="C10" s="51" t="s">
        <v>116</v>
      </c>
      <c r="D10" s="248"/>
      <c r="E10" s="249"/>
      <c r="F10" s="167">
        <v>0.04</v>
      </c>
      <c r="G10" s="222"/>
      <c r="H10" s="168">
        <v>2.5</v>
      </c>
      <c r="I10" s="9">
        <v>30.470800000000001</v>
      </c>
      <c r="J10" s="12"/>
      <c r="K10" s="12"/>
      <c r="L10" s="8">
        <f t="shared" si="5"/>
        <v>9.8841842025808313E-2</v>
      </c>
      <c r="M10" s="8">
        <v>19.91</v>
      </c>
      <c r="N10" s="16">
        <v>23437252</v>
      </c>
      <c r="O10" s="11">
        <v>926107920</v>
      </c>
      <c r="P10" s="64">
        <f>N10/O10</f>
        <v>2.530725792734825E-2</v>
      </c>
      <c r="Q10" s="8">
        <v>35.520000000000003</v>
      </c>
      <c r="R10" s="16">
        <v>1303421</v>
      </c>
      <c r="S10" s="8"/>
      <c r="T10" s="16"/>
      <c r="U10" s="8"/>
      <c r="V10" s="16"/>
      <c r="W10" s="8">
        <v>36.17</v>
      </c>
      <c r="X10" s="16">
        <v>3262591</v>
      </c>
      <c r="Y10" s="16">
        <v>43394174</v>
      </c>
      <c r="Z10" s="64">
        <f t="shared" si="1"/>
        <v>7.5185000640869443E-2</v>
      </c>
      <c r="AA10" s="8">
        <v>37.29</v>
      </c>
      <c r="AB10" s="16">
        <v>324256</v>
      </c>
      <c r="AC10" s="16"/>
      <c r="AD10" s="16"/>
      <c r="AE10" s="16"/>
      <c r="AF10" s="16"/>
      <c r="AG10" s="8">
        <v>37.950000000000003</v>
      </c>
      <c r="AH10" s="16">
        <v>725634</v>
      </c>
      <c r="AI10" s="8">
        <v>38.799999999999997</v>
      </c>
      <c r="AJ10" s="16">
        <v>721142</v>
      </c>
      <c r="AK10" s="8"/>
      <c r="AL10" s="16"/>
      <c r="AM10" s="8"/>
      <c r="AN10" s="16"/>
      <c r="AO10" s="8">
        <v>39.42</v>
      </c>
      <c r="AP10" s="16">
        <v>1827103</v>
      </c>
      <c r="AQ10" s="133">
        <f t="shared" si="6"/>
        <v>8164147</v>
      </c>
      <c r="AR10" s="8">
        <f t="shared" si="7"/>
        <v>3.4430628985406518E-2</v>
      </c>
      <c r="AS10" s="8">
        <f t="shared" si="8"/>
        <v>1.7215314492703259E-2</v>
      </c>
      <c r="AT10" s="159">
        <f t="shared" si="9"/>
        <v>6.8861257970813036E-4</v>
      </c>
      <c r="AU10" s="159">
        <f t="shared" si="10"/>
        <v>5.4521977807452911E-3</v>
      </c>
      <c r="AV10" s="160">
        <f t="shared" si="11"/>
        <v>1.8712298361633976E-4</v>
      </c>
      <c r="AW10" s="8">
        <f t="shared" si="12"/>
        <v>1.9256226659676016E-2</v>
      </c>
      <c r="AX10" s="8">
        <f t="shared" si="13"/>
        <v>9.6281133298380082E-3</v>
      </c>
      <c r="AY10" s="165">
        <f t="shared" si="14"/>
        <v>3.8512453319352035E-4</v>
      </c>
      <c r="AZ10" s="165">
        <f t="shared" si="15"/>
        <v>1.2220356439584971E-2</v>
      </c>
      <c r="BA10" s="166">
        <f t="shared" si="16"/>
        <v>1.2837484439784012E-4</v>
      </c>
      <c r="BB10" s="8">
        <f t="shared" si="17"/>
        <v>4.4276974759871971E-3</v>
      </c>
      <c r="BC10" s="8">
        <f t="shared" si="18"/>
        <v>2.2138487379935986E-3</v>
      </c>
      <c r="BD10" s="8">
        <f t="shared" si="19"/>
        <v>1.0746704849743301E-2</v>
      </c>
      <c r="BE10" s="8">
        <f t="shared" si="20"/>
        <v>5.3733524248716505E-3</v>
      </c>
      <c r="BF10" s="159">
        <f t="shared" si="21"/>
        <v>2.1493409699486604E-4</v>
      </c>
      <c r="BG10" s="159">
        <f t="shared" si="22"/>
        <v>2.8430436110432017E-3</v>
      </c>
      <c r="BH10" s="160">
        <f t="shared" si="23"/>
        <v>7.1644698998288674E-5</v>
      </c>
      <c r="BI10" s="122">
        <v>92102519</v>
      </c>
      <c r="BJ10" s="16">
        <f t="shared" si="2"/>
        <v>55.927606399051854</v>
      </c>
      <c r="BK10" s="16">
        <f t="shared" si="3"/>
        <v>12.859763549088472</v>
      </c>
      <c r="BL10" s="16">
        <f t="shared" si="4"/>
        <v>31.212630051859673</v>
      </c>
      <c r="BM10" s="134">
        <f t="shared" si="24"/>
        <v>0.2854615800396495</v>
      </c>
      <c r="BN10" s="134">
        <f t="shared" si="25"/>
        <v>0.30884759355742031</v>
      </c>
      <c r="BO10" s="134">
        <f t="shared" si="26"/>
        <v>0.39469148701523671</v>
      </c>
      <c r="BP10" s="134">
        <f t="shared" si="27"/>
        <v>0.28769925382284273</v>
      </c>
      <c r="BQ10" s="44">
        <f t="shared" si="29"/>
        <v>0.55808986047342846</v>
      </c>
      <c r="BR10" s="44">
        <f t="shared" si="28"/>
        <v>8.142433897223629E-2</v>
      </c>
    </row>
    <row r="11" spans="1:70" ht="15" customHeight="1" x14ac:dyDescent="0.2">
      <c r="A11" s="65">
        <v>55</v>
      </c>
      <c r="B11" s="51">
        <v>16</v>
      </c>
      <c r="C11" s="70" t="s">
        <v>40</v>
      </c>
      <c r="D11" s="248"/>
      <c r="E11" s="249"/>
      <c r="F11" s="167">
        <v>0.04</v>
      </c>
      <c r="G11" s="222"/>
      <c r="H11" s="168">
        <v>2.4500000000000002</v>
      </c>
      <c r="I11" s="9">
        <v>30.62</v>
      </c>
      <c r="J11" s="12"/>
      <c r="K11" s="12"/>
      <c r="L11" s="8">
        <f>3.01179/I11</f>
        <v>9.8360222077073803E-2</v>
      </c>
      <c r="M11" s="8">
        <v>20.2</v>
      </c>
      <c r="N11" s="16">
        <v>75486427</v>
      </c>
      <c r="O11" s="11">
        <v>2582249711</v>
      </c>
      <c r="P11" s="64">
        <f>N11/O11</f>
        <v>2.9232814579643107E-2</v>
      </c>
      <c r="Q11" s="8">
        <v>35.83</v>
      </c>
      <c r="R11" s="16">
        <v>11359357</v>
      </c>
      <c r="S11" s="8"/>
      <c r="T11" s="16"/>
      <c r="U11" s="8"/>
      <c r="V11" s="16"/>
      <c r="W11" s="8">
        <v>36.44</v>
      </c>
      <c r="X11" s="16">
        <v>26923013</v>
      </c>
      <c r="Y11" s="16">
        <v>1100237852</v>
      </c>
      <c r="Z11" s="64">
        <f>X11/Y11</f>
        <v>2.4470175199898504E-2</v>
      </c>
      <c r="AA11" s="8">
        <v>37.61</v>
      </c>
      <c r="AB11" s="16">
        <v>3044781</v>
      </c>
      <c r="AC11" s="16"/>
      <c r="AD11" s="16"/>
      <c r="AE11" s="16"/>
      <c r="AF11" s="16"/>
      <c r="AG11" s="8">
        <v>38.229999999999997</v>
      </c>
      <c r="AH11" s="16">
        <v>4732752</v>
      </c>
      <c r="AI11" s="8">
        <v>39.11</v>
      </c>
      <c r="AJ11" s="16">
        <v>3934722</v>
      </c>
      <c r="AK11" s="8"/>
      <c r="AL11" s="16"/>
      <c r="AM11" s="8"/>
      <c r="AN11" s="16"/>
      <c r="AO11" s="8">
        <v>39.72</v>
      </c>
      <c r="AP11" s="16">
        <v>10434147</v>
      </c>
      <c r="AQ11" s="133">
        <f>(R11+T11+V11+X11)+(AB11+AD11+AF11+AH11)+(AJ11+AL11+AN11+AP11)</f>
        <v>60428772</v>
      </c>
      <c r="AR11" s="8">
        <f>(AQ11*L11)/N11</f>
        <v>7.8739816811899954E-2</v>
      </c>
      <c r="AS11" s="8">
        <f>(AR11*0.02)/0.04</f>
        <v>3.9369908405949977E-2</v>
      </c>
      <c r="AT11" s="159">
        <f t="shared" si="9"/>
        <v>1.5747963362379991E-3</v>
      </c>
      <c r="AU11" s="159">
        <f t="shared" si="10"/>
        <v>1.2468696248915273E-2</v>
      </c>
      <c r="AV11" s="160">
        <f>AT11/3.68</f>
        <v>4.2793378702119536E-4</v>
      </c>
      <c r="AW11" s="8">
        <f>(((R11+T11+V11+X11)*L11)/N11)</f>
        <v>4.9882642012407184E-2</v>
      </c>
      <c r="AX11" s="8">
        <f>((AW11*0.02)/0.04)</f>
        <v>2.4941321006203592E-2</v>
      </c>
      <c r="AY11" s="165">
        <f t="shared" si="14"/>
        <v>9.9765284024814376E-4</v>
      </c>
      <c r="AZ11" s="165">
        <f t="shared" si="15"/>
        <v>3.1656444240778792E-2</v>
      </c>
      <c r="BA11" s="166">
        <f>AY11/3</f>
        <v>3.3255094674938124E-4</v>
      </c>
      <c r="BB11" s="8">
        <f>(((AB11+AD11+AF11+AH11)*L11)/N11)</f>
        <v>1.0134270537030055E-2</v>
      </c>
      <c r="BC11" s="8">
        <f>((BB11*0.02)/0.04)</f>
        <v>5.0671352685150274E-3</v>
      </c>
      <c r="BD11" s="8">
        <f>(((AJ11+AL11+AN11+AP11)*L11)/N11)</f>
        <v>1.8722904262462727E-2</v>
      </c>
      <c r="BE11" s="8">
        <f>((BD11*0.02)/0.04)</f>
        <v>9.3614521312313636E-3</v>
      </c>
      <c r="BF11" s="159">
        <f t="shared" si="21"/>
        <v>3.7445808524925453E-4</v>
      </c>
      <c r="BG11" s="159">
        <f t="shared" si="22"/>
        <v>4.9531492757837903E-3</v>
      </c>
      <c r="BH11" s="160">
        <f>BF11/3</f>
        <v>1.2481936174975152E-4</v>
      </c>
      <c r="BI11" s="122">
        <v>289793563</v>
      </c>
      <c r="BJ11" s="16">
        <f>((R11+T11+V11+X11)*100)/AQ11</f>
        <v>63.351229444146242</v>
      </c>
      <c r="BK11" s="16">
        <f>(AB11+AD11+AF11+AH11)*100/AQ11</f>
        <v>12.870579266446123</v>
      </c>
      <c r="BL11" s="16">
        <f>(AJ11+AL11+AN11+AP11)*100/AQ11</f>
        <v>23.778191289407633</v>
      </c>
      <c r="BM11" s="134">
        <f>((R11+V11)/((R11+V11)+(T11+X11)))</f>
        <v>0.29672554233188803</v>
      </c>
      <c r="BN11" s="134">
        <f>((AB11+AF11)/((AB11+AF11)+(AD11+AH11)))</f>
        <v>0.39148416342302889</v>
      </c>
      <c r="BO11" s="134">
        <f>((AJ11+AN11)/((+AN11)+(AL11+AP11)))</f>
        <v>0.37710049513390986</v>
      </c>
      <c r="BP11" s="134">
        <f>((R11+V11+AB11+AF11+AJ11+AN11)/((R11+V11+AB11+AF11+AJ11+AN11)+(T11+X11+AD11+AH11+AL11+AP11)))</f>
        <v>0.30347894542685727</v>
      </c>
      <c r="BQ11" s="44">
        <f>((AJ11+AP11)/(R11+X11 ))</f>
        <v>0.375339065998265</v>
      </c>
      <c r="BR11" s="44">
        <f>(AQ11/(AQ11+BI11))</f>
        <v>0.17254402692506748</v>
      </c>
    </row>
    <row r="12" spans="1:70" ht="18" x14ac:dyDescent="0.2">
      <c r="A12" s="65">
        <v>54</v>
      </c>
      <c r="B12" s="51">
        <v>26</v>
      </c>
      <c r="C12" s="51" t="s">
        <v>117</v>
      </c>
      <c r="D12" s="248"/>
      <c r="E12" s="249"/>
      <c r="F12" s="167">
        <v>0.04</v>
      </c>
      <c r="G12" s="222"/>
      <c r="H12" s="168">
        <v>2.4</v>
      </c>
      <c r="I12" s="9">
        <v>30.5273</v>
      </c>
      <c r="J12" s="12"/>
      <c r="K12" s="12"/>
      <c r="L12" s="8">
        <f t="shared" si="5"/>
        <v>9.8658905307708183E-2</v>
      </c>
      <c r="M12" s="8">
        <v>19.920000000000002</v>
      </c>
      <c r="N12" s="16">
        <v>9812989</v>
      </c>
      <c r="O12" s="11">
        <v>403276777</v>
      </c>
      <c r="P12" s="64">
        <f>N12/O12</f>
        <v>2.4333136842144519E-2</v>
      </c>
      <c r="Q12" s="8">
        <v>35.51</v>
      </c>
      <c r="R12" s="16">
        <v>6242448</v>
      </c>
      <c r="S12" s="8"/>
      <c r="T12" s="16"/>
      <c r="U12" s="8"/>
      <c r="V12" s="16"/>
      <c r="W12" s="8">
        <v>36.15</v>
      </c>
      <c r="X12" s="16">
        <v>12671737</v>
      </c>
      <c r="Y12" s="16">
        <v>440244367</v>
      </c>
      <c r="Z12" s="64">
        <f t="shared" si="1"/>
        <v>2.8783416551926035E-2</v>
      </c>
      <c r="AA12" s="8">
        <v>37.270000000000003</v>
      </c>
      <c r="AB12" s="16">
        <v>1885438</v>
      </c>
      <c r="AC12" s="16"/>
      <c r="AD12" s="16"/>
      <c r="AE12" s="16"/>
      <c r="AF12" s="16"/>
      <c r="AG12" s="8">
        <v>37.909999999999997</v>
      </c>
      <c r="AH12" s="16">
        <v>3295567</v>
      </c>
      <c r="AI12" s="8">
        <v>38.79</v>
      </c>
      <c r="AJ12" s="16">
        <v>3317023</v>
      </c>
      <c r="AK12" s="8"/>
      <c r="AL12" s="16"/>
      <c r="AM12" s="8"/>
      <c r="AN12" s="16"/>
      <c r="AO12" s="8">
        <v>39.42</v>
      </c>
      <c r="AP12" s="16">
        <v>6943428</v>
      </c>
      <c r="AQ12" s="133">
        <f t="shared" si="6"/>
        <v>34355641</v>
      </c>
      <c r="AR12" s="8">
        <f t="shared" si="7"/>
        <v>0.34540851235078496</v>
      </c>
      <c r="AS12" s="8">
        <f t="shared" si="8"/>
        <v>0.17270425617539248</v>
      </c>
      <c r="AT12" s="159">
        <f t="shared" si="9"/>
        <v>6.9081702470156995E-3</v>
      </c>
      <c r="AU12" s="159">
        <f t="shared" si="10"/>
        <v>5.4696518186980986E-2</v>
      </c>
      <c r="AV12" s="160">
        <f t="shared" si="11"/>
        <v>1.8772201758194835E-3</v>
      </c>
      <c r="AW12" s="8">
        <f t="shared" si="12"/>
        <v>0.19016150806726417</v>
      </c>
      <c r="AX12" s="8">
        <f t="shared" si="13"/>
        <v>9.5080754033632087E-2</v>
      </c>
      <c r="AY12" s="165">
        <f t="shared" si="14"/>
        <v>3.8032301613452834E-3</v>
      </c>
      <c r="AZ12" s="165">
        <f t="shared" si="15"/>
        <v>0.12067999877345022</v>
      </c>
      <c r="BA12" s="166">
        <f t="shared" si="16"/>
        <v>1.2677433871150945E-3</v>
      </c>
      <c r="BB12" s="8">
        <f t="shared" si="17"/>
        <v>5.2089356432964778E-2</v>
      </c>
      <c r="BC12" s="8">
        <f t="shared" si="18"/>
        <v>2.6044678216482389E-2</v>
      </c>
      <c r="BD12" s="8">
        <f t="shared" si="19"/>
        <v>0.10315764785055601</v>
      </c>
      <c r="BE12" s="8">
        <f t="shared" si="20"/>
        <v>5.1578823925278003E-2</v>
      </c>
      <c r="BF12" s="159">
        <f t="shared" si="21"/>
        <v>2.06315295701112E-3</v>
      </c>
      <c r="BG12" s="159">
        <f t="shared" si="22"/>
        <v>2.7290383029247623E-2</v>
      </c>
      <c r="BH12" s="160">
        <f t="shared" si="23"/>
        <v>6.8771765233703998E-4</v>
      </c>
      <c r="BI12" s="122">
        <v>201484475</v>
      </c>
      <c r="BJ12" s="16">
        <f t="shared" si="2"/>
        <v>55.054088497431906</v>
      </c>
      <c r="BK12" s="16">
        <f t="shared" si="3"/>
        <v>15.080507448543894</v>
      </c>
      <c r="BL12" s="16">
        <f t="shared" si="4"/>
        <v>29.8654040540242</v>
      </c>
      <c r="BM12" s="134">
        <f t="shared" si="24"/>
        <v>0.33004054893192597</v>
      </c>
      <c r="BN12" s="134">
        <f t="shared" si="25"/>
        <v>0.36391356503226691</v>
      </c>
      <c r="BO12" s="134">
        <f t="shared" si="26"/>
        <v>0.47772123510173936</v>
      </c>
      <c r="BP12" s="134">
        <f t="shared" si="27"/>
        <v>0.33313041663230791</v>
      </c>
      <c r="BQ12" s="44">
        <f t="shared" si="29"/>
        <v>0.54247386287064447</v>
      </c>
      <c r="BR12" s="44">
        <f t="shared" si="28"/>
        <v>0.14567344005207325</v>
      </c>
    </row>
    <row r="13" spans="1:70" ht="18" x14ac:dyDescent="0.2">
      <c r="A13" s="65">
        <v>53</v>
      </c>
      <c r="B13" s="51">
        <v>25</v>
      </c>
      <c r="C13" s="51" t="s">
        <v>118</v>
      </c>
      <c r="D13" s="248"/>
      <c r="E13" s="249"/>
      <c r="F13" s="167">
        <v>0.04</v>
      </c>
      <c r="G13" s="222"/>
      <c r="H13" s="168">
        <v>2.2999999999999998</v>
      </c>
      <c r="I13" s="9">
        <v>30.357399999999998</v>
      </c>
      <c r="J13" s="12"/>
      <c r="K13" s="12"/>
      <c r="L13" s="8">
        <f t="shared" si="5"/>
        <v>9.9211065506268653E-2</v>
      </c>
      <c r="M13" s="8">
        <v>19.920000000000002</v>
      </c>
      <c r="N13" s="16">
        <v>38213722</v>
      </c>
      <c r="O13" s="11">
        <v>1541851475</v>
      </c>
      <c r="P13" s="64">
        <f t="shared" si="0"/>
        <v>2.478430809945556E-2</v>
      </c>
      <c r="Q13" s="8">
        <v>35.520000000000003</v>
      </c>
      <c r="R13" s="16">
        <v>4579958</v>
      </c>
      <c r="S13" s="8"/>
      <c r="T13" s="16"/>
      <c r="U13" s="8"/>
      <c r="V13" s="16"/>
      <c r="W13" s="8">
        <v>36.15</v>
      </c>
      <c r="X13" s="16">
        <v>9850564</v>
      </c>
      <c r="Y13" s="16">
        <v>336607586</v>
      </c>
      <c r="Z13" s="64">
        <f t="shared" si="1"/>
        <v>2.9264236486934075E-2</v>
      </c>
      <c r="AA13" s="8">
        <v>37.26</v>
      </c>
      <c r="AB13" s="16">
        <v>1124669</v>
      </c>
      <c r="AC13" s="16"/>
      <c r="AD13" s="16"/>
      <c r="AE13" s="16"/>
      <c r="AF13" s="16"/>
      <c r="AG13" s="8">
        <v>37.92</v>
      </c>
      <c r="AH13" s="16">
        <v>1865769</v>
      </c>
      <c r="AI13" s="8">
        <v>38.78</v>
      </c>
      <c r="AJ13" s="16">
        <v>1915566</v>
      </c>
      <c r="AK13" s="8"/>
      <c r="AL13" s="16"/>
      <c r="AM13" s="8"/>
      <c r="AN13" s="16"/>
      <c r="AO13" s="8">
        <v>39.409999999999997</v>
      </c>
      <c r="AP13" s="16">
        <v>4471088</v>
      </c>
      <c r="AQ13" s="133">
        <f t="shared" si="6"/>
        <v>23807614</v>
      </c>
      <c r="AR13" s="8">
        <f t="shared" si="7"/>
        <v>6.180970155437774E-2</v>
      </c>
      <c r="AS13" s="8">
        <f t="shared" si="8"/>
        <v>3.090485077718887E-2</v>
      </c>
      <c r="AT13" s="159">
        <f t="shared" si="9"/>
        <v>1.2361940310875548E-3</v>
      </c>
      <c r="AU13" s="159">
        <f t="shared" si="10"/>
        <v>9.7877595493868156E-3</v>
      </c>
      <c r="AV13" s="160">
        <f t="shared" si="11"/>
        <v>3.3592229105640071E-4</v>
      </c>
      <c r="AW13" s="8">
        <f t="shared" si="12"/>
        <v>3.7464747962306602E-2</v>
      </c>
      <c r="AX13" s="8">
        <f t="shared" si="13"/>
        <v>1.8732373981153301E-2</v>
      </c>
      <c r="AY13" s="165">
        <f t="shared" si="14"/>
        <v>7.4929495924613203E-4</v>
      </c>
      <c r="AZ13" s="165">
        <f t="shared" si="15"/>
        <v>2.3775819744443347E-2</v>
      </c>
      <c r="BA13" s="166">
        <f t="shared" si="16"/>
        <v>2.4976498641537736E-4</v>
      </c>
      <c r="BB13" s="8">
        <f t="shared" si="17"/>
        <v>7.7638221241687734E-3</v>
      </c>
      <c r="BC13" s="8">
        <f t="shared" si="18"/>
        <v>3.8819110620843867E-3</v>
      </c>
      <c r="BD13" s="8">
        <f t="shared" si="19"/>
        <v>1.6581131467902362E-2</v>
      </c>
      <c r="BE13" s="8">
        <f t="shared" si="20"/>
        <v>8.2905657339511808E-3</v>
      </c>
      <c r="BF13" s="159">
        <f t="shared" si="21"/>
        <v>3.3162262935804724E-4</v>
      </c>
      <c r="BG13" s="159">
        <f t="shared" si="22"/>
        <v>4.3865427163762866E-3</v>
      </c>
      <c r="BH13" s="160">
        <f t="shared" si="23"/>
        <v>1.1054087645268241E-4</v>
      </c>
      <c r="BI13" s="122">
        <v>130260717</v>
      </c>
      <c r="BJ13" s="16">
        <f t="shared" si="2"/>
        <v>60.613054294311056</v>
      </c>
      <c r="BK13" s="16">
        <f t="shared" si="3"/>
        <v>12.560847130670044</v>
      </c>
      <c r="BL13" s="16">
        <f t="shared" si="4"/>
        <v>26.8260985750189</v>
      </c>
      <c r="BM13" s="134">
        <f t="shared" si="24"/>
        <v>0.31737992568806589</v>
      </c>
      <c r="BN13" s="134">
        <f t="shared" si="25"/>
        <v>0.37608838571473474</v>
      </c>
      <c r="BO13" s="134">
        <f t="shared" si="26"/>
        <v>0.42843397401258931</v>
      </c>
      <c r="BP13" s="134">
        <f t="shared" si="27"/>
        <v>0.32007377975802193</v>
      </c>
      <c r="BQ13" s="44">
        <f t="shared" si="29"/>
        <v>0.4425795546411973</v>
      </c>
      <c r="BR13" s="44">
        <f t="shared" si="28"/>
        <v>0.15452633156647877</v>
      </c>
    </row>
    <row r="14" spans="1:70" ht="15" customHeight="1" x14ac:dyDescent="0.2">
      <c r="A14" s="65">
        <v>52</v>
      </c>
      <c r="B14" s="51">
        <v>24</v>
      </c>
      <c r="C14" s="51" t="s">
        <v>119</v>
      </c>
      <c r="D14" s="248"/>
      <c r="E14" s="249"/>
      <c r="F14" s="167">
        <v>0.04</v>
      </c>
      <c r="G14" s="223"/>
      <c r="H14" s="168">
        <v>2.2000000000000002</v>
      </c>
      <c r="I14" s="9">
        <v>30.9955</v>
      </c>
      <c r="J14" s="12"/>
      <c r="K14" s="12"/>
      <c r="L14" s="8">
        <f t="shared" si="5"/>
        <v>9.7168621251471993E-2</v>
      </c>
      <c r="M14" s="8">
        <v>19.91</v>
      </c>
      <c r="N14" s="16">
        <v>31734520</v>
      </c>
      <c r="O14" s="11">
        <v>1287343133</v>
      </c>
      <c r="P14" s="64">
        <f t="shared" si="0"/>
        <v>2.4651174334574245E-2</v>
      </c>
      <c r="Q14" s="8">
        <v>35.51</v>
      </c>
      <c r="R14" s="16">
        <v>6666263</v>
      </c>
      <c r="S14" s="8"/>
      <c r="T14" s="16"/>
      <c r="U14" s="8"/>
      <c r="V14" s="16"/>
      <c r="W14" s="8">
        <v>36.14</v>
      </c>
      <c r="X14" s="16">
        <v>15521787</v>
      </c>
      <c r="Y14" s="16">
        <v>616274947</v>
      </c>
      <c r="Z14" s="64">
        <f t="shared" si="1"/>
        <v>2.5186464378536548E-2</v>
      </c>
      <c r="AA14" s="8">
        <v>37.26</v>
      </c>
      <c r="AB14" s="16">
        <v>1650395</v>
      </c>
      <c r="AC14" s="16"/>
      <c r="AD14" s="16"/>
      <c r="AE14" s="16"/>
      <c r="AF14" s="16"/>
      <c r="AG14" s="8">
        <v>37.909999999999997</v>
      </c>
      <c r="AH14" s="16">
        <v>2665541</v>
      </c>
      <c r="AI14" s="8">
        <v>38.78</v>
      </c>
      <c r="AJ14" s="16">
        <v>2552632</v>
      </c>
      <c r="AK14" s="8"/>
      <c r="AL14" s="16"/>
      <c r="AM14" s="8"/>
      <c r="AN14" s="16"/>
      <c r="AO14" s="8">
        <v>39.409999999999997</v>
      </c>
      <c r="AP14" s="16">
        <v>5651962</v>
      </c>
      <c r="AQ14" s="133">
        <f t="shared" si="6"/>
        <v>34708580</v>
      </c>
      <c r="AR14" s="8">
        <f t="shared" si="7"/>
        <v>0.10627496064841743</v>
      </c>
      <c r="AS14" s="8">
        <f t="shared" si="8"/>
        <v>5.3137480324208716E-2</v>
      </c>
      <c r="AT14" s="159">
        <f t="shared" si="9"/>
        <v>2.1254992129683486E-3</v>
      </c>
      <c r="AU14" s="159">
        <f t="shared" si="10"/>
        <v>1.6828972390881616E-2</v>
      </c>
      <c r="AV14" s="160">
        <f t="shared" si="11"/>
        <v>5.7758130787183379E-4</v>
      </c>
      <c r="AW14" s="8">
        <f t="shared" si="12"/>
        <v>6.7938075847963769E-2</v>
      </c>
      <c r="AX14" s="8">
        <f t="shared" si="13"/>
        <v>3.3969037923981885E-2</v>
      </c>
      <c r="AY14" s="165">
        <f t="shared" si="14"/>
        <v>1.3587615169592755E-3</v>
      </c>
      <c r="AZ14" s="165">
        <f t="shared" si="15"/>
        <v>4.3114755416762671E-2</v>
      </c>
      <c r="BA14" s="166">
        <f t="shared" si="16"/>
        <v>4.5292050565309182E-4</v>
      </c>
      <c r="BB14" s="8">
        <f t="shared" si="17"/>
        <v>1.3215058886335543E-2</v>
      </c>
      <c r="BC14" s="8">
        <f t="shared" si="18"/>
        <v>6.6075294431677725E-3</v>
      </c>
      <c r="BD14" s="8">
        <f t="shared" si="19"/>
        <v>2.5121825914118115E-2</v>
      </c>
      <c r="BE14" s="8">
        <f t="shared" si="20"/>
        <v>1.2560912957059057E-2</v>
      </c>
      <c r="BF14" s="159">
        <f t="shared" si="21"/>
        <v>5.0243651828236232E-4</v>
      </c>
      <c r="BG14" s="159">
        <f t="shared" si="22"/>
        <v>6.6459856915656399E-3</v>
      </c>
      <c r="BH14" s="160">
        <f t="shared" si="23"/>
        <v>1.674788394274541E-4</v>
      </c>
      <c r="BI14" s="122">
        <v>188616794</v>
      </c>
      <c r="BJ14" s="16">
        <f t="shared" si="2"/>
        <v>63.926700544937304</v>
      </c>
      <c r="BK14" s="16">
        <f t="shared" si="3"/>
        <v>12.434781255816285</v>
      </c>
      <c r="BL14" s="16">
        <f t="shared" si="4"/>
        <v>23.638518199246413</v>
      </c>
      <c r="BM14" s="134">
        <f t="shared" si="24"/>
        <v>0.30044384251883333</v>
      </c>
      <c r="BN14" s="134">
        <f t="shared" si="25"/>
        <v>0.3823956147635183</v>
      </c>
      <c r="BO14" s="134">
        <f t="shared" si="26"/>
        <v>0.45163644058470315</v>
      </c>
      <c r="BP14" s="134">
        <f t="shared" si="27"/>
        <v>0.31315859075767433</v>
      </c>
      <c r="BQ14" s="44">
        <f t="shared" si="29"/>
        <v>0.36977535204761119</v>
      </c>
      <c r="BR14" s="44">
        <f t="shared" si="28"/>
        <v>0.15541709111836077</v>
      </c>
    </row>
    <row r="15" spans="1:70" ht="18" x14ac:dyDescent="0.2">
      <c r="A15" s="65">
        <v>51</v>
      </c>
      <c r="B15" s="51">
        <v>23</v>
      </c>
      <c r="C15" s="51" t="s">
        <v>120</v>
      </c>
      <c r="D15" s="248"/>
      <c r="E15" s="249"/>
      <c r="F15" s="329">
        <v>0.1</v>
      </c>
      <c r="G15" s="236" t="s">
        <v>364</v>
      </c>
      <c r="H15" s="168">
        <v>2.1</v>
      </c>
      <c r="I15" s="9">
        <v>30.536200000000001</v>
      </c>
      <c r="J15" s="12"/>
      <c r="K15" s="12"/>
      <c r="L15" s="8">
        <f t="shared" si="5"/>
        <v>9.8630150444390594E-2</v>
      </c>
      <c r="M15" s="8">
        <v>19.920000000000002</v>
      </c>
      <c r="N15" s="16">
        <v>26569723</v>
      </c>
      <c r="O15" s="11">
        <v>1112848412</v>
      </c>
      <c r="P15" s="64">
        <f t="shared" si="0"/>
        <v>2.3875419790777397E-2</v>
      </c>
      <c r="Q15" s="8">
        <v>35.51</v>
      </c>
      <c r="R15" s="16">
        <v>9681479</v>
      </c>
      <c r="S15" s="8"/>
      <c r="T15" s="16"/>
      <c r="U15" s="8"/>
      <c r="V15" s="16"/>
      <c r="W15" s="8">
        <v>36.15</v>
      </c>
      <c r="X15" s="16">
        <v>21104670</v>
      </c>
      <c r="Y15" s="16">
        <v>751299248</v>
      </c>
      <c r="Z15" s="64">
        <f t="shared" si="1"/>
        <v>2.8090897277192536E-2</v>
      </c>
      <c r="AA15" s="8">
        <v>37.270000000000003</v>
      </c>
      <c r="AB15" s="16">
        <v>2154744</v>
      </c>
      <c r="AC15" s="16"/>
      <c r="AD15" s="16"/>
      <c r="AE15" s="16"/>
      <c r="AF15" s="16"/>
      <c r="AG15" s="8">
        <v>37.92</v>
      </c>
      <c r="AH15" s="16">
        <v>4455500</v>
      </c>
      <c r="AI15" s="8">
        <v>38.78</v>
      </c>
      <c r="AJ15" s="16">
        <v>3718521</v>
      </c>
      <c r="AK15" s="8"/>
      <c r="AL15" s="16"/>
      <c r="AM15" s="8"/>
      <c r="AN15" s="16"/>
      <c r="AO15" s="8">
        <v>39.42</v>
      </c>
      <c r="AP15" s="16">
        <v>8223937</v>
      </c>
      <c r="AQ15" s="133">
        <f t="shared" si="6"/>
        <v>49338851</v>
      </c>
      <c r="AR15" s="8">
        <f t="shared" si="7"/>
        <v>0.18315201467788625</v>
      </c>
      <c r="AS15" s="8">
        <f t="shared" si="8"/>
        <v>9.1576007338943125E-2</v>
      </c>
      <c r="AT15" s="159">
        <f t="shared" si="9"/>
        <v>9.1576007338943135E-3</v>
      </c>
      <c r="AU15" s="159">
        <f t="shared" si="10"/>
        <v>7.2506735818640644E-2</v>
      </c>
      <c r="AV15" s="160">
        <f t="shared" si="11"/>
        <v>2.4884784602973676E-3</v>
      </c>
      <c r="AW15" s="8">
        <f t="shared" si="12"/>
        <v>0.11428205357931</v>
      </c>
      <c r="AX15" s="8">
        <f t="shared" si="13"/>
        <v>5.7141026789654992E-2</v>
      </c>
      <c r="AY15" s="165">
        <f t="shared" si="14"/>
        <v>5.7141026789654997E-3</v>
      </c>
      <c r="AZ15" s="165">
        <f t="shared" si="15"/>
        <v>0.18131374516787244</v>
      </c>
      <c r="BA15" s="166">
        <f t="shared" si="16"/>
        <v>1.9047008929884998E-3</v>
      </c>
      <c r="BB15" s="8">
        <f t="shared" si="17"/>
        <v>2.4538056350611192E-2</v>
      </c>
      <c r="BC15" s="8">
        <f t="shared" si="18"/>
        <v>1.2269028175305594E-2</v>
      </c>
      <c r="BD15" s="8">
        <f t="shared" si="19"/>
        <v>4.4331904747965042E-2</v>
      </c>
      <c r="BE15" s="8">
        <f t="shared" si="20"/>
        <v>2.2165952373982521E-2</v>
      </c>
      <c r="BF15" s="159">
        <f t="shared" si="21"/>
        <v>2.2165952373982521E-3</v>
      </c>
      <c r="BG15" s="159">
        <f t="shared" si="22"/>
        <v>2.9320042822728206E-2</v>
      </c>
      <c r="BH15" s="160">
        <f t="shared" si="23"/>
        <v>7.3886507913275071E-4</v>
      </c>
      <c r="BI15" s="122">
        <v>256006776</v>
      </c>
      <c r="BJ15" s="16">
        <f t="shared" si="2"/>
        <v>62.397377271716358</v>
      </c>
      <c r="BK15" s="16">
        <f t="shared" si="3"/>
        <v>13.397644789093285</v>
      </c>
      <c r="BL15" s="16">
        <f t="shared" si="4"/>
        <v>24.204977939190357</v>
      </c>
      <c r="BM15" s="134">
        <f t="shared" si="24"/>
        <v>0.3144751556942052</v>
      </c>
      <c r="BN15" s="134">
        <f t="shared" si="25"/>
        <v>0.32597041803600596</v>
      </c>
      <c r="BO15" s="134">
        <f t="shared" si="26"/>
        <v>0.45215825461697967</v>
      </c>
      <c r="BP15" s="134">
        <f t="shared" si="27"/>
        <v>0.31526360433484762</v>
      </c>
      <c r="BQ15" s="44">
        <f t="shared" si="29"/>
        <v>0.38791659197127903</v>
      </c>
      <c r="BR15" s="44">
        <f t="shared" si="28"/>
        <v>0.1615836175050249</v>
      </c>
    </row>
    <row r="16" spans="1:70" ht="15" customHeight="1" x14ac:dyDescent="0.2">
      <c r="A16" s="65">
        <v>50</v>
      </c>
      <c r="B16" s="70">
        <v>15</v>
      </c>
      <c r="C16" s="70" t="s">
        <v>41</v>
      </c>
      <c r="D16" s="248"/>
      <c r="E16" s="249"/>
      <c r="F16" s="329">
        <v>0.1</v>
      </c>
      <c r="G16" s="237"/>
      <c r="H16" s="168">
        <v>2.0499999999999998</v>
      </c>
      <c r="I16" s="9">
        <v>30.864999999999998</v>
      </c>
      <c r="J16" s="12"/>
      <c r="K16" s="12"/>
      <c r="L16" s="8">
        <f t="shared" si="5"/>
        <v>9.757945893406772E-2</v>
      </c>
      <c r="M16" s="8">
        <v>20.2</v>
      </c>
      <c r="N16" s="16">
        <v>69605679</v>
      </c>
      <c r="O16" s="11">
        <v>2438969716</v>
      </c>
      <c r="P16" s="64">
        <f t="shared" si="0"/>
        <v>2.8538968132066793E-2</v>
      </c>
      <c r="Q16" s="8">
        <v>35.83</v>
      </c>
      <c r="R16" s="16">
        <v>27801693</v>
      </c>
      <c r="S16" s="8"/>
      <c r="T16" s="16"/>
      <c r="U16" s="8"/>
      <c r="V16" s="16"/>
      <c r="W16" s="8">
        <v>36.44</v>
      </c>
      <c r="X16" s="16">
        <v>67762748</v>
      </c>
      <c r="Y16" s="16">
        <v>2325369658</v>
      </c>
      <c r="Z16" s="64">
        <f t="shared" si="1"/>
        <v>2.9140634809125904E-2</v>
      </c>
      <c r="AA16" s="8">
        <v>37.61</v>
      </c>
      <c r="AB16" s="16">
        <v>6871226</v>
      </c>
      <c r="AC16" s="16"/>
      <c r="AD16" s="16"/>
      <c r="AE16" s="16"/>
      <c r="AF16" s="16"/>
      <c r="AG16" s="8">
        <v>38.22</v>
      </c>
      <c r="AH16" s="16">
        <v>12960039</v>
      </c>
      <c r="AI16" s="8">
        <v>39.11</v>
      </c>
      <c r="AJ16" s="16">
        <v>13246982</v>
      </c>
      <c r="AK16" s="8"/>
      <c r="AL16" s="16"/>
      <c r="AM16" s="8"/>
      <c r="AN16" s="16"/>
      <c r="AO16" s="8">
        <v>39.72</v>
      </c>
      <c r="AP16" s="16">
        <v>26670702</v>
      </c>
      <c r="AQ16" s="133">
        <f t="shared" si="6"/>
        <v>155313390</v>
      </c>
      <c r="AR16" s="8">
        <f t="shared" si="7"/>
        <v>0.21773218477497855</v>
      </c>
      <c r="AS16" s="8">
        <f t="shared" si="8"/>
        <v>0.10886609238748927</v>
      </c>
      <c r="AT16" s="159">
        <f t="shared" si="9"/>
        <v>1.0886609238748929E-2</v>
      </c>
      <c r="AU16" s="159">
        <f t="shared" si="10"/>
        <v>8.6196431027307424E-2</v>
      </c>
      <c r="AV16" s="160">
        <f t="shared" si="11"/>
        <v>2.9583177279209043E-3</v>
      </c>
      <c r="AW16" s="8">
        <f t="shared" si="12"/>
        <v>0.13397077049010092</v>
      </c>
      <c r="AX16" s="8">
        <f t="shared" si="13"/>
        <v>6.6985385245050461E-2</v>
      </c>
      <c r="AY16" s="165">
        <f t="shared" si="14"/>
        <v>6.6985385245050466E-3</v>
      </c>
      <c r="AZ16" s="165">
        <f t="shared" si="15"/>
        <v>0.21255080198334272</v>
      </c>
      <c r="BA16" s="166">
        <f t="shared" si="16"/>
        <v>2.2328461748350155E-3</v>
      </c>
      <c r="BB16" s="8">
        <f t="shared" si="17"/>
        <v>2.7801238871301211E-2</v>
      </c>
      <c r="BC16" s="8">
        <f t="shared" si="18"/>
        <v>1.3900619435650604E-2</v>
      </c>
      <c r="BD16" s="8">
        <f t="shared" si="19"/>
        <v>5.5960175413576417E-2</v>
      </c>
      <c r="BE16" s="8">
        <f t="shared" si="20"/>
        <v>2.7980087706788209E-2</v>
      </c>
      <c r="BF16" s="159">
        <f t="shared" si="21"/>
        <v>2.7980087706788209E-3</v>
      </c>
      <c r="BG16" s="159">
        <f t="shared" si="22"/>
        <v>3.7010698024852136E-2</v>
      </c>
      <c r="BH16" s="160">
        <f t="shared" si="23"/>
        <v>9.3266959022627368E-4</v>
      </c>
      <c r="BI16" s="122">
        <v>705111022</v>
      </c>
      <c r="BJ16" s="16">
        <f t="shared" si="2"/>
        <v>61.530072197896139</v>
      </c>
      <c r="BK16" s="16">
        <f t="shared" si="3"/>
        <v>12.768548159305517</v>
      </c>
      <c r="BL16" s="16">
        <f t="shared" si="4"/>
        <v>25.701379642798344</v>
      </c>
      <c r="BM16" s="134">
        <f t="shared" si="24"/>
        <v>0.29092089807756005</v>
      </c>
      <c r="BN16" s="134">
        <f t="shared" si="25"/>
        <v>0.34648450313179718</v>
      </c>
      <c r="BO16" s="134">
        <f t="shared" si="26"/>
        <v>0.49668666389058674</v>
      </c>
      <c r="BP16" s="134">
        <f t="shared" si="27"/>
        <v>0.30853682995394022</v>
      </c>
      <c r="BQ16" s="44">
        <f t="shared" si="29"/>
        <v>0.41770436348808865</v>
      </c>
      <c r="BR16" s="44">
        <f t="shared" si="28"/>
        <v>0.1805078840557118</v>
      </c>
    </row>
    <row r="17" spans="1:70" ht="18" x14ac:dyDescent="0.2">
      <c r="A17" s="65">
        <v>49</v>
      </c>
      <c r="B17" s="51">
        <v>22</v>
      </c>
      <c r="C17" s="51" t="s">
        <v>121</v>
      </c>
      <c r="D17" s="248"/>
      <c r="E17" s="249"/>
      <c r="F17" s="329">
        <v>0.1</v>
      </c>
      <c r="G17" s="237"/>
      <c r="H17" s="168">
        <v>2</v>
      </c>
      <c r="I17" s="9">
        <v>30.536200000000001</v>
      </c>
      <c r="J17" s="12"/>
      <c r="K17" s="12"/>
      <c r="L17" s="8">
        <f t="shared" si="5"/>
        <v>9.8630150444390594E-2</v>
      </c>
      <c r="M17" s="8">
        <v>19.91</v>
      </c>
      <c r="N17" s="16">
        <v>22496324</v>
      </c>
      <c r="O17" s="11">
        <v>898260591</v>
      </c>
      <c r="P17" s="64">
        <f t="shared" si="0"/>
        <v>2.5044318124827988E-2</v>
      </c>
      <c r="Q17" s="8">
        <v>35.51</v>
      </c>
      <c r="R17" s="16">
        <v>6767548</v>
      </c>
      <c r="S17" s="8"/>
      <c r="T17" s="16"/>
      <c r="U17" s="8"/>
      <c r="V17" s="16"/>
      <c r="W17" s="8">
        <v>36.159999999999997</v>
      </c>
      <c r="X17" s="16">
        <v>15199149</v>
      </c>
      <c r="Y17" s="16">
        <v>495241629</v>
      </c>
      <c r="Z17" s="64">
        <f t="shared" si="1"/>
        <v>3.0690370336375741E-2</v>
      </c>
      <c r="AA17" s="8">
        <v>37.270000000000003</v>
      </c>
      <c r="AB17" s="16">
        <v>1790633</v>
      </c>
      <c r="AC17" s="16"/>
      <c r="AD17" s="16"/>
      <c r="AE17" s="16"/>
      <c r="AF17" s="16"/>
      <c r="AG17" s="8">
        <v>37.909999999999997</v>
      </c>
      <c r="AH17" s="16">
        <v>3241782</v>
      </c>
      <c r="AI17" s="8">
        <v>38.79</v>
      </c>
      <c r="AJ17" s="16">
        <v>2941544</v>
      </c>
      <c r="AK17" s="8"/>
      <c r="AL17" s="16"/>
      <c r="AM17" s="8"/>
      <c r="AN17" s="16"/>
      <c r="AO17" s="8">
        <v>39.409999999999997</v>
      </c>
      <c r="AP17" s="16">
        <v>6663832</v>
      </c>
      <c r="AQ17" s="133">
        <f t="shared" si="6"/>
        <v>36604488</v>
      </c>
      <c r="AR17" s="8">
        <f t="shared" si="7"/>
        <v>0.16048427104712262</v>
      </c>
      <c r="AS17" s="8">
        <f t="shared" si="8"/>
        <v>8.0242135523561312E-2</v>
      </c>
      <c r="AT17" s="159">
        <f t="shared" si="9"/>
        <v>8.0242135523561318E-3</v>
      </c>
      <c r="AU17" s="159">
        <f t="shared" si="10"/>
        <v>6.3532965576849815E-2</v>
      </c>
      <c r="AV17" s="160">
        <f t="shared" si="11"/>
        <v>2.1804928131402531E-3</v>
      </c>
      <c r="AW17" s="8">
        <f t="shared" si="12"/>
        <v>9.6308118156386069E-2</v>
      </c>
      <c r="AX17" s="8">
        <f t="shared" si="13"/>
        <v>4.8154059078193034E-2</v>
      </c>
      <c r="AY17" s="165">
        <f t="shared" si="14"/>
        <v>4.8154059078193041E-3</v>
      </c>
      <c r="AZ17" s="165">
        <f t="shared" si="15"/>
        <v>0.15279726821574818</v>
      </c>
      <c r="BA17" s="166">
        <f t="shared" si="16"/>
        <v>1.6051353026064346E-3</v>
      </c>
      <c r="BB17" s="8">
        <f t="shared" si="17"/>
        <v>2.2063509067019479E-2</v>
      </c>
      <c r="BC17" s="8">
        <f t="shared" si="18"/>
        <v>1.1031754533509739E-2</v>
      </c>
      <c r="BD17" s="8">
        <f t="shared" si="19"/>
        <v>4.21126438237171E-2</v>
      </c>
      <c r="BE17" s="8">
        <f t="shared" si="20"/>
        <v>2.105632191185855E-2</v>
      </c>
      <c r="BF17" s="159">
        <f t="shared" si="21"/>
        <v>2.105632191185855E-3</v>
      </c>
      <c r="BG17" s="159">
        <f t="shared" si="22"/>
        <v>2.785227766118856E-2</v>
      </c>
      <c r="BH17" s="160">
        <f t="shared" si="23"/>
        <v>7.0187739706195163E-4</v>
      </c>
      <c r="BI17" s="122">
        <v>203120374</v>
      </c>
      <c r="BJ17" s="16">
        <f t="shared" si="2"/>
        <v>60.010939095774269</v>
      </c>
      <c r="BK17" s="16">
        <f t="shared" si="3"/>
        <v>13.748081929188574</v>
      </c>
      <c r="BL17" s="16">
        <f t="shared" si="4"/>
        <v>26.240978975037159</v>
      </c>
      <c r="BM17" s="134">
        <f t="shared" si="24"/>
        <v>0.30808218459061004</v>
      </c>
      <c r="BN17" s="134">
        <f t="shared" si="25"/>
        <v>0.35581982010625118</v>
      </c>
      <c r="BO17" s="134">
        <f t="shared" si="26"/>
        <v>0.44141929148273845</v>
      </c>
      <c r="BP17" s="134">
        <f t="shared" si="27"/>
        <v>0.31416161318797847</v>
      </c>
      <c r="BQ17" s="44">
        <f t="shared" si="29"/>
        <v>0.43726992729038872</v>
      </c>
      <c r="BR17" s="44">
        <f t="shared" si="28"/>
        <v>0.15269374938674488</v>
      </c>
    </row>
    <row r="18" spans="1:70" ht="15" customHeight="1" x14ac:dyDescent="0.2">
      <c r="A18" s="65">
        <v>48</v>
      </c>
      <c r="B18" s="51">
        <v>21</v>
      </c>
      <c r="C18" s="51" t="s">
        <v>122</v>
      </c>
      <c r="D18" s="248"/>
      <c r="E18" s="249"/>
      <c r="F18" s="329">
        <v>0.1</v>
      </c>
      <c r="G18" s="237"/>
      <c r="H18" s="168">
        <v>1.9</v>
      </c>
      <c r="I18" s="9">
        <v>30.8704</v>
      </c>
      <c r="J18" s="12"/>
      <c r="K18" s="12"/>
      <c r="L18" s="8">
        <f t="shared" si="5"/>
        <v>9.7562389862133309E-2</v>
      </c>
      <c r="M18" s="8">
        <v>19.920000000000002</v>
      </c>
      <c r="N18" s="16">
        <v>42904724</v>
      </c>
      <c r="O18" s="16">
        <v>1771669959</v>
      </c>
      <c r="P18" s="64">
        <f t="shared" si="0"/>
        <v>2.4217108712627892E-2</v>
      </c>
      <c r="Q18" s="8">
        <v>35.520000000000003</v>
      </c>
      <c r="R18" s="16">
        <v>4765409</v>
      </c>
      <c r="S18" s="8"/>
      <c r="T18" s="16"/>
      <c r="U18" s="8"/>
      <c r="V18" s="16"/>
      <c r="W18" s="8">
        <v>36.015000000000001</v>
      </c>
      <c r="X18" s="16">
        <v>10476357</v>
      </c>
      <c r="Y18" s="16">
        <v>339356131</v>
      </c>
      <c r="Z18" s="64">
        <f t="shared" si="1"/>
        <v>3.0871276641234457E-2</v>
      </c>
      <c r="AA18" s="8">
        <v>37.270000000000003</v>
      </c>
      <c r="AB18" s="16">
        <v>1424795</v>
      </c>
      <c r="AC18" s="16"/>
      <c r="AD18" s="16"/>
      <c r="AE18" s="16"/>
      <c r="AF18" s="16"/>
      <c r="AG18" s="8">
        <v>37.92</v>
      </c>
      <c r="AH18" s="16">
        <v>2442245</v>
      </c>
      <c r="AI18" s="8">
        <v>38.799999999999997</v>
      </c>
      <c r="AJ18" s="16">
        <v>2329499</v>
      </c>
      <c r="AK18" s="8"/>
      <c r="AL18" s="16"/>
      <c r="AM18" s="8"/>
      <c r="AN18" s="16"/>
      <c r="AO18" s="8">
        <v>39.409999999999997</v>
      </c>
      <c r="AP18" s="16">
        <v>5244867</v>
      </c>
      <c r="AQ18" s="133">
        <f t="shared" si="6"/>
        <v>26683172</v>
      </c>
      <c r="AR18" s="8">
        <f t="shared" si="7"/>
        <v>6.0675696909793887E-2</v>
      </c>
      <c r="AS18" s="8">
        <f t="shared" si="8"/>
        <v>3.0337848454896944E-2</v>
      </c>
      <c r="AT18" s="159">
        <f t="shared" si="9"/>
        <v>3.0337848454896946E-3</v>
      </c>
      <c r="AU18" s="159">
        <f t="shared" si="10"/>
        <v>2.4020465918366544E-2</v>
      </c>
      <c r="AV18" s="160">
        <f t="shared" si="11"/>
        <v>8.2439805583959093E-4</v>
      </c>
      <c r="AW18" s="8">
        <f t="shared" si="12"/>
        <v>3.4658727012890425E-2</v>
      </c>
      <c r="AX18" s="8">
        <f t="shared" si="13"/>
        <v>1.7329363506445213E-2</v>
      </c>
      <c r="AY18" s="165">
        <f t="shared" si="14"/>
        <v>1.7329363506445213E-3</v>
      </c>
      <c r="AZ18" s="165">
        <f t="shared" si="15"/>
        <v>5.4987667797700181E-2</v>
      </c>
      <c r="BA18" s="166">
        <f t="shared" si="16"/>
        <v>5.7764545021484045E-4</v>
      </c>
      <c r="BB18" s="8">
        <f t="shared" si="17"/>
        <v>8.7933828473634734E-3</v>
      </c>
      <c r="BC18" s="8">
        <f t="shared" si="18"/>
        <v>4.3966914236817367E-3</v>
      </c>
      <c r="BD18" s="8">
        <f t="shared" si="19"/>
        <v>1.7223587049539978E-2</v>
      </c>
      <c r="BE18" s="8">
        <f t="shared" si="20"/>
        <v>8.6117935247699891E-3</v>
      </c>
      <c r="BF18" s="159">
        <f t="shared" si="21"/>
        <v>8.6117935247699898E-4</v>
      </c>
      <c r="BG18" s="159">
        <f t="shared" si="22"/>
        <v>1.1391261276150781E-2</v>
      </c>
      <c r="BH18" s="160">
        <f t="shared" si="23"/>
        <v>2.8705978415899966E-4</v>
      </c>
      <c r="BI18" s="122">
        <v>158431903</v>
      </c>
      <c r="BJ18" s="16">
        <f t="shared" si="2"/>
        <v>57.121267291609861</v>
      </c>
      <c r="BK18" s="16">
        <f t="shared" si="3"/>
        <v>14.492429910506893</v>
      </c>
      <c r="BL18" s="16">
        <f t="shared" si="4"/>
        <v>28.38630279788325</v>
      </c>
      <c r="BM18" s="134">
        <f t="shared" si="24"/>
        <v>0.3126546490741296</v>
      </c>
      <c r="BN18" s="134">
        <f t="shared" si="25"/>
        <v>0.36844589143117218</v>
      </c>
      <c r="BO18" s="134">
        <f t="shared" si="26"/>
        <v>0.44414834542038911</v>
      </c>
      <c r="BP18" s="134">
        <f t="shared" si="27"/>
        <v>0.31929123718874203</v>
      </c>
      <c r="BQ18" s="44">
        <f t="shared" si="29"/>
        <v>0.49694805706897743</v>
      </c>
      <c r="BR18" s="44">
        <f t="shared" si="28"/>
        <v>0.14414370088443634</v>
      </c>
    </row>
    <row r="19" spans="1:70" ht="15" customHeight="1" x14ac:dyDescent="0.2">
      <c r="A19" s="65">
        <v>47</v>
      </c>
      <c r="B19" s="117">
        <v>43</v>
      </c>
      <c r="C19" s="117" t="s">
        <v>168</v>
      </c>
      <c r="D19" s="248"/>
      <c r="E19" s="249"/>
      <c r="F19" s="329">
        <v>0.1</v>
      </c>
      <c r="G19" s="237"/>
      <c r="H19" s="168">
        <v>1.85</v>
      </c>
      <c r="I19" s="9">
        <v>30.978000000000002</v>
      </c>
      <c r="J19" s="12"/>
      <c r="K19" s="12"/>
      <c r="L19" s="8">
        <f t="shared" si="5"/>
        <v>9.7223513461165978E-2</v>
      </c>
      <c r="M19" s="8">
        <v>20.05</v>
      </c>
      <c r="N19" s="16">
        <v>60170456</v>
      </c>
      <c r="O19" s="16">
        <v>2232069400</v>
      </c>
      <c r="P19" s="64">
        <f t="shared" si="0"/>
        <v>2.6957251418795489E-2</v>
      </c>
      <c r="Q19" s="8">
        <v>35.69</v>
      </c>
      <c r="R19" s="16">
        <v>7123489</v>
      </c>
      <c r="S19" s="8"/>
      <c r="T19" s="16"/>
      <c r="U19" s="8"/>
      <c r="V19" s="16"/>
      <c r="W19" s="8">
        <v>36.29</v>
      </c>
      <c r="X19" s="16">
        <v>16116819</v>
      </c>
      <c r="Y19" s="16">
        <v>585180670</v>
      </c>
      <c r="Z19" s="64">
        <f t="shared" si="1"/>
        <v>2.7541612063159911E-2</v>
      </c>
      <c r="AA19" s="8">
        <v>37.450000000000003</v>
      </c>
      <c r="AB19" s="16">
        <v>2254973</v>
      </c>
      <c r="AC19" s="16"/>
      <c r="AD19" s="16"/>
      <c r="AE19" s="16"/>
      <c r="AF19" s="16"/>
      <c r="AG19" s="8">
        <v>38.06</v>
      </c>
      <c r="AH19" s="16">
        <v>3389759</v>
      </c>
      <c r="AI19" s="8">
        <v>38.97</v>
      </c>
      <c r="AJ19" s="16">
        <v>3372525</v>
      </c>
      <c r="AK19" s="8"/>
      <c r="AL19" s="16"/>
      <c r="AM19" s="8"/>
      <c r="AN19" s="16"/>
      <c r="AO19" s="8">
        <v>39.57</v>
      </c>
      <c r="AP19" s="16">
        <v>8250547</v>
      </c>
      <c r="AQ19" s="133">
        <f t="shared" si="6"/>
        <v>40508112</v>
      </c>
      <c r="AR19" s="8">
        <f t="shared" si="7"/>
        <v>6.5453068401516171E-2</v>
      </c>
      <c r="AS19" s="8">
        <f t="shared" si="8"/>
        <v>3.2726534200758085E-2</v>
      </c>
      <c r="AT19" s="159">
        <f t="shared" si="9"/>
        <v>3.2726534200758087E-3</v>
      </c>
      <c r="AU19" s="159">
        <f t="shared" si="10"/>
        <v>2.591174521041812E-2</v>
      </c>
      <c r="AV19" s="160">
        <f t="shared" si="11"/>
        <v>8.8930799458581756E-4</v>
      </c>
      <c r="AW19" s="8">
        <f t="shared" si="12"/>
        <v>3.7551724681621879E-2</v>
      </c>
      <c r="AX19" s="8">
        <f t="shared" si="13"/>
        <v>1.8775862340810939E-2</v>
      </c>
      <c r="AY19" s="165">
        <f t="shared" si="14"/>
        <v>1.877586234081094E-3</v>
      </c>
      <c r="AZ19" s="165">
        <f t="shared" si="15"/>
        <v>5.9577541934986322E-2</v>
      </c>
      <c r="BA19" s="166">
        <f t="shared" si="16"/>
        <v>6.2586207802703138E-4</v>
      </c>
      <c r="BB19" s="8">
        <f t="shared" si="17"/>
        <v>9.1207664702869194E-3</v>
      </c>
      <c r="BC19" s="8">
        <f t="shared" si="18"/>
        <v>4.5603832351434597E-3</v>
      </c>
      <c r="BD19" s="8">
        <f t="shared" si="19"/>
        <v>1.8780577249607369E-2</v>
      </c>
      <c r="BE19" s="8">
        <f t="shared" si="20"/>
        <v>9.3902886248036846E-3</v>
      </c>
      <c r="BF19" s="159">
        <f t="shared" si="21"/>
        <v>9.3902886248036855E-4</v>
      </c>
      <c r="BG19" s="159">
        <f t="shared" si="22"/>
        <v>1.2421016699475776E-2</v>
      </c>
      <c r="BH19" s="160">
        <f t="shared" si="23"/>
        <v>3.130096208267895E-4</v>
      </c>
      <c r="BI19" s="122">
        <v>292536605</v>
      </c>
      <c r="BJ19" s="16">
        <f t="shared" si="2"/>
        <v>57.371985147073751</v>
      </c>
      <c r="BK19" s="16">
        <f t="shared" si="3"/>
        <v>13.934818783951224</v>
      </c>
      <c r="BL19" s="16">
        <f t="shared" si="4"/>
        <v>28.693196068975023</v>
      </c>
      <c r="BM19" s="134">
        <f t="shared" si="24"/>
        <v>0.30651439731349517</v>
      </c>
      <c r="BN19" s="134">
        <f t="shared" si="25"/>
        <v>0.39948273895022829</v>
      </c>
      <c r="BO19" s="134">
        <f t="shared" si="26"/>
        <v>0.40876380681183927</v>
      </c>
      <c r="BP19" s="134">
        <f t="shared" si="27"/>
        <v>0.31477613669084353</v>
      </c>
      <c r="BQ19" s="44">
        <f t="shared" si="29"/>
        <v>0.50012555771636069</v>
      </c>
      <c r="BR19" s="44">
        <f t="shared" si="28"/>
        <v>0.12162964890987897</v>
      </c>
    </row>
    <row r="20" spans="1:70" ht="18" x14ac:dyDescent="0.2">
      <c r="A20" s="65">
        <v>46</v>
      </c>
      <c r="B20" s="51">
        <v>20</v>
      </c>
      <c r="C20" s="51" t="s">
        <v>123</v>
      </c>
      <c r="D20" s="248"/>
      <c r="E20" s="249"/>
      <c r="F20" s="329">
        <v>0.1</v>
      </c>
      <c r="G20" s="237"/>
      <c r="H20" s="168">
        <v>1.8</v>
      </c>
      <c r="I20" s="9">
        <v>30.523099999999999</v>
      </c>
      <c r="J20" s="18"/>
      <c r="K20" s="18"/>
      <c r="L20" s="8">
        <f t="shared" si="5"/>
        <v>9.8672480842378396E-2</v>
      </c>
      <c r="M20" s="8">
        <v>19.920000000000002</v>
      </c>
      <c r="N20" s="16">
        <v>10253057</v>
      </c>
      <c r="O20" s="16">
        <v>451054738</v>
      </c>
      <c r="P20" s="64">
        <f t="shared" si="0"/>
        <v>2.273129209430896E-2</v>
      </c>
      <c r="Q20" s="8">
        <v>35.520000000000003</v>
      </c>
      <c r="R20" s="16">
        <v>4853865</v>
      </c>
      <c r="S20" s="8"/>
      <c r="T20" s="16"/>
      <c r="U20" s="8"/>
      <c r="V20" s="16"/>
      <c r="W20" s="8">
        <v>36.15</v>
      </c>
      <c r="X20" s="16">
        <v>10367567</v>
      </c>
      <c r="Y20" s="16">
        <v>439138749</v>
      </c>
      <c r="Z20" s="64">
        <f t="shared" si="1"/>
        <v>2.3608863994828203E-2</v>
      </c>
      <c r="AA20" s="8">
        <v>37.28</v>
      </c>
      <c r="AB20" s="16">
        <v>1676497</v>
      </c>
      <c r="AC20" s="16"/>
      <c r="AD20" s="16"/>
      <c r="AE20" s="16"/>
      <c r="AF20" s="16"/>
      <c r="AG20" s="8">
        <v>37.93</v>
      </c>
      <c r="AH20" s="16">
        <v>2628253</v>
      </c>
      <c r="AI20" s="8">
        <v>38.799999999999997</v>
      </c>
      <c r="AJ20" s="16">
        <v>2762664</v>
      </c>
      <c r="AK20" s="8"/>
      <c r="AL20" s="16"/>
      <c r="AM20" s="8"/>
      <c r="AN20" s="16"/>
      <c r="AO20" s="8">
        <v>39.409999999999997</v>
      </c>
      <c r="AP20" s="16">
        <v>6066277</v>
      </c>
      <c r="AQ20" s="133">
        <f t="shared" si="6"/>
        <v>28355123</v>
      </c>
      <c r="AR20" s="8">
        <f t="shared" si="7"/>
        <v>0.27288157385653694</v>
      </c>
      <c r="AS20" s="8">
        <f t="shared" si="8"/>
        <v>0.13644078692826847</v>
      </c>
      <c r="AT20" s="159">
        <f t="shared" ref="AT20:AT65" si="30">+AS20*F20</f>
        <v>1.3644078692826848E-2</v>
      </c>
      <c r="AU20" s="159">
        <f t="shared" si="10"/>
        <v>0.10802912662570743</v>
      </c>
      <c r="AV20" s="160">
        <f t="shared" si="11"/>
        <v>3.707630079572513E-3</v>
      </c>
      <c r="AW20" s="8">
        <f t="shared" si="12"/>
        <v>0.14648669732486275</v>
      </c>
      <c r="AX20" s="8">
        <f t="shared" si="13"/>
        <v>7.3243348662431373E-2</v>
      </c>
      <c r="AY20" s="165">
        <f t="shared" si="14"/>
        <v>7.324334866243138E-3</v>
      </c>
      <c r="AZ20" s="165">
        <f t="shared" si="15"/>
        <v>0.23240789675529552</v>
      </c>
      <c r="BA20" s="166">
        <f t="shared" si="16"/>
        <v>2.4414449554143792E-3</v>
      </c>
      <c r="BB20" s="8">
        <f t="shared" si="17"/>
        <v>4.1427679755045584E-2</v>
      </c>
      <c r="BC20" s="8">
        <f t="shared" si="18"/>
        <v>2.0713839877522792E-2</v>
      </c>
      <c r="BD20" s="8">
        <f t="shared" si="19"/>
        <v>8.496719677662859E-2</v>
      </c>
      <c r="BE20" s="8">
        <f t="shared" si="20"/>
        <v>4.2483598388314295E-2</v>
      </c>
      <c r="BF20" s="159">
        <f t="shared" si="21"/>
        <v>4.2483598388314298E-3</v>
      </c>
      <c r="BG20" s="159">
        <f t="shared" si="22"/>
        <v>5.6195235963378706E-2</v>
      </c>
      <c r="BH20" s="160">
        <f t="shared" si="23"/>
        <v>1.4161199462771432E-3</v>
      </c>
      <c r="BI20" s="122">
        <v>200670958</v>
      </c>
      <c r="BJ20" s="16">
        <f t="shared" si="2"/>
        <v>53.681417640120976</v>
      </c>
      <c r="BK20" s="16">
        <f t="shared" si="3"/>
        <v>15.181559960081993</v>
      </c>
      <c r="BL20" s="16">
        <f t="shared" si="4"/>
        <v>31.137022399797033</v>
      </c>
      <c r="BM20" s="134">
        <f t="shared" si="24"/>
        <v>0.3188835978112966</v>
      </c>
      <c r="BN20" s="134">
        <f t="shared" si="25"/>
        <v>0.38945281375225044</v>
      </c>
      <c r="BO20" s="134">
        <f t="shared" si="26"/>
        <v>0.45541342737893442</v>
      </c>
      <c r="BP20" s="134">
        <f t="shared" si="27"/>
        <v>0.32773710768244596</v>
      </c>
      <c r="BQ20" s="44">
        <f t="shared" si="29"/>
        <v>0.58003353429559057</v>
      </c>
      <c r="BR20" s="44">
        <f t="shared" si="28"/>
        <v>0.1238073972893943</v>
      </c>
    </row>
    <row r="21" spans="1:70" ht="18" x14ac:dyDescent="0.2">
      <c r="A21" s="65">
        <v>45</v>
      </c>
      <c r="B21" s="51">
        <v>19</v>
      </c>
      <c r="C21" s="51" t="s">
        <v>124</v>
      </c>
      <c r="D21" s="248"/>
      <c r="E21" s="249"/>
      <c r="F21" s="329">
        <v>0.1</v>
      </c>
      <c r="G21" s="237"/>
      <c r="H21" s="168">
        <v>1.7</v>
      </c>
      <c r="I21" s="9">
        <v>30.1524</v>
      </c>
      <c r="J21" s="18"/>
      <c r="K21" s="18"/>
      <c r="L21" s="8">
        <f t="shared" si="5"/>
        <v>9.9885581247263905E-2</v>
      </c>
      <c r="M21" s="8">
        <v>19.920000000000002</v>
      </c>
      <c r="N21" s="16">
        <v>41338808</v>
      </c>
      <c r="O21" s="16">
        <v>1707835247</v>
      </c>
      <c r="P21" s="64">
        <f t="shared" si="0"/>
        <v>2.420538402203383E-2</v>
      </c>
      <c r="Q21" s="8">
        <v>35.520000000000003</v>
      </c>
      <c r="R21" s="16">
        <v>5401697</v>
      </c>
      <c r="S21" s="8"/>
      <c r="T21" s="16"/>
      <c r="U21" s="8"/>
      <c r="V21" s="16"/>
      <c r="W21" s="8">
        <v>36.159999999999997</v>
      </c>
      <c r="X21" s="16">
        <v>12064411</v>
      </c>
      <c r="Y21" s="16">
        <v>480637915</v>
      </c>
      <c r="Z21" s="64">
        <f t="shared" si="1"/>
        <v>2.5100830840613146E-2</v>
      </c>
      <c r="AA21" s="8">
        <v>37.270000000000003</v>
      </c>
      <c r="AB21" s="16">
        <v>2191136</v>
      </c>
      <c r="AC21" s="16"/>
      <c r="AD21" s="16"/>
      <c r="AE21" s="16"/>
      <c r="AF21" s="16"/>
      <c r="AG21" s="8">
        <v>37.92</v>
      </c>
      <c r="AH21" s="16">
        <v>3124968</v>
      </c>
      <c r="AI21" s="8">
        <v>38.79</v>
      </c>
      <c r="AJ21" s="16">
        <v>3251078</v>
      </c>
      <c r="AK21" s="8"/>
      <c r="AL21" s="16"/>
      <c r="AM21" s="8"/>
      <c r="AN21" s="16"/>
      <c r="AO21" s="8">
        <v>39.42</v>
      </c>
      <c r="AP21" s="16">
        <v>6860914</v>
      </c>
      <c r="AQ21" s="133">
        <f t="shared" si="6"/>
        <v>32894204</v>
      </c>
      <c r="AR21" s="8">
        <f t="shared" si="7"/>
        <v>7.9481166612401441E-2</v>
      </c>
      <c r="AS21" s="8">
        <f t="shared" si="8"/>
        <v>3.974058330620072E-2</v>
      </c>
      <c r="AT21" s="159">
        <f t="shared" si="30"/>
        <v>3.974058330620072E-3</v>
      </c>
      <c r="AU21" s="159">
        <f t="shared" si="10"/>
        <v>3.1465228270942773E-2</v>
      </c>
      <c r="AV21" s="160">
        <f t="shared" si="11"/>
        <v>1.0799071550598022E-3</v>
      </c>
      <c r="AW21" s="8">
        <f t="shared" si="12"/>
        <v>4.2202773473959052E-2</v>
      </c>
      <c r="AX21" s="8">
        <f t="shared" si="13"/>
        <v>2.1101386736979526E-2</v>
      </c>
      <c r="AY21" s="165">
        <f t="shared" si="14"/>
        <v>2.1101386736979526E-3</v>
      </c>
      <c r="AZ21" s="165">
        <f t="shared" si="15"/>
        <v>6.6956645206979304E-2</v>
      </c>
      <c r="BA21" s="166">
        <f t="shared" si="16"/>
        <v>7.0337955789931753E-4</v>
      </c>
      <c r="BB21" s="8">
        <f t="shared" si="17"/>
        <v>1.2845124562152461E-2</v>
      </c>
      <c r="BC21" s="8">
        <f t="shared" si="18"/>
        <v>6.4225622810762297E-3</v>
      </c>
      <c r="BD21" s="8">
        <f t="shared" si="19"/>
        <v>2.4433268576289927E-2</v>
      </c>
      <c r="BE21" s="8">
        <f t="shared" si="20"/>
        <v>1.2216634288144963E-2</v>
      </c>
      <c r="BF21" s="159">
        <f t="shared" si="21"/>
        <v>1.2216634288144965E-3</v>
      </c>
      <c r="BG21" s="159">
        <f t="shared" si="22"/>
        <v>1.6159569164212916E-2</v>
      </c>
      <c r="BH21" s="160">
        <f t="shared" si="23"/>
        <v>4.0722114293816552E-4</v>
      </c>
      <c r="BI21" s="122">
        <v>215086839</v>
      </c>
      <c r="BJ21" s="16">
        <f t="shared" si="2"/>
        <v>53.097828419863873</v>
      </c>
      <c r="BK21" s="16">
        <f t="shared" si="3"/>
        <v>16.161217945872774</v>
      </c>
      <c r="BL21" s="16">
        <f t="shared" si="4"/>
        <v>30.740953634263349</v>
      </c>
      <c r="BM21" s="134">
        <f t="shared" si="24"/>
        <v>0.30926735366573938</v>
      </c>
      <c r="BN21" s="134">
        <f t="shared" si="25"/>
        <v>0.41216951361372917</v>
      </c>
      <c r="BO21" s="134">
        <f t="shared" si="26"/>
        <v>0.47385494119296639</v>
      </c>
      <c r="BP21" s="134">
        <f t="shared" si="27"/>
        <v>0.32966023436834041</v>
      </c>
      <c r="BQ21" s="44">
        <f t="shared" si="29"/>
        <v>0.5789493572351665</v>
      </c>
      <c r="BR21" s="44">
        <f t="shared" si="28"/>
        <v>0.13264805890827711</v>
      </c>
    </row>
    <row r="22" spans="1:70" ht="18" x14ac:dyDescent="0.2">
      <c r="A22" s="65">
        <v>44</v>
      </c>
      <c r="B22" s="70">
        <v>14</v>
      </c>
      <c r="C22" s="70" t="s">
        <v>42</v>
      </c>
      <c r="D22" s="250"/>
      <c r="E22" s="251"/>
      <c r="F22" s="329">
        <v>0.1</v>
      </c>
      <c r="G22" s="237"/>
      <c r="H22" s="168">
        <v>1.65</v>
      </c>
      <c r="I22" s="9">
        <v>32.731999999999999</v>
      </c>
      <c r="J22" s="12"/>
      <c r="K22" s="12"/>
      <c r="L22" s="8">
        <f t="shared" si="5"/>
        <v>9.2013625809605273E-2</v>
      </c>
      <c r="M22" s="8">
        <v>20.190000000000001</v>
      </c>
      <c r="N22" s="16">
        <v>12463864</v>
      </c>
      <c r="O22" s="16">
        <v>422895963</v>
      </c>
      <c r="P22" s="64">
        <f t="shared" si="0"/>
        <v>2.947264833549617E-2</v>
      </c>
      <c r="Q22" s="8">
        <v>35.83</v>
      </c>
      <c r="R22" s="16">
        <v>12913690</v>
      </c>
      <c r="S22" s="8"/>
      <c r="T22" s="16"/>
      <c r="U22" s="8"/>
      <c r="V22" s="16"/>
      <c r="W22" s="8">
        <v>36.44</v>
      </c>
      <c r="X22" s="16">
        <v>27984867</v>
      </c>
      <c r="Y22" s="16">
        <v>1032166583</v>
      </c>
      <c r="Z22" s="64">
        <f t="shared" si="1"/>
        <v>2.7112742711221837E-2</v>
      </c>
      <c r="AA22" s="8">
        <v>37.6</v>
      </c>
      <c r="AB22" s="16">
        <v>4779386</v>
      </c>
      <c r="AC22" s="16"/>
      <c r="AD22" s="16"/>
      <c r="AE22" s="16"/>
      <c r="AF22" s="16"/>
      <c r="AG22" s="8">
        <v>38.22</v>
      </c>
      <c r="AH22" s="16">
        <v>9234350</v>
      </c>
      <c r="AI22" s="8">
        <v>39.119999999999997</v>
      </c>
      <c r="AJ22" s="16">
        <v>8422378</v>
      </c>
      <c r="AK22" s="8"/>
      <c r="AL22" s="16"/>
      <c r="AM22" s="8"/>
      <c r="AN22" s="16"/>
      <c r="AO22" s="8">
        <v>39.72</v>
      </c>
      <c r="AP22" s="16">
        <v>27998828</v>
      </c>
      <c r="AQ22" s="133">
        <f t="shared" si="6"/>
        <v>91333499</v>
      </c>
      <c r="AR22" s="8">
        <f t="shared" si="7"/>
        <v>0.67426332643455977</v>
      </c>
      <c r="AS22" s="8">
        <f t="shared" si="8"/>
        <v>0.33713166321727989</v>
      </c>
      <c r="AT22" s="159">
        <f t="shared" si="30"/>
        <v>3.3713166321727987E-2</v>
      </c>
      <c r="AU22" s="159">
        <f t="shared" si="10"/>
        <v>0.2669292662052889</v>
      </c>
      <c r="AV22" s="160">
        <f t="shared" si="11"/>
        <v>9.1611865004695616E-3</v>
      </c>
      <c r="AW22" s="8">
        <f t="shared" si="12"/>
        <v>0.30193080732835437</v>
      </c>
      <c r="AX22" s="8">
        <f t="shared" si="13"/>
        <v>0.15096540366417718</v>
      </c>
      <c r="AY22" s="165">
        <f t="shared" si="14"/>
        <v>1.5096540366417719E-2</v>
      </c>
      <c r="AZ22" s="165">
        <f t="shared" si="15"/>
        <v>0.47902714156489673</v>
      </c>
      <c r="BA22" s="166">
        <f t="shared" si="16"/>
        <v>5.0321801221392395E-3</v>
      </c>
      <c r="BB22" s="8">
        <f t="shared" si="17"/>
        <v>0.1034554501315639</v>
      </c>
      <c r="BC22" s="8">
        <f t="shared" si="18"/>
        <v>5.1727725065781952E-2</v>
      </c>
      <c r="BD22" s="8">
        <f t="shared" si="19"/>
        <v>0.26887706897464148</v>
      </c>
      <c r="BE22" s="8">
        <f t="shared" si="20"/>
        <v>0.13443853448732074</v>
      </c>
      <c r="BF22" s="159">
        <f t="shared" si="21"/>
        <v>1.3443853448732074E-2</v>
      </c>
      <c r="BG22" s="159">
        <f t="shared" si="22"/>
        <v>0.17782874932185283</v>
      </c>
      <c r="BH22" s="160">
        <f t="shared" si="23"/>
        <v>4.4812844829106918E-3</v>
      </c>
      <c r="BI22" s="122">
        <v>521722684</v>
      </c>
      <c r="BJ22" s="16">
        <f t="shared" si="2"/>
        <v>44.779360746925946</v>
      </c>
      <c r="BK22" s="16">
        <f t="shared" si="3"/>
        <v>15.343478738288566</v>
      </c>
      <c r="BL22" s="16">
        <f t="shared" si="4"/>
        <v>39.877160514785487</v>
      </c>
      <c r="BM22" s="134">
        <f t="shared" si="24"/>
        <v>0.31574928181451489</v>
      </c>
      <c r="BN22" s="134">
        <f t="shared" si="25"/>
        <v>0.34105009542066439</v>
      </c>
      <c r="BO22" s="134">
        <f t="shared" si="26"/>
        <v>0.30081180540842639</v>
      </c>
      <c r="BP22" s="134">
        <f t="shared" si="27"/>
        <v>0.2859351090885065</v>
      </c>
      <c r="BQ22" s="44">
        <f t="shared" si="29"/>
        <v>0.89052545301292663</v>
      </c>
      <c r="BR22" s="44">
        <f t="shared" si="28"/>
        <v>0.14898063429204497</v>
      </c>
    </row>
    <row r="23" spans="1:70" ht="18" x14ac:dyDescent="0.2">
      <c r="A23" s="65">
        <v>43</v>
      </c>
      <c r="B23" s="51">
        <v>18</v>
      </c>
      <c r="C23" s="51" t="s">
        <v>125</v>
      </c>
      <c r="D23" s="213" t="s">
        <v>150</v>
      </c>
      <c r="E23" s="254" t="s">
        <v>155</v>
      </c>
      <c r="F23" s="329">
        <v>0.3</v>
      </c>
      <c r="G23" s="284" t="s">
        <v>365</v>
      </c>
      <c r="H23" s="168">
        <v>1.45</v>
      </c>
      <c r="I23" s="33">
        <v>30.4681</v>
      </c>
      <c r="J23" s="27"/>
      <c r="K23" s="27"/>
      <c r="L23" s="8">
        <f t="shared" si="5"/>
        <v>9.8850601120516218E-2</v>
      </c>
      <c r="M23" s="8">
        <v>19.920000000000002</v>
      </c>
      <c r="N23" s="16">
        <v>17448564</v>
      </c>
      <c r="O23" s="16">
        <v>758401006</v>
      </c>
      <c r="P23" s="64">
        <f t="shared" si="0"/>
        <v>2.3007042266502478E-2</v>
      </c>
      <c r="Q23" s="8">
        <v>35.520000000000003</v>
      </c>
      <c r="R23" s="16">
        <v>5390333</v>
      </c>
      <c r="S23" s="8"/>
      <c r="T23" s="16"/>
      <c r="U23" s="8"/>
      <c r="V23" s="16"/>
      <c r="W23" s="8">
        <v>36.159999999999997</v>
      </c>
      <c r="X23" s="16">
        <v>11473004</v>
      </c>
      <c r="Y23" s="16">
        <v>409125714</v>
      </c>
      <c r="Z23" s="64">
        <f t="shared" si="1"/>
        <v>2.8042735050381115E-2</v>
      </c>
      <c r="AA23" s="8">
        <v>37.270000000000003</v>
      </c>
      <c r="AB23" s="16">
        <v>2669705</v>
      </c>
      <c r="AC23" s="16"/>
      <c r="AD23" s="16"/>
      <c r="AE23" s="16"/>
      <c r="AF23" s="16"/>
      <c r="AG23" s="8">
        <v>37.92</v>
      </c>
      <c r="AH23" s="16">
        <v>4225835</v>
      </c>
      <c r="AI23" s="8">
        <v>38.81</v>
      </c>
      <c r="AJ23" s="16">
        <v>3863238</v>
      </c>
      <c r="AK23" s="8"/>
      <c r="AL23" s="16"/>
      <c r="AM23" s="8"/>
      <c r="AN23" s="16"/>
      <c r="AO23" s="8">
        <v>39.43</v>
      </c>
      <c r="AP23" s="16">
        <v>7060495</v>
      </c>
      <c r="AQ23" s="133">
        <f t="shared" si="6"/>
        <v>34682610</v>
      </c>
      <c r="AR23" s="8">
        <f t="shared" si="7"/>
        <v>0.19648590261802787</v>
      </c>
      <c r="AS23" s="8">
        <f t="shared" si="8"/>
        <v>9.8242951309013934E-2</v>
      </c>
      <c r="AT23" s="159">
        <f t="shared" si="30"/>
        <v>2.9472885392704179E-2</v>
      </c>
      <c r="AU23" s="159">
        <f t="shared" si="10"/>
        <v>0.23335617888126822</v>
      </c>
      <c r="AV23" s="160">
        <f t="shared" si="11"/>
        <v>8.0089362480174394E-3</v>
      </c>
      <c r="AW23" s="8">
        <f t="shared" si="12"/>
        <v>9.5535139702490279E-2</v>
      </c>
      <c r="AX23" s="8">
        <f t="shared" si="13"/>
        <v>4.776756985124514E-2</v>
      </c>
      <c r="AY23" s="165">
        <f t="shared" si="14"/>
        <v>1.4330270955373542E-2</v>
      </c>
      <c r="AZ23" s="165">
        <f t="shared" si="15"/>
        <v>0.45471270681813553</v>
      </c>
      <c r="BA23" s="166">
        <f t="shared" si="16"/>
        <v>4.7767569851245141E-3</v>
      </c>
      <c r="BB23" s="8">
        <f t="shared" si="17"/>
        <v>3.9065006957051847E-2</v>
      </c>
      <c r="BC23" s="8">
        <f t="shared" si="18"/>
        <v>1.9532503478525923E-2</v>
      </c>
      <c r="BD23" s="8">
        <f t="shared" si="19"/>
        <v>6.188575595848575E-2</v>
      </c>
      <c r="BE23" s="8">
        <f t="shared" si="20"/>
        <v>3.0942877979242875E-2</v>
      </c>
      <c r="BF23" s="159">
        <f t="shared" si="21"/>
        <v>9.2828633937728621E-3</v>
      </c>
      <c r="BG23" s="159">
        <f t="shared" si="22"/>
        <v>0.12278919833032886</v>
      </c>
      <c r="BH23" s="160">
        <f t="shared" si="23"/>
        <v>3.0942877979242872E-3</v>
      </c>
      <c r="BI23" s="122">
        <v>210604574</v>
      </c>
      <c r="BJ23" s="16">
        <f t="shared" si="2"/>
        <v>48.621879956554594</v>
      </c>
      <c r="BK23" s="16">
        <f t="shared" si="3"/>
        <v>19.881837035909349</v>
      </c>
      <c r="BL23" s="16">
        <f t="shared" si="4"/>
        <v>31.496283007536054</v>
      </c>
      <c r="BM23" s="134">
        <f t="shared" si="24"/>
        <v>0.3196480625394606</v>
      </c>
      <c r="BN23" s="134">
        <f t="shared" si="25"/>
        <v>0.38716402196202182</v>
      </c>
      <c r="BO23" s="134">
        <f t="shared" si="26"/>
        <v>0.54716248648288823</v>
      </c>
      <c r="BP23" s="134">
        <f t="shared" si="27"/>
        <v>0.34378254693057991</v>
      </c>
      <c r="BQ23" s="44">
        <f t="shared" si="29"/>
        <v>0.64778003309783827</v>
      </c>
      <c r="BR23" s="44">
        <f t="shared" si="28"/>
        <v>0.14139593204347767</v>
      </c>
    </row>
    <row r="24" spans="1:70" ht="15" customHeight="1" x14ac:dyDescent="0.2">
      <c r="A24" s="65">
        <v>42</v>
      </c>
      <c r="B24" s="51">
        <v>17</v>
      </c>
      <c r="C24" s="51" t="s">
        <v>126</v>
      </c>
      <c r="D24" s="213"/>
      <c r="E24" s="254"/>
      <c r="F24" s="329">
        <v>0.3</v>
      </c>
      <c r="G24" s="284"/>
      <c r="H24" s="168">
        <v>1.35</v>
      </c>
      <c r="I24" s="33">
        <v>30.2959</v>
      </c>
      <c r="J24" s="27"/>
      <c r="K24" s="27"/>
      <c r="L24" s="8">
        <f t="shared" si="5"/>
        <v>9.9412461752250311E-2</v>
      </c>
      <c r="M24" s="8">
        <v>19.93</v>
      </c>
      <c r="N24" s="16">
        <v>9382880</v>
      </c>
      <c r="O24" s="16">
        <v>421886255</v>
      </c>
      <c r="P24" s="64">
        <f t="shared" si="0"/>
        <v>2.224030740228785E-2</v>
      </c>
      <c r="Q24" s="8">
        <v>35.520000000000003</v>
      </c>
      <c r="R24" s="16">
        <v>1235163</v>
      </c>
      <c r="S24" s="8"/>
      <c r="T24" s="16"/>
      <c r="U24" s="8"/>
      <c r="V24" s="16"/>
      <c r="W24" s="8">
        <v>36.159999999999997</v>
      </c>
      <c r="X24" s="16">
        <v>3211333</v>
      </c>
      <c r="Y24" s="16">
        <v>45678737</v>
      </c>
      <c r="Z24" s="64">
        <f t="shared" si="1"/>
        <v>7.0302578637408478E-2</v>
      </c>
      <c r="AA24" s="8">
        <v>37.28</v>
      </c>
      <c r="AB24" s="16">
        <v>504302</v>
      </c>
      <c r="AC24" s="16"/>
      <c r="AD24" s="16"/>
      <c r="AE24" s="16"/>
      <c r="AF24" s="16"/>
      <c r="AG24" s="8">
        <v>37.92</v>
      </c>
      <c r="AH24" s="16">
        <v>914183</v>
      </c>
      <c r="AI24" s="8">
        <v>38.79</v>
      </c>
      <c r="AJ24" s="16">
        <v>965726</v>
      </c>
      <c r="AK24" s="8"/>
      <c r="AL24" s="16"/>
      <c r="AM24" s="8"/>
      <c r="AN24" s="16"/>
      <c r="AO24" s="8">
        <v>39.42</v>
      </c>
      <c r="AP24" s="16">
        <v>2373710</v>
      </c>
      <c r="AQ24" s="133">
        <f t="shared" si="6"/>
        <v>9204417</v>
      </c>
      <c r="AR24" s="8">
        <f t="shared" si="7"/>
        <v>9.7521630135338239E-2</v>
      </c>
      <c r="AS24" s="8">
        <f t="shared" si="8"/>
        <v>4.8760815067669119E-2</v>
      </c>
      <c r="AT24" s="159">
        <f t="shared" si="30"/>
        <v>1.4628244520300735E-2</v>
      </c>
      <c r="AU24" s="159">
        <f t="shared" si="10"/>
        <v>0.11582141346239694</v>
      </c>
      <c r="AV24" s="160">
        <f t="shared" si="11"/>
        <v>3.9750664457338953E-3</v>
      </c>
      <c r="AW24" s="8">
        <f t="shared" si="12"/>
        <v>4.7111027054756532E-2</v>
      </c>
      <c r="AX24" s="8">
        <f t="shared" si="13"/>
        <v>2.3555513527378266E-2</v>
      </c>
      <c r="AY24" s="165">
        <f t="shared" si="14"/>
        <v>7.0666540582134795E-3</v>
      </c>
      <c r="AZ24" s="165">
        <f t="shared" si="15"/>
        <v>0.2242314471906546</v>
      </c>
      <c r="BA24" s="166">
        <f t="shared" si="16"/>
        <v>2.3555513527378264E-3</v>
      </c>
      <c r="BB24" s="8">
        <f t="shared" si="17"/>
        <v>1.5028976796957947E-2</v>
      </c>
      <c r="BC24" s="8">
        <f t="shared" si="18"/>
        <v>7.5144883984789726E-3</v>
      </c>
      <c r="BD24" s="8">
        <f t="shared" si="19"/>
        <v>3.538162628362377E-2</v>
      </c>
      <c r="BE24" s="8">
        <f t="shared" si="20"/>
        <v>1.7690813141811885E-2</v>
      </c>
      <c r="BF24" s="159">
        <f t="shared" si="21"/>
        <v>5.3072439425435654E-3</v>
      </c>
      <c r="BG24" s="159">
        <f t="shared" si="22"/>
        <v>7.0201639451634462E-2</v>
      </c>
      <c r="BH24" s="160">
        <f t="shared" si="23"/>
        <v>1.7690813141811885E-3</v>
      </c>
      <c r="BI24" s="122">
        <v>34179344</v>
      </c>
      <c r="BJ24" s="16">
        <f t="shared" si="2"/>
        <v>48.308285033153105</v>
      </c>
      <c r="BK24" s="16">
        <f t="shared" si="3"/>
        <v>15.410916302466521</v>
      </c>
      <c r="BL24" s="16">
        <f t="shared" si="4"/>
        <v>36.28079866438037</v>
      </c>
      <c r="BM24" s="134">
        <f t="shared" si="24"/>
        <v>0.27778345015940642</v>
      </c>
      <c r="BN24" s="134">
        <f t="shared" si="25"/>
        <v>0.35552155997419782</v>
      </c>
      <c r="BO24" s="134">
        <f t="shared" si="26"/>
        <v>0.40684245337467506</v>
      </c>
      <c r="BP24" s="134">
        <f t="shared" si="27"/>
        <v>0.29390139538441162</v>
      </c>
      <c r="BQ24" s="44">
        <f t="shared" si="29"/>
        <v>0.75102642620166526</v>
      </c>
      <c r="BR24" s="44">
        <f t="shared" si="28"/>
        <v>0.21216272604857841</v>
      </c>
    </row>
    <row r="25" spans="1:70" ht="15" customHeight="1" x14ac:dyDescent="0.2">
      <c r="A25" s="65">
        <v>41</v>
      </c>
      <c r="B25" s="51">
        <v>16</v>
      </c>
      <c r="C25" s="51" t="s">
        <v>127</v>
      </c>
      <c r="D25" s="213"/>
      <c r="E25" s="254"/>
      <c r="F25" s="329">
        <v>0.3</v>
      </c>
      <c r="G25" s="284"/>
      <c r="H25" s="168">
        <v>1.3</v>
      </c>
      <c r="I25" s="9">
        <v>30.429400000000001</v>
      </c>
      <c r="J25" s="18"/>
      <c r="K25" s="18"/>
      <c r="L25" s="8">
        <f>3.01179/I25</f>
        <v>9.8976318954695122E-2</v>
      </c>
      <c r="M25" s="8">
        <v>19.91</v>
      </c>
      <c r="N25" s="16">
        <v>5555002</v>
      </c>
      <c r="O25" s="16">
        <v>288923280</v>
      </c>
      <c r="P25" s="64">
        <f>N25/O25</f>
        <v>1.9226564228400009E-2</v>
      </c>
      <c r="Q25" s="8">
        <v>35.5</v>
      </c>
      <c r="R25" s="16">
        <v>1871246</v>
      </c>
      <c r="S25" s="8">
        <v>35.619999999999997</v>
      </c>
      <c r="T25" s="16">
        <v>485411</v>
      </c>
      <c r="U25" s="8">
        <v>35.770000000000003</v>
      </c>
      <c r="V25" s="16">
        <v>208684</v>
      </c>
      <c r="W25" s="8">
        <v>36.159999999999997</v>
      </c>
      <c r="X25" s="16">
        <v>4074674</v>
      </c>
      <c r="Y25" s="16">
        <v>89352007</v>
      </c>
      <c r="Z25" s="64">
        <f>X25/Y25</f>
        <v>4.5602489936236126E-2</v>
      </c>
      <c r="AA25" s="8">
        <v>37.299999999999997</v>
      </c>
      <c r="AB25" s="16">
        <v>685234</v>
      </c>
      <c r="AC25" s="8">
        <v>37.47</v>
      </c>
      <c r="AD25" s="16">
        <v>297303</v>
      </c>
      <c r="AE25" s="16"/>
      <c r="AF25" s="16"/>
      <c r="AG25" s="8">
        <v>37.909999999999997</v>
      </c>
      <c r="AH25" s="16">
        <v>980247</v>
      </c>
      <c r="AI25" s="8">
        <v>38.770000000000003</v>
      </c>
      <c r="AJ25" s="16">
        <v>1299474</v>
      </c>
      <c r="AK25" s="8">
        <v>39.19</v>
      </c>
      <c r="AL25" s="16">
        <v>322901</v>
      </c>
      <c r="AM25" s="8">
        <v>39.229999999999997</v>
      </c>
      <c r="AN25" s="16">
        <v>254649</v>
      </c>
      <c r="AO25" s="8">
        <v>39.409999999999997</v>
      </c>
      <c r="AP25" s="16">
        <v>3057219</v>
      </c>
      <c r="AQ25" s="133">
        <f>(R25+T25+V25+X25)+(AB25+AD25+AF25+AH25)+(AJ25+AL25+AN25+AP25)</f>
        <v>13537042</v>
      </c>
      <c r="AR25" s="8">
        <f>(AQ25*L25)/N25</f>
        <v>0.2411964184162497</v>
      </c>
      <c r="AS25" s="8">
        <f>(AR25*0.02)/0.04</f>
        <v>0.12059820920812483</v>
      </c>
      <c r="AT25" s="159">
        <f t="shared" si="30"/>
        <v>3.6179462762437449E-2</v>
      </c>
      <c r="AU25" s="159">
        <f t="shared" si="10"/>
        <v>0.2864565539385388</v>
      </c>
      <c r="AV25" s="160">
        <f>AT25/3.68</f>
        <v>9.8313757506623498E-3</v>
      </c>
      <c r="AW25" s="8">
        <f>(((R25+T25+V25+X25)*L25)/N25)</f>
        <v>0.11830855191482557</v>
      </c>
      <c r="AX25" s="8">
        <f>((AW25*0.02)/0.04)</f>
        <v>5.9154275957412787E-2</v>
      </c>
      <c r="AY25" s="165">
        <f t="shared" si="14"/>
        <v>1.7746282787223837E-2</v>
      </c>
      <c r="AZ25" s="165">
        <f t="shared" si="15"/>
        <v>0.56310591106532881</v>
      </c>
      <c r="BA25" s="166">
        <f t="shared" si="16"/>
        <v>5.9154275957412792E-3</v>
      </c>
      <c r="BB25" s="8">
        <f>(((AB25+AD25+AF25+AH25)*L25)/N25)</f>
        <v>3.4971928943170916E-2</v>
      </c>
      <c r="BC25" s="8">
        <f>((BB25*0.02)/0.04)</f>
        <v>1.7485964471585458E-2</v>
      </c>
      <c r="BD25" s="8">
        <f>(((AJ25+AL25+AN25+AP25)*L25)/N25)</f>
        <v>8.7915937558253221E-2</v>
      </c>
      <c r="BE25" s="8">
        <f>((BD25*0.02)/0.04)</f>
        <v>4.395796877912661E-2</v>
      </c>
      <c r="BF25" s="159">
        <f t="shared" si="21"/>
        <v>1.3187390633737982E-2</v>
      </c>
      <c r="BG25" s="159">
        <f t="shared" si="22"/>
        <v>0.17443638404415321</v>
      </c>
      <c r="BH25" s="160">
        <f>BF25/3</f>
        <v>4.3957968779126605E-3</v>
      </c>
      <c r="BI25" s="122">
        <v>59264103</v>
      </c>
      <c r="BJ25" s="16">
        <f>((R25+T25+V25+X25)*100)/AQ25</f>
        <v>49.050708419165723</v>
      </c>
      <c r="BK25" s="16">
        <f>(AB25+AD25+AF25+AH25)*100/AQ25</f>
        <v>14.499356654134633</v>
      </c>
      <c r="BL25" s="16">
        <f>(AJ25+AL25+AN25+AP25)*100/AQ25</f>
        <v>36.44993492669964</v>
      </c>
      <c r="BM25" s="134">
        <f>((R25+V25)/((R25+V25)+(T25+X25)))</f>
        <v>0.31324176225505512</v>
      </c>
      <c r="BN25" s="134">
        <f>((AB25+AF25)/((AB25+AF25)+(AD25+AH25)))</f>
        <v>0.34911330029183035</v>
      </c>
      <c r="BO25" s="134">
        <f>((AJ25+AN25)/((+AN25)+(AL25+AP25)))</f>
        <v>0.42757132571560946</v>
      </c>
      <c r="BP25" s="134">
        <f>((R25+V25+AB25+AF25+AJ25+AN25)/((R25+V25+AB25+AF25+AJ25+AN25)+(T25+X25+AD25+AH25+AL25+AP25)))</f>
        <v>0.31907169971105948</v>
      </c>
      <c r="BQ25" s="44">
        <f>((AJ25+AP25)/(R25+X25 ))</f>
        <v>0.73271974732253375</v>
      </c>
      <c r="BR25" s="44">
        <f>(AQ25/(AQ25+BI25))</f>
        <v>0.18594545456668299</v>
      </c>
    </row>
    <row r="26" spans="1:70" ht="18" x14ac:dyDescent="0.2">
      <c r="A26" s="65">
        <v>40</v>
      </c>
      <c r="B26" s="70">
        <v>13</v>
      </c>
      <c r="C26" s="70" t="s">
        <v>43</v>
      </c>
      <c r="D26" s="213"/>
      <c r="E26" s="254"/>
      <c r="F26" s="329">
        <v>0.3</v>
      </c>
      <c r="G26" s="284"/>
      <c r="H26" s="168">
        <v>1.3</v>
      </c>
      <c r="I26" s="9">
        <v>30.36</v>
      </c>
      <c r="J26" s="12"/>
      <c r="K26" s="12"/>
      <c r="L26" s="8">
        <f t="shared" si="5"/>
        <v>9.9202569169960481E-2</v>
      </c>
      <c r="M26" s="8">
        <v>20.2</v>
      </c>
      <c r="N26" s="16">
        <v>6446580</v>
      </c>
      <c r="O26" s="16">
        <v>228754966</v>
      </c>
      <c r="P26" s="64">
        <f t="shared" si="0"/>
        <v>2.818115869886733E-2</v>
      </c>
      <c r="Q26" s="8">
        <v>35.82</v>
      </c>
      <c r="R26" s="16">
        <v>1741309</v>
      </c>
      <c r="S26" s="8"/>
      <c r="T26" s="16"/>
      <c r="U26" s="8"/>
      <c r="V26" s="16"/>
      <c r="W26" s="8">
        <v>36.450000000000003</v>
      </c>
      <c r="X26" s="16">
        <v>4526960</v>
      </c>
      <c r="Y26" s="16">
        <v>65683881</v>
      </c>
      <c r="Z26" s="64">
        <f t="shared" si="1"/>
        <v>6.8920409864331858E-2</v>
      </c>
      <c r="AA26" s="8">
        <v>37.630000000000003</v>
      </c>
      <c r="AB26" s="16">
        <v>741490</v>
      </c>
      <c r="AC26" s="16"/>
      <c r="AD26" s="16"/>
      <c r="AE26" s="16"/>
      <c r="AF26" s="16"/>
      <c r="AG26" s="8">
        <v>38.21</v>
      </c>
      <c r="AH26" s="16">
        <v>1455740</v>
      </c>
      <c r="AI26" s="8">
        <v>39.110999999999997</v>
      </c>
      <c r="AJ26" s="16">
        <v>2137464</v>
      </c>
      <c r="AK26" s="8"/>
      <c r="AL26" s="16"/>
      <c r="AM26" s="8"/>
      <c r="AN26" s="16"/>
      <c r="AO26" s="8">
        <v>39.700000000000003</v>
      </c>
      <c r="AP26" s="16">
        <v>5438767</v>
      </c>
      <c r="AQ26" s="133">
        <f t="shared" si="6"/>
        <v>16041730</v>
      </c>
      <c r="AR26" s="8">
        <f t="shared" si="7"/>
        <v>0.24685660147408858</v>
      </c>
      <c r="AS26" s="8">
        <f t="shared" si="8"/>
        <v>0.12342830073704429</v>
      </c>
      <c r="AT26" s="159">
        <f t="shared" si="30"/>
        <v>3.7028490221113285E-2</v>
      </c>
      <c r="AU26" s="159">
        <f t="shared" si="10"/>
        <v>0.29317886160818118</v>
      </c>
      <c r="AV26" s="160">
        <f t="shared" si="11"/>
        <v>1.0062089733998174E-2</v>
      </c>
      <c r="AW26" s="8">
        <f t="shared" si="12"/>
        <v>9.6458647693570695E-2</v>
      </c>
      <c r="AX26" s="8">
        <f t="shared" si="13"/>
        <v>4.8229323846785348E-2</v>
      </c>
      <c r="AY26" s="165">
        <f t="shared" si="14"/>
        <v>1.4468797154035604E-2</v>
      </c>
      <c r="AZ26" s="165">
        <f t="shared" si="15"/>
        <v>0.45910827079281619</v>
      </c>
      <c r="BA26" s="166">
        <f t="shared" si="16"/>
        <v>4.8229323846785349E-3</v>
      </c>
      <c r="BB26" s="8">
        <f t="shared" si="17"/>
        <v>3.3811860095944245E-2</v>
      </c>
      <c r="BC26" s="8">
        <f t="shared" si="18"/>
        <v>1.6905930047972122E-2</v>
      </c>
      <c r="BD26" s="8">
        <f t="shared" si="19"/>
        <v>0.11658609368457366</v>
      </c>
      <c r="BE26" s="8">
        <f t="shared" si="20"/>
        <v>5.8293046842286839E-2</v>
      </c>
      <c r="BF26" s="159">
        <f t="shared" si="21"/>
        <v>1.748791405268605E-2</v>
      </c>
      <c r="BG26" s="159">
        <f t="shared" si="22"/>
        <v>0.23132161445351918</v>
      </c>
      <c r="BH26" s="160">
        <f t="shared" si="23"/>
        <v>5.8293046842286837E-3</v>
      </c>
      <c r="BI26" s="122">
        <v>63459207</v>
      </c>
      <c r="BJ26" s="16">
        <f t="shared" si="2"/>
        <v>39.07476936714432</v>
      </c>
      <c r="BK26" s="16">
        <f t="shared" si="3"/>
        <v>13.696964105492363</v>
      </c>
      <c r="BL26" s="16">
        <f t="shared" si="4"/>
        <v>47.228266527363317</v>
      </c>
      <c r="BM26" s="134">
        <f t="shared" si="24"/>
        <v>0.27779742700895577</v>
      </c>
      <c r="BN26" s="134">
        <f t="shared" si="25"/>
        <v>0.33746580922343133</v>
      </c>
      <c r="BO26" s="134">
        <f t="shared" si="26"/>
        <v>0.39300525284499227</v>
      </c>
      <c r="BP26" s="134">
        <f t="shared" si="27"/>
        <v>0.28801525770599556</v>
      </c>
      <c r="BQ26" s="44">
        <f t="shared" si="29"/>
        <v>1.2086639868199658</v>
      </c>
      <c r="BR26" s="44">
        <f t="shared" si="28"/>
        <v>0.20178038907893625</v>
      </c>
    </row>
    <row r="27" spans="1:70" ht="18" x14ac:dyDescent="0.2">
      <c r="A27" s="65">
        <v>39</v>
      </c>
      <c r="B27" s="51">
        <v>15</v>
      </c>
      <c r="C27" s="51" t="s">
        <v>128</v>
      </c>
      <c r="D27" s="213"/>
      <c r="E27" s="254"/>
      <c r="F27" s="329">
        <v>0.3</v>
      </c>
      <c r="G27" s="284"/>
      <c r="H27" s="168">
        <v>1.25</v>
      </c>
      <c r="I27" s="9">
        <v>30.040600000000001</v>
      </c>
      <c r="J27" s="11"/>
      <c r="K27" s="11"/>
      <c r="L27" s="8">
        <f t="shared" si="5"/>
        <v>0.10025731842905933</v>
      </c>
      <c r="M27" s="8">
        <v>19.89</v>
      </c>
      <c r="N27" s="16">
        <v>27734544</v>
      </c>
      <c r="O27" s="11">
        <v>1185885852</v>
      </c>
      <c r="P27" s="64">
        <f t="shared" si="0"/>
        <v>2.3387195279567261E-2</v>
      </c>
      <c r="Q27" s="8">
        <v>35.51</v>
      </c>
      <c r="R27" s="16">
        <v>1891367</v>
      </c>
      <c r="S27" s="8"/>
      <c r="T27" s="16"/>
      <c r="U27" s="8"/>
      <c r="V27" s="16"/>
      <c r="W27" s="8">
        <v>36.15</v>
      </c>
      <c r="X27" s="16">
        <v>5346560</v>
      </c>
      <c r="Y27" s="16">
        <v>111480957</v>
      </c>
      <c r="Z27" s="64">
        <f t="shared" si="1"/>
        <v>4.7959401711989251E-2</v>
      </c>
      <c r="AA27" s="8">
        <v>37.270000000000003</v>
      </c>
      <c r="AB27" s="16">
        <v>608001</v>
      </c>
      <c r="AC27" s="16"/>
      <c r="AD27" s="16"/>
      <c r="AE27" s="16"/>
      <c r="AF27" s="16"/>
      <c r="AG27" s="8">
        <v>37.92</v>
      </c>
      <c r="AH27" s="16">
        <v>1025700</v>
      </c>
      <c r="AI27" s="8">
        <v>38.770000000000003</v>
      </c>
      <c r="AJ27" s="16">
        <v>1360324</v>
      </c>
      <c r="AK27" s="8"/>
      <c r="AL27" s="16"/>
      <c r="AM27" s="8"/>
      <c r="AN27" s="16"/>
      <c r="AO27" s="8">
        <v>39.409999999999997</v>
      </c>
      <c r="AP27" s="16">
        <v>2895493</v>
      </c>
      <c r="AQ27" s="133">
        <f t="shared" si="6"/>
        <v>13127445</v>
      </c>
      <c r="AR27" s="8">
        <f t="shared" si="7"/>
        <v>4.7454266186058899E-2</v>
      </c>
      <c r="AS27" s="8">
        <f t="shared" si="8"/>
        <v>2.372713309302945E-2</v>
      </c>
      <c r="AT27" s="159">
        <f t="shared" si="30"/>
        <v>7.1181399279088347E-3</v>
      </c>
      <c r="AU27" s="159">
        <f t="shared" si="10"/>
        <v>5.6358985969191082E-2</v>
      </c>
      <c r="AV27" s="160">
        <f t="shared" si="11"/>
        <v>1.9342771543230529E-3</v>
      </c>
      <c r="AW27" s="8">
        <f t="shared" si="12"/>
        <v>2.6164308019821277E-2</v>
      </c>
      <c r="AX27" s="8">
        <f t="shared" si="13"/>
        <v>1.308215400991064E-2</v>
      </c>
      <c r="AY27" s="165">
        <f t="shared" si="14"/>
        <v>3.9246462029731916E-3</v>
      </c>
      <c r="AZ27" s="165">
        <f t="shared" si="15"/>
        <v>0.12453264169358057</v>
      </c>
      <c r="BA27" s="166">
        <f t="shared" si="16"/>
        <v>1.3082154009910639E-3</v>
      </c>
      <c r="BB27" s="8">
        <f t="shared" si="17"/>
        <v>5.9056489760521266E-3</v>
      </c>
      <c r="BC27" s="8">
        <f t="shared" si="18"/>
        <v>2.9528244880260633E-3</v>
      </c>
      <c r="BD27" s="8">
        <f t="shared" si="19"/>
        <v>1.5384309190185496E-2</v>
      </c>
      <c r="BE27" s="8">
        <f t="shared" si="20"/>
        <v>7.6921545950927482E-3</v>
      </c>
      <c r="BF27" s="159">
        <f t="shared" si="21"/>
        <v>2.3076463785278245E-3</v>
      </c>
      <c r="BG27" s="159">
        <f t="shared" si="22"/>
        <v>3.0524422996399795E-2</v>
      </c>
      <c r="BH27" s="160">
        <f t="shared" si="23"/>
        <v>7.6921545950927488E-4</v>
      </c>
      <c r="BI27" s="122">
        <v>82506439</v>
      </c>
      <c r="BJ27" s="16">
        <f t="shared" si="2"/>
        <v>55.135839456954493</v>
      </c>
      <c r="BK27" s="16">
        <f t="shared" si="3"/>
        <v>12.444927402095381</v>
      </c>
      <c r="BL27" s="16">
        <f t="shared" si="4"/>
        <v>32.419233140950126</v>
      </c>
      <c r="BM27" s="134">
        <f t="shared" si="24"/>
        <v>0.26131335671111355</v>
      </c>
      <c r="BN27" s="134">
        <f t="shared" si="25"/>
        <v>0.3721617358378308</v>
      </c>
      <c r="BO27" s="134">
        <f t="shared" si="26"/>
        <v>0.4698073868595089</v>
      </c>
      <c r="BP27" s="134">
        <f t="shared" si="27"/>
        <v>0.29401700026166555</v>
      </c>
      <c r="BQ27" s="44">
        <f t="shared" si="29"/>
        <v>0.58798838396684572</v>
      </c>
      <c r="BR27" s="44">
        <f t="shared" si="28"/>
        <v>0.13726771778923044</v>
      </c>
    </row>
    <row r="28" spans="1:70" ht="18" x14ac:dyDescent="0.2">
      <c r="A28" s="65">
        <v>38</v>
      </c>
      <c r="B28" s="51">
        <v>14</v>
      </c>
      <c r="C28" s="51" t="s">
        <v>129</v>
      </c>
      <c r="D28" s="213"/>
      <c r="E28" s="254"/>
      <c r="F28" s="329">
        <v>0.3</v>
      </c>
      <c r="G28" s="284"/>
      <c r="H28" s="168">
        <v>1.2</v>
      </c>
      <c r="I28" s="9">
        <v>30.5273</v>
      </c>
      <c r="J28" s="18"/>
      <c r="K28" s="18"/>
      <c r="L28" s="8">
        <f t="shared" si="5"/>
        <v>9.8658905307708183E-2</v>
      </c>
      <c r="M28" s="8">
        <v>19.899999999999999</v>
      </c>
      <c r="N28" s="16">
        <v>12870596</v>
      </c>
      <c r="O28" s="11">
        <v>652617497</v>
      </c>
      <c r="P28" s="64">
        <f t="shared" si="0"/>
        <v>1.9721500050434597E-2</v>
      </c>
      <c r="Q28" s="8" t="s">
        <v>343</v>
      </c>
      <c r="R28" s="16">
        <v>2548444</v>
      </c>
      <c r="S28" s="8"/>
      <c r="T28" s="16"/>
      <c r="U28" s="8"/>
      <c r="V28" s="16"/>
      <c r="W28" s="8">
        <v>36.15</v>
      </c>
      <c r="X28" s="16">
        <v>7127664</v>
      </c>
      <c r="Y28" s="16">
        <v>207629086</v>
      </c>
      <c r="Z28" s="64">
        <f t="shared" si="1"/>
        <v>3.4328831944094772E-2</v>
      </c>
      <c r="AA28" s="8" t="s">
        <v>339</v>
      </c>
      <c r="AB28" s="16">
        <v>661138</v>
      </c>
      <c r="AC28" s="16"/>
      <c r="AD28" s="16"/>
      <c r="AE28" s="16"/>
      <c r="AF28" s="16"/>
      <c r="AG28" s="8" t="s">
        <v>334</v>
      </c>
      <c r="AH28" s="16">
        <v>1162945</v>
      </c>
      <c r="AI28" s="8" t="s">
        <v>341</v>
      </c>
      <c r="AJ28" s="16">
        <v>1328653</v>
      </c>
      <c r="AK28" s="8"/>
      <c r="AL28" s="16"/>
      <c r="AM28" s="8"/>
      <c r="AN28" s="16"/>
      <c r="AO28" s="8">
        <v>39.409999999999997</v>
      </c>
      <c r="AP28" s="16">
        <v>3294722</v>
      </c>
      <c r="AQ28" s="133">
        <f t="shared" si="6"/>
        <v>16123566</v>
      </c>
      <c r="AR28" s="8">
        <f t="shared" si="7"/>
        <v>0.12359438298091116</v>
      </c>
      <c r="AS28" s="8">
        <f t="shared" si="8"/>
        <v>6.179719149045558E-2</v>
      </c>
      <c r="AT28" s="159">
        <f t="shared" si="30"/>
        <v>1.8539157447136672E-2</v>
      </c>
      <c r="AU28" s="159">
        <f t="shared" si="10"/>
        <v>0.14678667812459753</v>
      </c>
      <c r="AV28" s="160">
        <f t="shared" si="11"/>
        <v>5.0378145236784433E-3</v>
      </c>
      <c r="AW28" s="8">
        <f t="shared" si="12"/>
        <v>7.4171718459592514E-2</v>
      </c>
      <c r="AX28" s="8">
        <f t="shared" si="13"/>
        <v>3.7085859229796257E-2</v>
      </c>
      <c r="AY28" s="165">
        <f t="shared" si="14"/>
        <v>1.1125757768938876E-2</v>
      </c>
      <c r="AZ28" s="165">
        <f t="shared" si="15"/>
        <v>0.35303054954589486</v>
      </c>
      <c r="BA28" s="166">
        <f t="shared" si="16"/>
        <v>3.7085859229796254E-3</v>
      </c>
      <c r="BB28" s="8">
        <f t="shared" si="17"/>
        <v>1.3982416352001125E-2</v>
      </c>
      <c r="BC28" s="8">
        <f t="shared" si="18"/>
        <v>6.9912081760005627E-3</v>
      </c>
      <c r="BD28" s="8">
        <f t="shared" si="19"/>
        <v>3.5440248169317519E-2</v>
      </c>
      <c r="BE28" s="8">
        <f t="shared" si="20"/>
        <v>1.7720124084658759E-2</v>
      </c>
      <c r="BF28" s="159">
        <f t="shared" si="21"/>
        <v>5.3160372253976277E-3</v>
      </c>
      <c r="BG28" s="159">
        <f t="shared" si="22"/>
        <v>7.0317952716899834E-2</v>
      </c>
      <c r="BH28" s="160">
        <f t="shared" si="23"/>
        <v>1.7720124084658758E-3</v>
      </c>
      <c r="BI28" s="122">
        <v>117905115</v>
      </c>
      <c r="BJ28" s="16">
        <f t="shared" si="2"/>
        <v>60.012208217462565</v>
      </c>
      <c r="BK28" s="16">
        <f t="shared" si="3"/>
        <v>11.313148716605248</v>
      </c>
      <c r="BL28" s="16">
        <f t="shared" si="4"/>
        <v>28.674643065932187</v>
      </c>
      <c r="BM28" s="134">
        <f t="shared" si="24"/>
        <v>0.26337490238843964</v>
      </c>
      <c r="BN28" s="134">
        <f t="shared" si="25"/>
        <v>0.36244951572927331</v>
      </c>
      <c r="BO28" s="134">
        <f t="shared" si="26"/>
        <v>0.40326710417449485</v>
      </c>
      <c r="BP28" s="134">
        <f t="shared" si="27"/>
        <v>0.28146596106593291</v>
      </c>
      <c r="BQ28" s="44">
        <f t="shared" si="29"/>
        <v>0.47781349691425518</v>
      </c>
      <c r="BR28" s="44">
        <f t="shared" si="28"/>
        <v>0.12029937084884093</v>
      </c>
    </row>
    <row r="29" spans="1:70" ht="18" x14ac:dyDescent="0.2">
      <c r="A29" s="65">
        <v>37</v>
      </c>
      <c r="B29" s="51">
        <v>13</v>
      </c>
      <c r="C29" s="51" t="s">
        <v>130</v>
      </c>
      <c r="D29" s="213"/>
      <c r="E29" s="254"/>
      <c r="F29" s="329">
        <v>0.3</v>
      </c>
      <c r="G29" s="284"/>
      <c r="H29" s="168">
        <v>1.1499999999999999</v>
      </c>
      <c r="I29" s="9">
        <v>30.782299999999999</v>
      </c>
      <c r="J29" s="18"/>
      <c r="K29" s="18"/>
      <c r="L29" s="8">
        <f t="shared" si="5"/>
        <v>9.7841616773275547E-2</v>
      </c>
      <c r="M29" s="8">
        <v>19.91</v>
      </c>
      <c r="N29" s="16">
        <v>12580972</v>
      </c>
      <c r="O29" s="11">
        <v>505562113</v>
      </c>
      <c r="P29" s="64">
        <f t="shared" si="0"/>
        <v>2.4885116341777772E-2</v>
      </c>
      <c r="Q29" s="8" t="s">
        <v>330</v>
      </c>
      <c r="R29" s="16">
        <v>4301771</v>
      </c>
      <c r="S29" s="8"/>
      <c r="T29" s="16"/>
      <c r="U29" s="8"/>
      <c r="V29" s="16"/>
      <c r="W29" s="8" t="s">
        <v>331</v>
      </c>
      <c r="X29" s="16">
        <v>10440972</v>
      </c>
      <c r="Y29" s="16">
        <v>102846363</v>
      </c>
      <c r="Z29" s="64">
        <f t="shared" si="1"/>
        <v>0.10152008972840391</v>
      </c>
      <c r="AA29" s="8" t="s">
        <v>339</v>
      </c>
      <c r="AB29" s="16">
        <v>1056934</v>
      </c>
      <c r="AC29" s="16"/>
      <c r="AD29" s="16"/>
      <c r="AE29" s="16"/>
      <c r="AF29" s="16"/>
      <c r="AG29" s="8" t="s">
        <v>340</v>
      </c>
      <c r="AH29" s="16">
        <v>2251799</v>
      </c>
      <c r="AI29" s="8" t="s">
        <v>341</v>
      </c>
      <c r="AJ29" s="16">
        <v>2274187</v>
      </c>
      <c r="AK29" s="8"/>
      <c r="AL29" s="16"/>
      <c r="AM29" s="8"/>
      <c r="AN29" s="16"/>
      <c r="AO29" s="8" t="s">
        <v>342</v>
      </c>
      <c r="AP29" s="16">
        <v>5758206</v>
      </c>
      <c r="AQ29" s="133">
        <f t="shared" si="6"/>
        <v>26083869</v>
      </c>
      <c r="AR29" s="8">
        <f t="shared" si="7"/>
        <v>0.20285300012290958</v>
      </c>
      <c r="AS29" s="8">
        <f t="shared" si="8"/>
        <v>0.1014265000614548</v>
      </c>
      <c r="AT29" s="159">
        <f t="shared" si="30"/>
        <v>3.0427950018436439E-2</v>
      </c>
      <c r="AU29" s="159">
        <f t="shared" si="10"/>
        <v>0.24091805240250541</v>
      </c>
      <c r="AV29" s="160">
        <f t="shared" si="11"/>
        <v>8.2684646789229453E-3</v>
      </c>
      <c r="AW29" s="8">
        <f t="shared" si="12"/>
        <v>0.1146536063185651</v>
      </c>
      <c r="AX29" s="8">
        <f t="shared" si="13"/>
        <v>5.7326803159282548E-2</v>
      </c>
      <c r="AY29" s="165">
        <f t="shared" si="14"/>
        <v>1.7198040947784765E-2</v>
      </c>
      <c r="AZ29" s="165">
        <f t="shared" si="15"/>
        <v>0.54570969213976728</v>
      </c>
      <c r="BA29" s="166">
        <f t="shared" si="16"/>
        <v>5.7326803159282553E-3</v>
      </c>
      <c r="BB29" s="8">
        <f t="shared" si="17"/>
        <v>2.5731858094198947E-2</v>
      </c>
      <c r="BC29" s="8">
        <f t="shared" si="18"/>
        <v>1.2865929047099474E-2</v>
      </c>
      <c r="BD29" s="8">
        <f t="shared" si="19"/>
        <v>6.246753571014553E-2</v>
      </c>
      <c r="BE29" s="8">
        <f t="shared" si="20"/>
        <v>3.1233767855072762E-2</v>
      </c>
      <c r="BF29" s="159">
        <f t="shared" si="21"/>
        <v>9.3701303565218285E-3</v>
      </c>
      <c r="BG29" s="159">
        <f t="shared" si="22"/>
        <v>0.12394352323441572</v>
      </c>
      <c r="BH29" s="160">
        <f t="shared" si="23"/>
        <v>3.1233767855072762E-3</v>
      </c>
      <c r="BI29" s="122">
        <v>144295926</v>
      </c>
      <c r="BJ29" s="16">
        <f t="shared" si="2"/>
        <v>56.520537654900814</v>
      </c>
      <c r="BK29" s="16">
        <f t="shared" si="3"/>
        <v>12.684977830551135</v>
      </c>
      <c r="BL29" s="16">
        <f t="shared" si="4"/>
        <v>30.794484514548053</v>
      </c>
      <c r="BM29" s="134">
        <f t="shared" si="24"/>
        <v>0.29178905173887926</v>
      </c>
      <c r="BN29" s="134">
        <f t="shared" si="25"/>
        <v>0.31943768203720274</v>
      </c>
      <c r="BO29" s="134">
        <f t="shared" si="26"/>
        <v>0.39494714152289795</v>
      </c>
      <c r="BP29" s="134">
        <f t="shared" si="27"/>
        <v>0.2926288274182024</v>
      </c>
      <c r="BQ29" s="44">
        <f t="shared" si="29"/>
        <v>0.54483707679093363</v>
      </c>
      <c r="BR29" s="44">
        <f t="shared" si="28"/>
        <v>0.1530925013731822</v>
      </c>
    </row>
    <row r="30" spans="1:70" ht="18" x14ac:dyDescent="0.2">
      <c r="A30" s="65">
        <v>36</v>
      </c>
      <c r="B30" s="51">
        <v>12</v>
      </c>
      <c r="C30" s="51" t="s">
        <v>131</v>
      </c>
      <c r="D30" s="213"/>
      <c r="E30" s="254"/>
      <c r="F30" s="329">
        <v>0.3</v>
      </c>
      <c r="G30" s="284"/>
      <c r="H30" s="168">
        <v>1.1000000000000001</v>
      </c>
      <c r="I30" s="9">
        <v>30.902200000000001</v>
      </c>
      <c r="J30" s="11"/>
      <c r="K30" s="11"/>
      <c r="L30" s="8">
        <f t="shared" si="5"/>
        <v>9.7461992997262326E-2</v>
      </c>
      <c r="M30" s="8">
        <v>19.920000000000002</v>
      </c>
      <c r="N30" s="16">
        <v>4364968</v>
      </c>
      <c r="O30" s="11">
        <v>167688867</v>
      </c>
      <c r="P30" s="64">
        <f>X30/O30</f>
        <v>3.8045644377810724E-2</v>
      </c>
      <c r="Q30" s="8" t="s">
        <v>330</v>
      </c>
      <c r="R30" s="16">
        <v>2675649</v>
      </c>
      <c r="S30" s="8"/>
      <c r="T30" s="16"/>
      <c r="U30" s="8"/>
      <c r="V30" s="16"/>
      <c r="W30" s="8" t="s">
        <v>337</v>
      </c>
      <c r="X30" s="16">
        <v>6379831</v>
      </c>
      <c r="Y30" s="16">
        <v>104976198</v>
      </c>
      <c r="Z30" s="64">
        <f>X30/Y30</f>
        <v>6.0774071851983059E-2</v>
      </c>
      <c r="AA30" s="8" t="s">
        <v>338</v>
      </c>
      <c r="AB30" s="16">
        <v>711716</v>
      </c>
      <c r="AC30" s="16"/>
      <c r="AD30" s="16"/>
      <c r="AE30" s="16"/>
      <c r="AF30" s="16"/>
      <c r="AG30" s="8" t="s">
        <v>334</v>
      </c>
      <c r="AH30" s="16">
        <v>1494448</v>
      </c>
      <c r="AI30" s="8" t="s">
        <v>336</v>
      </c>
      <c r="AJ30" s="16">
        <v>1871956</v>
      </c>
      <c r="AK30" s="8"/>
      <c r="AL30" s="16"/>
      <c r="AM30" s="8"/>
      <c r="AN30" s="16"/>
      <c r="AO30" s="8" t="s">
        <v>335</v>
      </c>
      <c r="AP30" s="16">
        <v>3932698</v>
      </c>
      <c r="AQ30" s="133">
        <f t="shared" si="6"/>
        <v>17066298</v>
      </c>
      <c r="AR30" s="8">
        <f t="shared" si="7"/>
        <v>0.38106016267821258</v>
      </c>
      <c r="AS30" s="8">
        <f t="shared" si="8"/>
        <v>0.19053008133910629</v>
      </c>
      <c r="AT30" s="159">
        <f t="shared" si="30"/>
        <v>5.7159024401731887E-2</v>
      </c>
      <c r="AU30" s="159">
        <f t="shared" si="10"/>
        <v>0.45256551386961108</v>
      </c>
      <c r="AV30" s="160">
        <f t="shared" si="11"/>
        <v>1.5532343587427142E-2</v>
      </c>
      <c r="AW30" s="8">
        <f t="shared" si="12"/>
        <v>0.20219280607483239</v>
      </c>
      <c r="AX30" s="8">
        <f t="shared" si="13"/>
        <v>0.1010964030374162</v>
      </c>
      <c r="AY30" s="165">
        <f t="shared" si="14"/>
        <v>3.0328920911224858E-2</v>
      </c>
      <c r="AZ30" s="165">
        <f t="shared" si="15"/>
        <v>0.96236461720529465</v>
      </c>
      <c r="BA30" s="166">
        <f t="shared" si="16"/>
        <v>1.010964030374162E-2</v>
      </c>
      <c r="BB30" s="8">
        <f t="shared" si="17"/>
        <v>4.9259728895793109E-2</v>
      </c>
      <c r="BC30" s="8">
        <f t="shared" si="18"/>
        <v>2.4629864447896558E-2</v>
      </c>
      <c r="BD30" s="8">
        <f t="shared" si="19"/>
        <v>0.12960762770758702</v>
      </c>
      <c r="BE30" s="8">
        <f t="shared" si="20"/>
        <v>6.480381385379351E-2</v>
      </c>
      <c r="BF30" s="159">
        <f t="shared" si="21"/>
        <v>1.9441144156138051E-2</v>
      </c>
      <c r="BG30" s="159">
        <f t="shared" si="22"/>
        <v>0.25715799148330759</v>
      </c>
      <c r="BH30" s="160">
        <f t="shared" si="23"/>
        <v>6.4803813853793503E-3</v>
      </c>
      <c r="BI30" s="122">
        <v>97701861</v>
      </c>
      <c r="BJ30" s="16">
        <f t="shared" si="2"/>
        <v>53.060599316852432</v>
      </c>
      <c r="BK30" s="16">
        <f t="shared" si="3"/>
        <v>12.927021431361389</v>
      </c>
      <c r="BL30" s="16">
        <f t="shared" si="4"/>
        <v>34.012379251786179</v>
      </c>
      <c r="BM30" s="134">
        <f t="shared" si="24"/>
        <v>0.29547290701321188</v>
      </c>
      <c r="BN30" s="134">
        <f t="shared" si="25"/>
        <v>0.3226033966649805</v>
      </c>
      <c r="BO30" s="134">
        <f t="shared" si="26"/>
        <v>0.47599790271208214</v>
      </c>
      <c r="BP30" s="134">
        <f t="shared" si="27"/>
        <v>0.30816999679719642</v>
      </c>
      <c r="BQ30" s="44">
        <f t="shared" si="29"/>
        <v>0.64101008450131858</v>
      </c>
      <c r="BR30" s="44">
        <f t="shared" si="28"/>
        <v>0.14870237658861463</v>
      </c>
    </row>
    <row r="31" spans="1:70" ht="18" x14ac:dyDescent="0.2">
      <c r="A31" s="65">
        <v>35</v>
      </c>
      <c r="B31" s="70">
        <v>12</v>
      </c>
      <c r="C31" s="70" t="s">
        <v>44</v>
      </c>
      <c r="D31" s="213"/>
      <c r="E31" s="254"/>
      <c r="F31" s="329">
        <v>0.3</v>
      </c>
      <c r="G31" s="284"/>
      <c r="H31" s="168">
        <v>1.05</v>
      </c>
      <c r="I31" s="9">
        <v>30.076000000000001</v>
      </c>
      <c r="J31" s="12"/>
      <c r="K31" s="12"/>
      <c r="L31" s="8">
        <f t="shared" si="5"/>
        <v>0.10013931373852905</v>
      </c>
      <c r="M31" s="8">
        <v>20.190000000000001</v>
      </c>
      <c r="N31" s="16">
        <v>11803268</v>
      </c>
      <c r="O31" s="11">
        <v>423581157</v>
      </c>
      <c r="P31" s="64">
        <f t="shared" si="0"/>
        <v>2.7865422729368483E-2</v>
      </c>
      <c r="Q31" s="8">
        <v>35.82</v>
      </c>
      <c r="R31" s="16">
        <v>1486894</v>
      </c>
      <c r="S31" s="8"/>
      <c r="T31" s="16"/>
      <c r="U31" s="8"/>
      <c r="V31" s="16"/>
      <c r="W31" s="8">
        <v>36.44</v>
      </c>
      <c r="X31" s="16">
        <v>3305541</v>
      </c>
      <c r="Y31" s="16">
        <v>52631293</v>
      </c>
      <c r="Z31" s="64">
        <f>X31/Y31</f>
        <v>6.2805620222934677E-2</v>
      </c>
      <c r="AA31" s="8">
        <v>37.61</v>
      </c>
      <c r="AB31" s="16">
        <v>1206194</v>
      </c>
      <c r="AC31" s="16"/>
      <c r="AD31" s="16"/>
      <c r="AE31" s="16"/>
      <c r="AF31" s="16"/>
      <c r="AG31" s="8">
        <v>38.229999999999997</v>
      </c>
      <c r="AH31" s="16">
        <v>2623589</v>
      </c>
      <c r="AI31" s="8">
        <v>39.119999999999997</v>
      </c>
      <c r="AJ31" s="16">
        <v>4348845</v>
      </c>
      <c r="AK31" s="8"/>
      <c r="AL31" s="16"/>
      <c r="AM31" s="8"/>
      <c r="AN31" s="16"/>
      <c r="AO31" s="8">
        <v>39.71</v>
      </c>
      <c r="AP31" s="16">
        <v>15164981</v>
      </c>
      <c r="AQ31" s="133">
        <f t="shared" si="6"/>
        <v>28136044</v>
      </c>
      <c r="AR31" s="8">
        <f t="shared" si="7"/>
        <v>0.23870712225436702</v>
      </c>
      <c r="AS31" s="8">
        <f t="shared" si="8"/>
        <v>0.11935356112718351</v>
      </c>
      <c r="AT31" s="159">
        <f t="shared" si="30"/>
        <v>3.5806068338155049E-2</v>
      </c>
      <c r="AU31" s="159">
        <f t="shared" si="10"/>
        <v>0.28350014519521016</v>
      </c>
      <c r="AV31" s="160">
        <f t="shared" si="11"/>
        <v>9.7299098744986542E-3</v>
      </c>
      <c r="AW31" s="8">
        <f t="shared" si="12"/>
        <v>4.0659176088902453E-2</v>
      </c>
      <c r="AX31" s="8">
        <f t="shared" si="13"/>
        <v>2.0329588044451227E-2</v>
      </c>
      <c r="AY31" s="165">
        <f t="shared" si="14"/>
        <v>6.0988764133353681E-3</v>
      </c>
      <c r="AZ31" s="165">
        <f t="shared" si="15"/>
        <v>0.19352297043742245</v>
      </c>
      <c r="BA31" s="166">
        <f t="shared" si="16"/>
        <v>2.0329588044451226E-3</v>
      </c>
      <c r="BB31" s="8">
        <f t="shared" si="17"/>
        <v>3.2492004874199669E-2</v>
      </c>
      <c r="BC31" s="8">
        <f t="shared" si="18"/>
        <v>1.6246002437099834E-2</v>
      </c>
      <c r="BD31" s="8">
        <f t="shared" si="19"/>
        <v>0.16555594129126489</v>
      </c>
      <c r="BE31" s="8">
        <f t="shared" si="20"/>
        <v>8.2777970645632443E-2</v>
      </c>
      <c r="BF31" s="159">
        <f t="shared" si="21"/>
        <v>2.4833391193689731E-2</v>
      </c>
      <c r="BG31" s="159">
        <f t="shared" si="22"/>
        <v>0.32848401049854142</v>
      </c>
      <c r="BH31" s="160">
        <f t="shared" si="23"/>
        <v>8.2777970645632436E-3</v>
      </c>
      <c r="BI31" s="122">
        <v>58377989</v>
      </c>
      <c r="BJ31" s="16">
        <f t="shared" si="2"/>
        <v>17.033080414574272</v>
      </c>
      <c r="BK31" s="16">
        <f t="shared" si="3"/>
        <v>13.611661255576655</v>
      </c>
      <c r="BL31" s="16">
        <f t="shared" si="4"/>
        <v>69.355258329849079</v>
      </c>
      <c r="BM31" s="134">
        <f t="shared" si="24"/>
        <v>0.31025856375725491</v>
      </c>
      <c r="BN31" s="134">
        <f t="shared" si="25"/>
        <v>0.31495100375138746</v>
      </c>
      <c r="BO31" s="134">
        <f t="shared" si="26"/>
        <v>0.28676890528250581</v>
      </c>
      <c r="BP31" s="134">
        <f t="shared" si="27"/>
        <v>0.25028156054916606</v>
      </c>
      <c r="BQ31" s="44">
        <f t="shared" si="29"/>
        <v>4.0717977395624558</v>
      </c>
      <c r="BR31" s="44">
        <f t="shared" si="28"/>
        <v>0.32521942422913053</v>
      </c>
    </row>
    <row r="32" spans="1:70" ht="18" x14ac:dyDescent="0.2">
      <c r="A32" s="65">
        <v>34</v>
      </c>
      <c r="B32" s="51">
        <v>11</v>
      </c>
      <c r="C32" s="51" t="s">
        <v>132</v>
      </c>
      <c r="D32" s="213"/>
      <c r="E32" s="254"/>
      <c r="F32" s="329">
        <v>0.3</v>
      </c>
      <c r="G32" s="284"/>
      <c r="H32" s="168">
        <v>1.05</v>
      </c>
      <c r="I32" s="9">
        <v>30.666799999999999</v>
      </c>
      <c r="J32" s="18"/>
      <c r="K32" s="18"/>
      <c r="L32" s="8">
        <f t="shared" si="5"/>
        <v>9.8210116477754447E-2</v>
      </c>
      <c r="M32" s="8">
        <v>19.940000000000001</v>
      </c>
      <c r="N32" s="16">
        <v>462501</v>
      </c>
      <c r="O32" s="11">
        <v>32198637</v>
      </c>
      <c r="P32" s="64">
        <f t="shared" si="0"/>
        <v>1.4363993109397767E-2</v>
      </c>
      <c r="Q32" s="8" t="s">
        <v>326</v>
      </c>
      <c r="R32" s="16">
        <v>1877937</v>
      </c>
      <c r="S32" s="8"/>
      <c r="T32" s="16"/>
      <c r="U32" s="8"/>
      <c r="V32" s="16"/>
      <c r="W32" s="8" t="s">
        <v>331</v>
      </c>
      <c r="X32" s="16">
        <v>4683477</v>
      </c>
      <c r="Y32" s="16">
        <v>54962988</v>
      </c>
      <c r="Z32" s="64">
        <f t="shared" si="1"/>
        <v>8.5211469944101295E-2</v>
      </c>
      <c r="AA32" s="8" t="s">
        <v>332</v>
      </c>
      <c r="AB32" s="16">
        <v>396747</v>
      </c>
      <c r="AC32" s="16"/>
      <c r="AD32" s="16"/>
      <c r="AE32" s="16"/>
      <c r="AF32" s="16"/>
      <c r="AG32" s="8" t="s">
        <v>334</v>
      </c>
      <c r="AH32" s="16">
        <v>978718</v>
      </c>
      <c r="AI32" s="8" t="s">
        <v>336</v>
      </c>
      <c r="AJ32" s="16">
        <v>888121</v>
      </c>
      <c r="AK32" s="8"/>
      <c r="AL32" s="16"/>
      <c r="AM32" s="8"/>
      <c r="AN32" s="16"/>
      <c r="AO32" s="8" t="s">
        <v>335</v>
      </c>
      <c r="AP32" s="16">
        <v>2537119</v>
      </c>
      <c r="AQ32" s="133">
        <f t="shared" si="6"/>
        <v>11362119</v>
      </c>
      <c r="AR32" s="8">
        <f t="shared" si="7"/>
        <v>2.4126975518411999</v>
      </c>
      <c r="AS32" s="8">
        <f t="shared" si="8"/>
        <v>1.2063487759206</v>
      </c>
      <c r="AT32" s="159">
        <f t="shared" si="30"/>
        <v>0.36190463277617996</v>
      </c>
      <c r="AU32" s="159">
        <f t="shared" si="10"/>
        <v>2.8654365223767213</v>
      </c>
      <c r="AV32" s="160">
        <f t="shared" si="11"/>
        <v>9.8343650210918468E-2</v>
      </c>
      <c r="AW32" s="8">
        <f t="shared" si="12"/>
        <v>1.3932883025091161</v>
      </c>
      <c r="AX32" s="8">
        <f t="shared" si="13"/>
        <v>0.69664415125455803</v>
      </c>
      <c r="AY32" s="165">
        <f t="shared" si="14"/>
        <v>0.2089932453763674</v>
      </c>
      <c r="AZ32" s="165">
        <f t="shared" si="15"/>
        <v>6.6315483222709002</v>
      </c>
      <c r="BA32" s="166">
        <f t="shared" si="16"/>
        <v>6.9664415125455806E-2</v>
      </c>
      <c r="BB32" s="8">
        <f t="shared" si="17"/>
        <v>0.29207413143122835</v>
      </c>
      <c r="BC32" s="8">
        <f t="shared" si="18"/>
        <v>0.14603706571561417</v>
      </c>
      <c r="BD32" s="8">
        <f t="shared" si="19"/>
        <v>0.7273351179008557</v>
      </c>
      <c r="BE32" s="8">
        <f t="shared" si="20"/>
        <v>0.36366755895042785</v>
      </c>
      <c r="BF32" s="159">
        <f t="shared" si="21"/>
        <v>0.10910026768512836</v>
      </c>
      <c r="BG32" s="159">
        <f t="shared" si="22"/>
        <v>1.4431252339302694</v>
      </c>
      <c r="BH32" s="160">
        <f t="shared" si="23"/>
        <v>3.6366755895042784E-2</v>
      </c>
      <c r="BI32" s="122">
        <v>86180311</v>
      </c>
      <c r="BJ32" s="16">
        <f t="shared" si="2"/>
        <v>57.748154195533424</v>
      </c>
      <c r="BK32" s="16">
        <f t="shared" si="3"/>
        <v>12.105708451038049</v>
      </c>
      <c r="BL32" s="16">
        <f t="shared" si="4"/>
        <v>30.146137353428529</v>
      </c>
      <c r="BM32" s="134">
        <f t="shared" si="24"/>
        <v>0.28620919210401902</v>
      </c>
      <c r="BN32" s="134">
        <f t="shared" si="25"/>
        <v>0.28844572562733328</v>
      </c>
      <c r="BO32" s="134">
        <f t="shared" si="26"/>
        <v>0.35005098302444621</v>
      </c>
      <c r="BP32" s="134">
        <f t="shared" si="27"/>
        <v>0.27836400938944578</v>
      </c>
      <c r="BQ32" s="44">
        <f t="shared" si="29"/>
        <v>0.52202772146369669</v>
      </c>
      <c r="BR32" s="44">
        <f t="shared" si="28"/>
        <v>0.11648386245862441</v>
      </c>
    </row>
    <row r="33" spans="1:70" ht="18" x14ac:dyDescent="0.2">
      <c r="A33" s="65">
        <v>33</v>
      </c>
      <c r="B33" s="51">
        <v>10</v>
      </c>
      <c r="C33" s="51" t="s">
        <v>133</v>
      </c>
      <c r="D33" s="213"/>
      <c r="E33" s="254"/>
      <c r="F33" s="329">
        <v>0.3</v>
      </c>
      <c r="G33" s="284"/>
      <c r="H33" s="168">
        <v>1</v>
      </c>
      <c r="I33" s="10">
        <v>30.787299999999998</v>
      </c>
      <c r="J33" s="27"/>
      <c r="K33" s="27"/>
      <c r="L33" s="8">
        <f t="shared" si="5"/>
        <v>9.7825726841912097E-2</v>
      </c>
      <c r="M33" s="8">
        <v>19.91</v>
      </c>
      <c r="N33" s="16">
        <v>10756759</v>
      </c>
      <c r="O33" s="11">
        <v>431737049</v>
      </c>
      <c r="P33" s="64">
        <f t="shared" si="0"/>
        <v>2.4915070469201266E-2</v>
      </c>
      <c r="Q33" s="8" t="s">
        <v>314</v>
      </c>
      <c r="R33" s="16">
        <v>1144971</v>
      </c>
      <c r="S33" s="8"/>
      <c r="T33" s="16"/>
      <c r="U33" s="8"/>
      <c r="V33" s="16"/>
      <c r="W33" s="8" t="s">
        <v>331</v>
      </c>
      <c r="X33" s="16">
        <v>3035664</v>
      </c>
      <c r="Y33" s="16">
        <v>51010889</v>
      </c>
      <c r="Z33" s="64">
        <f t="shared" si="1"/>
        <v>5.951011753588533E-2</v>
      </c>
      <c r="AA33" s="8" t="s">
        <v>328</v>
      </c>
      <c r="AB33" s="16">
        <v>314366</v>
      </c>
      <c r="AC33" s="16"/>
      <c r="AD33" s="16"/>
      <c r="AE33" s="16"/>
      <c r="AF33" s="16"/>
      <c r="AG33" s="8" t="s">
        <v>334</v>
      </c>
      <c r="AH33" s="16">
        <v>860375</v>
      </c>
      <c r="AI33" s="8" t="s">
        <v>333</v>
      </c>
      <c r="AJ33" s="16">
        <v>870777</v>
      </c>
      <c r="AK33" s="8"/>
      <c r="AL33" s="16"/>
      <c r="AM33" s="8"/>
      <c r="AN33" s="16"/>
      <c r="AO33" s="8" t="s">
        <v>335</v>
      </c>
      <c r="AP33" s="16">
        <v>2928180</v>
      </c>
      <c r="AQ33" s="133">
        <f t="shared" si="6"/>
        <v>9154333</v>
      </c>
      <c r="AR33" s="8">
        <f t="shared" si="7"/>
        <v>8.3252704599768537E-2</v>
      </c>
      <c r="AS33" s="8">
        <f t="shared" si="8"/>
        <v>4.1626352299884269E-2</v>
      </c>
      <c r="AT33" s="159">
        <f t="shared" si="30"/>
        <v>1.248790568996528E-2</v>
      </c>
      <c r="AU33" s="159">
        <f t="shared" si="10"/>
        <v>9.8874946080485193E-2</v>
      </c>
      <c r="AV33" s="160">
        <f t="shared" si="11"/>
        <v>3.3934526331427391E-3</v>
      </c>
      <c r="AW33" s="8">
        <f t="shared" si="12"/>
        <v>3.8020156213942995E-2</v>
      </c>
      <c r="AX33" s="8">
        <f t="shared" si="13"/>
        <v>1.9010078106971497E-2</v>
      </c>
      <c r="AY33" s="165">
        <f t="shared" si="14"/>
        <v>5.7030234320914492E-3</v>
      </c>
      <c r="AZ33" s="165">
        <f t="shared" si="15"/>
        <v>0.18096219045189432</v>
      </c>
      <c r="BA33" s="166">
        <f t="shared" si="16"/>
        <v>1.9010078106971497E-3</v>
      </c>
      <c r="BB33" s="8">
        <f t="shared" si="17"/>
        <v>1.0683505336132812E-2</v>
      </c>
      <c r="BC33" s="8">
        <f t="shared" si="18"/>
        <v>5.341752668066406E-3</v>
      </c>
      <c r="BD33" s="8">
        <f t="shared" si="19"/>
        <v>3.4549043049692744E-2</v>
      </c>
      <c r="BE33" s="8">
        <f t="shared" si="20"/>
        <v>1.7274521524846372E-2</v>
      </c>
      <c r="BF33" s="159">
        <f t="shared" si="21"/>
        <v>5.1823564574539115E-3</v>
      </c>
      <c r="BG33" s="159">
        <f t="shared" si="22"/>
        <v>6.8549688590660199E-2</v>
      </c>
      <c r="BH33" s="160">
        <f t="shared" si="23"/>
        <v>1.7274521524846371E-3</v>
      </c>
      <c r="BI33" s="122">
        <v>53177935</v>
      </c>
      <c r="BJ33" s="16">
        <f t="shared" si="2"/>
        <v>45.66837365431212</v>
      </c>
      <c r="BK33" s="16">
        <f t="shared" si="3"/>
        <v>12.832622540604541</v>
      </c>
      <c r="BL33" s="16">
        <f t="shared" si="4"/>
        <v>41.499003805083341</v>
      </c>
      <c r="BM33" s="134">
        <f t="shared" si="24"/>
        <v>0.27387490177927515</v>
      </c>
      <c r="BN33" s="134">
        <f t="shared" si="25"/>
        <v>0.26760451878328928</v>
      </c>
      <c r="BO33" s="134">
        <f t="shared" si="26"/>
        <v>0.29737823494457311</v>
      </c>
      <c r="BP33" s="134">
        <f t="shared" si="27"/>
        <v>0.25453673140358779</v>
      </c>
      <c r="BQ33" s="44">
        <f t="shared" si="29"/>
        <v>0.90870334291321775</v>
      </c>
      <c r="BR33" s="44">
        <f t="shared" si="28"/>
        <v>0.14686346724941887</v>
      </c>
    </row>
    <row r="34" spans="1:70" ht="18" x14ac:dyDescent="0.2">
      <c r="A34" s="65">
        <v>32</v>
      </c>
      <c r="B34" s="51">
        <v>9</v>
      </c>
      <c r="C34" s="51" t="s">
        <v>134</v>
      </c>
      <c r="D34" s="213"/>
      <c r="E34" s="254"/>
      <c r="F34" s="329">
        <v>0.3</v>
      </c>
      <c r="G34" s="284"/>
      <c r="H34" s="170">
        <v>0.95</v>
      </c>
      <c r="I34" s="10">
        <v>30.715</v>
      </c>
      <c r="J34" s="18"/>
      <c r="K34" s="18"/>
      <c r="L34" s="8">
        <f t="shared" si="5"/>
        <v>9.8055998697704705E-2</v>
      </c>
      <c r="M34" s="8">
        <v>19.920000000000002</v>
      </c>
      <c r="N34" s="16">
        <v>3041555</v>
      </c>
      <c r="O34" s="11">
        <v>199941557</v>
      </c>
      <c r="P34" s="64">
        <f t="shared" si="0"/>
        <v>1.521222023893712E-2</v>
      </c>
      <c r="Q34" s="8" t="s">
        <v>330</v>
      </c>
      <c r="R34" s="16">
        <v>1183934</v>
      </c>
      <c r="S34" s="8"/>
      <c r="T34" s="16"/>
      <c r="U34" s="8"/>
      <c r="V34" s="16"/>
      <c r="W34" s="8" t="s">
        <v>331</v>
      </c>
      <c r="X34" s="16">
        <v>3031374</v>
      </c>
      <c r="Y34" s="16">
        <v>71794688</v>
      </c>
      <c r="Z34" s="64">
        <f t="shared" si="1"/>
        <v>4.2222817376126771E-2</v>
      </c>
      <c r="AA34" s="8" t="s">
        <v>332</v>
      </c>
      <c r="AB34" s="16">
        <v>497746</v>
      </c>
      <c r="AC34" s="16"/>
      <c r="AD34" s="16"/>
      <c r="AE34" s="16"/>
      <c r="AF34" s="16"/>
      <c r="AG34" s="8" t="s">
        <v>329</v>
      </c>
      <c r="AH34" s="16">
        <v>1077192</v>
      </c>
      <c r="AI34" s="8" t="s">
        <v>317</v>
      </c>
      <c r="AJ34" s="16">
        <v>1105679</v>
      </c>
      <c r="AK34" s="8"/>
      <c r="AL34" s="16"/>
      <c r="AM34" s="8"/>
      <c r="AN34" s="16"/>
      <c r="AO34" s="8">
        <v>39.42</v>
      </c>
      <c r="AP34" s="16">
        <v>3749899</v>
      </c>
      <c r="AQ34" s="133">
        <f t="shared" si="6"/>
        <v>10645824</v>
      </c>
      <c r="AR34" s="8">
        <f t="shared" si="7"/>
        <v>0.34320829453355062</v>
      </c>
      <c r="AS34" s="8">
        <f t="shared" si="8"/>
        <v>0.17160414726677531</v>
      </c>
      <c r="AT34" s="159">
        <f t="shared" si="30"/>
        <v>5.1481244180032588E-2</v>
      </c>
      <c r="AU34" s="159">
        <f t="shared" si="10"/>
        <v>0.40761080110872988</v>
      </c>
      <c r="AV34" s="160">
        <f t="shared" si="11"/>
        <v>1.3989468527182768E-2</v>
      </c>
      <c r="AW34" s="8">
        <f t="shared" si="12"/>
        <v>0.13589635425248736</v>
      </c>
      <c r="AX34" s="8">
        <f t="shared" si="13"/>
        <v>6.7948177126243681E-2</v>
      </c>
      <c r="AY34" s="165">
        <f t="shared" si="14"/>
        <v>2.0384453137873102E-2</v>
      </c>
      <c r="AZ34" s="165">
        <f t="shared" si="15"/>
        <v>0.6468174881127432</v>
      </c>
      <c r="BA34" s="166">
        <f t="shared" si="16"/>
        <v>6.7948177126243674E-3</v>
      </c>
      <c r="BB34" s="8">
        <f t="shared" si="17"/>
        <v>5.0774067369146914E-2</v>
      </c>
      <c r="BC34" s="8">
        <f t="shared" si="18"/>
        <v>2.5387033684573457E-2</v>
      </c>
      <c r="BD34" s="8">
        <f t="shared" si="19"/>
        <v>0.15653787291191631</v>
      </c>
      <c r="BE34" s="8">
        <f t="shared" si="20"/>
        <v>7.8268936455958157E-2</v>
      </c>
      <c r="BF34" s="159">
        <f t="shared" si="21"/>
        <v>2.3480680936787447E-2</v>
      </c>
      <c r="BG34" s="159">
        <f t="shared" si="22"/>
        <v>0.31059101768237368</v>
      </c>
      <c r="BH34" s="160">
        <f t="shared" si="23"/>
        <v>7.8268936455958161E-3</v>
      </c>
      <c r="BI34" s="122">
        <v>46446222</v>
      </c>
      <c r="BJ34" s="16">
        <f t="shared" si="2"/>
        <v>39.595882855098864</v>
      </c>
      <c r="BK34" s="16">
        <f t="shared" si="3"/>
        <v>14.793951130509015</v>
      </c>
      <c r="BL34" s="16">
        <f t="shared" si="4"/>
        <v>45.610166014392121</v>
      </c>
      <c r="BM34" s="134">
        <f t="shared" si="24"/>
        <v>0.28086536025362796</v>
      </c>
      <c r="BN34" s="134">
        <f t="shared" si="25"/>
        <v>0.31604164735373708</v>
      </c>
      <c r="BO34" s="134">
        <f t="shared" si="26"/>
        <v>0.29485567477950742</v>
      </c>
      <c r="BP34" s="134">
        <f t="shared" si="27"/>
        <v>0.26182651526081963</v>
      </c>
      <c r="BQ34" s="44">
        <f t="shared" si="29"/>
        <v>1.1518916292712182</v>
      </c>
      <c r="BR34" s="44">
        <f t="shared" si="28"/>
        <v>0.18646772616977153</v>
      </c>
    </row>
    <row r="35" spans="1:70" ht="18" x14ac:dyDescent="0.2">
      <c r="A35" s="65">
        <v>31</v>
      </c>
      <c r="B35" s="51">
        <v>8</v>
      </c>
      <c r="C35" s="51" t="s">
        <v>47</v>
      </c>
      <c r="D35" s="243" t="s">
        <v>151</v>
      </c>
      <c r="E35" s="254"/>
      <c r="F35" s="329">
        <v>0.3</v>
      </c>
      <c r="G35" s="284"/>
      <c r="H35" s="168">
        <v>0.9</v>
      </c>
      <c r="I35" s="11">
        <v>30.372</v>
      </c>
      <c r="J35" s="18"/>
      <c r="K35" s="18"/>
      <c r="L35" s="8">
        <f t="shared" si="5"/>
        <v>9.9163374160410905E-2</v>
      </c>
      <c r="M35" s="8">
        <v>19.95</v>
      </c>
      <c r="N35" s="16">
        <v>2074351</v>
      </c>
      <c r="O35" s="11">
        <v>80851374</v>
      </c>
      <c r="P35" s="64">
        <f t="shared" si="0"/>
        <v>2.5656348153093849E-2</v>
      </c>
      <c r="Q35" s="8" t="s">
        <v>314</v>
      </c>
      <c r="R35" s="16">
        <v>794979</v>
      </c>
      <c r="S35" s="8"/>
      <c r="T35" s="16"/>
      <c r="U35" s="8"/>
      <c r="V35" s="16"/>
      <c r="W35" s="8">
        <v>36.17</v>
      </c>
      <c r="X35" s="16">
        <v>2009943</v>
      </c>
      <c r="Y35" s="16">
        <v>38335982</v>
      </c>
      <c r="Z35" s="64">
        <f t="shared" si="1"/>
        <v>5.2429672989725423E-2</v>
      </c>
      <c r="AA35" s="8" t="s">
        <v>312</v>
      </c>
      <c r="AB35" s="16">
        <v>452539</v>
      </c>
      <c r="AC35" s="16"/>
      <c r="AD35" s="16"/>
      <c r="AE35" s="16"/>
      <c r="AF35" s="16"/>
      <c r="AG35" s="8" t="s">
        <v>329</v>
      </c>
      <c r="AH35" s="16">
        <v>1291673</v>
      </c>
      <c r="AI35" s="8" t="s">
        <v>317</v>
      </c>
      <c r="AJ35" s="16">
        <v>2246921</v>
      </c>
      <c r="AK35" s="8"/>
      <c r="AL35" s="16"/>
      <c r="AM35" s="8"/>
      <c r="AN35" s="16"/>
      <c r="AO35" s="8">
        <v>39.42</v>
      </c>
      <c r="AP35" s="16">
        <v>6680295</v>
      </c>
      <c r="AQ35" s="133">
        <f t="shared" si="6"/>
        <v>13476350</v>
      </c>
      <c r="AR35" s="8">
        <f t="shared" si="7"/>
        <v>0.64423057494447833</v>
      </c>
      <c r="AS35" s="8">
        <f t="shared" si="8"/>
        <v>0.32211528747223916</v>
      </c>
      <c r="AT35" s="159">
        <f t="shared" si="30"/>
        <v>9.6634586241671747E-2</v>
      </c>
      <c r="AU35" s="159">
        <f t="shared" si="10"/>
        <v>0.7651194476775276</v>
      </c>
      <c r="AV35" s="160">
        <f t="shared" si="11"/>
        <v>2.6259398435236888E-2</v>
      </c>
      <c r="AW35" s="8">
        <f t="shared" si="12"/>
        <v>0.1340879772886884</v>
      </c>
      <c r="AX35" s="8">
        <f t="shared" si="13"/>
        <v>6.7043988644344202E-2</v>
      </c>
      <c r="AY35" s="165">
        <f t="shared" si="14"/>
        <v>2.0113196593303261E-2</v>
      </c>
      <c r="AZ35" s="165">
        <f t="shared" si="15"/>
        <v>0.63821026791379543</v>
      </c>
      <c r="BA35" s="166">
        <f t="shared" si="16"/>
        <v>6.7043988644344202E-3</v>
      </c>
      <c r="BB35" s="8">
        <f t="shared" si="17"/>
        <v>8.338123450229909E-2</v>
      </c>
      <c r="BC35" s="8">
        <f t="shared" si="18"/>
        <v>4.1690617251149545E-2</v>
      </c>
      <c r="BD35" s="8">
        <f t="shared" si="19"/>
        <v>0.42676136315349078</v>
      </c>
      <c r="BE35" s="8">
        <f t="shared" si="20"/>
        <v>0.21338068157674539</v>
      </c>
      <c r="BF35" s="159">
        <f t="shared" si="21"/>
        <v>6.4014204473023611E-2</v>
      </c>
      <c r="BG35" s="159">
        <f t="shared" si="22"/>
        <v>0.8467487364156564</v>
      </c>
      <c r="BH35" s="160">
        <f t="shared" si="23"/>
        <v>2.1338068157674538E-2</v>
      </c>
      <c r="BI35" s="122">
        <v>38429149</v>
      </c>
      <c r="BJ35" s="16">
        <f t="shared" si="2"/>
        <v>20.813662453112304</v>
      </c>
      <c r="BK35" s="16">
        <f t="shared" si="3"/>
        <v>12.942762691678384</v>
      </c>
      <c r="BL35" s="16">
        <f t="shared" si="4"/>
        <v>66.243574855209317</v>
      </c>
      <c r="BM35" s="134">
        <f t="shared" si="24"/>
        <v>0.28342285453927063</v>
      </c>
      <c r="BN35" s="134">
        <f t="shared" si="25"/>
        <v>0.25945183269006289</v>
      </c>
      <c r="BO35" s="134">
        <f t="shared" si="26"/>
        <v>0.33635056535676944</v>
      </c>
      <c r="BP35" s="134">
        <f t="shared" si="27"/>
        <v>0.2593015913062513</v>
      </c>
      <c r="BQ35" s="44">
        <f t="shared" si="29"/>
        <v>3.1826967024394972</v>
      </c>
      <c r="BR35" s="44">
        <f t="shared" si="28"/>
        <v>0.25963241389895897</v>
      </c>
    </row>
    <row r="36" spans="1:70" ht="18" x14ac:dyDescent="0.2">
      <c r="A36" s="65">
        <v>30</v>
      </c>
      <c r="B36" s="51">
        <v>7</v>
      </c>
      <c r="C36" s="51" t="s">
        <v>135</v>
      </c>
      <c r="D36" s="244"/>
      <c r="E36" s="254"/>
      <c r="F36" s="329">
        <v>0.3</v>
      </c>
      <c r="G36" s="284"/>
      <c r="H36" s="168">
        <v>0.85</v>
      </c>
      <c r="I36" s="11">
        <v>30.346</v>
      </c>
      <c r="J36" s="18"/>
      <c r="K36" s="18"/>
      <c r="L36" s="8">
        <f t="shared" ref="L36" si="31">3.01179/I36</f>
        <v>9.9248335859750875E-2</v>
      </c>
      <c r="M36" s="8">
        <v>19.940000000000001</v>
      </c>
      <c r="N36" s="16">
        <v>1094558</v>
      </c>
      <c r="O36" s="11">
        <v>50500616</v>
      </c>
      <c r="P36" s="64">
        <f t="shared" ref="P36" si="32">N36/O36</f>
        <v>2.1674151459855458E-2</v>
      </c>
      <c r="Q36" s="8" t="s">
        <v>326</v>
      </c>
      <c r="R36" s="16">
        <v>798618</v>
      </c>
      <c r="S36" s="8" t="s">
        <v>327</v>
      </c>
      <c r="T36" s="16">
        <v>424552</v>
      </c>
      <c r="U36" s="8"/>
      <c r="V36" s="16"/>
      <c r="W36" s="8">
        <v>36.159999999999997</v>
      </c>
      <c r="X36" s="16">
        <v>2610827</v>
      </c>
      <c r="Y36" s="16">
        <v>201351394</v>
      </c>
      <c r="Z36" s="64">
        <f t="shared" ref="Z36" si="33">X36/Y36</f>
        <v>1.296652060923899E-2</v>
      </c>
      <c r="AA36" s="8" t="s">
        <v>328</v>
      </c>
      <c r="AB36" s="16">
        <v>810323</v>
      </c>
      <c r="AC36" s="16"/>
      <c r="AD36" s="16"/>
      <c r="AE36" s="16"/>
      <c r="AF36" s="16"/>
      <c r="AG36" s="8" t="s">
        <v>316</v>
      </c>
      <c r="AH36" s="16">
        <v>2464343</v>
      </c>
      <c r="AI36" s="8" t="s">
        <v>317</v>
      </c>
      <c r="AJ36" s="16">
        <v>5140306</v>
      </c>
      <c r="AK36" s="16" t="s">
        <v>277</v>
      </c>
      <c r="AL36" s="16">
        <v>654494</v>
      </c>
      <c r="AM36" s="16" t="s">
        <v>325</v>
      </c>
      <c r="AN36" s="16">
        <v>905398</v>
      </c>
      <c r="AO36" s="8">
        <v>39.43</v>
      </c>
      <c r="AP36" s="16">
        <v>15319464</v>
      </c>
      <c r="AQ36" s="133">
        <f t="shared" ref="AQ36" si="34">(R36+T36+V36+X36)+(AB36+AD36+AF36+AH36)+(AJ36+AL36+AN36+AP36)</f>
        <v>29128325</v>
      </c>
      <c r="AR36" s="8">
        <f t="shared" ref="AR36" si="35">(AQ36*L36)/N36</f>
        <v>2.6411919538589803</v>
      </c>
      <c r="AS36" s="8">
        <f t="shared" ref="AS36" si="36">(AR36*0.02)/0.04</f>
        <v>1.3205959769294902</v>
      </c>
      <c r="AT36" s="159">
        <f t="shared" si="30"/>
        <v>0.39617879307884701</v>
      </c>
      <c r="AU36" s="159">
        <f t="shared" si="10"/>
        <v>3.1368075461508078</v>
      </c>
      <c r="AV36" s="160">
        <f t="shared" ref="AV36" si="37">AT36/3.68</f>
        <v>0.10765728072794756</v>
      </c>
      <c r="AW36" s="8">
        <f t="shared" ref="AW36" si="38">(((R36+T36+V36+X36)*L36)/N36)</f>
        <v>0.34764518823239821</v>
      </c>
      <c r="AX36" s="8">
        <f t="shared" ref="AX36" si="39">((AW36*0.02)/0.04)</f>
        <v>0.1738225941161991</v>
      </c>
      <c r="AY36" s="165">
        <f t="shared" si="14"/>
        <v>5.2146778234859727E-2</v>
      </c>
      <c r="AZ36" s="165">
        <f t="shared" si="15"/>
        <v>1.6546653414202674</v>
      </c>
      <c r="BA36" s="166">
        <f t="shared" ref="BA36" si="40">AY36/3</f>
        <v>1.7382259411619909E-2</v>
      </c>
      <c r="BB36" s="8">
        <f t="shared" ref="BB36" si="41">(((AB36+AD36+AF36+AH36)*L36)/N36)</f>
        <v>0.29692821302891848</v>
      </c>
      <c r="BC36" s="8">
        <f t="shared" ref="BC36" si="42">((BB36*0.02)/0.04)</f>
        <v>0.14846410651445924</v>
      </c>
      <c r="BD36" s="8">
        <f t="shared" ref="BD36" si="43">(((AJ36+AL36+AN36+AP36)*L36)/N36)</f>
        <v>1.9966185525976639</v>
      </c>
      <c r="BE36" s="8">
        <f t="shared" ref="BE36" si="44">((BD36*0.02)/0.04)</f>
        <v>0.99830927629883193</v>
      </c>
      <c r="BF36" s="159">
        <f t="shared" si="21"/>
        <v>0.29949278288964959</v>
      </c>
      <c r="BG36" s="159">
        <f t="shared" si="22"/>
        <v>3.9615447472175873</v>
      </c>
      <c r="BH36" s="160">
        <f t="shared" ref="BH36" si="45">BF36/3</f>
        <v>9.9830927629883201E-2</v>
      </c>
      <c r="BI36" s="122">
        <v>46938412</v>
      </c>
      <c r="BJ36" s="16">
        <f t="shared" si="2"/>
        <v>13.162435533110813</v>
      </c>
      <c r="BK36" s="16">
        <f t="shared" si="3"/>
        <v>11.242204967158255</v>
      </c>
      <c r="BL36" s="16">
        <f t="shared" si="4"/>
        <v>75.595359499730932</v>
      </c>
      <c r="BM36" s="134">
        <f t="shared" ref="BM36" si="46">((R36+V36)/((R36+V36)+(T36+X36)))</f>
        <v>0.20829906752665692</v>
      </c>
      <c r="BN36" s="134">
        <f t="shared" ref="BN36" si="47">((AB36+AF36)/((AB36+AF36)+(AD36+AH36)))</f>
        <v>0.2474521065659826</v>
      </c>
      <c r="BO36" s="134">
        <f t="shared" ref="BO36" si="48">((AJ36+AN36)/((+AN36)+(AL36+AP36)))</f>
        <v>0.35817148474147947</v>
      </c>
      <c r="BP36" s="134">
        <f t="shared" ref="BP36" si="49">((R36+V36+AB36+AF36+AJ36+AN36)/((R36+V36+AB36+AF36+AJ36+AN36)+(T36+X36+AD36+AH36+AL36+AP36)))</f>
        <v>0.26279042821720783</v>
      </c>
      <c r="BQ36" s="44">
        <f t="shared" ref="BQ36" si="50">((AJ36+AP36)/(R36+X36 ))</f>
        <v>6.00090923889372</v>
      </c>
      <c r="BR36" s="44">
        <f t="shared" ref="BR36" si="51">(AQ36/(AQ36+BI36))</f>
        <v>0.3829311752915075</v>
      </c>
    </row>
    <row r="37" spans="1:70" ht="18" x14ac:dyDescent="0.2">
      <c r="A37" s="65">
        <v>29</v>
      </c>
      <c r="B37" s="70">
        <v>11</v>
      </c>
      <c r="C37" s="70" t="s">
        <v>45</v>
      </c>
      <c r="D37" s="244"/>
      <c r="E37" s="254"/>
      <c r="F37" s="329">
        <v>0.3</v>
      </c>
      <c r="G37" s="284"/>
      <c r="H37" s="168">
        <v>0.8</v>
      </c>
      <c r="I37" s="9">
        <v>30.024000000000001</v>
      </c>
      <c r="J37" s="12"/>
      <c r="K37" s="12"/>
      <c r="L37" s="8">
        <f t="shared" si="5"/>
        <v>0.10031274980015986</v>
      </c>
      <c r="M37" s="8">
        <v>20.190000000000001</v>
      </c>
      <c r="N37" s="16">
        <v>33119385</v>
      </c>
      <c r="O37" s="11">
        <v>1068450744</v>
      </c>
      <c r="P37" s="64">
        <f t="shared" si="0"/>
        <v>3.0997577741403118E-2</v>
      </c>
      <c r="Q37" s="8">
        <v>35.799999999999997</v>
      </c>
      <c r="R37" s="16">
        <v>9071194</v>
      </c>
      <c r="S37" s="8"/>
      <c r="T37" s="16"/>
      <c r="U37" s="8"/>
      <c r="V37" s="16"/>
      <c r="W37" s="8">
        <v>36.450000000000003</v>
      </c>
      <c r="X37" s="16">
        <v>8992053</v>
      </c>
      <c r="Y37" s="16">
        <v>359716747</v>
      </c>
      <c r="Z37" s="64">
        <f t="shared" si="1"/>
        <v>2.4997593453718183E-2</v>
      </c>
      <c r="AA37" s="8">
        <v>37.64</v>
      </c>
      <c r="AB37" s="16">
        <v>5702316</v>
      </c>
      <c r="AC37" s="16"/>
      <c r="AD37" s="16"/>
      <c r="AE37" s="16"/>
      <c r="AF37" s="16"/>
      <c r="AG37" s="8">
        <v>38.24</v>
      </c>
      <c r="AH37" s="16">
        <v>7254000</v>
      </c>
      <c r="AI37" s="8">
        <v>39.130000000000003</v>
      </c>
      <c r="AJ37" s="16">
        <v>8492016</v>
      </c>
      <c r="AK37" s="8"/>
      <c r="AL37" s="16"/>
      <c r="AM37" s="8"/>
      <c r="AN37" s="16"/>
      <c r="AO37" s="8">
        <v>39.71</v>
      </c>
      <c r="AP37" s="16">
        <v>24198279</v>
      </c>
      <c r="AQ37" s="133">
        <f t="shared" si="6"/>
        <v>63709858</v>
      </c>
      <c r="AR37" s="8">
        <f t="shared" si="7"/>
        <v>0.19296587316937538</v>
      </c>
      <c r="AS37" s="8">
        <f t="shared" si="8"/>
        <v>9.6482936584687692E-2</v>
      </c>
      <c r="AT37" s="159">
        <f t="shared" si="30"/>
        <v>2.8944880975406307E-2</v>
      </c>
      <c r="AU37" s="159">
        <f t="shared" si="10"/>
        <v>0.22917562134130093</v>
      </c>
      <c r="AV37" s="160">
        <f t="shared" si="11"/>
        <v>7.8654567867951913E-3</v>
      </c>
      <c r="AW37" s="8">
        <f t="shared" si="12"/>
        <v>5.4710375113834038E-2</v>
      </c>
      <c r="AX37" s="8">
        <f t="shared" si="13"/>
        <v>2.7355187556917019E-2</v>
      </c>
      <c r="AY37" s="165">
        <f t="shared" si="14"/>
        <v>8.2065562670751054E-3</v>
      </c>
      <c r="AZ37" s="165">
        <f t="shared" si="15"/>
        <v>0.26040159502062848</v>
      </c>
      <c r="BA37" s="166">
        <f t="shared" si="16"/>
        <v>2.7355187556917016E-3</v>
      </c>
      <c r="BB37" s="8">
        <f t="shared" si="17"/>
        <v>3.9242385848644472E-2</v>
      </c>
      <c r="BC37" s="8">
        <f t="shared" si="18"/>
        <v>1.9621192924322236E-2</v>
      </c>
      <c r="BD37" s="8">
        <f t="shared" si="19"/>
        <v>9.9013112206896861E-2</v>
      </c>
      <c r="BE37" s="8">
        <f t="shared" si="20"/>
        <v>4.9506556103448431E-2</v>
      </c>
      <c r="BF37" s="159">
        <f t="shared" si="21"/>
        <v>1.4851966831034529E-2</v>
      </c>
      <c r="BG37" s="159">
        <f t="shared" si="22"/>
        <v>0.19645458771209695</v>
      </c>
      <c r="BH37" s="160">
        <f t="shared" si="23"/>
        <v>4.9506556103448432E-3</v>
      </c>
      <c r="BI37" s="122">
        <v>110080901</v>
      </c>
      <c r="BJ37" s="16">
        <f t="shared" ref="BJ37:BJ65" si="52">((R37+T37+V37+X37)*100)/AQ37</f>
        <v>28.352357966329166</v>
      </c>
      <c r="BK37" s="16">
        <f t="shared" ref="BK37:BK65" si="53">(AB37+AD37+AF37+AH37)*100/AQ37</f>
        <v>20.336438357781304</v>
      </c>
      <c r="BL37" s="16">
        <f t="shared" ref="BL37:BL65" si="54">(AJ37+AL37+AN37+AP37)*100/AQ37</f>
        <v>51.31120367588953</v>
      </c>
      <c r="BM37" s="134">
        <f t="shared" si="24"/>
        <v>0.50219066372729115</v>
      </c>
      <c r="BN37" s="134">
        <f t="shared" si="25"/>
        <v>0.44011862631322052</v>
      </c>
      <c r="BO37" s="134">
        <f t="shared" si="26"/>
        <v>0.35093470903447305</v>
      </c>
      <c r="BP37" s="134">
        <f t="shared" si="27"/>
        <v>0.36517937302575687</v>
      </c>
      <c r="BQ37" s="44">
        <f t="shared" si="29"/>
        <v>1.8097684762877904</v>
      </c>
      <c r="BR37" s="44">
        <f t="shared" si="28"/>
        <v>0.36658944564480556</v>
      </c>
    </row>
    <row r="38" spans="1:70" ht="18" x14ac:dyDescent="0.2">
      <c r="A38" s="65">
        <v>28</v>
      </c>
      <c r="B38" s="51">
        <v>6</v>
      </c>
      <c r="C38" s="51" t="s">
        <v>136</v>
      </c>
      <c r="D38" s="244"/>
      <c r="E38" s="254"/>
      <c r="F38" s="329">
        <v>0.3</v>
      </c>
      <c r="G38" s="284"/>
      <c r="H38" s="168">
        <v>0.7</v>
      </c>
      <c r="I38" s="11">
        <v>30.367999999999999</v>
      </c>
      <c r="J38" s="18"/>
      <c r="K38" s="18"/>
      <c r="L38" s="8">
        <f t="shared" si="5"/>
        <v>9.9176435721812436E-2</v>
      </c>
      <c r="M38" s="8">
        <v>19.93</v>
      </c>
      <c r="N38" s="16">
        <v>8869863</v>
      </c>
      <c r="O38" s="11">
        <v>438862829</v>
      </c>
      <c r="P38" s="64">
        <f t="shared" si="0"/>
        <v>2.0211014499020147E-2</v>
      </c>
      <c r="Q38" s="8" t="s">
        <v>314</v>
      </c>
      <c r="R38" s="16">
        <v>5419369</v>
      </c>
      <c r="S38" s="8" t="s">
        <v>319</v>
      </c>
      <c r="T38" s="16">
        <v>2800872</v>
      </c>
      <c r="U38" s="8" t="s">
        <v>320</v>
      </c>
      <c r="V38" s="16">
        <v>1799296</v>
      </c>
      <c r="W38" s="8">
        <v>36.18</v>
      </c>
      <c r="X38" s="16">
        <v>6022483</v>
      </c>
      <c r="Y38" s="16">
        <v>458352889</v>
      </c>
      <c r="Z38" s="64">
        <f t="shared" si="1"/>
        <v>1.3139402291407833E-2</v>
      </c>
      <c r="AA38" s="8" t="s">
        <v>315</v>
      </c>
      <c r="AB38" s="16">
        <v>4495894</v>
      </c>
      <c r="AC38" s="16" t="s">
        <v>321</v>
      </c>
      <c r="AD38" s="16">
        <v>2211539</v>
      </c>
      <c r="AE38" s="16" t="s">
        <v>322</v>
      </c>
      <c r="AF38" s="16">
        <v>985315</v>
      </c>
      <c r="AG38" s="8">
        <v>37.96</v>
      </c>
      <c r="AH38" s="16">
        <v>4552548</v>
      </c>
      <c r="AI38" s="8" t="s">
        <v>323</v>
      </c>
      <c r="AJ38" s="16">
        <v>6381171</v>
      </c>
      <c r="AK38" s="16" t="s">
        <v>324</v>
      </c>
      <c r="AL38" s="16">
        <v>1080661</v>
      </c>
      <c r="AM38" s="16" t="s">
        <v>325</v>
      </c>
      <c r="AN38" s="16">
        <v>752202</v>
      </c>
      <c r="AO38" s="8">
        <v>39.43</v>
      </c>
      <c r="AP38" s="16">
        <v>10422937</v>
      </c>
      <c r="AQ38" s="133">
        <f t="shared" si="6"/>
        <v>46924287</v>
      </c>
      <c r="AR38" s="8">
        <f t="shared" si="7"/>
        <v>0.52467366558506923</v>
      </c>
      <c r="AS38" s="8">
        <f t="shared" si="8"/>
        <v>0.26233683279253461</v>
      </c>
      <c r="AT38" s="159">
        <f t="shared" si="30"/>
        <v>7.8701049837760384E-2</v>
      </c>
      <c r="AU38" s="159">
        <f t="shared" si="10"/>
        <v>0.6231278688658779</v>
      </c>
      <c r="AV38" s="160">
        <f t="shared" si="11"/>
        <v>2.1386154847217495E-2</v>
      </c>
      <c r="AW38" s="8">
        <f t="shared" si="12"/>
        <v>0.1793703426285197</v>
      </c>
      <c r="AX38" s="8">
        <f t="shared" si="13"/>
        <v>8.9685171314259848E-2</v>
      </c>
      <c r="AY38" s="165">
        <f t="shared" si="14"/>
        <v>2.6905551394277954E-2</v>
      </c>
      <c r="AZ38" s="165">
        <f t="shared" si="15"/>
        <v>0.85373794682779491</v>
      </c>
      <c r="BA38" s="166">
        <f t="shared" si="16"/>
        <v>8.9685171314259852E-3</v>
      </c>
      <c r="BB38" s="8">
        <f t="shared" si="17"/>
        <v>0.13691810252746484</v>
      </c>
      <c r="BC38" s="8">
        <f t="shared" si="18"/>
        <v>6.8459051263732418E-2</v>
      </c>
      <c r="BD38" s="8">
        <f t="shared" si="19"/>
        <v>0.20838522042908469</v>
      </c>
      <c r="BE38" s="8">
        <f t="shared" si="20"/>
        <v>0.10419261021454235</v>
      </c>
      <c r="BF38" s="159">
        <f t="shared" si="21"/>
        <v>3.12577830643627E-2</v>
      </c>
      <c r="BG38" s="159">
        <f t="shared" si="22"/>
        <v>0.41346273894659658</v>
      </c>
      <c r="BH38" s="160">
        <f t="shared" si="23"/>
        <v>1.0419261021454233E-2</v>
      </c>
      <c r="BI38" s="122">
        <v>92234431</v>
      </c>
      <c r="BJ38" s="16">
        <f t="shared" si="52"/>
        <v>34.187029842350078</v>
      </c>
      <c r="BK38" s="16">
        <f t="shared" si="53"/>
        <v>26.095859485302356</v>
      </c>
      <c r="BL38" s="16">
        <f t="shared" si="54"/>
        <v>39.717110672347566</v>
      </c>
      <c r="BM38" s="134">
        <f t="shared" si="24"/>
        <v>0.44998478994540586</v>
      </c>
      <c r="BN38" s="134">
        <f t="shared" si="25"/>
        <v>0.44761751777988873</v>
      </c>
      <c r="BO38" s="134">
        <f t="shared" si="26"/>
        <v>0.58204058486594101</v>
      </c>
      <c r="BP38" s="134">
        <f t="shared" si="27"/>
        <v>0.42266485583467683</v>
      </c>
      <c r="BQ38" s="44">
        <f t="shared" si="29"/>
        <v>1.4686528020114227</v>
      </c>
      <c r="BR38" s="44">
        <f t="shared" si="28"/>
        <v>0.33719976494753279</v>
      </c>
    </row>
    <row r="39" spans="1:70" ht="18" x14ac:dyDescent="0.2">
      <c r="A39" s="65">
        <v>27</v>
      </c>
      <c r="B39" s="70">
        <v>10</v>
      </c>
      <c r="C39" s="70" t="s">
        <v>46</v>
      </c>
      <c r="D39" s="244"/>
      <c r="E39" s="254"/>
      <c r="F39" s="329">
        <v>1</v>
      </c>
      <c r="G39" s="237" t="s">
        <v>366</v>
      </c>
      <c r="H39" s="168">
        <v>0.65</v>
      </c>
      <c r="I39" s="9">
        <v>30.073</v>
      </c>
      <c r="J39" s="12"/>
      <c r="K39" s="12"/>
      <c r="L39" s="8">
        <f t="shared" si="5"/>
        <v>0.10014930336181957</v>
      </c>
      <c r="M39" s="8">
        <v>20.2</v>
      </c>
      <c r="N39" s="16">
        <v>2726055</v>
      </c>
      <c r="O39" s="11">
        <v>98188536</v>
      </c>
      <c r="P39" s="64">
        <f t="shared" si="0"/>
        <v>2.7763475361319168E-2</v>
      </c>
      <c r="Q39" s="8">
        <v>35.840000000000003</v>
      </c>
      <c r="R39" s="16">
        <v>1072842</v>
      </c>
      <c r="S39" s="8"/>
      <c r="T39" s="16"/>
      <c r="U39" s="8"/>
      <c r="V39" s="16"/>
      <c r="W39" s="8">
        <v>36.43</v>
      </c>
      <c r="X39" s="16">
        <v>2872102</v>
      </c>
      <c r="Y39" s="16">
        <v>47762115</v>
      </c>
      <c r="Z39" s="64">
        <f t="shared" si="1"/>
        <v>6.0133476082455728E-2</v>
      </c>
      <c r="AA39" s="8">
        <v>37.64</v>
      </c>
      <c r="AB39" s="16">
        <v>1103297</v>
      </c>
      <c r="AC39" s="16"/>
      <c r="AD39" s="16"/>
      <c r="AE39" s="16"/>
      <c r="AF39" s="16"/>
      <c r="AG39" s="8">
        <v>38.229999999999997</v>
      </c>
      <c r="AH39" s="16">
        <v>3424011</v>
      </c>
      <c r="AI39" s="8">
        <v>39.11</v>
      </c>
      <c r="AJ39" s="16">
        <v>5084081</v>
      </c>
      <c r="AK39" s="16"/>
      <c r="AL39" s="16"/>
      <c r="AM39" s="16"/>
      <c r="AN39" s="16"/>
      <c r="AO39" s="8">
        <v>39.72</v>
      </c>
      <c r="AP39" s="16">
        <v>21258948</v>
      </c>
      <c r="AQ39" s="133">
        <f t="shared" si="6"/>
        <v>34815281</v>
      </c>
      <c r="AR39" s="8">
        <f t="shared" si="7"/>
        <v>1.2790373409546003</v>
      </c>
      <c r="AS39" s="8">
        <f t="shared" si="8"/>
        <v>0.63951867047730016</v>
      </c>
      <c r="AT39" s="159">
        <f t="shared" si="30"/>
        <v>0.63951867047730016</v>
      </c>
      <c r="AU39" s="159">
        <f t="shared" si="10"/>
        <v>5.0634890774133021</v>
      </c>
      <c r="AV39" s="160">
        <f t="shared" si="11"/>
        <v>0.17378224741230983</v>
      </c>
      <c r="AW39" s="8">
        <f t="shared" si="12"/>
        <v>0.14492862154336209</v>
      </c>
      <c r="AX39" s="8">
        <f t="shared" si="13"/>
        <v>7.2464310771681043E-2</v>
      </c>
      <c r="AY39" s="165">
        <f t="shared" si="14"/>
        <v>7.2464310771681043E-2</v>
      </c>
      <c r="AZ39" s="165">
        <f t="shared" si="15"/>
        <v>2.2993593771753464</v>
      </c>
      <c r="BA39" s="166">
        <f t="shared" si="16"/>
        <v>2.4154770257227013E-2</v>
      </c>
      <c r="BB39" s="8">
        <f t="shared" si="17"/>
        <v>0.16632340224404593</v>
      </c>
      <c r="BC39" s="8">
        <f t="shared" si="18"/>
        <v>8.3161701122022966E-2</v>
      </c>
      <c r="BD39" s="8">
        <f t="shared" si="19"/>
        <v>0.96778531716719229</v>
      </c>
      <c r="BE39" s="8">
        <f t="shared" si="20"/>
        <v>0.48389265858359615</v>
      </c>
      <c r="BF39" s="159">
        <f t="shared" si="21"/>
        <v>0.48389265858359615</v>
      </c>
      <c r="BG39" s="159">
        <f t="shared" si="22"/>
        <v>6.40069654211106</v>
      </c>
      <c r="BH39" s="160">
        <f t="shared" si="23"/>
        <v>0.16129755286119871</v>
      </c>
      <c r="BI39" s="122">
        <v>36848108</v>
      </c>
      <c r="BJ39" s="16">
        <f t="shared" si="52"/>
        <v>11.331070399805188</v>
      </c>
      <c r="BK39" s="16">
        <f t="shared" si="53"/>
        <v>13.003795660876614</v>
      </c>
      <c r="BL39" s="16">
        <f t="shared" si="54"/>
        <v>75.665133939318196</v>
      </c>
      <c r="BM39" s="134">
        <f t="shared" si="24"/>
        <v>0.27195367031826057</v>
      </c>
      <c r="BN39" s="134">
        <f t="shared" si="25"/>
        <v>0.24369824186911956</v>
      </c>
      <c r="BO39" s="134">
        <f t="shared" si="26"/>
        <v>0.23915016867250441</v>
      </c>
      <c r="BP39" s="134">
        <f t="shared" si="27"/>
        <v>0.20853544166425081</v>
      </c>
      <c r="BQ39" s="44">
        <f t="shared" si="29"/>
        <v>6.6776686817354065</v>
      </c>
      <c r="BR39" s="44">
        <f t="shared" si="28"/>
        <v>0.48581683738121845</v>
      </c>
    </row>
    <row r="40" spans="1:70" ht="18" x14ac:dyDescent="0.2">
      <c r="A40" s="65">
        <v>26</v>
      </c>
      <c r="B40" s="51">
        <v>5</v>
      </c>
      <c r="C40" s="51" t="s">
        <v>137</v>
      </c>
      <c r="D40" s="244"/>
      <c r="E40" s="254"/>
      <c r="F40" s="329">
        <v>1</v>
      </c>
      <c r="G40" s="237"/>
      <c r="H40" s="168">
        <v>0.6</v>
      </c>
      <c r="I40" s="9">
        <v>30.64</v>
      </c>
      <c r="J40" s="18"/>
      <c r="K40" s="18"/>
      <c r="L40" s="8">
        <f t="shared" si="5"/>
        <v>9.8296018276762404E-2</v>
      </c>
      <c r="M40" s="8">
        <v>19.93</v>
      </c>
      <c r="N40" s="16">
        <v>9449642</v>
      </c>
      <c r="O40" s="11">
        <v>434319108</v>
      </c>
      <c r="P40" s="64">
        <f t="shared" si="0"/>
        <v>2.1757371080251896E-2</v>
      </c>
      <c r="Q40" s="8" t="s">
        <v>314</v>
      </c>
      <c r="R40" s="16">
        <v>955880</v>
      </c>
      <c r="S40" s="8"/>
      <c r="T40" s="16"/>
      <c r="U40" s="8"/>
      <c r="V40" s="16"/>
      <c r="W40" s="8" t="s">
        <v>88</v>
      </c>
      <c r="X40" s="16">
        <v>2167128</v>
      </c>
      <c r="Y40" s="16">
        <v>74283396</v>
      </c>
      <c r="Z40" s="64">
        <f t="shared" si="1"/>
        <v>2.9173787369656607E-2</v>
      </c>
      <c r="AA40" s="8" t="s">
        <v>315</v>
      </c>
      <c r="AB40" s="16">
        <v>839118</v>
      </c>
      <c r="AC40" s="16"/>
      <c r="AD40" s="16"/>
      <c r="AE40" s="16"/>
      <c r="AF40" s="16"/>
      <c r="AG40" s="8" t="s">
        <v>316</v>
      </c>
      <c r="AH40" s="16">
        <v>3333826</v>
      </c>
      <c r="AI40" s="8" t="s">
        <v>317</v>
      </c>
      <c r="AJ40" s="16">
        <v>4604278</v>
      </c>
      <c r="AK40" s="16"/>
      <c r="AL40" s="16"/>
      <c r="AM40" s="16"/>
      <c r="AN40" s="16"/>
      <c r="AO40" s="8" t="s">
        <v>318</v>
      </c>
      <c r="AP40" s="16">
        <v>19067037</v>
      </c>
      <c r="AQ40" s="133">
        <f t="shared" si="6"/>
        <v>30967267</v>
      </c>
      <c r="AR40" s="8">
        <f t="shared" si="7"/>
        <v>0.3221242712701054</v>
      </c>
      <c r="AS40" s="8">
        <f t="shared" si="8"/>
        <v>0.1610621356350527</v>
      </c>
      <c r="AT40" s="159">
        <f t="shared" si="30"/>
        <v>0.1610621356350527</v>
      </c>
      <c r="AU40" s="159">
        <f t="shared" si="10"/>
        <v>1.275234644774764</v>
      </c>
      <c r="AV40" s="160">
        <f t="shared" si="11"/>
        <v>4.3766884683438229E-2</v>
      </c>
      <c r="AW40" s="8">
        <f t="shared" si="12"/>
        <v>3.2485807551913104E-2</v>
      </c>
      <c r="AX40" s="8">
        <f t="shared" si="13"/>
        <v>1.6242903775956552E-2</v>
      </c>
      <c r="AY40" s="165">
        <f t="shared" si="14"/>
        <v>1.6242903775956552E-2</v>
      </c>
      <c r="AZ40" s="165">
        <f t="shared" si="15"/>
        <v>0.51540230924818509</v>
      </c>
      <c r="BA40" s="166">
        <f t="shared" si="16"/>
        <v>5.4143012586521837E-3</v>
      </c>
      <c r="BB40" s="8">
        <f t="shared" si="17"/>
        <v>4.340733539872791E-2</v>
      </c>
      <c r="BC40" s="8">
        <f t="shared" si="18"/>
        <v>2.1703667699363955E-2</v>
      </c>
      <c r="BD40" s="8">
        <f t="shared" si="19"/>
        <v>0.24623112831946437</v>
      </c>
      <c r="BE40" s="8">
        <f t="shared" si="20"/>
        <v>0.12311556415973217</v>
      </c>
      <c r="BF40" s="159">
        <f t="shared" si="21"/>
        <v>0.12311556415973217</v>
      </c>
      <c r="BG40" s="159">
        <f t="shared" si="22"/>
        <v>1.6285127534356107</v>
      </c>
      <c r="BH40" s="160">
        <f t="shared" si="23"/>
        <v>4.103852138657739E-2</v>
      </c>
      <c r="BI40" s="122">
        <v>41612646</v>
      </c>
      <c r="BJ40" s="16">
        <f t="shared" si="52"/>
        <v>10.084867999491205</v>
      </c>
      <c r="BK40" s="16">
        <f t="shared" si="53"/>
        <v>13.475338330631502</v>
      </c>
      <c r="BL40" s="16">
        <f t="shared" si="54"/>
        <v>76.43979366987729</v>
      </c>
      <c r="BM40" s="134">
        <f t="shared" si="24"/>
        <v>0.30607670553517635</v>
      </c>
      <c r="BN40" s="134">
        <f t="shared" si="25"/>
        <v>0.20108537282072322</v>
      </c>
      <c r="BO40" s="134">
        <f t="shared" si="26"/>
        <v>0.24147842163415323</v>
      </c>
      <c r="BP40" s="134">
        <f t="shared" si="27"/>
        <v>0.2066464567247733</v>
      </c>
      <c r="BQ40" s="44">
        <f t="shared" si="29"/>
        <v>7.5796523736090338</v>
      </c>
      <c r="BR40" s="44">
        <f t="shared" si="28"/>
        <v>0.42666442711222319</v>
      </c>
    </row>
    <row r="41" spans="1:70" ht="18" x14ac:dyDescent="0.2">
      <c r="A41" s="65">
        <v>25</v>
      </c>
      <c r="B41" s="51">
        <v>4</v>
      </c>
      <c r="C41" s="51" t="s">
        <v>138</v>
      </c>
      <c r="D41" s="244"/>
      <c r="E41" s="254"/>
      <c r="F41" s="329">
        <v>1</v>
      </c>
      <c r="G41" s="237"/>
      <c r="H41" s="168">
        <v>0.55000000000000004</v>
      </c>
      <c r="I41" s="11">
        <v>30.231999999999999</v>
      </c>
      <c r="J41" s="18"/>
      <c r="K41" s="18"/>
      <c r="L41" s="8">
        <f t="shared" si="5"/>
        <v>9.9622585340037054E-2</v>
      </c>
      <c r="M41" s="8">
        <v>19.95</v>
      </c>
      <c r="N41" s="16">
        <v>790094</v>
      </c>
      <c r="O41" s="11">
        <v>66586260</v>
      </c>
      <c r="P41" s="64">
        <f t="shared" si="0"/>
        <v>1.1865721246395277E-2</v>
      </c>
      <c r="Q41" s="8">
        <v>35.54</v>
      </c>
      <c r="R41" s="16">
        <v>591065</v>
      </c>
      <c r="S41" s="8"/>
      <c r="T41" s="16"/>
      <c r="U41" s="8"/>
      <c r="V41" s="16"/>
      <c r="W41" s="8">
        <v>36.17</v>
      </c>
      <c r="X41" s="16">
        <v>1468733</v>
      </c>
      <c r="Y41" s="16">
        <v>51206381</v>
      </c>
      <c r="Z41" s="64">
        <f t="shared" si="1"/>
        <v>2.8682616723099411E-2</v>
      </c>
      <c r="AA41" s="8">
        <v>37.32</v>
      </c>
      <c r="AB41" s="16">
        <v>885727</v>
      </c>
      <c r="AC41" s="16"/>
      <c r="AD41" s="16"/>
      <c r="AE41" s="16"/>
      <c r="AF41" s="16"/>
      <c r="AG41" s="8">
        <v>37.950000000000003</v>
      </c>
      <c r="AH41" s="16">
        <v>3207517</v>
      </c>
      <c r="AI41" s="8">
        <v>38.81</v>
      </c>
      <c r="AJ41" s="16">
        <v>4209184</v>
      </c>
      <c r="AK41" s="16"/>
      <c r="AL41" s="16"/>
      <c r="AM41" s="16"/>
      <c r="AN41" s="16"/>
      <c r="AO41" s="8">
        <v>39.43</v>
      </c>
      <c r="AP41" s="16">
        <v>18470710</v>
      </c>
      <c r="AQ41" s="133">
        <f t="shared" si="6"/>
        <v>28832936</v>
      </c>
      <c r="AR41" s="8">
        <f t="shared" si="7"/>
        <v>3.635531502914624</v>
      </c>
      <c r="AS41" s="8">
        <f t="shared" si="8"/>
        <v>1.817765751457312</v>
      </c>
      <c r="AT41" s="159">
        <f t="shared" si="30"/>
        <v>1.817765751457312</v>
      </c>
      <c r="AU41" s="159">
        <f t="shared" si="10"/>
        <v>14.392444587943878</v>
      </c>
      <c r="AV41" s="160">
        <f t="shared" si="11"/>
        <v>0.49395808463513913</v>
      </c>
      <c r="AW41" s="8">
        <f t="shared" si="12"/>
        <v>0.25971897272759653</v>
      </c>
      <c r="AX41" s="8">
        <f t="shared" si="13"/>
        <v>0.12985948636379827</v>
      </c>
      <c r="AY41" s="165">
        <f t="shared" si="14"/>
        <v>0.12985948636379827</v>
      </c>
      <c r="AZ41" s="165">
        <f t="shared" si="15"/>
        <v>4.1205612046263136</v>
      </c>
      <c r="BA41" s="166">
        <f t="shared" si="16"/>
        <v>4.3286495454599422E-2</v>
      </c>
      <c r="BB41" s="8">
        <f t="shared" si="17"/>
        <v>0.51611523401974269</v>
      </c>
      <c r="BC41" s="8">
        <f t="shared" si="18"/>
        <v>0.25805761700987134</v>
      </c>
      <c r="BD41" s="8">
        <f t="shared" si="19"/>
        <v>2.8596972961672846</v>
      </c>
      <c r="BE41" s="8">
        <f t="shared" si="20"/>
        <v>1.4298486480836423</v>
      </c>
      <c r="BF41" s="159">
        <f t="shared" si="21"/>
        <v>1.4298486480836423</v>
      </c>
      <c r="BG41" s="159">
        <f t="shared" si="22"/>
        <v>18.913341905868286</v>
      </c>
      <c r="BH41" s="160">
        <f t="shared" si="23"/>
        <v>0.47661621602788079</v>
      </c>
      <c r="BI41" s="122">
        <v>44793653</v>
      </c>
      <c r="BJ41" s="16">
        <f t="shared" si="52"/>
        <v>7.1439065379952984</v>
      </c>
      <c r="BK41" s="16">
        <f t="shared" si="53"/>
        <v>14.196417596876017</v>
      </c>
      <c r="BL41" s="16">
        <f t="shared" si="54"/>
        <v>78.65967586512869</v>
      </c>
      <c r="BM41" s="134">
        <f t="shared" si="24"/>
        <v>0.28695289538100338</v>
      </c>
      <c r="BN41" s="134">
        <f t="shared" si="25"/>
        <v>0.21638754005380573</v>
      </c>
      <c r="BO41" s="134">
        <f t="shared" si="26"/>
        <v>0.22788425566748652</v>
      </c>
      <c r="BP41" s="134">
        <f t="shared" si="27"/>
        <v>0.1972041973110196</v>
      </c>
      <c r="BQ41" s="44">
        <f t="shared" si="29"/>
        <v>11.010736975179119</v>
      </c>
      <c r="BR41" s="44">
        <f t="shared" si="28"/>
        <v>0.39161037325795439</v>
      </c>
    </row>
    <row r="42" spans="1:70" ht="18" x14ac:dyDescent="0.2">
      <c r="A42" s="65">
        <v>24</v>
      </c>
      <c r="B42" s="70">
        <v>9</v>
      </c>
      <c r="C42" s="70" t="s">
        <v>139</v>
      </c>
      <c r="D42" s="244"/>
      <c r="E42" s="254"/>
      <c r="F42" s="329">
        <v>1</v>
      </c>
      <c r="G42" s="237"/>
      <c r="H42" s="168">
        <v>0.52</v>
      </c>
      <c r="I42" s="9">
        <v>31.193999999999999</v>
      </c>
      <c r="J42" s="12"/>
      <c r="K42" s="12"/>
      <c r="L42" s="8">
        <f t="shared" si="5"/>
        <v>9.6550298134256585E-2</v>
      </c>
      <c r="M42" s="8">
        <v>20.21</v>
      </c>
      <c r="N42" s="16">
        <v>88523263</v>
      </c>
      <c r="O42" s="11">
        <v>2895957620</v>
      </c>
      <c r="P42" s="64">
        <f t="shared" si="0"/>
        <v>3.0567872398629924E-2</v>
      </c>
      <c r="Q42" s="8">
        <v>35.82</v>
      </c>
      <c r="R42" s="16">
        <v>1682211</v>
      </c>
      <c r="S42" s="8"/>
      <c r="T42" s="16"/>
      <c r="U42" s="8"/>
      <c r="V42" s="16"/>
      <c r="W42" s="8">
        <v>36.450000000000003</v>
      </c>
      <c r="X42" s="16">
        <v>3546995</v>
      </c>
      <c r="Y42" s="16">
        <v>247410499</v>
      </c>
      <c r="Z42" s="64">
        <f t="shared" si="1"/>
        <v>1.4336477289106473E-2</v>
      </c>
      <c r="AA42" s="8">
        <v>37.619999999999997</v>
      </c>
      <c r="AB42" s="16">
        <v>1548874</v>
      </c>
      <c r="AC42" s="16"/>
      <c r="AD42" s="16"/>
      <c r="AE42" s="16"/>
      <c r="AF42" s="16"/>
      <c r="AG42" s="8">
        <v>38.24</v>
      </c>
      <c r="AH42" s="16">
        <v>3780901</v>
      </c>
      <c r="AI42" s="8">
        <v>39.119999999999997</v>
      </c>
      <c r="AJ42" s="16">
        <v>7205284</v>
      </c>
      <c r="AK42" s="16"/>
      <c r="AL42" s="16"/>
      <c r="AM42" s="16"/>
      <c r="AN42" s="16"/>
      <c r="AO42" s="8">
        <v>39.71</v>
      </c>
      <c r="AP42" s="16">
        <v>20051034</v>
      </c>
      <c r="AQ42" s="133">
        <f t="shared" si="6"/>
        <v>37815299</v>
      </c>
      <c r="AR42" s="8">
        <f t="shared" si="7"/>
        <v>4.1244281658325846E-2</v>
      </c>
      <c r="AS42" s="8">
        <f t="shared" si="8"/>
        <v>2.0622140829162923E-2</v>
      </c>
      <c r="AT42" s="159">
        <f t="shared" si="30"/>
        <v>2.0622140829162923E-2</v>
      </c>
      <c r="AU42" s="159">
        <f t="shared" si="10"/>
        <v>0.16327902477563674</v>
      </c>
      <c r="AV42" s="160">
        <f t="shared" si="11"/>
        <v>5.6038426166203593E-3</v>
      </c>
      <c r="AW42" s="8">
        <f t="shared" si="12"/>
        <v>5.7033753749615324E-3</v>
      </c>
      <c r="AX42" s="8">
        <f t="shared" si="13"/>
        <v>2.8516876874807662E-3</v>
      </c>
      <c r="AY42" s="165">
        <f t="shared" si="14"/>
        <v>2.8516876874807662E-3</v>
      </c>
      <c r="AZ42" s="165">
        <f t="shared" si="15"/>
        <v>9.0486678961788553E-2</v>
      </c>
      <c r="BA42" s="166">
        <f t="shared" si="16"/>
        <v>9.5056256249358877E-4</v>
      </c>
      <c r="BB42" s="8">
        <f t="shared" si="17"/>
        <v>5.8130636829158387E-3</v>
      </c>
      <c r="BC42" s="8">
        <f t="shared" si="18"/>
        <v>2.9065318414579194E-3</v>
      </c>
      <c r="BD42" s="8">
        <f t="shared" si="19"/>
        <v>2.9727842600448473E-2</v>
      </c>
      <c r="BE42" s="8">
        <f t="shared" si="20"/>
        <v>1.4863921300224237E-2</v>
      </c>
      <c r="BF42" s="159">
        <f t="shared" si="21"/>
        <v>1.4863921300224237E-2</v>
      </c>
      <c r="BG42" s="159">
        <f t="shared" si="22"/>
        <v>0.1966127156114317</v>
      </c>
      <c r="BH42" s="160">
        <f t="shared" si="23"/>
        <v>4.9546404334080791E-3</v>
      </c>
      <c r="BI42" s="122">
        <v>48384946</v>
      </c>
      <c r="BJ42" s="16">
        <f t="shared" si="52"/>
        <v>13.828281511141826</v>
      </c>
      <c r="BK42" s="16">
        <f t="shared" si="53"/>
        <v>14.094229428147587</v>
      </c>
      <c r="BL42" s="16">
        <f t="shared" si="54"/>
        <v>72.07748906071059</v>
      </c>
      <c r="BM42" s="134">
        <f t="shared" si="24"/>
        <v>0.32169530135167751</v>
      </c>
      <c r="BN42" s="134">
        <f t="shared" si="25"/>
        <v>0.29060776486812295</v>
      </c>
      <c r="BO42" s="134">
        <f t="shared" si="26"/>
        <v>0.35934725361295583</v>
      </c>
      <c r="BP42" s="134">
        <f t="shared" si="27"/>
        <v>0.27598271799992907</v>
      </c>
      <c r="BQ42" s="44">
        <f t="shared" si="29"/>
        <v>5.2123243949463838</v>
      </c>
      <c r="BR42" s="44">
        <f t="shared" si="28"/>
        <v>0.43869131694463281</v>
      </c>
    </row>
    <row r="43" spans="1:70" ht="18" x14ac:dyDescent="0.2">
      <c r="A43" s="65">
        <v>23</v>
      </c>
      <c r="B43" s="51">
        <v>3</v>
      </c>
      <c r="C43" s="51" t="s">
        <v>141</v>
      </c>
      <c r="D43" s="244"/>
      <c r="E43" s="254"/>
      <c r="F43" s="329">
        <v>1</v>
      </c>
      <c r="G43" s="237"/>
      <c r="H43" s="168">
        <v>0.45</v>
      </c>
      <c r="I43" s="11">
        <v>30.372</v>
      </c>
      <c r="J43" s="18"/>
      <c r="K43" s="18"/>
      <c r="L43" s="8">
        <f>3.01179/I43</f>
        <v>9.9163374160410905E-2</v>
      </c>
      <c r="M43" s="8">
        <v>19.96</v>
      </c>
      <c r="N43" s="16">
        <v>677207</v>
      </c>
      <c r="O43" s="11">
        <v>47521873</v>
      </c>
      <c r="P43" s="64">
        <f>N43/O43</f>
        <v>1.4250427376883904E-2</v>
      </c>
      <c r="Q43" s="8">
        <v>35.56</v>
      </c>
      <c r="R43" s="16">
        <v>853609</v>
      </c>
      <c r="S43" s="8"/>
      <c r="T43" s="16"/>
      <c r="U43" s="8"/>
      <c r="V43" s="16"/>
      <c r="W43" s="8">
        <v>36.18</v>
      </c>
      <c r="X43" s="16">
        <v>2721971</v>
      </c>
      <c r="Y43" s="16">
        <v>140021416</v>
      </c>
      <c r="Z43" s="64">
        <f>X43/Y43</f>
        <v>1.9439676284947725E-2</v>
      </c>
      <c r="AA43" s="8">
        <v>37.33</v>
      </c>
      <c r="AB43" s="16">
        <v>948362</v>
      </c>
      <c r="AC43" s="16"/>
      <c r="AD43" s="16"/>
      <c r="AE43" s="16"/>
      <c r="AF43" s="16"/>
      <c r="AG43" s="8">
        <v>37.97</v>
      </c>
      <c r="AH43" s="16">
        <v>4774110</v>
      </c>
      <c r="AI43" s="8">
        <v>38.81</v>
      </c>
      <c r="AJ43" s="16">
        <v>8350439</v>
      </c>
      <c r="AK43" s="16"/>
      <c r="AL43" s="16"/>
      <c r="AM43" s="16"/>
      <c r="AN43" s="16"/>
      <c r="AO43" s="8">
        <v>39.44</v>
      </c>
      <c r="AP43" s="16">
        <v>32607359</v>
      </c>
      <c r="AQ43" s="133">
        <f>(R43+T43+V43+X43)+(AB43+AD43+AF43+AH43)+(AJ43+AL43+AN43+AP43)</f>
        <v>50255850</v>
      </c>
      <c r="AR43" s="8">
        <f>(AQ43*L43)/N43</f>
        <v>7.3589606387699567</v>
      </c>
      <c r="AS43" s="8">
        <f>(AR43*0.02)/0.04</f>
        <v>3.6794803193849783</v>
      </c>
      <c r="AT43" s="159">
        <f t="shared" si="30"/>
        <v>3.6794803193849783</v>
      </c>
      <c r="AU43" s="159">
        <f t="shared" si="10"/>
        <v>29.132860802731418</v>
      </c>
      <c r="AV43" s="160">
        <f>AT43/3.68</f>
        <v>0.99985878244157012</v>
      </c>
      <c r="AW43" s="8">
        <f>(((R43+T43+V43+X43)*L43)/N43)</f>
        <v>0.52357193203921704</v>
      </c>
      <c r="AX43" s="8">
        <f>((AW43*0.02)/0.04)</f>
        <v>0.26178596601960852</v>
      </c>
      <c r="AY43" s="165">
        <f t="shared" si="14"/>
        <v>0.26178596601960852</v>
      </c>
      <c r="AZ43" s="165">
        <f t="shared" si="15"/>
        <v>8.3067100117280184</v>
      </c>
      <c r="BA43" s="166">
        <f t="shared" si="16"/>
        <v>8.7261988673202839E-2</v>
      </c>
      <c r="BB43" s="8">
        <f>(((AB43+AD43+AF43+AH43)*L43)/N43)</f>
        <v>0.83794117907593235</v>
      </c>
      <c r="BC43" s="8">
        <f>((BB43*0.02)/0.04)</f>
        <v>0.41897058953796618</v>
      </c>
      <c r="BD43" s="8">
        <f>(((AJ43+AL43+AN43+AP43)*L43)/N43)</f>
        <v>5.997447527654808</v>
      </c>
      <c r="BE43" s="8">
        <f>((BD43*0.02)/0.04)</f>
        <v>2.998723763827404</v>
      </c>
      <c r="BF43" s="159">
        <f t="shared" si="21"/>
        <v>2.998723763827404</v>
      </c>
      <c r="BG43" s="159">
        <f t="shared" si="22"/>
        <v>39.665658251685244</v>
      </c>
      <c r="BH43" s="160">
        <f>BF43/3</f>
        <v>0.99957458794246801</v>
      </c>
      <c r="BI43" s="122">
        <v>45861278</v>
      </c>
      <c r="BJ43" s="16">
        <f>((R43+T43+V43+X43)*100)/AQ43</f>
        <v>7.1147538047809356</v>
      </c>
      <c r="BK43" s="16">
        <f>(AB43+AD43+AF43+AH43)*100/AQ43</f>
        <v>11.386678366797099</v>
      </c>
      <c r="BL43" s="16">
        <f>(AJ43+AL43+AN43+AP43)*100/AQ43</f>
        <v>81.498567828421969</v>
      </c>
      <c r="BM43" s="134">
        <f>((R43+V43)/((R43+V43)+(T43+X43)))</f>
        <v>0.23873301674133987</v>
      </c>
      <c r="BN43" s="134">
        <f>((AB43+AF43)/((AB43+AF43)+(AD43+AH43)))</f>
        <v>0.1657259310312047</v>
      </c>
      <c r="BO43" s="134">
        <f>((AJ43+AN43)/((+AN43)+(AL43+AP43)))</f>
        <v>0.25609062665884719</v>
      </c>
      <c r="BP43" s="134">
        <f>((R43+V43+AB43+AF43+AJ43+AN43)/((R43+V43+AB43+AF43+AJ43+AN43)+(T43+X43+AD43+AH43+AL43+AP43)))</f>
        <v>0.20201449184522796</v>
      </c>
      <c r="BQ43" s="44">
        <f>((AJ43+AP43)/(R43+X43 ))</f>
        <v>11.454868301086817</v>
      </c>
      <c r="BR43" s="44">
        <f>(AQ43/(AQ43+BI43))</f>
        <v>0.52286050411327312</v>
      </c>
    </row>
    <row r="44" spans="1:70" ht="18" x14ac:dyDescent="0.2">
      <c r="A44" s="65">
        <v>22</v>
      </c>
      <c r="B44" s="70">
        <v>8</v>
      </c>
      <c r="C44" s="70" t="s">
        <v>140</v>
      </c>
      <c r="D44" s="244"/>
      <c r="E44" s="254"/>
      <c r="F44" s="329">
        <v>1</v>
      </c>
      <c r="G44" s="237"/>
      <c r="H44" s="168">
        <v>0.4</v>
      </c>
      <c r="I44" s="9">
        <v>30.016999999999999</v>
      </c>
      <c r="J44" s="12"/>
      <c r="K44" s="12"/>
      <c r="L44" s="8">
        <f t="shared" si="5"/>
        <v>0.10033614285238365</v>
      </c>
      <c r="M44" s="8">
        <v>20.2</v>
      </c>
      <c r="N44" s="16">
        <v>11550130</v>
      </c>
      <c r="O44" s="11">
        <v>391173127</v>
      </c>
      <c r="P44" s="64">
        <f t="shared" si="0"/>
        <v>2.9526900502037809E-2</v>
      </c>
      <c r="Q44" s="8">
        <v>35.82</v>
      </c>
      <c r="R44" s="16">
        <v>1122853</v>
      </c>
      <c r="S44" s="8"/>
      <c r="T44" s="16"/>
      <c r="U44" s="8"/>
      <c r="V44" s="16"/>
      <c r="W44" s="8">
        <v>36.450000000000003</v>
      </c>
      <c r="X44" s="16">
        <v>3452413</v>
      </c>
      <c r="Y44" s="16">
        <v>158388870</v>
      </c>
      <c r="Z44" s="64">
        <f t="shared" si="1"/>
        <v>2.1797068190460605E-2</v>
      </c>
      <c r="AA44" s="8">
        <v>37.619999999999997</v>
      </c>
      <c r="AB44" s="16">
        <v>1876563</v>
      </c>
      <c r="AC44" s="16"/>
      <c r="AD44" s="16"/>
      <c r="AE44" s="16"/>
      <c r="AF44" s="16"/>
      <c r="AG44" s="8">
        <v>38.24</v>
      </c>
      <c r="AH44" s="16">
        <v>4289004</v>
      </c>
      <c r="AI44" s="8">
        <v>39.119999999999997</v>
      </c>
      <c r="AJ44" s="16">
        <v>7781178</v>
      </c>
      <c r="AK44" s="16"/>
      <c r="AL44" s="16"/>
      <c r="AM44" s="16"/>
      <c r="AN44" s="16"/>
      <c r="AO44" s="8">
        <v>39.72</v>
      </c>
      <c r="AP44" s="16">
        <v>30698105</v>
      </c>
      <c r="AQ44" s="133">
        <f t="shared" si="6"/>
        <v>49220116</v>
      </c>
      <c r="AR44" s="8">
        <f t="shared" si="7"/>
        <v>0.42757584461706438</v>
      </c>
      <c r="AS44" s="8">
        <f t="shared" si="8"/>
        <v>0.21378792230853219</v>
      </c>
      <c r="AT44" s="159">
        <f t="shared" si="30"/>
        <v>0.21378792230853219</v>
      </c>
      <c r="AU44" s="159">
        <f t="shared" si="10"/>
        <v>1.6926993056890911</v>
      </c>
      <c r="AV44" s="160">
        <f t="shared" si="11"/>
        <v>5.8094544105579397E-2</v>
      </c>
      <c r="AW44" s="8">
        <f t="shared" si="12"/>
        <v>3.9745400524812617E-2</v>
      </c>
      <c r="AX44" s="8">
        <f t="shared" si="13"/>
        <v>1.9872700262406309E-2</v>
      </c>
      <c r="AY44" s="165">
        <f t="shared" si="14"/>
        <v>1.9872700262406309E-2</v>
      </c>
      <c r="AZ44" s="165">
        <f t="shared" si="15"/>
        <v>0.63057909764893894</v>
      </c>
      <c r="BA44" s="166">
        <f t="shared" si="16"/>
        <v>6.6242334208021026E-3</v>
      </c>
      <c r="BB44" s="8">
        <f t="shared" si="17"/>
        <v>5.3560367829448029E-2</v>
      </c>
      <c r="BC44" s="8">
        <f t="shared" si="18"/>
        <v>2.6780183914724014E-2</v>
      </c>
      <c r="BD44" s="8">
        <f t="shared" si="19"/>
        <v>0.33427007626280381</v>
      </c>
      <c r="BE44" s="8">
        <f t="shared" si="20"/>
        <v>0.1671350381314019</v>
      </c>
      <c r="BF44" s="159">
        <f t="shared" si="21"/>
        <v>0.1671350381314019</v>
      </c>
      <c r="BG44" s="159">
        <f t="shared" si="22"/>
        <v>2.2107809276640462</v>
      </c>
      <c r="BH44" s="160">
        <f t="shared" si="23"/>
        <v>5.571167937713397E-2</v>
      </c>
      <c r="BI44" s="122">
        <v>48859916</v>
      </c>
      <c r="BJ44" s="16">
        <f t="shared" si="52"/>
        <v>9.2955205550511089</v>
      </c>
      <c r="BK44" s="16">
        <f t="shared" si="53"/>
        <v>12.526518629090594</v>
      </c>
      <c r="BL44" s="16">
        <f t="shared" si="54"/>
        <v>78.177960815858299</v>
      </c>
      <c r="BM44" s="134">
        <f t="shared" si="24"/>
        <v>0.24541808060995798</v>
      </c>
      <c r="BN44" s="134">
        <f t="shared" si="25"/>
        <v>0.30436178862382002</v>
      </c>
      <c r="BO44" s="134">
        <f t="shared" si="26"/>
        <v>0.2534742128219315</v>
      </c>
      <c r="BP44" s="134">
        <f t="shared" si="27"/>
        <v>0.21902821196114206</v>
      </c>
      <c r="BQ44" s="44">
        <f t="shared" si="29"/>
        <v>8.4102832491050794</v>
      </c>
      <c r="BR44" s="44">
        <f t="shared" si="28"/>
        <v>0.50183625551835054</v>
      </c>
    </row>
    <row r="45" spans="1:70" ht="18" x14ac:dyDescent="0.2">
      <c r="A45" s="65">
        <v>21</v>
      </c>
      <c r="B45" s="70">
        <v>7</v>
      </c>
      <c r="C45" s="70" t="s">
        <v>142</v>
      </c>
      <c r="D45" s="244"/>
      <c r="E45" s="254"/>
      <c r="F45" s="329">
        <v>1</v>
      </c>
      <c r="G45" s="237"/>
      <c r="H45" s="168">
        <v>0.37</v>
      </c>
      <c r="I45" s="9">
        <v>32.942</v>
      </c>
      <c r="J45" s="12"/>
      <c r="K45" s="12"/>
      <c r="L45" s="8">
        <f t="shared" si="5"/>
        <v>9.1427053609374045E-2</v>
      </c>
      <c r="M45" s="8">
        <v>20.8</v>
      </c>
      <c r="N45" s="16">
        <v>31991213</v>
      </c>
      <c r="O45" s="11">
        <v>1510254604</v>
      </c>
      <c r="P45" s="64">
        <f t="shared" si="0"/>
        <v>2.1182662125491525E-2</v>
      </c>
      <c r="Q45" s="8">
        <v>36.450000000000003</v>
      </c>
      <c r="R45" s="16">
        <v>883216</v>
      </c>
      <c r="S45" s="8"/>
      <c r="T45" s="16"/>
      <c r="U45" s="8"/>
      <c r="V45" s="16"/>
      <c r="W45" s="8">
        <v>37.07</v>
      </c>
      <c r="X45" s="16">
        <v>2228720</v>
      </c>
      <c r="Y45" s="16">
        <v>73786875</v>
      </c>
      <c r="Z45" s="64">
        <f>X45/Y45</f>
        <v>3.0204829788495584E-2</v>
      </c>
      <c r="AA45" s="8">
        <v>38.25</v>
      </c>
      <c r="AB45" s="16">
        <v>796179</v>
      </c>
      <c r="AC45" s="16"/>
      <c r="AD45" s="16"/>
      <c r="AE45" s="16"/>
      <c r="AF45" s="16"/>
      <c r="AG45" s="8">
        <v>28.85</v>
      </c>
      <c r="AH45" s="16">
        <v>1842580</v>
      </c>
      <c r="AI45" s="8">
        <v>39.74</v>
      </c>
      <c r="AJ45" s="16">
        <v>3788661</v>
      </c>
      <c r="AK45" s="16"/>
      <c r="AL45" s="16"/>
      <c r="AM45" s="16"/>
      <c r="AN45" s="16"/>
      <c r="AO45" s="8">
        <v>40.35</v>
      </c>
      <c r="AP45" s="16">
        <v>12280878</v>
      </c>
      <c r="AQ45" s="133">
        <f t="shared" si="6"/>
        <v>21820234</v>
      </c>
      <c r="AR45" s="8">
        <f t="shared" si="7"/>
        <v>6.2359614300560792E-2</v>
      </c>
      <c r="AS45" s="8">
        <f t="shared" si="8"/>
        <v>3.1179807150280396E-2</v>
      </c>
      <c r="AT45" s="159">
        <f t="shared" si="30"/>
        <v>3.1179807150280396E-2</v>
      </c>
      <c r="AU45" s="159">
        <f t="shared" si="10"/>
        <v>0.24687099881457161</v>
      </c>
      <c r="AV45" s="160">
        <f t="shared" si="11"/>
        <v>8.4727736821414122E-3</v>
      </c>
      <c r="AW45" s="8">
        <f t="shared" si="12"/>
        <v>8.8935402199641824E-3</v>
      </c>
      <c r="AX45" s="8">
        <f t="shared" si="13"/>
        <v>4.4467701099820912E-3</v>
      </c>
      <c r="AY45" s="165">
        <f t="shared" si="14"/>
        <v>4.4467701099820912E-3</v>
      </c>
      <c r="AZ45" s="165">
        <f t="shared" si="15"/>
        <v>0.14110011454805937</v>
      </c>
      <c r="BA45" s="166">
        <f t="shared" si="16"/>
        <v>1.4822567033273637E-3</v>
      </c>
      <c r="BB45" s="8">
        <f t="shared" si="17"/>
        <v>7.5412570494034796E-3</v>
      </c>
      <c r="BC45" s="8">
        <f t="shared" si="18"/>
        <v>3.7706285247017398E-3</v>
      </c>
      <c r="BD45" s="8">
        <f t="shared" si="19"/>
        <v>4.5924817031193124E-2</v>
      </c>
      <c r="BE45" s="8">
        <f t="shared" si="20"/>
        <v>2.2962408515596562E-2</v>
      </c>
      <c r="BF45" s="159">
        <f t="shared" si="21"/>
        <v>2.2962408515596562E-2</v>
      </c>
      <c r="BG45" s="159">
        <f t="shared" si="22"/>
        <v>0.30373556237561589</v>
      </c>
      <c r="BH45" s="160">
        <f t="shared" si="23"/>
        <v>7.6541361718655207E-3</v>
      </c>
      <c r="BI45" s="122">
        <v>30145799</v>
      </c>
      <c r="BJ45" s="16">
        <f t="shared" si="52"/>
        <v>14.261698568402153</v>
      </c>
      <c r="BK45" s="16">
        <f t="shared" si="53"/>
        <v>12.093174619483916</v>
      </c>
      <c r="BL45" s="16">
        <f t="shared" si="54"/>
        <v>73.645126812113929</v>
      </c>
      <c r="BM45" s="134">
        <f t="shared" si="24"/>
        <v>0.28381560546232315</v>
      </c>
      <c r="BN45" s="134">
        <f t="shared" si="25"/>
        <v>0.30172478805377834</v>
      </c>
      <c r="BO45" s="134">
        <f t="shared" si="26"/>
        <v>0.30850082542958246</v>
      </c>
      <c r="BP45" s="134">
        <f t="shared" si="27"/>
        <v>0.25059566272295702</v>
      </c>
      <c r="BQ45" s="44">
        <f t="shared" si="29"/>
        <v>5.1638398090449158</v>
      </c>
      <c r="BR45" s="44">
        <f t="shared" si="28"/>
        <v>0.41989416432845661</v>
      </c>
    </row>
    <row r="46" spans="1:70" ht="18" x14ac:dyDescent="0.2">
      <c r="A46" s="65">
        <v>20</v>
      </c>
      <c r="B46" s="51">
        <v>2</v>
      </c>
      <c r="C46" s="51" t="s">
        <v>143</v>
      </c>
      <c r="D46" s="245"/>
      <c r="E46" s="254"/>
      <c r="F46" s="330">
        <v>1</v>
      </c>
      <c r="G46" s="238"/>
      <c r="H46" s="168">
        <v>0.35</v>
      </c>
      <c r="I46" s="11">
        <v>30.338999999999999</v>
      </c>
      <c r="J46" s="18"/>
      <c r="K46" s="11"/>
      <c r="L46" s="8">
        <f t="shared" si="5"/>
        <v>9.9271235044002773E-2</v>
      </c>
      <c r="M46" s="11">
        <v>20.13</v>
      </c>
      <c r="N46" s="11">
        <v>11779286</v>
      </c>
      <c r="O46" s="11">
        <v>451115567</v>
      </c>
      <c r="P46" s="64">
        <f t="shared" si="0"/>
        <v>2.6111459815794831E-2</v>
      </c>
      <c r="Q46" s="8">
        <v>35.75</v>
      </c>
      <c r="R46" s="16">
        <v>1454864</v>
      </c>
      <c r="S46" s="8"/>
      <c r="T46" s="16"/>
      <c r="U46" s="8"/>
      <c r="V46" s="16"/>
      <c r="W46" s="8">
        <v>36.369999999999997</v>
      </c>
      <c r="X46" s="16">
        <v>3593757</v>
      </c>
      <c r="Y46" s="16">
        <v>229828004</v>
      </c>
      <c r="Z46" s="64">
        <f>X46/Y46</f>
        <v>1.5636723712746513E-2</v>
      </c>
      <c r="AA46" s="8">
        <v>37.549999999999997</v>
      </c>
      <c r="AB46" s="16">
        <v>627027</v>
      </c>
      <c r="AC46" s="16"/>
      <c r="AD46" s="16"/>
      <c r="AE46" s="16"/>
      <c r="AF46" s="16"/>
      <c r="AG46" s="8">
        <v>18.149999999999999</v>
      </c>
      <c r="AH46" s="16">
        <v>2354796</v>
      </c>
      <c r="AI46" s="8">
        <v>39.04</v>
      </c>
      <c r="AJ46" s="16">
        <v>4530306</v>
      </c>
      <c r="AK46" s="16"/>
      <c r="AL46" s="16"/>
      <c r="AM46" s="16"/>
      <c r="AN46" s="16"/>
      <c r="AO46" s="8">
        <v>39.630000000000003</v>
      </c>
      <c r="AP46" s="16">
        <v>14382465</v>
      </c>
      <c r="AQ46" s="133">
        <f t="shared" si="6"/>
        <v>26943215</v>
      </c>
      <c r="AR46" s="8">
        <f t="shared" si="7"/>
        <v>0.22706692316547039</v>
      </c>
      <c r="AS46" s="8">
        <f t="shared" si="8"/>
        <v>0.1135334615827352</v>
      </c>
      <c r="AT46" s="159">
        <f t="shared" si="30"/>
        <v>0.1135334615827352</v>
      </c>
      <c r="AU46" s="159">
        <f t="shared" si="10"/>
        <v>0.89891893573028658</v>
      </c>
      <c r="AV46" s="160">
        <f t="shared" si="11"/>
        <v>3.0851484125743258E-2</v>
      </c>
      <c r="AW46" s="8">
        <f t="shared" si="12"/>
        <v>4.2547811636383423E-2</v>
      </c>
      <c r="AX46" s="8">
        <f t="shared" si="13"/>
        <v>2.1273905818191712E-2</v>
      </c>
      <c r="AY46" s="165">
        <f t="shared" si="14"/>
        <v>2.1273905818191712E-2</v>
      </c>
      <c r="AZ46" s="165">
        <f t="shared" si="15"/>
        <v>0.67504064154185983</v>
      </c>
      <c r="BA46" s="166">
        <f t="shared" si="16"/>
        <v>7.0913019393972375E-3</v>
      </c>
      <c r="BB46" s="8">
        <f t="shared" si="17"/>
        <v>2.5129642993014473E-2</v>
      </c>
      <c r="BC46" s="8">
        <f t="shared" si="18"/>
        <v>1.2564821496507237E-2</v>
      </c>
      <c r="BD46" s="8">
        <f t="shared" si="19"/>
        <v>0.1593894685360725</v>
      </c>
      <c r="BE46" s="8">
        <f t="shared" si="20"/>
        <v>7.9694734268036249E-2</v>
      </c>
      <c r="BF46" s="159">
        <f t="shared" si="21"/>
        <v>7.9694734268036249E-2</v>
      </c>
      <c r="BG46" s="159">
        <f t="shared" si="22"/>
        <v>1.0541631516936012</v>
      </c>
      <c r="BH46" s="160">
        <f t="shared" si="23"/>
        <v>2.656491142267875E-2</v>
      </c>
      <c r="BI46" s="122">
        <f>SUM(U46,W46,Y46,AA46,AC46,AE46,AG46,AI46,AK46,AM46,AO46,AQ46)</f>
        <v>256771389.74000001</v>
      </c>
      <c r="BJ46" s="16">
        <f t="shared" si="52"/>
        <v>18.738005097016075</v>
      </c>
      <c r="BK46" s="16">
        <f t="shared" si="53"/>
        <v>11.067064565234698</v>
      </c>
      <c r="BL46" s="16">
        <f t="shared" si="54"/>
        <v>70.194930337749227</v>
      </c>
      <c r="BM46" s="134">
        <f t="shared" si="24"/>
        <v>0.28817057172641797</v>
      </c>
      <c r="BN46" s="134">
        <f t="shared" si="25"/>
        <v>0.21028310533522612</v>
      </c>
      <c r="BO46" s="134">
        <f t="shared" si="26"/>
        <v>0.31498814702486672</v>
      </c>
      <c r="BP46" s="134">
        <f t="shared" si="27"/>
        <v>0.2454123236592218</v>
      </c>
      <c r="BQ46" s="44">
        <f t="shared" si="29"/>
        <v>3.746126120380199</v>
      </c>
      <c r="BR46" s="44">
        <f t="shared" si="28"/>
        <v>9.4965907816734127E-2</v>
      </c>
    </row>
    <row r="47" spans="1:70" ht="15" customHeight="1" x14ac:dyDescent="0.2">
      <c r="A47" s="65">
        <v>19</v>
      </c>
      <c r="B47" s="70">
        <v>6</v>
      </c>
      <c r="C47" s="70" t="s">
        <v>144</v>
      </c>
      <c r="D47" s="252" t="s">
        <v>153</v>
      </c>
      <c r="E47" s="252"/>
      <c r="F47" s="331">
        <v>0</v>
      </c>
      <c r="G47" s="253" t="s">
        <v>367</v>
      </c>
      <c r="H47" s="169">
        <v>0.3</v>
      </c>
      <c r="I47" s="7">
        <v>30.355699999999999</v>
      </c>
      <c r="J47" s="19"/>
      <c r="K47" s="19"/>
      <c r="L47" s="36">
        <f t="shared" si="5"/>
        <v>9.9216621590014403E-2</v>
      </c>
      <c r="M47" s="36">
        <v>19.97</v>
      </c>
      <c r="N47" s="40">
        <v>343152</v>
      </c>
      <c r="O47" s="35">
        <v>27203599</v>
      </c>
      <c r="P47" s="68">
        <f t="shared" si="0"/>
        <v>1.2614213288469662E-2</v>
      </c>
      <c r="Q47" s="36">
        <v>35.549999999999997</v>
      </c>
      <c r="R47" s="40">
        <v>529853</v>
      </c>
      <c r="S47" s="68"/>
      <c r="T47" s="68"/>
      <c r="U47" s="68"/>
      <c r="V47" s="68"/>
      <c r="W47" s="36">
        <v>36.200000000000003</v>
      </c>
      <c r="X47" s="40">
        <v>992098</v>
      </c>
      <c r="Y47" s="40">
        <v>43718872</v>
      </c>
      <c r="Z47" s="68">
        <f t="shared" si="1"/>
        <v>2.2692671485211237E-2</v>
      </c>
      <c r="AA47" s="36">
        <v>37.35</v>
      </c>
      <c r="AB47" s="40">
        <v>76055</v>
      </c>
      <c r="AC47" s="40"/>
      <c r="AD47" s="40"/>
      <c r="AE47" s="40"/>
      <c r="AF47" s="40"/>
      <c r="AG47" s="36">
        <v>37.97</v>
      </c>
      <c r="AH47" s="40">
        <v>236626</v>
      </c>
      <c r="AI47" s="36">
        <v>38.840000000000003</v>
      </c>
      <c r="AJ47" s="40">
        <v>232202</v>
      </c>
      <c r="AK47" s="40"/>
      <c r="AL47" s="40"/>
      <c r="AM47" s="40"/>
      <c r="AN47" s="40"/>
      <c r="AO47" s="36">
        <v>39.44</v>
      </c>
      <c r="AP47" s="40">
        <v>541731</v>
      </c>
      <c r="AQ47" s="138">
        <f t="shared" si="6"/>
        <v>2608565</v>
      </c>
      <c r="AR47" s="36">
        <f t="shared" si="7"/>
        <v>0.75422263748413509</v>
      </c>
      <c r="AS47" s="36">
        <f t="shared" si="8"/>
        <v>0.37711131874206755</v>
      </c>
      <c r="AT47" s="197">
        <f t="shared" si="30"/>
        <v>0</v>
      </c>
      <c r="AU47" s="197">
        <f t="shared" si="10"/>
        <v>0</v>
      </c>
      <c r="AV47" s="198">
        <f t="shared" si="11"/>
        <v>0</v>
      </c>
      <c r="AW47" s="36">
        <f t="shared" si="12"/>
        <v>0.44004649964314357</v>
      </c>
      <c r="AX47" s="36">
        <f t="shared" si="13"/>
        <v>0.22002324982157181</v>
      </c>
      <c r="AY47" s="195">
        <f t="shared" si="14"/>
        <v>0</v>
      </c>
      <c r="AZ47" s="195">
        <f t="shared" si="15"/>
        <v>0</v>
      </c>
      <c r="BA47" s="196">
        <f t="shared" si="16"/>
        <v>0</v>
      </c>
      <c r="BB47" s="36">
        <f t="shared" si="17"/>
        <v>9.0406445118744155E-2</v>
      </c>
      <c r="BC47" s="36">
        <f t="shared" si="18"/>
        <v>4.5203222559372078E-2</v>
      </c>
      <c r="BD47" s="36">
        <f t="shared" si="19"/>
        <v>0.22376969272224734</v>
      </c>
      <c r="BE47" s="36">
        <f t="shared" si="20"/>
        <v>0.11188484636112365</v>
      </c>
      <c r="BF47" s="197">
        <f t="shared" si="21"/>
        <v>0</v>
      </c>
      <c r="BG47" s="197">
        <f t="shared" si="22"/>
        <v>0</v>
      </c>
      <c r="BH47" s="198">
        <f t="shared" si="23"/>
        <v>0</v>
      </c>
      <c r="BI47" s="123">
        <f t="shared" ref="BI47" si="55">SUM(U47,W47,Y47,AA47,AC47,AE47,AG47,AI47,AK47,AM47,AO47,AQ47)</f>
        <v>46327626.800000004</v>
      </c>
      <c r="BJ47" s="40">
        <f t="shared" si="52"/>
        <v>58.344377080885465</v>
      </c>
      <c r="BK47" s="40">
        <f t="shared" si="53"/>
        <v>11.986705334158819</v>
      </c>
      <c r="BL47" s="40">
        <f t="shared" si="54"/>
        <v>29.668917584955715</v>
      </c>
      <c r="BM47" s="134">
        <f t="shared" si="24"/>
        <v>0.34814064316131071</v>
      </c>
      <c r="BN47" s="134">
        <f t="shared" si="25"/>
        <v>0.24323511821952726</v>
      </c>
      <c r="BO47" s="134">
        <f t="shared" si="26"/>
        <v>0.42862970736398692</v>
      </c>
      <c r="BP47" s="134">
        <f t="shared" si="27"/>
        <v>0.32129159135386698</v>
      </c>
      <c r="BQ47" s="44">
        <f t="shared" si="29"/>
        <v>0.50851374321512322</v>
      </c>
      <c r="BR47" s="44">
        <f t="shared" si="28"/>
        <v>5.3305435181002371E-2</v>
      </c>
    </row>
    <row r="48" spans="1:70" ht="18" x14ac:dyDescent="0.2">
      <c r="A48" s="65">
        <v>18</v>
      </c>
      <c r="B48" s="70">
        <v>6</v>
      </c>
      <c r="C48" s="70" t="s">
        <v>145</v>
      </c>
      <c r="D48" s="252"/>
      <c r="E48" s="252"/>
      <c r="F48" s="331">
        <v>0</v>
      </c>
      <c r="G48" s="253"/>
      <c r="H48" s="168">
        <v>0.25</v>
      </c>
      <c r="I48" s="41">
        <v>30.238</v>
      </c>
      <c r="J48" s="69"/>
      <c r="K48" s="69"/>
      <c r="L48" s="36">
        <f t="shared" si="5"/>
        <v>9.9602817646669756E-2</v>
      </c>
      <c r="M48" s="36">
        <v>20.190000000000001</v>
      </c>
      <c r="N48" s="40">
        <v>899089</v>
      </c>
      <c r="O48" s="35">
        <v>36405894</v>
      </c>
      <c r="P48" s="68">
        <f t="shared" si="0"/>
        <v>2.4696248360224309E-2</v>
      </c>
      <c r="Q48" s="36">
        <v>35.82</v>
      </c>
      <c r="R48" s="40">
        <v>1396336</v>
      </c>
      <c r="S48" s="68"/>
      <c r="T48" s="68"/>
      <c r="U48" s="68"/>
      <c r="V48" s="68"/>
      <c r="W48" s="36">
        <v>36.44</v>
      </c>
      <c r="X48" s="40">
        <v>3831780</v>
      </c>
      <c r="Y48" s="40">
        <v>857258956</v>
      </c>
      <c r="Z48" s="68">
        <f t="shared" si="1"/>
        <v>4.4698045709306066E-3</v>
      </c>
      <c r="AA48" s="36">
        <v>37.630000000000003</v>
      </c>
      <c r="AB48" s="40">
        <v>1038824</v>
      </c>
      <c r="AC48" s="40"/>
      <c r="AD48" s="40"/>
      <c r="AE48" s="40"/>
      <c r="AF48" s="40"/>
      <c r="AG48" s="36">
        <v>38.24</v>
      </c>
      <c r="AH48" s="40">
        <v>1172975</v>
      </c>
      <c r="AI48" s="36">
        <v>39.119999999999997</v>
      </c>
      <c r="AJ48" s="40">
        <v>1476569</v>
      </c>
      <c r="AK48" s="40"/>
      <c r="AL48" s="40"/>
      <c r="AM48" s="40"/>
      <c r="AN48" s="40"/>
      <c r="AO48" s="36">
        <v>39.71</v>
      </c>
      <c r="AP48" s="40">
        <v>3451959</v>
      </c>
      <c r="AQ48" s="138">
        <f t="shared" si="6"/>
        <v>12368443</v>
      </c>
      <c r="AR48" s="36">
        <f t="shared" si="7"/>
        <v>1.3702000276971791</v>
      </c>
      <c r="AS48" s="36">
        <f t="shared" si="8"/>
        <v>0.68510001384858954</v>
      </c>
      <c r="AT48" s="197">
        <f t="shared" si="30"/>
        <v>0</v>
      </c>
      <c r="AU48" s="197">
        <f t="shared" si="10"/>
        <v>0</v>
      </c>
      <c r="AV48" s="198">
        <f t="shared" si="11"/>
        <v>0</v>
      </c>
      <c r="AW48" s="36">
        <f t="shared" si="12"/>
        <v>0.57918079810078482</v>
      </c>
      <c r="AX48" s="36">
        <f t="shared" si="13"/>
        <v>0.28959039905039241</v>
      </c>
      <c r="AY48" s="195">
        <f t="shared" si="14"/>
        <v>0</v>
      </c>
      <c r="AZ48" s="195">
        <f t="shared" si="15"/>
        <v>0</v>
      </c>
      <c r="BA48" s="196">
        <f t="shared" si="16"/>
        <v>0</v>
      </c>
      <c r="BB48" s="36">
        <f t="shared" si="17"/>
        <v>0.24502736933505639</v>
      </c>
      <c r="BC48" s="36">
        <f t="shared" si="18"/>
        <v>0.12251368466752818</v>
      </c>
      <c r="BD48" s="36">
        <f t="shared" si="19"/>
        <v>0.54599186026133795</v>
      </c>
      <c r="BE48" s="36">
        <f t="shared" si="20"/>
        <v>0.27299593013066897</v>
      </c>
      <c r="BF48" s="197">
        <f t="shared" si="21"/>
        <v>0</v>
      </c>
      <c r="BG48" s="197">
        <f t="shared" si="22"/>
        <v>0</v>
      </c>
      <c r="BH48" s="198">
        <f t="shared" si="23"/>
        <v>0</v>
      </c>
      <c r="BI48" s="123">
        <v>30997363</v>
      </c>
      <c r="BJ48" s="40">
        <f t="shared" si="52"/>
        <v>42.269799036143837</v>
      </c>
      <c r="BK48" s="40">
        <f t="shared" si="53"/>
        <v>17.882598480665674</v>
      </c>
      <c r="BL48" s="40">
        <f t="shared" si="54"/>
        <v>39.847602483190485</v>
      </c>
      <c r="BM48" s="134">
        <f t="shared" si="24"/>
        <v>0.26708206168340565</v>
      </c>
      <c r="BN48" s="134">
        <f t="shared" si="25"/>
        <v>0.46967378138791094</v>
      </c>
      <c r="BO48" s="134">
        <f t="shared" si="26"/>
        <v>0.42774812794705847</v>
      </c>
      <c r="BP48" s="134">
        <f t="shared" si="27"/>
        <v>0.31626688985832735</v>
      </c>
      <c r="BQ48" s="44">
        <f t="shared" si="29"/>
        <v>0.94269675730224811</v>
      </c>
      <c r="BR48" s="44">
        <f t="shared" si="28"/>
        <v>0.28521187868617037</v>
      </c>
    </row>
    <row r="49" spans="1:70" ht="18" x14ac:dyDescent="0.2">
      <c r="A49" s="65">
        <v>17</v>
      </c>
      <c r="B49" s="70">
        <v>5</v>
      </c>
      <c r="C49" s="70" t="s">
        <v>48</v>
      </c>
      <c r="D49" s="252"/>
      <c r="E49" s="252"/>
      <c r="F49" s="331">
        <v>0</v>
      </c>
      <c r="G49" s="253"/>
      <c r="H49" s="168">
        <v>0.2</v>
      </c>
      <c r="I49" s="41">
        <v>30.36</v>
      </c>
      <c r="J49" s="69"/>
      <c r="K49" s="69"/>
      <c r="L49" s="36">
        <f t="shared" si="5"/>
        <v>9.9202569169960481E-2</v>
      </c>
      <c r="M49" s="36">
        <v>20.2</v>
      </c>
      <c r="N49" s="40">
        <v>362809</v>
      </c>
      <c r="O49" s="35">
        <v>24397048</v>
      </c>
      <c r="P49" s="68">
        <f t="shared" si="0"/>
        <v>1.4871020461163989E-2</v>
      </c>
      <c r="Q49" s="36">
        <v>35.83</v>
      </c>
      <c r="R49" s="40">
        <v>1748523</v>
      </c>
      <c r="S49" s="68"/>
      <c r="T49" s="68"/>
      <c r="U49" s="68"/>
      <c r="V49" s="68"/>
      <c r="W49" s="36">
        <v>36.44</v>
      </c>
      <c r="X49" s="40">
        <v>3729251</v>
      </c>
      <c r="Y49" s="40">
        <v>231387821</v>
      </c>
      <c r="Z49" s="68">
        <f t="shared" si="1"/>
        <v>1.6116885425875548E-2</v>
      </c>
      <c r="AA49" s="36">
        <v>37.61</v>
      </c>
      <c r="AB49" s="40">
        <v>897527</v>
      </c>
      <c r="AC49" s="40"/>
      <c r="AD49" s="40"/>
      <c r="AE49" s="40"/>
      <c r="AF49" s="40"/>
      <c r="AG49" s="36">
        <v>38.22</v>
      </c>
      <c r="AH49" s="40">
        <v>1977503</v>
      </c>
      <c r="AI49" s="36">
        <v>39.1</v>
      </c>
      <c r="AJ49" s="40">
        <v>2136661</v>
      </c>
      <c r="AK49" s="40"/>
      <c r="AL49" s="40"/>
      <c r="AM49" s="40"/>
      <c r="AN49" s="40"/>
      <c r="AO49" s="36">
        <v>39.71</v>
      </c>
      <c r="AP49" s="40">
        <v>4497728</v>
      </c>
      <c r="AQ49" s="138">
        <f t="shared" si="6"/>
        <v>14987193</v>
      </c>
      <c r="AR49" s="36">
        <f t="shared" si="7"/>
        <v>4.0979359669855144</v>
      </c>
      <c r="AS49" s="36">
        <f t="shared" si="8"/>
        <v>2.0489679834927572</v>
      </c>
      <c r="AT49" s="197">
        <f t="shared" si="30"/>
        <v>0</v>
      </c>
      <c r="AU49" s="197">
        <f t="shared" si="10"/>
        <v>0</v>
      </c>
      <c r="AV49" s="198">
        <f t="shared" si="11"/>
        <v>0</v>
      </c>
      <c r="AW49" s="36">
        <f t="shared" si="12"/>
        <v>1.4977832802725706</v>
      </c>
      <c r="AX49" s="36">
        <f t="shared" si="13"/>
        <v>0.74889164013628529</v>
      </c>
      <c r="AY49" s="195">
        <f t="shared" si="14"/>
        <v>0</v>
      </c>
      <c r="AZ49" s="195">
        <f t="shared" si="15"/>
        <v>0</v>
      </c>
      <c r="BA49" s="196">
        <f t="shared" si="16"/>
        <v>0</v>
      </c>
      <c r="BB49" s="36">
        <f t="shared" si="17"/>
        <v>0.78611710966572346</v>
      </c>
      <c r="BC49" s="36">
        <f t="shared" si="18"/>
        <v>0.39305855483286173</v>
      </c>
      <c r="BD49" s="36">
        <f t="shared" si="19"/>
        <v>1.8140355770472205</v>
      </c>
      <c r="BE49" s="36">
        <f t="shared" si="20"/>
        <v>0.90701778852361037</v>
      </c>
      <c r="BF49" s="197">
        <f t="shared" si="21"/>
        <v>0</v>
      </c>
      <c r="BG49" s="197">
        <f t="shared" si="22"/>
        <v>0</v>
      </c>
      <c r="BH49" s="198">
        <f t="shared" si="23"/>
        <v>0</v>
      </c>
      <c r="BI49" s="123">
        <v>96242749</v>
      </c>
      <c r="BJ49" s="40">
        <f t="shared" si="52"/>
        <v>36.549699466738033</v>
      </c>
      <c r="BK49" s="40">
        <f t="shared" si="53"/>
        <v>19.183245321522183</v>
      </c>
      <c r="BL49" s="40">
        <f t="shared" si="54"/>
        <v>44.26705521173978</v>
      </c>
      <c r="BM49" s="134">
        <f t="shared" si="24"/>
        <v>0.31920320188456114</v>
      </c>
      <c r="BN49" s="134">
        <f t="shared" si="25"/>
        <v>0.31218004681690276</v>
      </c>
      <c r="BO49" s="134">
        <f t="shared" si="26"/>
        <v>0.47505340474123825</v>
      </c>
      <c r="BP49" s="134">
        <f t="shared" si="27"/>
        <v>0.31911986454034452</v>
      </c>
      <c r="BQ49" s="44">
        <f t="shared" si="29"/>
        <v>1.2111469001824464</v>
      </c>
      <c r="BR49" s="44">
        <f t="shared" si="28"/>
        <v>0.1347406348553162</v>
      </c>
    </row>
    <row r="50" spans="1:70" ht="18" customHeight="1" x14ac:dyDescent="0.2">
      <c r="A50" s="65">
        <v>16</v>
      </c>
      <c r="B50" s="70">
        <v>4</v>
      </c>
      <c r="C50" s="70" t="s">
        <v>146</v>
      </c>
      <c r="D50" s="252"/>
      <c r="E50" s="252"/>
      <c r="F50" s="331">
        <v>0</v>
      </c>
      <c r="G50" s="253"/>
      <c r="H50" s="168">
        <v>0.1</v>
      </c>
      <c r="I50" s="7">
        <v>30.233599999999999</v>
      </c>
      <c r="J50" s="19"/>
      <c r="K50" s="19"/>
      <c r="L50" s="36">
        <f t="shared" si="5"/>
        <v>9.9617313187976286E-2</v>
      </c>
      <c r="M50" s="36">
        <v>19.97</v>
      </c>
      <c r="N50" s="40">
        <v>1663353</v>
      </c>
      <c r="O50" s="35">
        <v>90559065</v>
      </c>
      <c r="P50" s="68">
        <f t="shared" si="0"/>
        <v>1.8367603508273853E-2</v>
      </c>
      <c r="Q50" s="36">
        <v>35.549999999999997</v>
      </c>
      <c r="R50" s="40">
        <v>966994</v>
      </c>
      <c r="S50" s="68"/>
      <c r="T50" s="68"/>
      <c r="U50" s="68"/>
      <c r="V50" s="68"/>
      <c r="W50" s="36">
        <v>36.200000000000003</v>
      </c>
      <c r="X50" s="40">
        <v>2028197</v>
      </c>
      <c r="Y50" s="40">
        <v>62910546</v>
      </c>
      <c r="Z50" s="68">
        <f t="shared" si="1"/>
        <v>3.2239380023819854E-2</v>
      </c>
      <c r="AA50" s="36">
        <v>37.36</v>
      </c>
      <c r="AB50" s="40">
        <v>590592</v>
      </c>
      <c r="AC50" s="40"/>
      <c r="AD50" s="40"/>
      <c r="AE50" s="40"/>
      <c r="AF50" s="40"/>
      <c r="AG50" s="36">
        <v>38</v>
      </c>
      <c r="AH50" s="40">
        <v>942123</v>
      </c>
      <c r="AI50" s="36">
        <v>38.840000000000003</v>
      </c>
      <c r="AJ50" s="40">
        <v>2447132</v>
      </c>
      <c r="AK50" s="40"/>
      <c r="AL50" s="40"/>
      <c r="AM50" s="40"/>
      <c r="AN50" s="40"/>
      <c r="AO50" s="36">
        <v>39.450000000000003</v>
      </c>
      <c r="AP50" s="40">
        <v>10928723</v>
      </c>
      <c r="AQ50" s="138">
        <f t="shared" si="6"/>
        <v>17903761</v>
      </c>
      <c r="AR50" s="36">
        <f t="shared" si="7"/>
        <v>1.072246580719592</v>
      </c>
      <c r="AS50" s="36">
        <f t="shared" si="8"/>
        <v>0.536123290359796</v>
      </c>
      <c r="AT50" s="197">
        <f t="shared" si="30"/>
        <v>0</v>
      </c>
      <c r="AU50" s="197">
        <f t="shared" si="10"/>
        <v>0</v>
      </c>
      <c r="AV50" s="198">
        <f t="shared" si="11"/>
        <v>0</v>
      </c>
      <c r="AW50" s="36">
        <f t="shared" si="12"/>
        <v>0.17938037199849213</v>
      </c>
      <c r="AX50" s="36">
        <f t="shared" si="13"/>
        <v>8.9690185999246066E-2</v>
      </c>
      <c r="AY50" s="195">
        <f t="shared" si="14"/>
        <v>0</v>
      </c>
      <c r="AZ50" s="195">
        <f t="shared" si="15"/>
        <v>0</v>
      </c>
      <c r="BA50" s="196">
        <f t="shared" si="16"/>
        <v>0</v>
      </c>
      <c r="BB50" s="36">
        <f t="shared" si="17"/>
        <v>9.1793473894542579E-2</v>
      </c>
      <c r="BC50" s="36">
        <f t="shared" si="18"/>
        <v>4.589673694727129E-2</v>
      </c>
      <c r="BD50" s="36">
        <f t="shared" si="19"/>
        <v>0.80107273482655728</v>
      </c>
      <c r="BE50" s="36">
        <f t="shared" si="20"/>
        <v>0.40053636741327864</v>
      </c>
      <c r="BF50" s="197">
        <f t="shared" si="21"/>
        <v>0</v>
      </c>
      <c r="BG50" s="197">
        <f t="shared" si="22"/>
        <v>0</v>
      </c>
      <c r="BH50" s="198">
        <f t="shared" si="23"/>
        <v>0</v>
      </c>
      <c r="BI50" s="123">
        <v>57735728</v>
      </c>
      <c r="BJ50" s="40">
        <f t="shared" si="52"/>
        <v>16.729395572248759</v>
      </c>
      <c r="BK50" s="40">
        <f t="shared" si="53"/>
        <v>8.5608548952368171</v>
      </c>
      <c r="BL50" s="40">
        <f t="shared" si="54"/>
        <v>74.709749532514422</v>
      </c>
      <c r="BM50" s="134">
        <f t="shared" si="24"/>
        <v>0.32284886005600311</v>
      </c>
      <c r="BN50" s="134">
        <f t="shared" si="25"/>
        <v>0.3853240817764555</v>
      </c>
      <c r="BO50" s="134">
        <f t="shared" si="26"/>
        <v>0.2239174695890819</v>
      </c>
      <c r="BP50" s="134">
        <f t="shared" si="27"/>
        <v>0.22368026472203242</v>
      </c>
      <c r="BQ50" s="44">
        <f t="shared" si="29"/>
        <v>4.4657769738223703</v>
      </c>
      <c r="BR50" s="44">
        <f t="shared" si="28"/>
        <v>0.23669859800348467</v>
      </c>
    </row>
    <row r="51" spans="1:70" ht="18" customHeight="1" x14ac:dyDescent="0.2">
      <c r="A51" s="65">
        <v>15</v>
      </c>
      <c r="B51" s="70">
        <v>4</v>
      </c>
      <c r="C51" s="70" t="s">
        <v>147</v>
      </c>
      <c r="D51" s="252"/>
      <c r="E51" s="252"/>
      <c r="F51" s="331">
        <v>0</v>
      </c>
      <c r="G51" s="253"/>
      <c r="H51" s="168">
        <v>0.05</v>
      </c>
      <c r="I51" s="41">
        <v>31.483000000000001</v>
      </c>
      <c r="J51" s="69"/>
      <c r="K51" s="111"/>
      <c r="L51" s="36">
        <f t="shared" si="5"/>
        <v>9.5664009147794049E-2</v>
      </c>
      <c r="M51" s="36">
        <v>20.2</v>
      </c>
      <c r="N51" s="40">
        <v>1646664</v>
      </c>
      <c r="O51" s="35">
        <v>62268955</v>
      </c>
      <c r="P51" s="68">
        <f t="shared" si="0"/>
        <v>2.6444381473882131E-2</v>
      </c>
      <c r="Q51" s="36">
        <v>35.83</v>
      </c>
      <c r="R51" s="40">
        <v>1251733</v>
      </c>
      <c r="S51" s="68"/>
      <c r="T51" s="68"/>
      <c r="U51" s="68"/>
      <c r="V51" s="68"/>
      <c r="W51" s="36">
        <v>36.450000000000003</v>
      </c>
      <c r="X51" s="40">
        <v>2763281</v>
      </c>
      <c r="Y51" s="40">
        <v>143303348</v>
      </c>
      <c r="Z51" s="68">
        <f t="shared" si="1"/>
        <v>1.9282738600077926E-2</v>
      </c>
      <c r="AA51" s="36">
        <v>37.64</v>
      </c>
      <c r="AB51" s="40">
        <v>741947</v>
      </c>
      <c r="AC51" s="40"/>
      <c r="AD51" s="40"/>
      <c r="AE51" s="40"/>
      <c r="AF51" s="40"/>
      <c r="AG51" s="36">
        <v>38.22</v>
      </c>
      <c r="AH51" s="40">
        <v>1117878</v>
      </c>
      <c r="AI51" s="36">
        <v>39.11</v>
      </c>
      <c r="AJ51" s="40">
        <v>1879248</v>
      </c>
      <c r="AK51" s="40"/>
      <c r="AL51" s="40"/>
      <c r="AM51" s="40"/>
      <c r="AN51" s="40"/>
      <c r="AO51" s="36">
        <v>39.729999999999997</v>
      </c>
      <c r="AP51" s="40">
        <v>3031907</v>
      </c>
      <c r="AQ51" s="138">
        <f t="shared" si="6"/>
        <v>10785994</v>
      </c>
      <c r="AR51" s="36">
        <f t="shared" si="7"/>
        <v>0.62661929129685945</v>
      </c>
      <c r="AS51" s="36">
        <f t="shared" si="8"/>
        <v>0.31330964564842972</v>
      </c>
      <c r="AT51" s="197">
        <f t="shared" si="30"/>
        <v>0</v>
      </c>
      <c r="AU51" s="197">
        <f t="shared" si="10"/>
        <v>0</v>
      </c>
      <c r="AV51" s="198">
        <f t="shared" si="11"/>
        <v>0</v>
      </c>
      <c r="AW51" s="36">
        <f t="shared" si="12"/>
        <v>0.23325483281624007</v>
      </c>
      <c r="AX51" s="36">
        <f t="shared" si="13"/>
        <v>0.11662741640812004</v>
      </c>
      <c r="AY51" s="195">
        <f t="shared" si="14"/>
        <v>0</v>
      </c>
      <c r="AZ51" s="195">
        <f t="shared" si="15"/>
        <v>0</v>
      </c>
      <c r="BA51" s="196">
        <f t="shared" si="16"/>
        <v>0</v>
      </c>
      <c r="BB51" s="36">
        <f t="shared" si="17"/>
        <v>0.10804773518659305</v>
      </c>
      <c r="BC51" s="36">
        <f t="shared" si="18"/>
        <v>5.4023867593296526E-2</v>
      </c>
      <c r="BD51" s="36">
        <f t="shared" si="19"/>
        <v>0.2853167232940263</v>
      </c>
      <c r="BE51" s="36">
        <f t="shared" si="20"/>
        <v>0.14265836164701315</v>
      </c>
      <c r="BF51" s="197">
        <f t="shared" si="21"/>
        <v>0</v>
      </c>
      <c r="BG51" s="197">
        <f t="shared" si="22"/>
        <v>0</v>
      </c>
      <c r="BH51" s="198">
        <f t="shared" si="23"/>
        <v>0</v>
      </c>
      <c r="BI51" s="123">
        <v>31619459</v>
      </c>
      <c r="BJ51" s="40">
        <f t="shared" si="52"/>
        <v>37.22432999684591</v>
      </c>
      <c r="BK51" s="40">
        <f t="shared" si="53"/>
        <v>17.242963420895656</v>
      </c>
      <c r="BL51" s="40">
        <f t="shared" si="54"/>
        <v>45.532706582258434</v>
      </c>
      <c r="BM51" s="134">
        <f t="shared" si="24"/>
        <v>0.31176304740157817</v>
      </c>
      <c r="BN51" s="134">
        <f t="shared" si="25"/>
        <v>0.39893377065046443</v>
      </c>
      <c r="BO51" s="134">
        <f t="shared" si="26"/>
        <v>0.61982376108502013</v>
      </c>
      <c r="BP51" s="134">
        <f t="shared" si="27"/>
        <v>0.35907010517528565</v>
      </c>
      <c r="BQ51" s="44">
        <f t="shared" si="29"/>
        <v>1.223197478265331</v>
      </c>
      <c r="BR51" s="44">
        <f t="shared" si="28"/>
        <v>0.254353938867249</v>
      </c>
    </row>
    <row r="52" spans="1:70" ht="18" customHeight="1" x14ac:dyDescent="0.2">
      <c r="A52" s="65">
        <v>14</v>
      </c>
      <c r="B52" s="51">
        <v>1</v>
      </c>
      <c r="C52" s="51" t="s">
        <v>148</v>
      </c>
      <c r="D52" s="227" t="s">
        <v>154</v>
      </c>
      <c r="E52" s="228"/>
      <c r="F52" s="332">
        <v>2.8</v>
      </c>
      <c r="G52" s="234" t="s">
        <v>368</v>
      </c>
      <c r="H52" s="168">
        <v>-0.06</v>
      </c>
      <c r="I52" s="4">
        <v>30.056000000000001</v>
      </c>
      <c r="J52" s="22"/>
      <c r="K52" s="22"/>
      <c r="L52" s="6">
        <f>3.01179/I52</f>
        <v>0.10020594889539526</v>
      </c>
      <c r="M52" s="6">
        <v>19.96</v>
      </c>
      <c r="N52" s="38">
        <v>10156902</v>
      </c>
      <c r="O52" s="62">
        <v>442169661</v>
      </c>
      <c r="P52" s="66">
        <f>N52/O52</f>
        <v>2.2970599061521772E-2</v>
      </c>
      <c r="Q52" s="6" t="s">
        <v>304</v>
      </c>
      <c r="R52" s="38">
        <v>4269598</v>
      </c>
      <c r="S52" s="6"/>
      <c r="T52" s="38"/>
      <c r="U52" s="6"/>
      <c r="V52" s="38"/>
      <c r="W52" s="6">
        <v>36.19</v>
      </c>
      <c r="X52" s="38">
        <v>8616457</v>
      </c>
      <c r="Y52" s="38">
        <v>376336844</v>
      </c>
      <c r="Z52" s="66">
        <f>X52/Y52</f>
        <v>2.289559775337862E-2</v>
      </c>
      <c r="AA52" s="132" t="s">
        <v>312</v>
      </c>
      <c r="AB52" s="125">
        <v>1878719</v>
      </c>
      <c r="AC52" s="38"/>
      <c r="AD52" s="38"/>
      <c r="AE52" s="38"/>
      <c r="AF52" s="38"/>
      <c r="AG52" s="6">
        <v>37.950000000000003</v>
      </c>
      <c r="AH52" s="38">
        <v>3490426</v>
      </c>
      <c r="AI52" s="132" t="s">
        <v>313</v>
      </c>
      <c r="AJ52" s="125">
        <v>2869767</v>
      </c>
      <c r="AK52" s="38"/>
      <c r="AL52" s="38"/>
      <c r="AM52" s="38"/>
      <c r="AN52" s="38"/>
      <c r="AO52" s="6">
        <v>39.450000000000003</v>
      </c>
      <c r="AP52" s="38">
        <v>5213425</v>
      </c>
      <c r="AQ52" s="139">
        <f>(R52+T52+V52+X52)+(AB52+AD52+AF52+AH52)+(AJ52+AL52+AN52+AP52)</f>
        <v>26338392</v>
      </c>
      <c r="AR52" s="6">
        <f>(AQ52*L52)/N52</f>
        <v>0.25984926926920116</v>
      </c>
      <c r="AS52" s="6">
        <f>(AR52*0.02)/0.04</f>
        <v>0.12992463463460058</v>
      </c>
      <c r="AT52" s="191">
        <f t="shared" si="30"/>
        <v>0.36378897697688162</v>
      </c>
      <c r="AU52" s="191">
        <f t="shared" si="10"/>
        <v>2.8803561122476768</v>
      </c>
      <c r="AV52" s="192">
        <f>AT52/3.68</f>
        <v>9.8855700265456953E-2</v>
      </c>
      <c r="AW52" s="6">
        <f>(((R52+T52+V52+X52)*L52)/N52)</f>
        <v>0.12713122257094267</v>
      </c>
      <c r="AX52" s="6">
        <f>((AW52*0.02)/0.04)</f>
        <v>6.3565611285471335E-2</v>
      </c>
      <c r="AY52" s="193">
        <f t="shared" si="14"/>
        <v>0.17798371159931972</v>
      </c>
      <c r="AZ52" s="193">
        <f t="shared" si="15"/>
        <v>5.6475872314554882</v>
      </c>
      <c r="BA52" s="194">
        <f>AY52/3</f>
        <v>5.9327903866439907E-2</v>
      </c>
      <c r="BB52" s="6">
        <f>(((AB52+AD52+AF52+AH52)*L52)/N52)</f>
        <v>5.2970902887707984E-2</v>
      </c>
      <c r="BC52" s="6">
        <f>((BB52*0.02)/0.04)</f>
        <v>2.6485451443853992E-2</v>
      </c>
      <c r="BD52" s="6">
        <f>(((AJ52+AL52+AN52+AP52)*L52)/N52)</f>
        <v>7.974714381055048E-2</v>
      </c>
      <c r="BE52" s="6">
        <f>((BD52*0.02)/0.04)</f>
        <v>3.987357190527524E-2</v>
      </c>
      <c r="BF52" s="191">
        <f t="shared" si="21"/>
        <v>0.11164600133477066</v>
      </c>
      <c r="BG52" s="191">
        <f t="shared" si="22"/>
        <v>1.4767989594546385</v>
      </c>
      <c r="BH52" s="192">
        <f>BF52/3</f>
        <v>3.7215333778256886E-2</v>
      </c>
      <c r="BI52" s="124">
        <v>153675600</v>
      </c>
      <c r="BJ52" s="38">
        <f>((R52+T52+V52+X52)*100)/AQ52</f>
        <v>48.924987523915661</v>
      </c>
      <c r="BK52" s="38">
        <f>(AB52+AD52+AF52+AH52)*100/AQ52</f>
        <v>20.385242197017948</v>
      </c>
      <c r="BL52" s="38">
        <f>(AJ52+AL52+AN52+AP52)*100/AQ52</f>
        <v>30.689770279066391</v>
      </c>
      <c r="BM52" s="134">
        <f>((R52+V52)/((R52+V52)+(T52+X52)))</f>
        <v>0.33133476459630196</v>
      </c>
      <c r="BN52" s="134">
        <f>((AB52+AF52)/((AB52+AF52)+(AD52+AH52)))</f>
        <v>0.34991027435466915</v>
      </c>
      <c r="BO52" s="134">
        <f>((AJ52+AN52)/((+AN52)+(AL52+AP52)))</f>
        <v>0.55045713710276833</v>
      </c>
      <c r="BP52" s="134">
        <f>((R52+V52+AB52+AF52+AJ52+AN52)/((R52+V52+AB52+AF52+AJ52+AN52)+(T52+X52+AD52+AH52+AL52+AP52)))</f>
        <v>0.34239311192573946</v>
      </c>
      <c r="BQ52" s="44">
        <f>((AJ52+AP52)/(R52+X52 ))</f>
        <v>0.62728212785061055</v>
      </c>
      <c r="BR52" s="44">
        <f>(AQ52/(AQ52+BI52))</f>
        <v>0.14631302660073223</v>
      </c>
    </row>
    <row r="53" spans="1:70" ht="18" customHeight="1" x14ac:dyDescent="0.2">
      <c r="A53" s="65">
        <v>13</v>
      </c>
      <c r="B53" s="70">
        <v>3</v>
      </c>
      <c r="C53" s="70" t="s">
        <v>49</v>
      </c>
      <c r="D53" s="229"/>
      <c r="E53" s="230"/>
      <c r="F53" s="332">
        <v>2.8</v>
      </c>
      <c r="G53" s="234"/>
      <c r="H53" s="168">
        <v>-0.1</v>
      </c>
      <c r="I53" s="39">
        <v>30.067</v>
      </c>
      <c r="J53" s="67"/>
      <c r="K53" s="67"/>
      <c r="L53" s="6">
        <f t="shared" si="5"/>
        <v>0.10016928858881831</v>
      </c>
      <c r="M53" s="6">
        <v>20.18</v>
      </c>
      <c r="N53" s="38">
        <v>554314</v>
      </c>
      <c r="O53" s="62">
        <v>22225101</v>
      </c>
      <c r="P53" s="66">
        <f t="shared" ref="P53:P55" si="56">N53/O53</f>
        <v>2.4940899031235E-2</v>
      </c>
      <c r="Q53" s="6">
        <v>35.82</v>
      </c>
      <c r="R53" s="38">
        <v>794791</v>
      </c>
      <c r="S53" s="66"/>
      <c r="T53" s="66"/>
      <c r="U53" s="66"/>
      <c r="V53" s="66"/>
      <c r="W53" s="6">
        <v>36.44</v>
      </c>
      <c r="X53" s="38">
        <v>2353365</v>
      </c>
      <c r="Y53" s="38">
        <v>31591973</v>
      </c>
      <c r="Z53" s="66">
        <f t="shared" ref="Z53:Z55" si="57">X53/Y53</f>
        <v>7.4492498458390052E-2</v>
      </c>
      <c r="AA53" s="6">
        <v>37.619999999999997</v>
      </c>
      <c r="AB53" s="38">
        <v>519321</v>
      </c>
      <c r="AC53" s="38"/>
      <c r="AD53" s="38"/>
      <c r="AE53" s="38"/>
      <c r="AF53" s="38"/>
      <c r="AG53" s="6">
        <v>38.200000000000003</v>
      </c>
      <c r="AH53" s="38">
        <v>866787</v>
      </c>
      <c r="AI53" s="6">
        <v>39.11</v>
      </c>
      <c r="AJ53" s="38">
        <v>797209</v>
      </c>
      <c r="AK53" s="38"/>
      <c r="AL53" s="38"/>
      <c r="AM53" s="38"/>
      <c r="AN53" s="38"/>
      <c r="AO53" s="6">
        <v>39.700000000000003</v>
      </c>
      <c r="AP53" s="38">
        <v>1915931</v>
      </c>
      <c r="AQ53" s="139">
        <f t="shared" ref="AQ53:AQ55" si="58">(R53+T53+V53+X53)+(AB53+AD53+AF53+AH53)+(AJ53+AL53+AN53+AP53)</f>
        <v>7247404</v>
      </c>
      <c r="AR53" s="6">
        <f t="shared" ref="AR53:AR55" si="59">(AQ53*L53)/N53</f>
        <v>1.3096679910587792</v>
      </c>
      <c r="AS53" s="6">
        <f t="shared" si="8"/>
        <v>0.65483399552938959</v>
      </c>
      <c r="AT53" s="191">
        <f t="shared" si="30"/>
        <v>1.8335351874822907</v>
      </c>
      <c r="AU53" s="191">
        <f t="shared" si="10"/>
        <v>14.517301563596918</v>
      </c>
      <c r="AV53" s="192">
        <f t="shared" si="11"/>
        <v>0.49824325746801373</v>
      </c>
      <c r="AW53" s="6">
        <f t="shared" si="12"/>
        <v>0.56889875934329615</v>
      </c>
      <c r="AX53" s="6">
        <f t="shared" si="13"/>
        <v>0.28444937967164807</v>
      </c>
      <c r="AY53" s="193">
        <f t="shared" si="14"/>
        <v>0.79645826308061451</v>
      </c>
      <c r="AZ53" s="193">
        <f t="shared" si="15"/>
        <v>25.272354849456274</v>
      </c>
      <c r="BA53" s="194">
        <f t="shared" si="16"/>
        <v>0.26548608769353815</v>
      </c>
      <c r="BB53" s="6">
        <f t="shared" si="17"/>
        <v>0.25048159033917561</v>
      </c>
      <c r="BC53" s="6">
        <f t="shared" si="18"/>
        <v>0.1252407951695878</v>
      </c>
      <c r="BD53" s="6">
        <f t="shared" si="19"/>
        <v>0.49028764137630743</v>
      </c>
      <c r="BE53" s="6">
        <f t="shared" si="20"/>
        <v>0.24514382068815371</v>
      </c>
      <c r="BF53" s="191">
        <f t="shared" si="21"/>
        <v>0.6864026979268304</v>
      </c>
      <c r="BG53" s="191">
        <f t="shared" si="22"/>
        <v>9.0794007662279164</v>
      </c>
      <c r="BH53" s="192">
        <f t="shared" si="23"/>
        <v>0.22880089930894346</v>
      </c>
      <c r="BI53" s="124">
        <v>56210101</v>
      </c>
      <c r="BJ53" s="38">
        <f t="shared" ref="BJ53:BJ55" si="60">((R53+T53+V53+X53)*100)/AQ53</f>
        <v>43.438395320586515</v>
      </c>
      <c r="BK53" s="38">
        <f t="shared" ref="BK53:BK55" si="61">(AB53+AD53+AF53+AH53)*100/AQ53</f>
        <v>19.125579310881523</v>
      </c>
      <c r="BL53" s="38">
        <f t="shared" ref="BL53:BL55" si="62">(AJ53+AL53+AN53+AP53)*100/AQ53</f>
        <v>37.436025368531958</v>
      </c>
      <c r="BM53" s="134">
        <f t="shared" ref="BM53:BM55" si="63">((R53+V53)/((R53+V53)+(T53+X53)))</f>
        <v>0.2524623938585</v>
      </c>
      <c r="BN53" s="134">
        <f t="shared" ref="BN53:BN55" si="64">((AB53+AF53)/((AB53+AF53)+(AD53+AH53)))</f>
        <v>0.37466128180488101</v>
      </c>
      <c r="BO53" s="134">
        <f t="shared" ref="BO53:BO55" si="65">((AJ53+AN53)/((+AN53)+(AL53+AP53)))</f>
        <v>0.41609483848844242</v>
      </c>
      <c r="BP53" s="134">
        <f t="shared" ref="BP53:BP55" si="66">((R53+V53+AB53+AF53+AJ53+AN53)/((R53+V53+AB53+AF53+AJ53+AN53)+(T53+X53+AD53+AH53+AL53+AP53)))</f>
        <v>0.2913210026652302</v>
      </c>
      <c r="BQ53" s="44">
        <f t="shared" si="29"/>
        <v>0.86181879169901365</v>
      </c>
      <c r="BR53" s="44">
        <f t="shared" ref="BR53:BR55" si="67">(AQ53/(AQ53+BI53))</f>
        <v>0.11420877640871635</v>
      </c>
    </row>
    <row r="54" spans="1:70" ht="18" x14ac:dyDescent="0.2">
      <c r="A54" s="65">
        <v>12</v>
      </c>
      <c r="B54" s="70">
        <v>2</v>
      </c>
      <c r="C54" s="70" t="s">
        <v>50</v>
      </c>
      <c r="D54" s="229"/>
      <c r="E54" s="230"/>
      <c r="F54" s="332">
        <v>2.8</v>
      </c>
      <c r="G54" s="234"/>
      <c r="H54" s="168">
        <v>-0.3</v>
      </c>
      <c r="I54" s="39">
        <v>30.36</v>
      </c>
      <c r="J54" s="67"/>
      <c r="K54" s="67"/>
      <c r="L54" s="6">
        <f t="shared" ref="L54:L55" si="68">3.01179/I54</f>
        <v>9.9202569169960481E-2</v>
      </c>
      <c r="M54" s="6">
        <v>20.81</v>
      </c>
      <c r="N54" s="38">
        <v>43551352</v>
      </c>
      <c r="O54" s="5">
        <v>2039938062</v>
      </c>
      <c r="P54" s="66">
        <f t="shared" si="56"/>
        <v>2.1349350164730638E-2</v>
      </c>
      <c r="Q54" s="6">
        <v>36.450000000000003</v>
      </c>
      <c r="R54" s="38">
        <v>5146084</v>
      </c>
      <c r="S54" s="6"/>
      <c r="T54" s="38"/>
      <c r="U54" s="6"/>
      <c r="V54" s="38"/>
      <c r="W54" s="6">
        <v>37.07</v>
      </c>
      <c r="X54" s="38">
        <v>16989765</v>
      </c>
      <c r="Y54" s="38">
        <v>835446029</v>
      </c>
      <c r="Z54" s="66">
        <f t="shared" si="57"/>
        <v>2.0336161056790421E-2</v>
      </c>
      <c r="AA54" s="6">
        <v>38.24</v>
      </c>
      <c r="AB54" s="38">
        <v>2818079</v>
      </c>
      <c r="AC54" s="38"/>
      <c r="AD54" s="38"/>
      <c r="AE54" s="38"/>
      <c r="AF54" s="38"/>
      <c r="AG54" s="6">
        <v>38.86</v>
      </c>
      <c r="AH54" s="38">
        <v>4330820</v>
      </c>
      <c r="AI54" s="6">
        <v>39.14</v>
      </c>
      <c r="AJ54" s="38">
        <v>2793889</v>
      </c>
      <c r="AK54" s="38"/>
      <c r="AL54" s="38"/>
      <c r="AM54" s="38"/>
      <c r="AN54" s="38"/>
      <c r="AO54" s="6">
        <v>40.340000000000003</v>
      </c>
      <c r="AP54" s="38">
        <v>6885344</v>
      </c>
      <c r="AQ54" s="139">
        <f t="shared" si="58"/>
        <v>38963981</v>
      </c>
      <c r="AR54" s="6">
        <f t="shared" si="59"/>
        <v>8.8753318617744076E-2</v>
      </c>
      <c r="AS54" s="6">
        <f t="shared" si="8"/>
        <v>4.4376659308872038E-2</v>
      </c>
      <c r="AT54" s="191">
        <f t="shared" si="30"/>
        <v>0.1242546460648417</v>
      </c>
      <c r="AU54" s="191">
        <f t="shared" si="10"/>
        <v>0.983805590378794</v>
      </c>
      <c r="AV54" s="192">
        <f t="shared" si="11"/>
        <v>3.3764849474141767E-2</v>
      </c>
      <c r="AW54" s="6">
        <f t="shared" ref="AW54:AW55" si="69">(((R54+T54+V54+X54)*L54)/N54)</f>
        <v>5.0421697392041935E-2</v>
      </c>
      <c r="AX54" s="6">
        <f t="shared" ref="AX54:AX55" si="70">((AW54*0.02)/0.04)</f>
        <v>2.5210848696020968E-2</v>
      </c>
      <c r="AY54" s="193">
        <f t="shared" si="14"/>
        <v>7.0590376348858702E-2</v>
      </c>
      <c r="AZ54" s="193">
        <f t="shared" si="15"/>
        <v>2.2398977105777789</v>
      </c>
      <c r="BA54" s="194">
        <f t="shared" si="16"/>
        <v>2.3530125449619566E-2</v>
      </c>
      <c r="BB54" s="6">
        <f t="shared" ref="BB54:BB55" si="71">(((AB54+AD54+AF54+AH54)*L54)/N54)</f>
        <v>1.6283975467318704E-2</v>
      </c>
      <c r="BC54" s="6">
        <f t="shared" ref="BC54:BC55" si="72">((BB54*0.02)/0.04)</f>
        <v>8.1419877336593519E-3</v>
      </c>
      <c r="BD54" s="6">
        <f t="shared" ref="BD54:BD55" si="73">(((AJ54+AL54+AN54+AP54)*L54)/N54)</f>
        <v>2.2047645758383437E-2</v>
      </c>
      <c r="BE54" s="6">
        <f t="shared" ref="BE54:BE55" si="74">((BD54*0.02)/0.04)</f>
        <v>1.1023822879191719E-2</v>
      </c>
      <c r="BF54" s="191">
        <f t="shared" si="21"/>
        <v>3.0866704061736808E-2</v>
      </c>
      <c r="BG54" s="191">
        <f t="shared" si="22"/>
        <v>0.40828973626635989</v>
      </c>
      <c r="BH54" s="192">
        <f t="shared" si="23"/>
        <v>1.0288901353912269E-2</v>
      </c>
      <c r="BI54" s="124">
        <v>189724646</v>
      </c>
      <c r="BJ54" s="38">
        <f t="shared" si="60"/>
        <v>56.811055831281713</v>
      </c>
      <c r="BK54" s="38">
        <f t="shared" si="61"/>
        <v>18.347455307505669</v>
      </c>
      <c r="BL54" s="38">
        <f t="shared" si="62"/>
        <v>24.841488861212614</v>
      </c>
      <c r="BM54" s="134">
        <f t="shared" si="63"/>
        <v>0.23247737188666223</v>
      </c>
      <c r="BN54" s="134">
        <f t="shared" si="64"/>
        <v>0.39419762399776526</v>
      </c>
      <c r="BO54" s="134">
        <f t="shared" si="65"/>
        <v>0.40577333536276472</v>
      </c>
      <c r="BP54" s="134">
        <f t="shared" si="66"/>
        <v>0.27610248552374561</v>
      </c>
      <c r="BQ54" s="44">
        <f t="shared" si="29"/>
        <v>0.43726504458898324</v>
      </c>
      <c r="BR54" s="44">
        <f t="shared" si="67"/>
        <v>0.17038005567281664</v>
      </c>
    </row>
    <row r="55" spans="1:70" ht="18" x14ac:dyDescent="0.2">
      <c r="A55" s="65">
        <v>11</v>
      </c>
      <c r="B55" s="70">
        <v>1</v>
      </c>
      <c r="C55" s="70" t="s">
        <v>51</v>
      </c>
      <c r="D55" s="229"/>
      <c r="E55" s="230"/>
      <c r="F55" s="332">
        <v>2.8</v>
      </c>
      <c r="G55" s="234"/>
      <c r="H55" s="168">
        <v>-0.7</v>
      </c>
      <c r="I55" s="39">
        <v>30.241</v>
      </c>
      <c r="J55" s="22"/>
      <c r="K55" s="22"/>
      <c r="L55" s="6">
        <f t="shared" si="68"/>
        <v>9.9592936741509874E-2</v>
      </c>
      <c r="M55" s="6">
        <v>20.2</v>
      </c>
      <c r="N55" s="38">
        <v>16984707</v>
      </c>
      <c r="O55" s="5">
        <v>581943479</v>
      </c>
      <c r="P55" s="66">
        <f t="shared" si="56"/>
        <v>2.9186179780184462E-2</v>
      </c>
      <c r="Q55" s="6">
        <v>35.840000000000003</v>
      </c>
      <c r="R55" s="38">
        <v>14013104</v>
      </c>
      <c r="S55" s="6"/>
      <c r="T55" s="38"/>
      <c r="U55" s="6"/>
      <c r="V55" s="38"/>
      <c r="W55" s="6">
        <v>36.450000000000003</v>
      </c>
      <c r="X55" s="38">
        <v>33151148</v>
      </c>
      <c r="Y55" s="38">
        <v>1854077768</v>
      </c>
      <c r="Z55" s="66">
        <f t="shared" si="57"/>
        <v>1.7880128100430361E-2</v>
      </c>
      <c r="AA55" s="6">
        <v>37.61</v>
      </c>
      <c r="AB55" s="38">
        <v>7553164</v>
      </c>
      <c r="AC55" s="38"/>
      <c r="AD55" s="38"/>
      <c r="AE55" s="38"/>
      <c r="AF55" s="38"/>
      <c r="AG55" s="6">
        <v>38.229999999999997</v>
      </c>
      <c r="AH55" s="38">
        <v>9937907</v>
      </c>
      <c r="AI55" s="6">
        <v>39.119999999999997</v>
      </c>
      <c r="AJ55" s="38">
        <v>10961642</v>
      </c>
      <c r="AK55" s="38"/>
      <c r="AL55" s="38"/>
      <c r="AM55" s="38"/>
      <c r="AN55" s="38"/>
      <c r="AO55" s="6">
        <v>39.729999999999997</v>
      </c>
      <c r="AP55" s="38">
        <v>18606359</v>
      </c>
      <c r="AQ55" s="139">
        <f t="shared" si="58"/>
        <v>94223324</v>
      </c>
      <c r="AR55" s="6">
        <f t="shared" si="59"/>
        <v>0.55249569784788088</v>
      </c>
      <c r="AS55" s="6">
        <f t="shared" si="8"/>
        <v>0.27624784892394044</v>
      </c>
      <c r="AT55" s="191">
        <f t="shared" si="30"/>
        <v>0.77349397698703315</v>
      </c>
      <c r="AU55" s="191">
        <f t="shared" si="10"/>
        <v>6.1242595169202936</v>
      </c>
      <c r="AV55" s="192">
        <f t="shared" si="11"/>
        <v>0.21018858070299812</v>
      </c>
      <c r="AW55" s="6">
        <f t="shared" si="69"/>
        <v>0.2765562200099555</v>
      </c>
      <c r="AX55" s="6">
        <f t="shared" si="70"/>
        <v>0.13827811000497775</v>
      </c>
      <c r="AY55" s="193">
        <f t="shared" si="14"/>
        <v>0.38717870801393767</v>
      </c>
      <c r="AZ55" s="193">
        <f t="shared" si="15"/>
        <v>12.285537300140811</v>
      </c>
      <c r="BA55" s="194">
        <f t="shared" si="16"/>
        <v>0.12905956933797921</v>
      </c>
      <c r="BB55" s="6">
        <f t="shared" si="71"/>
        <v>0.10256209469166927</v>
      </c>
      <c r="BC55" s="6">
        <f t="shared" si="72"/>
        <v>5.1281047345834635E-2</v>
      </c>
      <c r="BD55" s="6">
        <f t="shared" si="73"/>
        <v>0.17337738314625625</v>
      </c>
      <c r="BE55" s="6">
        <f t="shared" si="74"/>
        <v>8.6688691573128127E-2</v>
      </c>
      <c r="BF55" s="191">
        <f t="shared" si="21"/>
        <v>0.24272833640475874</v>
      </c>
      <c r="BG55" s="191">
        <f t="shared" si="22"/>
        <v>3.210692280486227</v>
      </c>
      <c r="BH55" s="192">
        <f t="shared" si="23"/>
        <v>8.0909445468252919E-2</v>
      </c>
      <c r="BI55" s="124">
        <v>636511301</v>
      </c>
      <c r="BJ55" s="38">
        <f t="shared" si="60"/>
        <v>50.055814205832945</v>
      </c>
      <c r="BK55" s="38">
        <f t="shared" si="61"/>
        <v>18.563419605107541</v>
      </c>
      <c r="BL55" s="38">
        <f t="shared" si="62"/>
        <v>31.380766189059514</v>
      </c>
      <c r="BM55" s="134">
        <f t="shared" si="63"/>
        <v>0.29711282180410709</v>
      </c>
      <c r="BN55" s="134">
        <f t="shared" si="64"/>
        <v>0.43182970328117698</v>
      </c>
      <c r="BO55" s="134">
        <f t="shared" si="65"/>
        <v>0.58913417719178696</v>
      </c>
      <c r="BP55" s="134">
        <f t="shared" si="66"/>
        <v>0.34522142309477427</v>
      </c>
      <c r="BQ55" s="44">
        <f t="shared" si="29"/>
        <v>0.62691550795717066</v>
      </c>
      <c r="BR55" s="44">
        <f t="shared" si="67"/>
        <v>0.12894328635378405</v>
      </c>
    </row>
    <row r="56" spans="1:70" ht="18" x14ac:dyDescent="0.2">
      <c r="A56" s="65">
        <v>10</v>
      </c>
      <c r="B56" s="117">
        <v>42</v>
      </c>
      <c r="C56" s="117" t="s">
        <v>167</v>
      </c>
      <c r="D56" s="229"/>
      <c r="E56" s="230"/>
      <c r="F56" s="332">
        <v>2.8</v>
      </c>
      <c r="G56" s="234"/>
      <c r="H56" s="168">
        <v>-0.76</v>
      </c>
      <c r="I56" s="3">
        <v>30.626000000000001</v>
      </c>
      <c r="J56" s="22"/>
      <c r="K56" s="22"/>
      <c r="L56" s="6">
        <f t="shared" si="5"/>
        <v>9.8340952132175266E-2</v>
      </c>
      <c r="M56" s="6">
        <v>20.07</v>
      </c>
      <c r="N56" s="38">
        <v>159466213</v>
      </c>
      <c r="O56" s="62">
        <v>5808380777</v>
      </c>
      <c r="P56" s="66">
        <f t="shared" si="0"/>
        <v>2.7454503952539337E-2</v>
      </c>
      <c r="Q56" s="6">
        <v>35.69</v>
      </c>
      <c r="R56" s="38">
        <v>12281306</v>
      </c>
      <c r="S56" s="66"/>
      <c r="T56" s="66"/>
      <c r="U56" s="66"/>
      <c r="V56" s="66"/>
      <c r="W56" s="6">
        <v>36.299999999999997</v>
      </c>
      <c r="X56" s="38">
        <v>28299100</v>
      </c>
      <c r="Y56" s="38">
        <v>1077872699</v>
      </c>
      <c r="Z56" s="66">
        <f t="shared" si="1"/>
        <v>2.6254584633467928E-2</v>
      </c>
      <c r="AA56" s="24">
        <v>37.450000000000003</v>
      </c>
      <c r="AB56" s="24">
        <v>5029302</v>
      </c>
      <c r="AC56" s="24"/>
      <c r="AD56" s="24"/>
      <c r="AE56" s="24"/>
      <c r="AF56" s="24"/>
      <c r="AG56" s="5">
        <v>38.07</v>
      </c>
      <c r="AH56" s="5">
        <v>7942504</v>
      </c>
      <c r="AI56" s="24">
        <v>38.97</v>
      </c>
      <c r="AJ56" s="24">
        <v>7312435</v>
      </c>
      <c r="AK56" s="24"/>
      <c r="AL56" s="24"/>
      <c r="AM56" s="24"/>
      <c r="AN56" s="24"/>
      <c r="AO56" s="24">
        <v>39.58</v>
      </c>
      <c r="AP56" s="5">
        <v>17618217</v>
      </c>
      <c r="AQ56" s="139">
        <f t="shared" si="6"/>
        <v>78482864</v>
      </c>
      <c r="AR56" s="6">
        <f t="shared" si="7"/>
        <v>4.8399466110228766E-2</v>
      </c>
      <c r="AS56" s="6">
        <f t="shared" si="8"/>
        <v>2.4199733055114383E-2</v>
      </c>
      <c r="AT56" s="191">
        <f t="shared" si="30"/>
        <v>6.7759252554320262E-2</v>
      </c>
      <c r="AU56" s="191">
        <f t="shared" si="10"/>
        <v>0.53649447786476845</v>
      </c>
      <c r="AV56" s="192">
        <f t="shared" si="11"/>
        <v>1.8412840368021811E-2</v>
      </c>
      <c r="AW56" s="6">
        <f t="shared" si="12"/>
        <v>2.5025462691273908E-2</v>
      </c>
      <c r="AX56" s="6">
        <f t="shared" si="13"/>
        <v>1.2512731345636956E-2</v>
      </c>
      <c r="AY56" s="193">
        <f t="shared" si="14"/>
        <v>3.5035647767783472E-2</v>
      </c>
      <c r="AZ56" s="193">
        <f t="shared" si="15"/>
        <v>1.1117133989460091</v>
      </c>
      <c r="BA56" s="194">
        <f t="shared" si="16"/>
        <v>1.1678549255927824E-2</v>
      </c>
      <c r="BB56" s="6">
        <f t="shared" si="17"/>
        <v>7.9995613422754568E-3</v>
      </c>
      <c r="BC56" s="6">
        <f t="shared" si="18"/>
        <v>3.9997806711377284E-3</v>
      </c>
      <c r="BD56" s="6">
        <f t="shared" si="19"/>
        <v>1.5374442076679401E-2</v>
      </c>
      <c r="BE56" s="6">
        <f t="shared" si="20"/>
        <v>7.6872210383396996E-3</v>
      </c>
      <c r="BF56" s="191">
        <f t="shared" si="21"/>
        <v>2.1524218907351157E-2</v>
      </c>
      <c r="BG56" s="191">
        <f t="shared" si="22"/>
        <v>0.28471189030887772</v>
      </c>
      <c r="BH56" s="192">
        <f t="shared" si="23"/>
        <v>7.1747396357837194E-3</v>
      </c>
      <c r="BI56" s="124">
        <v>567863809</v>
      </c>
      <c r="BJ56" s="38">
        <f t="shared" si="52"/>
        <v>51.706071786574967</v>
      </c>
      <c r="BK56" s="38">
        <f t="shared" si="53"/>
        <v>16.528201621184465</v>
      </c>
      <c r="BL56" s="38">
        <f t="shared" si="54"/>
        <v>31.765726592240568</v>
      </c>
      <c r="BM56" s="134">
        <f t="shared" si="24"/>
        <v>0.30264127963628557</v>
      </c>
      <c r="BN56" s="134">
        <f t="shared" si="25"/>
        <v>0.38771023865142601</v>
      </c>
      <c r="BO56" s="134">
        <f t="shared" si="26"/>
        <v>0.41504966138173915</v>
      </c>
      <c r="BP56" s="134">
        <f t="shared" si="27"/>
        <v>0.31373782434851</v>
      </c>
      <c r="BQ56" s="44">
        <f t="shared" si="29"/>
        <v>0.61435196089462485</v>
      </c>
      <c r="BR56" s="44">
        <f t="shared" si="28"/>
        <v>0.12142533918481235</v>
      </c>
    </row>
    <row r="57" spans="1:70" ht="18" x14ac:dyDescent="0.2">
      <c r="A57" s="65">
        <v>9</v>
      </c>
      <c r="B57" s="117">
        <v>41</v>
      </c>
      <c r="C57" s="117" t="s">
        <v>166</v>
      </c>
      <c r="D57" s="229"/>
      <c r="E57" s="230"/>
      <c r="F57" s="332">
        <v>2.8</v>
      </c>
      <c r="G57" s="234"/>
      <c r="H57" s="168">
        <v>-0.9</v>
      </c>
      <c r="I57" s="4">
        <v>30.343</v>
      </c>
      <c r="J57" s="22"/>
      <c r="K57" s="22"/>
      <c r="L57" s="6">
        <f t="shared" si="5"/>
        <v>9.9258148502125693E-2</v>
      </c>
      <c r="M57" s="6">
        <v>20.059999999999999</v>
      </c>
      <c r="N57" s="38">
        <v>49279046</v>
      </c>
      <c r="O57" s="5">
        <v>1836776207</v>
      </c>
      <c r="P57" s="66">
        <f t="shared" si="0"/>
        <v>2.6829096442014179E-2</v>
      </c>
      <c r="Q57" s="6">
        <v>35.68</v>
      </c>
      <c r="R57" s="38">
        <v>4528489</v>
      </c>
      <c r="S57" s="6"/>
      <c r="T57" s="38"/>
      <c r="U57" s="6"/>
      <c r="V57" s="38"/>
      <c r="W57" s="6">
        <v>36.29</v>
      </c>
      <c r="X57" s="38">
        <v>11362138</v>
      </c>
      <c r="Y57" s="38">
        <v>413253288</v>
      </c>
      <c r="Z57" s="66">
        <f t="shared" si="1"/>
        <v>2.7494368054489623E-2</v>
      </c>
      <c r="AA57" s="6">
        <v>37.450000000000003</v>
      </c>
      <c r="AB57" s="38">
        <v>1859100</v>
      </c>
      <c r="AC57" s="38"/>
      <c r="AD57" s="38"/>
      <c r="AE57" s="38"/>
      <c r="AF57" s="38"/>
      <c r="AG57" s="6">
        <v>38.08</v>
      </c>
      <c r="AH57" s="38">
        <v>4361117</v>
      </c>
      <c r="AI57" s="6">
        <v>38.96</v>
      </c>
      <c r="AJ57" s="38">
        <v>2834901</v>
      </c>
      <c r="AK57" s="38"/>
      <c r="AL57" s="38"/>
      <c r="AM57" s="38"/>
      <c r="AN57" s="38"/>
      <c r="AO57" s="6">
        <v>39.57</v>
      </c>
      <c r="AP57" s="38">
        <v>6336781</v>
      </c>
      <c r="AQ57" s="139">
        <f t="shared" si="6"/>
        <v>31282526</v>
      </c>
      <c r="AR57" s="6">
        <f t="shared" si="7"/>
        <v>6.3009450532577435E-2</v>
      </c>
      <c r="AS57" s="6">
        <f t="shared" si="8"/>
        <v>3.1504725266288718E-2</v>
      </c>
      <c r="AT57" s="191">
        <f t="shared" si="30"/>
        <v>8.8213230745608398E-2</v>
      </c>
      <c r="AU57" s="191">
        <f t="shared" si="10"/>
        <v>0.69844204865881543</v>
      </c>
      <c r="AV57" s="192">
        <f t="shared" si="11"/>
        <v>2.3970986615654454E-2</v>
      </c>
      <c r="AW57" s="6">
        <f t="shared" si="12"/>
        <v>3.2006995723048048E-2</v>
      </c>
      <c r="AX57" s="6">
        <f t="shared" si="13"/>
        <v>1.6003497861524024E-2</v>
      </c>
      <c r="AY57" s="193">
        <f t="shared" si="14"/>
        <v>4.4809794012267264E-2</v>
      </c>
      <c r="AZ57" s="193">
        <f t="shared" si="15"/>
        <v>1.4218560689280426</v>
      </c>
      <c r="BA57" s="194">
        <f t="shared" si="16"/>
        <v>1.4936598004089087E-2</v>
      </c>
      <c r="BB57" s="6">
        <f t="shared" si="17"/>
        <v>1.2528798197543165E-2</v>
      </c>
      <c r="BC57" s="6">
        <f t="shared" si="18"/>
        <v>6.2643990987715824E-3</v>
      </c>
      <c r="BD57" s="6">
        <f t="shared" si="19"/>
        <v>1.8473656611986224E-2</v>
      </c>
      <c r="BE57" s="6">
        <f t="shared" si="20"/>
        <v>9.2368283059931118E-3</v>
      </c>
      <c r="BF57" s="191">
        <f t="shared" si="21"/>
        <v>2.5863119256780712E-2</v>
      </c>
      <c r="BG57" s="191">
        <f t="shared" si="22"/>
        <v>0.34210475207381896</v>
      </c>
      <c r="BH57" s="192">
        <f t="shared" si="23"/>
        <v>8.6210397522602372E-3</v>
      </c>
      <c r="BI57" s="124">
        <v>184112758</v>
      </c>
      <c r="BJ57" s="38">
        <f t="shared" si="52"/>
        <v>50.797135116262673</v>
      </c>
      <c r="BK57" s="38">
        <f t="shared" si="53"/>
        <v>19.88399849807525</v>
      </c>
      <c r="BL57" s="38">
        <f t="shared" si="54"/>
        <v>29.31886638566208</v>
      </c>
      <c r="BM57" s="134">
        <f t="shared" si="24"/>
        <v>0.28497862293287735</v>
      </c>
      <c r="BN57" s="134">
        <f t="shared" si="25"/>
        <v>0.29888024806851593</v>
      </c>
      <c r="BO57" s="134">
        <f t="shared" si="26"/>
        <v>0.44737241195490268</v>
      </c>
      <c r="BP57" s="134">
        <f t="shared" si="27"/>
        <v>0.29481282937317788</v>
      </c>
      <c r="BQ57" s="44">
        <f t="shared" si="29"/>
        <v>0.57717558910671052</v>
      </c>
      <c r="BR57" s="44">
        <f t="shared" si="28"/>
        <v>0.14523310547504836</v>
      </c>
    </row>
    <row r="58" spans="1:70" ht="18" x14ac:dyDescent="0.2">
      <c r="A58" s="65">
        <v>8</v>
      </c>
      <c r="B58" s="117">
        <v>40</v>
      </c>
      <c r="C58" s="117" t="s">
        <v>165</v>
      </c>
      <c r="D58" s="229"/>
      <c r="E58" s="230"/>
      <c r="F58" s="332">
        <v>2.8</v>
      </c>
      <c r="G58" s="234"/>
      <c r="H58" s="168">
        <v>-1.1000000000000001</v>
      </c>
      <c r="I58" s="5">
        <v>30.998000000000001</v>
      </c>
      <c r="J58" s="22"/>
      <c r="K58" s="22"/>
      <c r="L58" s="6">
        <f t="shared" si="5"/>
        <v>9.7160784566746233E-2</v>
      </c>
      <c r="M58" s="6">
        <v>20.04</v>
      </c>
      <c r="N58" s="38">
        <v>47279169</v>
      </c>
      <c r="O58" s="5">
        <v>1828276340</v>
      </c>
      <c r="P58" s="66">
        <f t="shared" si="0"/>
        <v>2.5859968739736575E-2</v>
      </c>
      <c r="Q58" s="6">
        <v>35.68</v>
      </c>
      <c r="R58" s="38">
        <v>7772023</v>
      </c>
      <c r="S58" s="6"/>
      <c r="T58" s="38"/>
      <c r="U58" s="6"/>
      <c r="V58" s="38"/>
      <c r="W58" s="5">
        <v>36.299999999999997</v>
      </c>
      <c r="X58" s="5">
        <v>20214220</v>
      </c>
      <c r="Y58" s="5">
        <v>835371271</v>
      </c>
      <c r="Z58" s="66">
        <f t="shared" si="1"/>
        <v>2.4197887456438517E-2</v>
      </c>
      <c r="AA58" s="5">
        <v>37.46</v>
      </c>
      <c r="AB58" s="5">
        <v>4429833</v>
      </c>
      <c r="AC58" s="5"/>
      <c r="AD58" s="5"/>
      <c r="AE58" s="5"/>
      <c r="AF58" s="5"/>
      <c r="AG58" s="5">
        <v>38.06</v>
      </c>
      <c r="AH58" s="5">
        <v>6303504</v>
      </c>
      <c r="AI58" s="5">
        <v>38.97</v>
      </c>
      <c r="AJ58" s="5">
        <v>4475691</v>
      </c>
      <c r="AK58" s="5"/>
      <c r="AL58" s="5"/>
      <c r="AM58" s="5"/>
      <c r="AN58" s="5"/>
      <c r="AO58" s="5">
        <v>39.57</v>
      </c>
      <c r="AP58" s="5">
        <v>10474480</v>
      </c>
      <c r="AQ58" s="139">
        <f t="shared" si="6"/>
        <v>53669751</v>
      </c>
      <c r="AR58" s="6">
        <f t="shared" si="7"/>
        <v>0.1102937133827778</v>
      </c>
      <c r="AS58" s="6">
        <f t="shared" si="8"/>
        <v>5.5146856691388906E-2</v>
      </c>
      <c r="AT58" s="191">
        <f t="shared" si="30"/>
        <v>0.15441119873588893</v>
      </c>
      <c r="AU58" s="191">
        <f t="shared" si="10"/>
        <v>1.2225748118439346</v>
      </c>
      <c r="AV58" s="192">
        <f t="shared" si="11"/>
        <v>4.195956487388286E-2</v>
      </c>
      <c r="AW58" s="6">
        <f t="shared" si="12"/>
        <v>5.751296785600462E-2</v>
      </c>
      <c r="AX58" s="6">
        <f t="shared" si="13"/>
        <v>2.875648392800231E-2</v>
      </c>
      <c r="AY58" s="193">
        <f t="shared" si="14"/>
        <v>8.0518154998406463E-2</v>
      </c>
      <c r="AZ58" s="193">
        <f t="shared" si="15"/>
        <v>2.554915278388274</v>
      </c>
      <c r="BA58" s="194">
        <f t="shared" si="16"/>
        <v>2.6839384999468821E-2</v>
      </c>
      <c r="BB58" s="6">
        <f t="shared" si="17"/>
        <v>2.2057482523419273E-2</v>
      </c>
      <c r="BC58" s="6">
        <f t="shared" si="18"/>
        <v>1.1028741261709636E-2</v>
      </c>
      <c r="BD58" s="6">
        <f t="shared" si="19"/>
        <v>3.0723263003353912E-2</v>
      </c>
      <c r="BE58" s="6">
        <f t="shared" si="20"/>
        <v>1.5361631501676956E-2</v>
      </c>
      <c r="BF58" s="191">
        <f t="shared" si="21"/>
        <v>4.3012568204695477E-2</v>
      </c>
      <c r="BG58" s="191">
        <f t="shared" si="22"/>
        <v>0.56894931487692424</v>
      </c>
      <c r="BH58" s="192">
        <f t="shared" si="23"/>
        <v>1.4337522734898493E-2</v>
      </c>
      <c r="BI58" s="124">
        <v>315058445</v>
      </c>
      <c r="BJ58" s="38">
        <f t="shared" si="52"/>
        <v>52.145281985750223</v>
      </c>
      <c r="BK58" s="38">
        <f t="shared" si="53"/>
        <v>19.998857456968636</v>
      </c>
      <c r="BL58" s="38">
        <f t="shared" si="54"/>
        <v>27.85586055728114</v>
      </c>
      <c r="BM58" s="134">
        <f t="shared" si="24"/>
        <v>0.27770869423237698</v>
      </c>
      <c r="BN58" s="134">
        <f t="shared" si="25"/>
        <v>0.41271721925809279</v>
      </c>
      <c r="BO58" s="134">
        <f t="shared" si="26"/>
        <v>0.42729481558989085</v>
      </c>
      <c r="BP58" s="134">
        <f t="shared" si="27"/>
        <v>0.31074388625354343</v>
      </c>
      <c r="BQ58" s="44">
        <f t="shared" si="29"/>
        <v>0.5341971410739198</v>
      </c>
      <c r="BR58" s="44">
        <f t="shared" si="28"/>
        <v>0.14555369397354143</v>
      </c>
    </row>
    <row r="59" spans="1:70" ht="18" x14ac:dyDescent="0.2">
      <c r="A59" s="65">
        <v>7</v>
      </c>
      <c r="B59" s="117">
        <v>39</v>
      </c>
      <c r="C59" s="117" t="s">
        <v>164</v>
      </c>
      <c r="D59" s="229"/>
      <c r="E59" s="230"/>
      <c r="F59" s="332">
        <v>2.8</v>
      </c>
      <c r="G59" s="234"/>
      <c r="H59" s="168">
        <v>-1.3</v>
      </c>
      <c r="I59" s="5">
        <v>30.56</v>
      </c>
      <c r="J59" s="22"/>
      <c r="K59" s="22"/>
      <c r="L59" s="6">
        <f t="shared" si="5"/>
        <v>9.8553337696335078E-2</v>
      </c>
      <c r="M59" s="118">
        <v>20.05</v>
      </c>
      <c r="N59" s="126">
        <v>61792795</v>
      </c>
      <c r="O59" s="24">
        <v>2225455027</v>
      </c>
      <c r="P59" s="127">
        <f t="shared" si="0"/>
        <v>2.7766364294181712E-2</v>
      </c>
      <c r="Q59" s="6">
        <v>35.69</v>
      </c>
      <c r="R59" s="38">
        <v>10817572</v>
      </c>
      <c r="S59" s="6"/>
      <c r="T59" s="38"/>
      <c r="U59" s="6"/>
      <c r="V59" s="38"/>
      <c r="W59" s="24">
        <v>36.31</v>
      </c>
      <c r="X59" s="24">
        <v>26438034</v>
      </c>
      <c r="Y59" s="24">
        <v>939023286</v>
      </c>
      <c r="Z59" s="127">
        <f t="shared" si="1"/>
        <v>2.81548225631542E-2</v>
      </c>
      <c r="AA59" s="24">
        <v>37.450000000000003</v>
      </c>
      <c r="AB59" s="24">
        <v>7061865</v>
      </c>
      <c r="AC59" s="24"/>
      <c r="AD59" s="24"/>
      <c r="AE59" s="24"/>
      <c r="AF59" s="24"/>
      <c r="AG59" s="5">
        <v>38.08</v>
      </c>
      <c r="AH59" s="5">
        <v>11808775</v>
      </c>
      <c r="AI59" s="24">
        <v>38.979999999999997</v>
      </c>
      <c r="AJ59" s="24">
        <v>7332812</v>
      </c>
      <c r="AK59" s="24"/>
      <c r="AL59" s="24"/>
      <c r="AM59" s="24"/>
      <c r="AN59" s="24"/>
      <c r="AO59" s="24">
        <v>39.58</v>
      </c>
      <c r="AP59" s="24">
        <v>15938830</v>
      </c>
      <c r="AQ59" s="139">
        <f t="shared" si="6"/>
        <v>79397888</v>
      </c>
      <c r="AR59" s="6">
        <f t="shared" si="7"/>
        <v>0.12663170307217517</v>
      </c>
      <c r="AS59" s="6">
        <f t="shared" si="8"/>
        <v>6.3315851536087583E-2</v>
      </c>
      <c r="AT59" s="191">
        <f t="shared" si="30"/>
        <v>0.17728438430104523</v>
      </c>
      <c r="AU59" s="191">
        <f t="shared" si="10"/>
        <v>1.4036768353210232</v>
      </c>
      <c r="AV59" s="192">
        <f t="shared" si="11"/>
        <v>4.8175104429631854E-2</v>
      </c>
      <c r="AW59" s="6">
        <f t="shared" si="12"/>
        <v>5.9418971405964194E-2</v>
      </c>
      <c r="AX59" s="6">
        <f t="shared" si="13"/>
        <v>2.97094857029821E-2</v>
      </c>
      <c r="AY59" s="193">
        <f t="shared" si="14"/>
        <v>8.318655996834988E-2</v>
      </c>
      <c r="AZ59" s="193">
        <f t="shared" si="15"/>
        <v>2.6395862277756583</v>
      </c>
      <c r="BA59" s="194">
        <f t="shared" si="16"/>
        <v>2.7728853322783294E-2</v>
      </c>
      <c r="BB59" s="6">
        <f t="shared" si="17"/>
        <v>3.0096786469457619E-2</v>
      </c>
      <c r="BC59" s="6">
        <f t="shared" si="18"/>
        <v>1.5048393234728811E-2</v>
      </c>
      <c r="BD59" s="6">
        <f t="shared" si="19"/>
        <v>3.7115945196753354E-2</v>
      </c>
      <c r="BE59" s="6">
        <f t="shared" si="20"/>
        <v>1.8557972598376677E-2</v>
      </c>
      <c r="BF59" s="191">
        <f t="shared" si="21"/>
        <v>5.1962323275454692E-2</v>
      </c>
      <c r="BG59" s="191">
        <f t="shared" si="22"/>
        <v>0.68733231845839549</v>
      </c>
      <c r="BH59" s="192">
        <f t="shared" si="23"/>
        <v>1.7320774425151564E-2</v>
      </c>
      <c r="BI59" s="124">
        <v>453857155</v>
      </c>
      <c r="BJ59" s="38">
        <f t="shared" si="52"/>
        <v>46.922666255303916</v>
      </c>
      <c r="BK59" s="38">
        <f t="shared" si="53"/>
        <v>23.767181313437455</v>
      </c>
      <c r="BL59" s="38">
        <f t="shared" si="54"/>
        <v>29.310152431258626</v>
      </c>
      <c r="BM59" s="134">
        <f t="shared" si="24"/>
        <v>0.2903609191057045</v>
      </c>
      <c r="BN59" s="134">
        <f t="shared" si="25"/>
        <v>0.37422498653993719</v>
      </c>
      <c r="BO59" s="134">
        <f t="shared" si="26"/>
        <v>0.46005961541719187</v>
      </c>
      <c r="BP59" s="134">
        <f t="shared" si="27"/>
        <v>0.31754306865190168</v>
      </c>
      <c r="BQ59" s="44">
        <f t="shared" si="29"/>
        <v>0.62464805967724701</v>
      </c>
      <c r="BR59" s="44">
        <f t="shared" si="28"/>
        <v>0.14889289663970418</v>
      </c>
    </row>
    <row r="60" spans="1:70" ht="18" x14ac:dyDescent="0.2">
      <c r="A60" s="65">
        <v>6</v>
      </c>
      <c r="B60" s="117">
        <v>38</v>
      </c>
      <c r="C60" s="117" t="s">
        <v>163</v>
      </c>
      <c r="D60" s="229"/>
      <c r="E60" s="230"/>
      <c r="F60" s="332">
        <v>2.8</v>
      </c>
      <c r="G60" s="234"/>
      <c r="H60" s="168">
        <v>-1.7</v>
      </c>
      <c r="I60" s="4">
        <v>30.324999999999999</v>
      </c>
      <c r="J60" s="22"/>
      <c r="K60" s="22"/>
      <c r="L60" s="6">
        <f t="shared" si="5"/>
        <v>9.9317065127782364E-2</v>
      </c>
      <c r="M60" s="6">
        <v>20.059999999999999</v>
      </c>
      <c r="N60" s="38">
        <v>85570758</v>
      </c>
      <c r="O60" s="5">
        <v>3110707058</v>
      </c>
      <c r="P60" s="127">
        <f t="shared" si="0"/>
        <v>2.7508459139516956E-2</v>
      </c>
      <c r="Q60" s="6">
        <v>35.69</v>
      </c>
      <c r="R60" s="38">
        <v>8261462</v>
      </c>
      <c r="S60" s="6"/>
      <c r="T60" s="38"/>
      <c r="U60" s="6"/>
      <c r="V60" s="38"/>
      <c r="W60" s="6">
        <v>36.299999999999997</v>
      </c>
      <c r="X60" s="38">
        <v>19182969</v>
      </c>
      <c r="Y60" s="38">
        <v>870939620</v>
      </c>
      <c r="Z60" s="66">
        <f t="shared" ref="Z60" si="75">X60/Y60</f>
        <v>2.2025601499217593E-2</v>
      </c>
      <c r="AA60" s="6">
        <v>37.450000000000003</v>
      </c>
      <c r="AB60" s="38">
        <v>4687956</v>
      </c>
      <c r="AC60" s="38"/>
      <c r="AD60" s="38"/>
      <c r="AE60" s="38"/>
      <c r="AF60" s="38"/>
      <c r="AG60" s="6">
        <v>38.06</v>
      </c>
      <c r="AH60" s="38">
        <v>7128582</v>
      </c>
      <c r="AI60" s="6">
        <v>38.979999999999997</v>
      </c>
      <c r="AJ60" s="38">
        <v>5587343</v>
      </c>
      <c r="AK60" s="38"/>
      <c r="AL60" s="38"/>
      <c r="AM60" s="38"/>
      <c r="AN60" s="38"/>
      <c r="AO60" s="6">
        <v>39.58</v>
      </c>
      <c r="AP60" s="38">
        <v>12143010</v>
      </c>
      <c r="AQ60" s="139">
        <f t="shared" si="6"/>
        <v>56991322</v>
      </c>
      <c r="AR60" s="6">
        <f t="shared" si="7"/>
        <v>6.6146554863898907E-2</v>
      </c>
      <c r="AS60" s="6">
        <f t="shared" si="8"/>
        <v>3.3073277431949454E-2</v>
      </c>
      <c r="AT60" s="191">
        <f t="shared" si="30"/>
        <v>9.260517680945847E-2</v>
      </c>
      <c r="AU60" s="191">
        <f t="shared" si="10"/>
        <v>0.7332159684042634</v>
      </c>
      <c r="AV60" s="192">
        <f t="shared" si="11"/>
        <v>2.516445021996154E-2</v>
      </c>
      <c r="AW60" s="6">
        <f t="shared" si="12"/>
        <v>3.1853175135154572E-2</v>
      </c>
      <c r="AX60" s="6">
        <f t="shared" si="13"/>
        <v>1.5926587567577286E-2</v>
      </c>
      <c r="AY60" s="193">
        <f t="shared" si="14"/>
        <v>4.4594445189216396E-2</v>
      </c>
      <c r="AZ60" s="193">
        <f t="shared" si="15"/>
        <v>1.4150228522676946</v>
      </c>
      <c r="BA60" s="194">
        <f t="shared" si="16"/>
        <v>1.4864815063072133E-2</v>
      </c>
      <c r="BB60" s="6">
        <f t="shared" si="17"/>
        <v>1.3714777122003701E-2</v>
      </c>
      <c r="BC60" s="6">
        <f t="shared" si="18"/>
        <v>6.8573885610018516E-3</v>
      </c>
      <c r="BD60" s="6">
        <f t="shared" si="19"/>
        <v>2.0578602606740628E-2</v>
      </c>
      <c r="BE60" s="6">
        <f t="shared" si="20"/>
        <v>1.0289301303370314E-2</v>
      </c>
      <c r="BF60" s="191">
        <f t="shared" si="21"/>
        <v>2.8810043649436876E-2</v>
      </c>
      <c r="BG60" s="191">
        <f t="shared" si="22"/>
        <v>0.38108523345815976</v>
      </c>
      <c r="BH60" s="192">
        <f t="shared" si="23"/>
        <v>9.603347883145626E-3</v>
      </c>
      <c r="BI60" s="124">
        <v>442687351</v>
      </c>
      <c r="BJ60" s="38">
        <f t="shared" si="52"/>
        <v>48.155456018374167</v>
      </c>
      <c r="BK60" s="38">
        <f t="shared" si="53"/>
        <v>20.733925070206304</v>
      </c>
      <c r="BL60" s="38">
        <f t="shared" si="54"/>
        <v>31.110618911419532</v>
      </c>
      <c r="BM60" s="134">
        <f t="shared" si="24"/>
        <v>0.30102507863981587</v>
      </c>
      <c r="BN60" s="134">
        <f t="shared" si="25"/>
        <v>0.39672838186616077</v>
      </c>
      <c r="BO60" s="134">
        <f t="shared" si="26"/>
        <v>0.46012833720799046</v>
      </c>
      <c r="BP60" s="134">
        <f t="shared" si="27"/>
        <v>0.32525585211025637</v>
      </c>
      <c r="BQ60" s="44">
        <f t="shared" si="29"/>
        <v>0.64604556749600672</v>
      </c>
      <c r="BR60" s="44">
        <f t="shared" si="28"/>
        <v>0.11405594250767633</v>
      </c>
    </row>
    <row r="61" spans="1:70" ht="18" x14ac:dyDescent="0.2">
      <c r="A61" s="65">
        <v>5</v>
      </c>
      <c r="B61" s="117">
        <v>37</v>
      </c>
      <c r="C61" s="117" t="s">
        <v>162</v>
      </c>
      <c r="D61" s="229"/>
      <c r="E61" s="230"/>
      <c r="F61" s="332">
        <v>2.8</v>
      </c>
      <c r="G61" s="234"/>
      <c r="H61" s="168">
        <v>-1.9</v>
      </c>
      <c r="I61" s="4">
        <v>30.126999999999999</v>
      </c>
      <c r="J61" s="22"/>
      <c r="K61" s="22"/>
      <c r="L61" s="6">
        <f t="shared" si="5"/>
        <v>9.9969794536462306E-2</v>
      </c>
      <c r="M61" s="25">
        <v>20.059999999999999</v>
      </c>
      <c r="N61" s="125">
        <v>76023519</v>
      </c>
      <c r="O61" s="5">
        <v>2951660442</v>
      </c>
      <c r="P61" s="66">
        <f>N60/O61</f>
        <v>2.8990718845023571E-2</v>
      </c>
      <c r="Q61" s="6">
        <v>35.69</v>
      </c>
      <c r="R61" s="38">
        <v>11674169</v>
      </c>
      <c r="S61" s="6"/>
      <c r="T61" s="38"/>
      <c r="U61" s="6"/>
      <c r="V61" s="38"/>
      <c r="W61" s="6">
        <v>36.299999999999997</v>
      </c>
      <c r="X61" s="38">
        <v>26631066</v>
      </c>
      <c r="Y61" s="38">
        <v>978811146</v>
      </c>
      <c r="Z61" s="66">
        <f t="shared" si="1"/>
        <v>2.720756308183683E-2</v>
      </c>
      <c r="AA61" s="6">
        <v>37.450000000000003</v>
      </c>
      <c r="AB61" s="38">
        <v>6116111</v>
      </c>
      <c r="AC61" s="38"/>
      <c r="AD61" s="38"/>
      <c r="AE61" s="38"/>
      <c r="AF61" s="38"/>
      <c r="AG61" s="6">
        <v>38.08</v>
      </c>
      <c r="AH61" s="38">
        <v>10528369</v>
      </c>
      <c r="AI61" s="6">
        <v>38.979999999999997</v>
      </c>
      <c r="AJ61" s="38">
        <v>7163515</v>
      </c>
      <c r="AK61" s="38"/>
      <c r="AL61" s="38"/>
      <c r="AM61" s="38"/>
      <c r="AN61" s="38"/>
      <c r="AO61" s="6">
        <v>39.57</v>
      </c>
      <c r="AP61" s="38">
        <v>16334192</v>
      </c>
      <c r="AQ61" s="139">
        <f t="shared" si="6"/>
        <v>78447422</v>
      </c>
      <c r="AR61" s="6">
        <f t="shared" si="7"/>
        <v>0.10315719085899132</v>
      </c>
      <c r="AS61" s="6">
        <f t="shared" si="8"/>
        <v>5.1578595429495659E-2</v>
      </c>
      <c r="AT61" s="191">
        <f t="shared" si="30"/>
        <v>0.14442006720258785</v>
      </c>
      <c r="AU61" s="191">
        <f t="shared" si="10"/>
        <v>1.1434684655786844</v>
      </c>
      <c r="AV61" s="192">
        <f t="shared" si="11"/>
        <v>3.924458347896409E-2</v>
      </c>
      <c r="AW61" s="6">
        <f t="shared" si="12"/>
        <v>5.0370813177181457E-2</v>
      </c>
      <c r="AX61" s="6">
        <f t="shared" si="13"/>
        <v>2.5185406588590729E-2</v>
      </c>
      <c r="AY61" s="193">
        <f t="shared" si="14"/>
        <v>7.0519138448054033E-2</v>
      </c>
      <c r="AZ61" s="193">
        <f t="shared" si="15"/>
        <v>2.2376372663193411</v>
      </c>
      <c r="BA61" s="194">
        <f t="shared" si="16"/>
        <v>2.3506379482684678E-2</v>
      </c>
      <c r="BB61" s="6">
        <f t="shared" si="17"/>
        <v>2.1887243153875264E-2</v>
      </c>
      <c r="BC61" s="6">
        <f t="shared" si="18"/>
        <v>1.0943621576937632E-2</v>
      </c>
      <c r="BD61" s="6">
        <f t="shared" si="19"/>
        <v>3.0899134527934601E-2</v>
      </c>
      <c r="BE61" s="6">
        <f t="shared" si="20"/>
        <v>1.54495672639673E-2</v>
      </c>
      <c r="BF61" s="191">
        <f t="shared" si="21"/>
        <v>4.3258788339108435E-2</v>
      </c>
      <c r="BG61" s="191">
        <f t="shared" si="22"/>
        <v>0.57220619496175185</v>
      </c>
      <c r="BH61" s="192">
        <f t="shared" si="23"/>
        <v>1.4419596113036144E-2</v>
      </c>
      <c r="BI61" s="124">
        <v>495691920</v>
      </c>
      <c r="BJ61" s="38">
        <f t="shared" si="52"/>
        <v>48.82918268493259</v>
      </c>
      <c r="BK61" s="38">
        <f t="shared" si="53"/>
        <v>21.21737027891114</v>
      </c>
      <c r="BL61" s="38">
        <f t="shared" si="54"/>
        <v>29.953447036156266</v>
      </c>
      <c r="BM61" s="134">
        <f t="shared" si="24"/>
        <v>0.30476693329253823</v>
      </c>
      <c r="BN61" s="134">
        <f t="shared" si="25"/>
        <v>0.36745581718383513</v>
      </c>
      <c r="BO61" s="134">
        <f t="shared" si="26"/>
        <v>0.43855949532122557</v>
      </c>
      <c r="BP61" s="134">
        <f t="shared" si="27"/>
        <v>0.31809579414859546</v>
      </c>
      <c r="BQ61" s="44">
        <f t="shared" si="29"/>
        <v>0.61343330748395097</v>
      </c>
      <c r="BR61" s="44">
        <f t="shared" si="28"/>
        <v>0.13663481364424596</v>
      </c>
    </row>
    <row r="62" spans="1:70" ht="18" x14ac:dyDescent="0.2">
      <c r="A62" s="65">
        <v>4</v>
      </c>
      <c r="B62" s="117">
        <v>36</v>
      </c>
      <c r="C62" s="117" t="s">
        <v>161</v>
      </c>
      <c r="D62" s="229"/>
      <c r="E62" s="230"/>
      <c r="F62" s="332">
        <v>2.8</v>
      </c>
      <c r="G62" s="234"/>
      <c r="H62" s="168">
        <v>-2.1</v>
      </c>
      <c r="I62" s="4">
        <v>30.097000000000001</v>
      </c>
      <c r="J62" s="22"/>
      <c r="K62" s="22"/>
      <c r="L62" s="6">
        <f t="shared" si="5"/>
        <v>0.10006944213709007</v>
      </c>
      <c r="M62" s="6">
        <v>20.059999999999999</v>
      </c>
      <c r="N62" s="38">
        <v>76240630</v>
      </c>
      <c r="O62" s="5">
        <v>2737713289</v>
      </c>
      <c r="P62" s="66">
        <f t="shared" si="0"/>
        <v>2.7848288681773643E-2</v>
      </c>
      <c r="Q62" s="6">
        <v>35.69</v>
      </c>
      <c r="R62" s="38">
        <v>5913346</v>
      </c>
      <c r="S62" s="6"/>
      <c r="T62" s="38"/>
      <c r="U62" s="6"/>
      <c r="V62" s="38"/>
      <c r="W62" s="6">
        <v>36.299999999999997</v>
      </c>
      <c r="X62" s="38">
        <v>14337386</v>
      </c>
      <c r="Y62" s="38">
        <v>506165206</v>
      </c>
      <c r="Z62" s="66">
        <f t="shared" si="1"/>
        <v>2.8325506830669037E-2</v>
      </c>
      <c r="AA62" s="6">
        <v>37.450000000000003</v>
      </c>
      <c r="AB62" s="38">
        <v>4091437</v>
      </c>
      <c r="AC62" s="38"/>
      <c r="AD62" s="38"/>
      <c r="AE62" s="38"/>
      <c r="AF62" s="38"/>
      <c r="AG62" s="6">
        <v>38.07</v>
      </c>
      <c r="AH62" s="38">
        <v>6605755</v>
      </c>
      <c r="AI62" s="6">
        <v>38.979999999999997</v>
      </c>
      <c r="AJ62" s="38">
        <v>4638598</v>
      </c>
      <c r="AK62" s="38"/>
      <c r="AL62" s="38"/>
      <c r="AM62" s="38"/>
      <c r="AN62" s="38"/>
      <c r="AO62" s="6">
        <v>39.57</v>
      </c>
      <c r="AP62" s="38">
        <v>11265985</v>
      </c>
      <c r="AQ62" s="139">
        <f t="shared" si="6"/>
        <v>46852507</v>
      </c>
      <c r="AR62" s="6">
        <f t="shared" si="7"/>
        <v>6.1496137141234371E-2</v>
      </c>
      <c r="AS62" s="6">
        <f t="shared" si="8"/>
        <v>3.0748068570617185E-2</v>
      </c>
      <c r="AT62" s="191">
        <f t="shared" si="30"/>
        <v>8.609459199772812E-2</v>
      </c>
      <c r="AU62" s="191">
        <f t="shared" si="10"/>
        <v>0.68166739507306506</v>
      </c>
      <c r="AV62" s="192">
        <f t="shared" si="11"/>
        <v>2.3395269564600033E-2</v>
      </c>
      <c r="AW62" s="6">
        <f t="shared" si="12"/>
        <v>2.6580046021494292E-2</v>
      </c>
      <c r="AX62" s="6">
        <f t="shared" si="13"/>
        <v>1.3290023010747146E-2</v>
      </c>
      <c r="AY62" s="193">
        <f t="shared" si="14"/>
        <v>3.7212064430092007E-2</v>
      </c>
      <c r="AZ62" s="193">
        <f t="shared" si="15"/>
        <v>1.1807731058255435</v>
      </c>
      <c r="BA62" s="194">
        <f t="shared" si="16"/>
        <v>1.2404021476697336E-2</v>
      </c>
      <c r="BB62" s="6">
        <f t="shared" si="17"/>
        <v>1.4040571751221661E-2</v>
      </c>
      <c r="BC62" s="6">
        <f t="shared" si="18"/>
        <v>7.0202858756108315E-3</v>
      </c>
      <c r="BD62" s="6">
        <f t="shared" si="19"/>
        <v>2.0875519368518419E-2</v>
      </c>
      <c r="BE62" s="6">
        <f t="shared" si="20"/>
        <v>1.043775968425921E-2</v>
      </c>
      <c r="BF62" s="191">
        <f t="shared" si="21"/>
        <v>2.9225727115925786E-2</v>
      </c>
      <c r="BG62" s="191">
        <f t="shared" si="22"/>
        <v>0.38658369200960041</v>
      </c>
      <c r="BH62" s="192">
        <f t="shared" si="23"/>
        <v>9.7419090386419282E-3</v>
      </c>
      <c r="BI62" s="124">
        <v>319483919</v>
      </c>
      <c r="BJ62" s="38">
        <f t="shared" si="52"/>
        <v>43.222301850357759</v>
      </c>
      <c r="BK62" s="38">
        <f t="shared" si="53"/>
        <v>22.8316320405224</v>
      </c>
      <c r="BL62" s="38">
        <f t="shared" si="54"/>
        <v>33.94606610911984</v>
      </c>
      <c r="BM62" s="134">
        <f t="shared" si="24"/>
        <v>0.29200653092441298</v>
      </c>
      <c r="BN62" s="134">
        <f t="shared" si="25"/>
        <v>0.38247766329705962</v>
      </c>
      <c r="BO62" s="134">
        <f t="shared" si="26"/>
        <v>0.4117347928299212</v>
      </c>
      <c r="BP62" s="134">
        <f t="shared" si="27"/>
        <v>0.31254210153578332</v>
      </c>
      <c r="BQ62" s="44">
        <f t="shared" si="29"/>
        <v>0.78538311602760824</v>
      </c>
      <c r="BR62" s="44">
        <f t="shared" si="28"/>
        <v>0.12789475376931259</v>
      </c>
    </row>
    <row r="63" spans="1:70" ht="18" x14ac:dyDescent="0.2">
      <c r="A63" s="65">
        <v>3</v>
      </c>
      <c r="B63" s="117">
        <v>35</v>
      </c>
      <c r="C63" s="117" t="s">
        <v>160</v>
      </c>
      <c r="D63" s="229"/>
      <c r="E63" s="230"/>
      <c r="F63" s="332">
        <v>2.8</v>
      </c>
      <c r="G63" s="234"/>
      <c r="H63" s="168">
        <v>-2.2999999999999998</v>
      </c>
      <c r="I63" s="3">
        <v>30.098500000000001</v>
      </c>
      <c r="J63" s="22"/>
      <c r="K63" s="22"/>
      <c r="L63" s="6">
        <f t="shared" si="5"/>
        <v>0.10006445503928767</v>
      </c>
      <c r="M63" s="6">
        <v>19.920000000000002</v>
      </c>
      <c r="N63" s="38">
        <v>33186681</v>
      </c>
      <c r="O63" s="5">
        <v>1308393071</v>
      </c>
      <c r="P63" s="66">
        <f t="shared" si="0"/>
        <v>2.536445792596222E-2</v>
      </c>
      <c r="Q63" s="6">
        <v>35.520000000000003</v>
      </c>
      <c r="R63" s="38">
        <v>2069808</v>
      </c>
      <c r="S63" s="6"/>
      <c r="T63" s="38"/>
      <c r="U63" s="6"/>
      <c r="V63" s="38"/>
      <c r="W63" s="6">
        <v>36.159999999999997</v>
      </c>
      <c r="X63" s="38">
        <v>5659090</v>
      </c>
      <c r="Y63" s="38">
        <v>204952521</v>
      </c>
      <c r="Z63" s="66">
        <f t="shared" si="1"/>
        <v>2.7611712080379824E-2</v>
      </c>
      <c r="AA63" s="6">
        <v>37.28</v>
      </c>
      <c r="AB63" s="38">
        <v>1346968</v>
      </c>
      <c r="AC63" s="38"/>
      <c r="AD63" s="38"/>
      <c r="AE63" s="38"/>
      <c r="AF63" s="38"/>
      <c r="AG63" s="6">
        <v>37.93</v>
      </c>
      <c r="AH63" s="38">
        <v>2326030</v>
      </c>
      <c r="AI63" s="6">
        <v>38.79</v>
      </c>
      <c r="AJ63" s="38">
        <v>1716356</v>
      </c>
      <c r="AK63" s="38"/>
      <c r="AL63" s="38"/>
      <c r="AM63" s="38"/>
      <c r="AN63" s="38"/>
      <c r="AO63" s="6">
        <v>39.409999999999997</v>
      </c>
      <c r="AP63" s="38">
        <v>4078651</v>
      </c>
      <c r="AQ63" s="139">
        <f t="shared" si="6"/>
        <v>17196903</v>
      </c>
      <c r="AR63" s="6">
        <f t="shared" si="7"/>
        <v>5.1852088705661506E-2</v>
      </c>
      <c r="AS63" s="6">
        <f t="shared" si="8"/>
        <v>2.5926044352830753E-2</v>
      </c>
      <c r="AT63" s="191">
        <f t="shared" si="30"/>
        <v>7.2592924187926108E-2</v>
      </c>
      <c r="AU63" s="191">
        <f t="shared" si="10"/>
        <v>0.57476582888302541</v>
      </c>
      <c r="AV63" s="192">
        <f t="shared" si="11"/>
        <v>1.9726338094545139E-2</v>
      </c>
      <c r="AW63" s="6">
        <f t="shared" si="12"/>
        <v>2.3304167308090869E-2</v>
      </c>
      <c r="AX63" s="6">
        <f t="shared" si="13"/>
        <v>1.1652083654045435E-2</v>
      </c>
      <c r="AY63" s="193">
        <f t="shared" si="14"/>
        <v>3.2625834231327214E-2</v>
      </c>
      <c r="AZ63" s="193">
        <f t="shared" si="15"/>
        <v>1.0352477941084313</v>
      </c>
      <c r="BA63" s="194">
        <f t="shared" si="16"/>
        <v>1.0875278077109071E-2</v>
      </c>
      <c r="BB63" s="6">
        <f t="shared" si="17"/>
        <v>1.1074820746021377E-2</v>
      </c>
      <c r="BC63" s="6">
        <f t="shared" si="18"/>
        <v>5.5374103730106887E-3</v>
      </c>
      <c r="BD63" s="6">
        <f t="shared" si="19"/>
        <v>1.7473100651549254E-2</v>
      </c>
      <c r="BE63" s="6">
        <f t="shared" si="20"/>
        <v>8.7365503257746269E-3</v>
      </c>
      <c r="BF63" s="191">
        <f t="shared" si="21"/>
        <v>2.4462340912168954E-2</v>
      </c>
      <c r="BG63" s="191">
        <f t="shared" si="22"/>
        <v>0.32357593799165285</v>
      </c>
      <c r="BH63" s="192">
        <f t="shared" si="23"/>
        <v>8.1541136373896508E-3</v>
      </c>
      <c r="BI63" s="124">
        <f t="shared" ref="BI63" si="76">SUM(U63,W63,Y63,AA63,AC63,AE63,AG63,AI63,AK63,AM63,AO63,AQ63)</f>
        <v>222149613.56999999</v>
      </c>
      <c r="BJ63" s="38">
        <f t="shared" si="52"/>
        <v>44.943545939638085</v>
      </c>
      <c r="BK63" s="38">
        <f t="shared" si="53"/>
        <v>21.358485304010845</v>
      </c>
      <c r="BL63" s="38">
        <f t="shared" si="54"/>
        <v>33.697968756351074</v>
      </c>
      <c r="BM63" s="134">
        <f t="shared" si="24"/>
        <v>0.26780117941781612</v>
      </c>
      <c r="BN63" s="134">
        <f t="shared" si="25"/>
        <v>0.3667216807632348</v>
      </c>
      <c r="BO63" s="134">
        <f t="shared" si="26"/>
        <v>0.42081462718923485</v>
      </c>
      <c r="BP63" s="134">
        <f t="shared" si="27"/>
        <v>0.29849165282841916</v>
      </c>
      <c r="BQ63" s="44">
        <f t="shared" si="29"/>
        <v>0.74978438064520969</v>
      </c>
      <c r="BR63" s="44">
        <f t="shared" si="28"/>
        <v>7.1849397461235004E-2</v>
      </c>
    </row>
    <row r="64" spans="1:70" ht="18" x14ac:dyDescent="0.2">
      <c r="A64" s="65">
        <v>2</v>
      </c>
      <c r="B64" s="117">
        <v>34</v>
      </c>
      <c r="C64" s="117" t="s">
        <v>159</v>
      </c>
      <c r="D64" s="229"/>
      <c r="E64" s="230"/>
      <c r="F64" s="332">
        <v>2.8</v>
      </c>
      <c r="G64" s="234"/>
      <c r="H64" s="168">
        <v>-2.5</v>
      </c>
      <c r="I64" s="4">
        <v>30.507999999999999</v>
      </c>
      <c r="J64" s="22"/>
      <c r="K64" s="22"/>
      <c r="L64" s="6">
        <f t="shared" si="5"/>
        <v>9.8721318998295532E-2</v>
      </c>
      <c r="M64" s="6">
        <v>19.920000000000002</v>
      </c>
      <c r="N64" s="38">
        <v>11530842</v>
      </c>
      <c r="O64" s="38">
        <v>444274966</v>
      </c>
      <c r="P64" s="66">
        <f>N64/O64</f>
        <v>2.5954291559160233E-2</v>
      </c>
      <c r="Q64" s="6">
        <v>35.520000000000003</v>
      </c>
      <c r="R64" s="38">
        <v>1613073</v>
      </c>
      <c r="S64" s="6"/>
      <c r="T64" s="38"/>
      <c r="U64" s="6"/>
      <c r="V64" s="38"/>
      <c r="W64" s="141">
        <v>36.15</v>
      </c>
      <c r="X64" s="38">
        <v>3673626</v>
      </c>
      <c r="Y64" s="38">
        <v>104273291</v>
      </c>
      <c r="Z64" s="66">
        <f t="shared" si="1"/>
        <v>3.5230747632200465E-2</v>
      </c>
      <c r="AA64" s="6">
        <v>37.270000000000003</v>
      </c>
      <c r="AB64" s="38">
        <v>1079265</v>
      </c>
      <c r="AC64" s="38"/>
      <c r="AD64" s="38"/>
      <c r="AE64" s="38"/>
      <c r="AF64" s="38"/>
      <c r="AG64" s="6">
        <v>37.93</v>
      </c>
      <c r="AH64" s="38">
        <v>1652899</v>
      </c>
      <c r="AI64" s="6">
        <v>38.79</v>
      </c>
      <c r="AJ64" s="38">
        <v>1331136</v>
      </c>
      <c r="AK64" s="38"/>
      <c r="AL64" s="38"/>
      <c r="AM64" s="38"/>
      <c r="AN64" s="38"/>
      <c r="AO64" s="6">
        <v>39.42</v>
      </c>
      <c r="AP64" s="38">
        <v>2672563</v>
      </c>
      <c r="AQ64" s="139">
        <f t="shared" si="6"/>
        <v>12022562</v>
      </c>
      <c r="AR64" s="6">
        <f t="shared" si="7"/>
        <v>0.10293118042713498</v>
      </c>
      <c r="AS64" s="6">
        <f t="shared" si="8"/>
        <v>5.1465590213567489E-2</v>
      </c>
      <c r="AT64" s="191">
        <f t="shared" si="30"/>
        <v>0.14410365259798896</v>
      </c>
      <c r="AU64" s="191">
        <f t="shared" si="10"/>
        <v>1.1409632034678461</v>
      </c>
      <c r="AV64" s="192">
        <f t="shared" si="11"/>
        <v>3.9158601249453522E-2</v>
      </c>
      <c r="AW64" s="6">
        <f t="shared" si="12"/>
        <v>4.5262080464459578E-2</v>
      </c>
      <c r="AX64" s="6">
        <f t="shared" si="13"/>
        <v>2.2631040232229789E-2</v>
      </c>
      <c r="AY64" s="193">
        <f t="shared" si="14"/>
        <v>6.3366912650243412E-2</v>
      </c>
      <c r="AZ64" s="193">
        <f t="shared" si="15"/>
        <v>2.0106905489526703</v>
      </c>
      <c r="BA64" s="194">
        <f t="shared" si="16"/>
        <v>2.1122304216747805E-2</v>
      </c>
      <c r="BB64" s="6">
        <f t="shared" si="17"/>
        <v>2.3391425691173213E-2</v>
      </c>
      <c r="BC64" s="6">
        <f t="shared" si="18"/>
        <v>1.1695712845586606E-2</v>
      </c>
      <c r="BD64" s="6">
        <f t="shared" si="19"/>
        <v>3.4277674271502183E-2</v>
      </c>
      <c r="BE64" s="6">
        <f t="shared" si="20"/>
        <v>1.7138837135751091E-2</v>
      </c>
      <c r="BF64" s="191">
        <f t="shared" si="21"/>
        <v>4.7988743980103055E-2</v>
      </c>
      <c r="BG64" s="191">
        <f t="shared" si="22"/>
        <v>0.63477174576855888</v>
      </c>
      <c r="BH64" s="192">
        <f t="shared" si="23"/>
        <v>1.5996247993367685E-2</v>
      </c>
      <c r="BI64" s="124">
        <v>80011568</v>
      </c>
      <c r="BJ64" s="38">
        <f t="shared" si="52"/>
        <v>43.97314815261506</v>
      </c>
      <c r="BK64" s="38">
        <f t="shared" si="53"/>
        <v>22.725305970557688</v>
      </c>
      <c r="BL64" s="38">
        <f t="shared" si="54"/>
        <v>33.301545876827255</v>
      </c>
      <c r="BM64" s="134">
        <f t="shared" si="24"/>
        <v>0.30511913010368097</v>
      </c>
      <c r="BN64" s="134">
        <f t="shared" si="25"/>
        <v>0.39502204113662281</v>
      </c>
      <c r="BO64" s="134">
        <f t="shared" si="26"/>
        <v>0.49807469459092263</v>
      </c>
      <c r="BP64" s="134">
        <f t="shared" si="27"/>
        <v>0.33466028289145028</v>
      </c>
      <c r="BQ64" s="44">
        <f t="shared" si="29"/>
        <v>0.75731548174011798</v>
      </c>
      <c r="BR64" s="44">
        <f t="shared" si="28"/>
        <v>0.13063156027008677</v>
      </c>
    </row>
    <row r="65" spans="1:70" ht="18" x14ac:dyDescent="0.2">
      <c r="A65" s="65">
        <v>1</v>
      </c>
      <c r="B65" s="117">
        <v>33</v>
      </c>
      <c r="C65" s="117" t="s">
        <v>158</v>
      </c>
      <c r="D65" s="231"/>
      <c r="E65" s="232"/>
      <c r="F65" s="332">
        <v>2.8</v>
      </c>
      <c r="G65" s="235"/>
      <c r="H65" s="168">
        <v>-2.7</v>
      </c>
      <c r="I65" s="3">
        <v>30.245799999999999</v>
      </c>
      <c r="J65" s="22"/>
      <c r="K65" s="22"/>
      <c r="L65" s="6">
        <f t="shared" si="5"/>
        <v>9.9577131370305966E-2</v>
      </c>
      <c r="M65" s="6">
        <v>19.920000000000002</v>
      </c>
      <c r="N65" s="38">
        <v>10165105</v>
      </c>
      <c r="O65" s="38">
        <v>401835719</v>
      </c>
      <c r="P65" s="66">
        <f t="shared" si="0"/>
        <v>2.5296668562209124E-2</v>
      </c>
      <c r="Q65" s="6">
        <v>35.51</v>
      </c>
      <c r="R65" s="38">
        <v>1912975</v>
      </c>
      <c r="S65" s="6"/>
      <c r="T65" s="38"/>
      <c r="U65" s="6"/>
      <c r="V65" s="142"/>
      <c r="W65" s="6">
        <v>36.15</v>
      </c>
      <c r="X65" s="143">
        <v>4082083</v>
      </c>
      <c r="Y65" s="38">
        <v>145212899</v>
      </c>
      <c r="Z65" s="66">
        <f t="shared" si="1"/>
        <v>2.8111022010517125E-2</v>
      </c>
      <c r="AA65" s="6">
        <v>37.28</v>
      </c>
      <c r="AB65" s="38">
        <v>1110633</v>
      </c>
      <c r="AC65" s="38"/>
      <c r="AD65" s="38"/>
      <c r="AE65" s="38"/>
      <c r="AF65" s="38"/>
      <c r="AG65" s="6">
        <v>37.92</v>
      </c>
      <c r="AH65" s="38">
        <v>1647585</v>
      </c>
      <c r="AI65" s="6">
        <v>38.79</v>
      </c>
      <c r="AJ65" s="38">
        <v>1344449</v>
      </c>
      <c r="AK65" s="38"/>
      <c r="AL65" s="38"/>
      <c r="AM65" s="38"/>
      <c r="AN65" s="38"/>
      <c r="AO65" s="6">
        <v>39.42</v>
      </c>
      <c r="AP65" s="38">
        <v>2994643</v>
      </c>
      <c r="AQ65" s="139">
        <f t="shared" si="6"/>
        <v>13092368</v>
      </c>
      <c r="AR65" s="6">
        <f t="shared" si="7"/>
        <v>0.12825253140861703</v>
      </c>
      <c r="AS65" s="6">
        <f t="shared" si="8"/>
        <v>6.4126265704308516E-2</v>
      </c>
      <c r="AT65" s="191">
        <f t="shared" si="30"/>
        <v>0.17955354397206383</v>
      </c>
      <c r="AU65" s="191">
        <f t="shared" si="10"/>
        <v>1.4216432618532369</v>
      </c>
      <c r="AV65" s="192">
        <f t="shared" si="11"/>
        <v>4.8791723905452125E-2</v>
      </c>
      <c r="AW65" s="6">
        <f t="shared" si="12"/>
        <v>5.8727448269211557E-2</v>
      </c>
      <c r="AX65" s="6">
        <f t="shared" si="13"/>
        <v>2.9363724134605779E-2</v>
      </c>
      <c r="AY65" s="193">
        <f t="shared" si="14"/>
        <v>8.221842757689618E-2</v>
      </c>
      <c r="AZ65" s="193">
        <f t="shared" si="15"/>
        <v>2.6088664945865836</v>
      </c>
      <c r="BA65" s="194">
        <f t="shared" si="16"/>
        <v>2.740614252563206E-2</v>
      </c>
      <c r="BB65" s="6">
        <f t="shared" si="17"/>
        <v>2.7019439163092025E-2</v>
      </c>
      <c r="BC65" s="6">
        <f t="shared" si="18"/>
        <v>1.3509719581546013E-2</v>
      </c>
      <c r="BD65" s="6">
        <f t="shared" si="19"/>
        <v>4.2505643976313442E-2</v>
      </c>
      <c r="BE65" s="6">
        <f t="shared" si="20"/>
        <v>2.1252821988156721E-2</v>
      </c>
      <c r="BF65" s="191">
        <f t="shared" si="21"/>
        <v>5.9507901566838814E-2</v>
      </c>
      <c r="BG65" s="191">
        <f t="shared" si="22"/>
        <v>0.78714155511691553</v>
      </c>
      <c r="BH65" s="192">
        <f t="shared" si="23"/>
        <v>1.9835967188946271E-2</v>
      </c>
      <c r="BI65" s="124">
        <v>107160857</v>
      </c>
      <c r="BJ65" s="38">
        <f t="shared" si="52"/>
        <v>45.790478849968167</v>
      </c>
      <c r="BK65" s="38">
        <f t="shared" si="53"/>
        <v>21.067372991654373</v>
      </c>
      <c r="BL65" s="38">
        <f t="shared" si="54"/>
        <v>33.142148158377459</v>
      </c>
      <c r="BM65" s="134">
        <f t="shared" si="24"/>
        <v>0.31909199210416311</v>
      </c>
      <c r="BN65" s="134">
        <f t="shared" si="25"/>
        <v>0.40266324126664388</v>
      </c>
      <c r="BO65" s="134">
        <f t="shared" si="26"/>
        <v>0.44895134411681126</v>
      </c>
      <c r="BP65" s="134">
        <f t="shared" si="27"/>
        <v>0.33363383919547634</v>
      </c>
      <c r="BQ65" s="44">
        <f t="shared" si="29"/>
        <v>0.72377815193781281</v>
      </c>
      <c r="BR65" s="44">
        <f t="shared" si="28"/>
        <v>0.10887332127683062</v>
      </c>
    </row>
    <row r="66" spans="1:70" ht="18" x14ac:dyDescent="0.2">
      <c r="F66" s="333"/>
      <c r="W66" s="130"/>
      <c r="AT66" s="183">
        <f>SUM(AT5:AT65)</f>
        <v>12.38113221272067</v>
      </c>
      <c r="AV66" s="190"/>
      <c r="AY66" s="189">
        <f>SUM(AY5:AY65)</f>
        <v>3.0585221463418111</v>
      </c>
      <c r="BA66" s="187"/>
      <c r="BF66" s="183">
        <f>SUM(BF5:BF65)</f>
        <v>7.4638923084395703</v>
      </c>
      <c r="BH66" s="190"/>
      <c r="BI66" s="80"/>
    </row>
    <row r="73" spans="1:70" x14ac:dyDescent="0.2">
      <c r="BI73" s="48"/>
      <c r="BJ73" s="50"/>
      <c r="BK73" s="48"/>
      <c r="BL73" s="48"/>
      <c r="BM73" s="48"/>
      <c r="BN73" s="48"/>
      <c r="BO73" s="48"/>
      <c r="BP73" s="48"/>
      <c r="BQ73" s="50"/>
    </row>
    <row r="74" spans="1:70" x14ac:dyDescent="0.2">
      <c r="BI74" s="48"/>
      <c r="BJ74" s="50"/>
      <c r="BK74" s="48"/>
      <c r="BL74" s="48"/>
      <c r="BM74" s="48"/>
      <c r="BN74" s="48"/>
      <c r="BO74" s="48"/>
      <c r="BP74" s="48"/>
      <c r="BQ74" s="50"/>
    </row>
    <row r="75" spans="1:70" x14ac:dyDescent="0.2">
      <c r="BI75" s="48"/>
      <c r="BJ75" s="50"/>
      <c r="BK75" s="48"/>
      <c r="BL75" s="48"/>
      <c r="BM75" s="48"/>
      <c r="BN75" s="48"/>
      <c r="BO75" s="48"/>
      <c r="BP75" s="48"/>
      <c r="BQ75" s="50"/>
    </row>
    <row r="76" spans="1:70" x14ac:dyDescent="0.2">
      <c r="BI76" s="48"/>
      <c r="BJ76" s="50"/>
      <c r="BK76" s="48"/>
      <c r="BL76" s="48"/>
      <c r="BM76" s="48"/>
      <c r="BN76" s="48"/>
      <c r="BO76" s="48"/>
      <c r="BP76" s="48"/>
      <c r="BQ76" s="50"/>
    </row>
    <row r="77" spans="1:70" x14ac:dyDescent="0.2">
      <c r="BI77" s="48"/>
      <c r="BJ77" s="50"/>
      <c r="BK77" s="48"/>
      <c r="BL77" s="48"/>
      <c r="BM77" s="48"/>
      <c r="BN77" s="48"/>
      <c r="BO77" s="48"/>
      <c r="BP77" s="48"/>
      <c r="BQ77" s="50"/>
    </row>
    <row r="78" spans="1:70" x14ac:dyDescent="0.2">
      <c r="BI78" s="48"/>
      <c r="BJ78" s="50"/>
      <c r="BK78" s="48"/>
      <c r="BL78" s="48"/>
      <c r="BM78" s="48"/>
      <c r="BN78" s="48"/>
      <c r="BO78" s="48"/>
      <c r="BP78" s="48"/>
      <c r="BQ78" s="50"/>
    </row>
    <row r="79" spans="1:70" x14ac:dyDescent="0.2">
      <c r="BI79" s="48"/>
      <c r="BJ79" s="50"/>
      <c r="BK79" s="48"/>
      <c r="BL79" s="48"/>
      <c r="BM79" s="48"/>
      <c r="BN79" s="48"/>
      <c r="BO79" s="48"/>
      <c r="BP79" s="48"/>
      <c r="BQ79" s="50"/>
    </row>
    <row r="80" spans="1:70" x14ac:dyDescent="0.2">
      <c r="BI80" s="48"/>
      <c r="BJ80" s="50"/>
      <c r="BK80" s="48"/>
      <c r="BL80" s="48"/>
      <c r="BM80" s="48"/>
      <c r="BN80" s="48"/>
      <c r="BO80" s="48"/>
      <c r="BP80" s="48"/>
      <c r="BQ80" s="50"/>
    </row>
    <row r="81" spans="61:69" x14ac:dyDescent="0.2">
      <c r="BI81" s="48"/>
      <c r="BJ81" s="50"/>
      <c r="BK81" s="48"/>
      <c r="BL81" s="48"/>
      <c r="BM81" s="48"/>
      <c r="BN81" s="48"/>
      <c r="BO81" s="48"/>
      <c r="BP81" s="48"/>
      <c r="BQ81" s="50"/>
    </row>
    <row r="82" spans="61:69" x14ac:dyDescent="0.2">
      <c r="BI82" s="48"/>
      <c r="BJ82" s="50"/>
      <c r="BK82" s="48"/>
      <c r="BL82" s="48"/>
      <c r="BM82" s="48"/>
      <c r="BN82" s="48"/>
      <c r="BO82" s="48"/>
      <c r="BP82" s="48"/>
      <c r="BQ82" s="50"/>
    </row>
    <row r="83" spans="61:69" x14ac:dyDescent="0.2">
      <c r="BI83" s="48"/>
      <c r="BJ83" s="50"/>
      <c r="BK83" s="48"/>
      <c r="BL83" s="48"/>
      <c r="BM83" s="48"/>
      <c r="BN83" s="48"/>
      <c r="BO83" s="48"/>
      <c r="BP83" s="48"/>
      <c r="BQ83" s="50"/>
    </row>
    <row r="84" spans="61:69" x14ac:dyDescent="0.2">
      <c r="BI84" s="48"/>
      <c r="BJ84" s="50"/>
      <c r="BK84" s="48"/>
      <c r="BL84" s="48"/>
      <c r="BM84" s="48"/>
      <c r="BN84" s="48"/>
      <c r="BO84" s="48"/>
      <c r="BP84" s="48"/>
      <c r="BQ84" s="50"/>
    </row>
    <row r="85" spans="61:69" x14ac:dyDescent="0.2">
      <c r="BI85" s="48"/>
      <c r="BJ85" s="50"/>
      <c r="BK85" s="48"/>
      <c r="BL85" s="48"/>
      <c r="BM85" s="48"/>
      <c r="BN85" s="48"/>
      <c r="BO85" s="48"/>
      <c r="BP85" s="48"/>
      <c r="BQ85" s="50"/>
    </row>
    <row r="86" spans="61:69" x14ac:dyDescent="0.2">
      <c r="BI86" s="48"/>
      <c r="BJ86" s="50"/>
      <c r="BK86" s="48"/>
      <c r="BL86" s="48"/>
      <c r="BM86" s="48"/>
      <c r="BN86" s="48"/>
      <c r="BO86" s="48"/>
      <c r="BP86" s="48"/>
      <c r="BQ86" s="50"/>
    </row>
    <row r="87" spans="61:69" x14ac:dyDescent="0.2">
      <c r="BI87" s="48"/>
      <c r="BJ87" s="50"/>
      <c r="BK87" s="48"/>
      <c r="BL87" s="48"/>
      <c r="BM87" s="48"/>
      <c r="BN87" s="48"/>
      <c r="BO87" s="48"/>
      <c r="BP87" s="48"/>
      <c r="BQ87" s="50"/>
    </row>
    <row r="88" spans="61:69" x14ac:dyDescent="0.2">
      <c r="BI88" s="48"/>
      <c r="BJ88" s="50"/>
      <c r="BK88" s="48"/>
      <c r="BL88" s="48"/>
      <c r="BM88" s="48"/>
      <c r="BN88" s="48"/>
      <c r="BO88" s="48"/>
      <c r="BP88" s="48"/>
      <c r="BQ88" s="50"/>
    </row>
  </sheetData>
  <mergeCells count="59">
    <mergeCell ref="BR3:BR4"/>
    <mergeCell ref="G9:G14"/>
    <mergeCell ref="G5:G8"/>
    <mergeCell ref="AR2:AR4"/>
    <mergeCell ref="AK2:AL3"/>
    <mergeCell ref="AG2:AH3"/>
    <mergeCell ref="AM2:AN3"/>
    <mergeCell ref="BD2:BD4"/>
    <mergeCell ref="AX2:AX4"/>
    <mergeCell ref="BB2:BB4"/>
    <mergeCell ref="AW2:AW4"/>
    <mergeCell ref="AV2:AV4"/>
    <mergeCell ref="BA2:BA4"/>
    <mergeCell ref="BH2:BH4"/>
    <mergeCell ref="BM2:BR2"/>
    <mergeCell ref="AQ2:AQ4"/>
    <mergeCell ref="AI2:AJ3"/>
    <mergeCell ref="AA2:AB3"/>
    <mergeCell ref="W2:Z3"/>
    <mergeCell ref="BL2:BL3"/>
    <mergeCell ref="AO2:AP3"/>
    <mergeCell ref="Q2:R3"/>
    <mergeCell ref="S2:T3"/>
    <mergeCell ref="U2:V3"/>
    <mergeCell ref="AC2:AD3"/>
    <mergeCell ref="AE2:AF3"/>
    <mergeCell ref="BQ3:BQ4"/>
    <mergeCell ref="BJ2:BJ3"/>
    <mergeCell ref="BI2:BI4"/>
    <mergeCell ref="AS2:AS4"/>
    <mergeCell ref="BK2:BK3"/>
    <mergeCell ref="AT2:AT4"/>
    <mergeCell ref="AY2:AY4"/>
    <mergeCell ref="BF2:BF4"/>
    <mergeCell ref="BM3:BP3"/>
    <mergeCell ref="AU2:AU4"/>
    <mergeCell ref="AZ2:AZ4"/>
    <mergeCell ref="BG2:BG4"/>
    <mergeCell ref="A2:C4"/>
    <mergeCell ref="L2:L4"/>
    <mergeCell ref="M2:P3"/>
    <mergeCell ref="F3:F4"/>
    <mergeCell ref="G3:G4"/>
    <mergeCell ref="J2:J4"/>
    <mergeCell ref="K2:K4"/>
    <mergeCell ref="H2:H4"/>
    <mergeCell ref="D2:E4"/>
    <mergeCell ref="I2:I4"/>
    <mergeCell ref="G52:G65"/>
    <mergeCell ref="E23:E46"/>
    <mergeCell ref="D23:D34"/>
    <mergeCell ref="G15:G22"/>
    <mergeCell ref="G23:G38"/>
    <mergeCell ref="D47:E51"/>
    <mergeCell ref="D35:D46"/>
    <mergeCell ref="G47:G51"/>
    <mergeCell ref="D52:E65"/>
    <mergeCell ref="G39:G46"/>
    <mergeCell ref="D5:E22"/>
  </mergeCells>
  <pageMargins left="0.7" right="0.7" top="0.75" bottom="0.75" header="0.3" footer="0.3"/>
  <pageSetup paperSize="9" orientation="portrait" r:id="rId1"/>
  <headerFooter>
    <oddFooter>&amp;L&amp;1#&amp;"Calibri"&amp;10&amp;K000000Public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n-Alkanes</vt:lpstr>
      <vt:lpstr>Hopanes</vt:lpstr>
      <vt:lpstr>Steranes</vt:lpstr>
      <vt:lpstr>'n-Alkanes'!Print_Area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Claudia Sosa Montes de Oca</cp:lastModifiedBy>
  <cp:lastPrinted>2022-03-21T16:53:21Z</cp:lastPrinted>
  <dcterms:created xsi:type="dcterms:W3CDTF">2017-03-28T15:43:22Z</dcterms:created>
  <dcterms:modified xsi:type="dcterms:W3CDTF">2024-02-16T23:23:34Z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5276e5-7dcf-4896-8462-2e13300bb1ae_Enabled">
    <vt:lpwstr>True</vt:lpwstr>
  </property>
  <property fmtid="{D5CDD505-2E9C-101B-9397-08002B2CF9AE}" pid="3" name="MSIP_Label_f35276e5-7dcf-4896-8462-2e13300bb1ae_SiteId">
    <vt:lpwstr>b2e47f30-cd7d-4a4e-a5da-b18cf1a4151b</vt:lpwstr>
  </property>
  <property fmtid="{D5CDD505-2E9C-101B-9397-08002B2CF9AE}" pid="4" name="MSIP_Label_f35276e5-7dcf-4896-8462-2e13300bb1ae_Owner">
    <vt:lpwstr>rk19006@bristol.ac.uk</vt:lpwstr>
  </property>
  <property fmtid="{D5CDD505-2E9C-101B-9397-08002B2CF9AE}" pid="5" name="MSIP_Label_f35276e5-7dcf-4896-8462-2e13300bb1ae_SetDate">
    <vt:lpwstr>2020-02-10T17:12:30.8222819Z</vt:lpwstr>
  </property>
  <property fmtid="{D5CDD505-2E9C-101B-9397-08002B2CF9AE}" pid="6" name="MSIP_Label_f35276e5-7dcf-4896-8462-2e13300bb1ae_Name">
    <vt:lpwstr>Public</vt:lpwstr>
  </property>
  <property fmtid="{D5CDD505-2E9C-101B-9397-08002B2CF9AE}" pid="7" name="MSIP_Label_f35276e5-7dcf-4896-8462-2e13300bb1ae_Application">
    <vt:lpwstr>Microsoft Azure Information Protection</vt:lpwstr>
  </property>
  <property fmtid="{D5CDD505-2E9C-101B-9397-08002B2CF9AE}" pid="8" name="MSIP_Label_f35276e5-7dcf-4896-8462-2e13300bb1ae_ActionId">
    <vt:lpwstr>ab51c0b6-aaac-4c01-8726-590594aeb46c</vt:lpwstr>
  </property>
  <property fmtid="{D5CDD505-2E9C-101B-9397-08002B2CF9AE}" pid="9" name="MSIP_Label_f35276e5-7dcf-4896-8462-2e13300bb1ae_Extended_MSFT_Method">
    <vt:lpwstr>Manual</vt:lpwstr>
  </property>
  <property fmtid="{D5CDD505-2E9C-101B-9397-08002B2CF9AE}" pid="10" name="Sensitivity">
    <vt:lpwstr>Public</vt:lpwstr>
  </property>
</Properties>
</file>