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Users/sierravp/Documents/Cret-Cenomanian/"/>
    </mc:Choice>
  </mc:AlternateContent>
  <bookViews>
    <workbookView xWindow="4540" yWindow="12100" windowWidth="46900" windowHeight="16580" tabRatio="500"/>
  </bookViews>
  <sheets>
    <sheet name="Sample list" sheetId="1" r:id="rId1"/>
    <sheet name="Mid East replicates" sheetId="2" r:id="rId2"/>
  </sheets>
  <externalReferences>
    <externalReference r:id="rId3"/>
  </externalReferenc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<sst xmlns="http://schemas.openxmlformats.org/spreadsheetml/2006/main" count="366" uniqueCount="278">
  <si>
    <t>D5749</t>
  </si>
  <si>
    <t>Gryphaea n. sp</t>
  </si>
  <si>
    <t>D5749-gry</t>
  </si>
  <si>
    <t>NM</t>
  </si>
  <si>
    <t>McKinley</t>
  </si>
  <si>
    <t>Mancos Shale</t>
  </si>
  <si>
    <t>South of Berryhill Ranch in the NE¼, NW¼, sec. 15, T.14 N., R. 11W.</t>
  </si>
  <si>
    <t>Mancos Shale, about 10 ft above kmc sandstone, Mancos Shale, about 10' above Kmb ss</t>
  </si>
  <si>
    <t>OF-67-2D</t>
  </si>
  <si>
    <t xml:space="preserve">Landis </t>
  </si>
  <si>
    <t>4/24/1967</t>
  </si>
  <si>
    <t>n/a</t>
  </si>
  <si>
    <t>D5737</t>
  </si>
  <si>
    <t>Exogyra sp. B</t>
  </si>
  <si>
    <t>D5737-exo</t>
  </si>
  <si>
    <t>Valencia (Cibola)</t>
  </si>
  <si>
    <t>La Ventana Ridge NW ¼, NE¼, sec. 17, T.9 N., R.9W. La Ventana section.</t>
  </si>
  <si>
    <t>Mancos Shale, basal part of shale above Kms2</t>
  </si>
  <si>
    <t>Dane,Landis &amp; Cobban</t>
  </si>
  <si>
    <t>4/23/1967</t>
  </si>
  <si>
    <t>D5759</t>
  </si>
  <si>
    <t>Exogyra trigeri</t>
  </si>
  <si>
    <t>D5759-exo</t>
  </si>
  <si>
    <t>SW¼, SW¼, SE¼, sec. 24, T.15 N.,R.13 W.</t>
  </si>
  <si>
    <t>Mancos Shale, about 10' below Kms3</t>
  </si>
  <si>
    <t>Landis &amp; Cobban</t>
  </si>
  <si>
    <t>4/26/1967</t>
  </si>
  <si>
    <t>D2052</t>
  </si>
  <si>
    <t>D2052-exo</t>
  </si>
  <si>
    <t>Float from just above Tres Hermanos sandstone</t>
  </si>
  <si>
    <t>Top of bluff east of State Route 117, 7.1 miles south of junction with U.S. Highway 77</t>
  </si>
  <si>
    <t>Float from just above Tres Hermanos ss (3rd ss above base of Dakota)</t>
  </si>
  <si>
    <t>G. O. Bachman</t>
  </si>
  <si>
    <t>4/14/1959</t>
  </si>
  <si>
    <t>D6899</t>
  </si>
  <si>
    <t>Ostrea leveratti</t>
  </si>
  <si>
    <t>D6899-ost</t>
  </si>
  <si>
    <t>TX</t>
  </si>
  <si>
    <t>Tarrant</t>
  </si>
  <si>
    <t xml:space="preserve">Lewisville Mbr. of Woodbine Formation </t>
  </si>
  <si>
    <t>East side of Texas Highway 360, 1.9 miles due south of terminal of Great Southwest International Airport; Loc 5 of GSA South-central section 1968 guidebook</t>
  </si>
  <si>
    <t>About 3 ft below top of Lewisville Member of Woodbine Formation</t>
  </si>
  <si>
    <t xml:space="preserve">J. R. Gill </t>
  </si>
  <si>
    <t>4/17/1969</t>
  </si>
  <si>
    <t xml:space="preserve">Samples from same location also collected from Tarrant Mbr of Eagle Ford Fm. </t>
  </si>
  <si>
    <t>D13917</t>
  </si>
  <si>
    <t>Pycnodonte n. sp (aff. kellumi)</t>
  </si>
  <si>
    <t>D13917-Pkel</t>
  </si>
  <si>
    <t>WY</t>
  </si>
  <si>
    <t>Big Horn</t>
  </si>
  <si>
    <t xml:space="preserve">Frontier Fm. </t>
  </si>
  <si>
    <t>NW1/4 SW1/4 SE1/4 sec. 10, T. 53 N., R. 94 W.</t>
  </si>
  <si>
    <t>From 130 ft. above Torchlight Ss. Mbr.</t>
  </si>
  <si>
    <t>SC-98-11</t>
  </si>
  <si>
    <t xml:space="preserve">E. A Merewether </t>
  </si>
  <si>
    <t>8/20/1998</t>
  </si>
  <si>
    <t>D8304</t>
  </si>
  <si>
    <t>Pycnodonte n. sp</t>
  </si>
  <si>
    <t>D8304-Pnsp</t>
  </si>
  <si>
    <t xml:space="preserve">WY </t>
  </si>
  <si>
    <t>Crook</t>
  </si>
  <si>
    <t xml:space="preserve">Greenhorn Formation </t>
  </si>
  <si>
    <t xml:space="preserve">West of Oil Butte in the SW1/4 NW1/4 sec. 34, T. 52 N., R. 67 W. </t>
  </si>
  <si>
    <t>From lower part of Greenhorn</t>
  </si>
  <si>
    <t>OF-71-8D</t>
  </si>
  <si>
    <t xml:space="preserve">E. A. Merewether </t>
  </si>
  <si>
    <t>1971</t>
  </si>
  <si>
    <t>BF-71-15</t>
  </si>
  <si>
    <t>D8407</t>
  </si>
  <si>
    <t>D8407-Pnsp</t>
  </si>
  <si>
    <t xml:space="preserve">Frontier Formation </t>
  </si>
  <si>
    <t>NW1/4 SE1/4 sec. 10, T. 53 N., R. 94 W.</t>
  </si>
  <si>
    <t>OF-72-5D</t>
  </si>
  <si>
    <t xml:space="preserve">E. A. Merewether, W. A. Cobban </t>
  </si>
  <si>
    <t>7/12/1972</t>
  </si>
  <si>
    <t>Sheep Canyon section</t>
  </si>
  <si>
    <t>D11792</t>
  </si>
  <si>
    <t>D11792-Pkel</t>
  </si>
  <si>
    <t>Natrona</t>
  </si>
  <si>
    <t>Frontier Formation</t>
  </si>
  <si>
    <t>NW1/4 NW1/4 sec. 32, T. 30 N., R. 81 W.</t>
  </si>
  <si>
    <t>Frontier Fm., from soft 10-ft. ss. overlying dk. flakey sh., from soft 10 - foot sandstone overlying a dark - grey shale</t>
  </si>
  <si>
    <t>O&amp;G-76-4D</t>
  </si>
  <si>
    <t>Cobban</t>
  </si>
  <si>
    <t>9/13/1976</t>
  </si>
  <si>
    <t>ASE-76-76</t>
  </si>
  <si>
    <t>D5779</t>
  </si>
  <si>
    <t>Pycnodonte newberryi</t>
  </si>
  <si>
    <t>D5779-Pnew</t>
  </si>
  <si>
    <t>Socorro</t>
  </si>
  <si>
    <t>NE¼, SE¼, sec. 8, T. 5S., R. 2 E.</t>
  </si>
  <si>
    <t>Mancos Shale, from basal bed of Greenhorn Limestone Member. Base of Kgh</t>
  </si>
  <si>
    <t>4/30/1967</t>
  </si>
  <si>
    <t>D10440</t>
  </si>
  <si>
    <t>D10440-Pnew</t>
  </si>
  <si>
    <t>CO</t>
  </si>
  <si>
    <t>Mesa</t>
  </si>
  <si>
    <t xml:space="preserve">Mancos Shale, Bridge Creek Limestone Mbr. </t>
  </si>
  <si>
    <t xml:space="preserve">About 1.5 miles south of Mack NW1/4 NW1/4 sec. 31, T. 2 N., R. 3 W. </t>
  </si>
  <si>
    <t xml:space="preserve">Mancos Shale, Bridge Creek Limestone Mbr. from basal part of white - weathering soft calcareous shale unit about 50 - 59 ft. above Dakota Sandstone, Soft calc. sh. with bentonite beds a little above Dakota Ss. </t>
  </si>
  <si>
    <t>O&amp;G-77-76D</t>
  </si>
  <si>
    <t xml:space="preserve">W. A. Cobban </t>
  </si>
  <si>
    <t>7/13/77, 9/16/77</t>
  </si>
  <si>
    <t>Mack, M-77-54</t>
  </si>
  <si>
    <t>D11889</t>
  </si>
  <si>
    <t>D11889-Pnew</t>
  </si>
  <si>
    <t>Delta</t>
  </si>
  <si>
    <t>SE1/4 sec. 34, T. 15 S., R. 94 W., Same loc. as DE-82-47</t>
  </si>
  <si>
    <t>From calcareous shale in Greenhorn Shale</t>
  </si>
  <si>
    <t>O&amp;G-82-8D</t>
  </si>
  <si>
    <t>Merewether and Cobban</t>
  </si>
  <si>
    <t>6/23/1982</t>
  </si>
  <si>
    <t>OFR 2006-1326</t>
  </si>
  <si>
    <t>D4353</t>
  </si>
  <si>
    <t>Gryphaea (Pycnodonte) newberryi</t>
  </si>
  <si>
    <t>D4353-Pnew</t>
  </si>
  <si>
    <t>UT</t>
  </si>
  <si>
    <t>Kane</t>
  </si>
  <si>
    <t>Tropic Shale</t>
  </si>
  <si>
    <t>SW¼NE¼ sec. 18, T. 43 S., R. 3 E.;about 25-50 yards north of Tropic Bench road</t>
  </si>
  <si>
    <t>Tropic Shale, from25-50 feet above base.</t>
  </si>
  <si>
    <t>H. A. Waldrop</t>
  </si>
  <si>
    <t>1963</t>
  </si>
  <si>
    <t>CD-65-24D, coral zone of the belemnites collected by Fred Peterson on 6/30/64</t>
  </si>
  <si>
    <t>D9020</t>
  </si>
  <si>
    <t>D9020-Pnew</t>
  </si>
  <si>
    <t> AZ</t>
  </si>
  <si>
    <t>Apache</t>
  </si>
  <si>
    <t>Lohali measured section at Head of wash 3.75-4 miles north of Black Mountain Trading Post, Navajo Indian Reservation</t>
  </si>
  <si>
    <t>Mancos Shale, from solt light-gray limestone concretions 24-1/2 ft above base.</t>
  </si>
  <si>
    <t>OF-71-3D</t>
  </si>
  <si>
    <t>10/10/1970</t>
  </si>
  <si>
    <t>L70-102F2</t>
  </si>
  <si>
    <t>D9018</t>
  </si>
  <si>
    <t>D9018-Pnew</t>
  </si>
  <si>
    <t>AZ</t>
  </si>
  <si>
    <t>Coconino</t>
  </si>
  <si>
    <t>Mancos shale</t>
  </si>
  <si>
    <t>SW1/4, NE1/4, sec. 33, T. 30 N., R. 14 E.</t>
  </si>
  <si>
    <t>Mancos Shale, from small chalky limestone concretions; 5-8' above top of Dakota</t>
  </si>
  <si>
    <t>Landis and Cobban</t>
  </si>
  <si>
    <t>10/9/1970</t>
  </si>
  <si>
    <t>L70-101F1, given an age of 93.58 Ma</t>
  </si>
  <si>
    <t>D7361</t>
  </si>
  <si>
    <t>D7361-Pnew</t>
  </si>
  <si>
    <t>San Miguel</t>
  </si>
  <si>
    <t>Westcott section. Close to road and also below old Westcott cemetery NW1/4, sec. 7, T. 42 N., R. 16 W.</t>
  </si>
  <si>
    <t>Greenhorn Limestone Member, upper part of newberryi zone; about 75' above Dakota; Westcott section</t>
  </si>
  <si>
    <t>OF-70-7D</t>
  </si>
  <si>
    <t>W. A. Cobban</t>
  </si>
  <si>
    <t>10/10/1969</t>
  </si>
  <si>
    <t>D5792</t>
  </si>
  <si>
    <t>D5792-Pnew</t>
  </si>
  <si>
    <t>2½ miles west of Riley in the SW¼, sec. 16 and NW¼, sec. 21, T. 2 N., R. 5 W.</t>
  </si>
  <si>
    <t>from 6-in. nodular bed of limestone at base of Greenhorn Limestone Member.</t>
  </si>
  <si>
    <t>W.A. Cobban</t>
  </si>
  <si>
    <t>5/2/1967</t>
  </si>
  <si>
    <t>D6816</t>
  </si>
  <si>
    <t>Pycnodont newberryi</t>
  </si>
  <si>
    <t>D6816-Pnew</t>
  </si>
  <si>
    <t xml:space="preserve">NM </t>
  </si>
  <si>
    <t>Sierra</t>
  </si>
  <si>
    <t>West fork of Mescal Canyon about 1 mile east - southeast of Truth or Consequences.</t>
  </si>
  <si>
    <t>Base of ridge-forming olive shy siltstone unit (36' thick) and 9' above upper of 3 Sciponoceras beds, 12 ft above D6815.</t>
  </si>
  <si>
    <t>OF-68-5D</t>
  </si>
  <si>
    <t>9/30/1968</t>
  </si>
  <si>
    <t>L68-56F9, note; were both oysters alive at the same time?</t>
  </si>
  <si>
    <t>D12471</t>
  </si>
  <si>
    <t>D12471-Pnew</t>
  </si>
  <si>
    <t xml:space="preserve">North of unpaved road in Left Hand Collet Canyon in sec. 2, T. 38 S., R. 4 E.,  </t>
  </si>
  <si>
    <t xml:space="preserve">Tropic Shale, from 1 m above base </t>
  </si>
  <si>
    <t>O&amp;G-84-7D</t>
  </si>
  <si>
    <t>F. B. Zelt</t>
  </si>
  <si>
    <t>1984</t>
  </si>
  <si>
    <t>Seep Flat</t>
  </si>
  <si>
    <t>D6175</t>
  </si>
  <si>
    <t>D6175-Pnew</t>
  </si>
  <si>
    <t>Twowells Sandstone</t>
  </si>
  <si>
    <t>Cottonwood Canyon in sec. 3, T. 10 N., R. 31 E., Old Cottonwood Creek location</t>
  </si>
  <si>
    <t>Top 6 in. of Kms3 (Twowells Sandstone) and 6 ft above top of the ammonite bed.</t>
  </si>
  <si>
    <t>OF-67-11D</t>
  </si>
  <si>
    <t>9/19/1967</t>
  </si>
  <si>
    <t>Mound</t>
  </si>
  <si>
    <t>Mound-Pnew</t>
  </si>
  <si>
    <t>Montezuma</t>
  </si>
  <si>
    <t>Mound Section: Mariano Wash, north of The Mound- about 1/4 mile east of Mariano Corral in SW1/4 sec. 24, T 33 1/2 N, R 19 W; About 8 miles WSW of Towac</t>
  </si>
  <si>
    <t>Mancos Shale, from calc sh about 50' above Dakota ss, and 10' below first conspicuous ls bed of Bridge Creek ls</t>
  </si>
  <si>
    <t>J. H. Irwin, T. McLaughlin, W. A. Cobban</t>
  </si>
  <si>
    <t>9/23/1957</t>
  </si>
  <si>
    <t>the "Mound Section" location matches D2402, but these come from a different level</t>
  </si>
  <si>
    <t>Sample #</t>
  </si>
  <si>
    <t>Species</t>
  </si>
  <si>
    <t>Short Name</t>
  </si>
  <si>
    <t>State</t>
  </si>
  <si>
    <t>County</t>
  </si>
  <si>
    <t>Formation</t>
  </si>
  <si>
    <t>Site Description</t>
  </si>
  <si>
    <t xml:space="preserve">Sampling Description within Fm. </t>
  </si>
  <si>
    <t>E and R</t>
  </si>
  <si>
    <t>Collector</t>
  </si>
  <si>
    <t>Date Collected</t>
  </si>
  <si>
    <t>Notes</t>
  </si>
  <si>
    <t>P. newberryi note</t>
  </si>
  <si>
    <t>Grant SE, 1966 D2-c, Exogyra sp. B note</t>
  </si>
  <si>
    <t>1967 D12b, Exogyra sp. B note</t>
  </si>
  <si>
    <t>1967D18f, P. newberryi note</t>
  </si>
  <si>
    <t>P. newberryi labeled as D6173, but probably from D6175 - all descriptions here are actually D6175, lat long is the same. P newberryi note</t>
  </si>
  <si>
    <t>Lat</t>
  </si>
  <si>
    <t>Long</t>
  </si>
  <si>
    <t># Shells</t>
  </si>
  <si>
    <t>B run in Feb16</t>
  </si>
  <si>
    <t>run in Feb16</t>
  </si>
  <si>
    <t>unknown which A or B is in small samples, labeled C for clumped analysis, run Dec15, Feb16, high D48</t>
  </si>
  <si>
    <t>A run in Feb16, good D48</t>
  </si>
  <si>
    <t>C run in june15, very high D48</t>
  </si>
  <si>
    <t>ALG</t>
  </si>
  <si>
    <t>Lopha syphax</t>
  </si>
  <si>
    <t>ALG-loph</t>
  </si>
  <si>
    <t>unkn</t>
  </si>
  <si>
    <t>MOR</t>
  </si>
  <si>
    <t>Ostrea syphax coq</t>
  </si>
  <si>
    <t>MOR-loph</t>
  </si>
  <si>
    <t>ISR</t>
  </si>
  <si>
    <t>Exogyra colomba</t>
  </si>
  <si>
    <t>ISR-ecolom</t>
  </si>
  <si>
    <t>Motza Formation</t>
  </si>
  <si>
    <t>Exogyra Africana</t>
  </si>
  <si>
    <t>ISR-eafr</t>
  </si>
  <si>
    <t>Exogyra flabaletta</t>
  </si>
  <si>
    <t>ISR-eflab</t>
  </si>
  <si>
    <t>Mons</t>
  </si>
  <si>
    <t>Mons-eflab</t>
  </si>
  <si>
    <t>Mons-ecolom</t>
  </si>
  <si>
    <t>2 reps run</t>
  </si>
  <si>
    <t>2 reps, maybe not the same position</t>
  </si>
  <si>
    <t>2 reps each run</t>
  </si>
  <si>
    <t>SUPER HIGH D48</t>
  </si>
  <si>
    <t>one-two reps each</t>
  </si>
  <si>
    <t>1-3 reps of each run</t>
  </si>
  <si>
    <t>ISR-ecolom-1</t>
  </si>
  <si>
    <t>Mons-eflab-1</t>
  </si>
  <si>
    <t>MOR-loph-1</t>
  </si>
  <si>
    <t>Alg-loph-1</t>
  </si>
  <si>
    <t>ISR-eflab-1</t>
  </si>
  <si>
    <t xml:space="preserve">Mons-ecolom-1 </t>
  </si>
  <si>
    <t>Mons-ecolm-2</t>
  </si>
  <si>
    <t>ISR-eflabA-2</t>
  </si>
  <si>
    <t>ISR-eflabB-1</t>
  </si>
  <si>
    <t xml:space="preserve">Mor-lophA-1 </t>
  </si>
  <si>
    <t>Mor-lophB-1</t>
  </si>
  <si>
    <t>ISR-ecolomA-2</t>
  </si>
  <si>
    <t>Mons-eflabBack-1</t>
  </si>
  <si>
    <t>ISR-ecolomB-1</t>
  </si>
  <si>
    <t>ISR-eflabA-3</t>
  </si>
  <si>
    <t>ISR-ecolomA-3</t>
  </si>
  <si>
    <t>ISR-ecolomB-2</t>
  </si>
  <si>
    <t>Mons-lophB-2</t>
  </si>
  <si>
    <t>D47</t>
  </si>
  <si>
    <t>Temp (DN)</t>
  </si>
  <si>
    <t>d13C</t>
  </si>
  <si>
    <t>d18O</t>
  </si>
  <si>
    <t>d45</t>
  </si>
  <si>
    <t>d46</t>
  </si>
  <si>
    <t>d47</t>
  </si>
  <si>
    <t>d48</t>
  </si>
  <si>
    <t>d49</t>
  </si>
  <si>
    <t>D48</t>
  </si>
  <si>
    <t>D49</t>
  </si>
  <si>
    <t>Mor-lophB-2</t>
  </si>
  <si>
    <t>MR-ENY-EXOa</t>
  </si>
  <si>
    <t>Israel</t>
  </si>
  <si>
    <t>NM-MAN-EXOa</t>
  </si>
  <si>
    <t>Mancos</t>
  </si>
  <si>
    <t>B run in sept15, ALTERED, high temp</t>
  </si>
  <si>
    <t>B run in sept15, rerun Feb16, still high D48</t>
  </si>
  <si>
    <t>A run sept15, w/silver wool rerun in Feb16, B run in Feb16, both good</t>
  </si>
  <si>
    <t>A run in sept15, high D48</t>
  </si>
  <si>
    <t>A run in Dec15, B run in Sept15 and also as MAN-EXO (Jun15)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</si>
</sst>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;@"/>
    <numFmt numFmtId="165" formatCode="[$-409]h:mm\ AM/PM;@"/>
    <numFmt numFmtId="166" formatCode="0.000"/>
    <numFmt numFmtId="167" formatCode="m/d;@"/>
    <numFmt numFmtId="168" formatCode="0.0"/>
    <numFmt numFmtId="169" formatCode="0.000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Arial"/>
    </font>
    <font>
      <sz val="12"/>
      <name val="Arial"/>
    </font>
    <font>
      <sz val="10"/>
      <name val="Arial"/>
    </font>
    <font>
      <sz val="14"/>
      <color theme="1"/>
      <name val="Calibri"/>
      <family val="2"/>
      <scheme val="minor"/>
    </font>
    <font>
      <b/>
      <sz val="14"/>
      <color theme="1"/>
      <name val="Arial"/>
    </font>
    <font>
      <b/>
      <i/>
      <sz val="14"/>
      <color theme="1"/>
      <name val="Arial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0"/>
      <name val="Arial"/>
    </font>
    <font>
      <b/>
      <i/>
      <sz val="15"/>
      <color theme="0"/>
      <name val="Arial"/>
    </font>
    <font>
      <sz val="10"/>
      <color indexed="62"/>
      <name val="Arial"/>
    </font>
    <font>
      <b/>
      <sz val="10"/>
      <color indexed="62"/>
      <name val="Arial"/>
    </font>
    <font>
      <b/>
      <sz val="10"/>
      <color indexed="10"/>
      <name val="Arial"/>
      <family val="2"/>
    </font>
    <font>
      <sz val="10"/>
      <color indexed="10"/>
      <name val="Arial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Fill="1" applyAlignment="1">
      <alignment vertical="top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0" fillId="0" borderId="1" xfId="0" applyNumberFormat="1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49" fontId="9" fillId="6" borderId="1" xfId="0" applyNumberFormat="1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7" borderId="0" xfId="0" applyFont="1" applyFill="1" applyBorder="1" applyAlignment="1">
      <alignment horizontal="left" vertical="center" wrapText="1"/>
    </xf>
    <xf numFmtId="0" fontId="11" fillId="7" borderId="0" xfId="0" applyFont="1" applyFill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Fill="1" applyAlignment="1">
      <alignment wrapText="1"/>
    </xf>
    <xf numFmtId="0" fontId="10" fillId="7" borderId="0" xfId="0" applyFont="1" applyFill="1" applyBorder="1" applyAlignment="1">
      <alignment horizontal="left" wrapText="1"/>
    </xf>
    <xf numFmtId="0" fontId="11" fillId="7" borderId="0" xfId="0" applyFont="1" applyFill="1" applyBorder="1" applyAlignment="1">
      <alignment wrapText="1"/>
    </xf>
    <xf numFmtId="0" fontId="1" fillId="0" borderId="0" xfId="0" applyFont="1" applyBorder="1" applyAlignment="1">
      <alignment horizontal="left" wrapText="1"/>
    </xf>
    <xf numFmtId="164" fontId="12" fillId="0" borderId="0" xfId="0" applyNumberFormat="1" applyFont="1"/>
    <xf numFmtId="165" fontId="12" fillId="0" borderId="0" xfId="0" applyNumberFormat="1" applyFont="1"/>
    <xf numFmtId="0" fontId="12" fillId="0" borderId="0" xfId="0" applyFont="1"/>
    <xf numFmtId="0" fontId="12" fillId="0" borderId="2" xfId="0" applyFont="1" applyBorder="1" applyAlignment="1">
      <alignment horizontal="center"/>
    </xf>
    <xf numFmtId="166" fontId="13" fillId="0" borderId="0" xfId="0" applyNumberFormat="1" applyFont="1" applyBorder="1"/>
    <xf numFmtId="1" fontId="12" fillId="0" borderId="0" xfId="0" applyNumberFormat="1" applyFont="1" applyBorder="1"/>
    <xf numFmtId="0" fontId="12" fillId="0" borderId="0" xfId="0" applyFont="1" applyBorder="1"/>
    <xf numFmtId="166" fontId="12" fillId="0" borderId="0" xfId="0" applyNumberFormat="1" applyFont="1" applyBorder="1"/>
    <xf numFmtId="164" fontId="12" fillId="0" borderId="3" xfId="0" applyNumberFormat="1" applyFont="1" applyBorder="1"/>
    <xf numFmtId="165" fontId="12" fillId="0" borderId="3" xfId="0" applyNumberFormat="1" applyFont="1" applyBorder="1"/>
    <xf numFmtId="0" fontId="12" fillId="0" borderId="3" xfId="0" applyFont="1" applyBorder="1"/>
    <xf numFmtId="0" fontId="12" fillId="0" borderId="4" xfId="0" applyFont="1" applyBorder="1" applyAlignment="1">
      <alignment horizontal="center"/>
    </xf>
    <xf numFmtId="166" fontId="13" fillId="0" borderId="3" xfId="0" applyNumberFormat="1" applyFont="1" applyBorder="1"/>
    <xf numFmtId="1" fontId="12" fillId="0" borderId="3" xfId="0" applyNumberFormat="1" applyFont="1" applyBorder="1"/>
    <xf numFmtId="166" fontId="12" fillId="0" borderId="3" xfId="0" applyNumberFormat="1" applyFont="1" applyBorder="1"/>
    <xf numFmtId="0" fontId="12" fillId="0" borderId="6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166" fontId="13" fillId="0" borderId="0" xfId="0" applyNumberFormat="1" applyFont="1" applyFill="1" applyBorder="1"/>
    <xf numFmtId="1" fontId="12" fillId="0" borderId="0" xfId="0" applyNumberFormat="1" applyFont="1" applyFill="1" applyBorder="1"/>
    <xf numFmtId="166" fontId="12" fillId="0" borderId="0" xfId="0" applyNumberFormat="1" applyFont="1"/>
    <xf numFmtId="1" fontId="12" fillId="0" borderId="0" xfId="0" applyNumberFormat="1" applyFont="1"/>
    <xf numFmtId="1" fontId="14" fillId="0" borderId="0" xfId="0" applyNumberFormat="1" applyFont="1" applyFill="1" applyBorder="1"/>
    <xf numFmtId="1" fontId="14" fillId="0" borderId="0" xfId="0" applyNumberFormat="1" applyFont="1"/>
    <xf numFmtId="166" fontId="13" fillId="0" borderId="3" xfId="0" applyNumberFormat="1" applyFont="1" applyFill="1" applyBorder="1"/>
    <xf numFmtId="1" fontId="12" fillId="0" borderId="3" xfId="0" applyNumberFormat="1" applyFont="1" applyFill="1" applyBorder="1"/>
    <xf numFmtId="167" fontId="0" fillId="0" borderId="0" xfId="0" applyNumberFormat="1" applyAlignment="1">
      <alignment horizontal="center"/>
    </xf>
    <xf numFmtId="165" fontId="0" fillId="0" borderId="0" xfId="0" applyNumberFormat="1" applyAlignment="1"/>
    <xf numFmtId="0" fontId="3" fillId="0" borderId="0" xfId="0" applyFont="1"/>
    <xf numFmtId="168" fontId="15" fillId="0" borderId="6" xfId="0" applyNumberFormat="1" applyFont="1" applyBorder="1" applyAlignment="1">
      <alignment horizontal="center"/>
    </xf>
    <xf numFmtId="166" fontId="0" fillId="0" borderId="0" xfId="0" applyNumberFormat="1"/>
    <xf numFmtId="1" fontId="16" fillId="0" borderId="0" xfId="0" applyNumberFormat="1" applyFont="1" applyFill="1" applyBorder="1"/>
    <xf numFmtId="0" fontId="3" fillId="0" borderId="0" xfId="0" applyFont="1" applyBorder="1"/>
    <xf numFmtId="0" fontId="0" fillId="0" borderId="0" xfId="0" applyBorder="1"/>
    <xf numFmtId="166" fontId="0" fillId="0" borderId="0" xfId="0" applyNumberFormat="1" applyBorder="1"/>
    <xf numFmtId="167" fontId="0" fillId="0" borderId="3" xfId="0" applyNumberFormat="1" applyBorder="1" applyAlignment="1">
      <alignment horizontal="center"/>
    </xf>
    <xf numFmtId="165" fontId="0" fillId="0" borderId="3" xfId="0" applyNumberFormat="1" applyBorder="1" applyAlignment="1"/>
    <xf numFmtId="0" fontId="3" fillId="0" borderId="3" xfId="0" applyFont="1" applyBorder="1"/>
    <xf numFmtId="168" fontId="3" fillId="0" borderId="4" xfId="0" applyNumberFormat="1" applyFont="1" applyBorder="1" applyAlignment="1">
      <alignment horizontal="center"/>
    </xf>
    <xf numFmtId="0" fontId="0" fillId="0" borderId="3" xfId="0" applyBorder="1"/>
    <xf numFmtId="166" fontId="0" fillId="0" borderId="3" xfId="0" applyNumberFormat="1" applyBorder="1"/>
    <xf numFmtId="1" fontId="16" fillId="0" borderId="3" xfId="0" applyNumberFormat="1" applyFont="1" applyFill="1" applyBorder="1"/>
    <xf numFmtId="168" fontId="3" fillId="0" borderId="6" xfId="0" applyNumberFormat="1" applyFon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5" fontId="0" fillId="0" borderId="0" xfId="0" applyNumberFormat="1" applyBorder="1" applyAlignment="1"/>
    <xf numFmtId="168" fontId="3" fillId="0" borderId="3" xfId="0" applyNumberFormat="1" applyFont="1" applyBorder="1" applyAlignment="1">
      <alignment horizontal="center"/>
    </xf>
    <xf numFmtId="168" fontId="0" fillId="0" borderId="6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3" fillId="0" borderId="0" xfId="0" applyFont="1" applyFill="1" applyBorder="1"/>
    <xf numFmtId="0" fontId="12" fillId="0" borderId="0" xfId="0" applyFont="1" applyAlignment="1">
      <alignment horizontal="right"/>
    </xf>
    <xf numFmtId="0" fontId="12" fillId="0" borderId="5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2" fillId="0" borderId="0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0" xfId="0" applyFont="1" applyFill="1" applyBorder="1" applyAlignment="1">
      <alignment horizontal="right"/>
    </xf>
    <xf numFmtId="0" fontId="1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15" fillId="0" borderId="0" xfId="0" applyFont="1" applyBorder="1" applyAlignment="1">
      <alignment horizontal="right"/>
    </xf>
    <xf numFmtId="0" fontId="14" fillId="0" borderId="0" xfId="0" applyFont="1" applyBorder="1" applyAlignment="1">
      <alignment horizontal="right"/>
    </xf>
    <xf numFmtId="164" fontId="12" fillId="0" borderId="0" xfId="0" applyNumberFormat="1" applyFont="1" applyBorder="1"/>
    <xf numFmtId="165" fontId="12" fillId="0" borderId="0" xfId="0" applyNumberFormat="1" applyFont="1" applyBorder="1"/>
    <xf numFmtId="0" fontId="0" fillId="0" borderId="6" xfId="0" applyBorder="1"/>
    <xf numFmtId="168" fontId="15" fillId="0" borderId="0" xfId="0" applyNumberFormat="1" applyFont="1" applyBorder="1" applyAlignment="1">
      <alignment horizontal="center"/>
    </xf>
    <xf numFmtId="1" fontId="14" fillId="0" borderId="0" xfId="0" applyNumberFormat="1" applyFont="1" applyBorder="1"/>
    <xf numFmtId="0" fontId="12" fillId="0" borderId="8" xfId="0" applyFont="1" applyBorder="1" applyAlignment="1">
      <alignment horizontal="right"/>
    </xf>
    <xf numFmtId="168" fontId="0" fillId="0" borderId="0" xfId="0" applyNumberFormat="1" applyBorder="1" applyAlignment="1">
      <alignment horizontal="center"/>
    </xf>
    <xf numFmtId="168" fontId="0" fillId="0" borderId="0" xfId="0" applyNumberFormat="1"/>
    <xf numFmtId="166" fontId="0" fillId="0" borderId="0" xfId="0" applyNumberFormat="1" applyFill="1"/>
    <xf numFmtId="0" fontId="0" fillId="0" borderId="0" xfId="0" applyFill="1"/>
    <xf numFmtId="169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hg</c:v>
          </c:tx>
          <c:spPr>
            <a:ln w="19050">
              <a:noFill/>
            </a:ln>
          </c:spPr>
          <c:marker>
            <c:symbol val="square"/>
            <c:size val="4"/>
            <c:spPr>
              <a:solidFill>
                <a:srgbClr val="CC99FF"/>
              </a:solidFill>
              <a:ln>
                <a:solidFill>
                  <a:srgbClr val="4600A5"/>
                </a:solidFill>
                <a:prstDash val="solid"/>
              </a:ln>
            </c:spPr>
          </c:marker>
          <c:xVal>
            <c:numRef>
              <c:f>'[1]HG+EG'!$M$3:$M$22</c:f>
              <c:numCache>
                <c:formatCode>General</c:formatCode>
                <c:ptCount val="20"/>
                <c:pt idx="0">
                  <c:v>-13.812</c:v>
                </c:pt>
                <c:pt idx="1">
                  <c:v>-16.789</c:v>
                </c:pt>
                <c:pt idx="2">
                  <c:v>53.083</c:v>
                </c:pt>
                <c:pt idx="3">
                  <c:v>26.203</c:v>
                </c:pt>
                <c:pt idx="4">
                  <c:v>-0.491</c:v>
                </c:pt>
                <c:pt idx="5">
                  <c:v>0.706</c:v>
                </c:pt>
                <c:pt idx="6">
                  <c:v>14.069</c:v>
                </c:pt>
                <c:pt idx="7">
                  <c:v>20.402</c:v>
                </c:pt>
                <c:pt idx="8">
                  <c:v>-14.661</c:v>
                </c:pt>
                <c:pt idx="9">
                  <c:v>-8.889</c:v>
                </c:pt>
                <c:pt idx="10">
                  <c:v>19.784</c:v>
                </c:pt>
                <c:pt idx="11">
                  <c:v>66.634</c:v>
                </c:pt>
              </c:numCache>
            </c:numRef>
          </c:xVal>
          <c:yVal>
            <c:numRef>
              <c:f>'[1]HG+EG'!$Q$3:$Q$22</c:f>
              <c:numCache>
                <c:formatCode>General</c:formatCode>
                <c:ptCount val="20"/>
                <c:pt idx="0">
                  <c:v>-3.27</c:v>
                </c:pt>
                <c:pt idx="1">
                  <c:v>-3.552</c:v>
                </c:pt>
                <c:pt idx="2">
                  <c:v>6.958</c:v>
                </c:pt>
                <c:pt idx="3">
                  <c:v>22.982</c:v>
                </c:pt>
                <c:pt idx="4">
                  <c:v>-1.151</c:v>
                </c:pt>
                <c:pt idx="5">
                  <c:v>-1.044</c:v>
                </c:pt>
                <c:pt idx="6">
                  <c:v>0.265</c:v>
                </c:pt>
                <c:pt idx="7">
                  <c:v>26.118</c:v>
                </c:pt>
                <c:pt idx="8">
                  <c:v>-1.975</c:v>
                </c:pt>
                <c:pt idx="9">
                  <c:v>-2.516</c:v>
                </c:pt>
                <c:pt idx="10">
                  <c:v>1.291</c:v>
                </c:pt>
                <c:pt idx="11">
                  <c:v>6.989</c:v>
                </c:pt>
              </c:numCache>
            </c:numRef>
          </c:yVal>
          <c:smooth val="0"/>
        </c:ser>
        <c:ser>
          <c:idx val="0"/>
          <c:order val="1"/>
          <c:tx>
            <c:v>eg</c:v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99CCFF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xVal>
            <c:numRef>
              <c:f>'[1]HG+EG'!$M$29:$M$39</c:f>
              <c:numCache>
                <c:formatCode>General</c:formatCode>
                <c:ptCount val="11"/>
                <c:pt idx="0">
                  <c:v>-11.085</c:v>
                </c:pt>
                <c:pt idx="1">
                  <c:v>26.907</c:v>
                </c:pt>
                <c:pt idx="2">
                  <c:v>80.261</c:v>
                </c:pt>
                <c:pt idx="3">
                  <c:v>-11.533</c:v>
                </c:pt>
                <c:pt idx="4">
                  <c:v>26.746</c:v>
                </c:pt>
                <c:pt idx="5">
                  <c:v>-11.197</c:v>
                </c:pt>
                <c:pt idx="6">
                  <c:v>79.033</c:v>
                </c:pt>
                <c:pt idx="7">
                  <c:v>27.154</c:v>
                </c:pt>
                <c:pt idx="8">
                  <c:v>-10.742</c:v>
                </c:pt>
                <c:pt idx="9">
                  <c:v>80.53</c:v>
                </c:pt>
              </c:numCache>
            </c:numRef>
          </c:xVal>
          <c:yVal>
            <c:numRef>
              <c:f>'[1]HG+EG'!$Q$29:$Q$39</c:f>
              <c:numCache>
                <c:formatCode>General</c:formatCode>
                <c:ptCount val="11"/>
                <c:pt idx="0">
                  <c:v>-2.636</c:v>
                </c:pt>
                <c:pt idx="1">
                  <c:v>2.576</c:v>
                </c:pt>
                <c:pt idx="2">
                  <c:v>8.827</c:v>
                </c:pt>
                <c:pt idx="3">
                  <c:v>-2.137</c:v>
                </c:pt>
                <c:pt idx="4">
                  <c:v>2.656</c:v>
                </c:pt>
                <c:pt idx="5">
                  <c:v>-2.313</c:v>
                </c:pt>
                <c:pt idx="6">
                  <c:v>8.832</c:v>
                </c:pt>
                <c:pt idx="7">
                  <c:v>2.37</c:v>
                </c:pt>
                <c:pt idx="8">
                  <c:v>-1.115</c:v>
                </c:pt>
                <c:pt idx="9">
                  <c:v>8.982</c:v>
                </c:pt>
              </c:numCache>
            </c:numRef>
          </c:yVal>
          <c:smooth val="0"/>
        </c:ser>
        <c:ser>
          <c:idx val="2"/>
          <c:order val="2"/>
          <c:tx>
            <c:v>ian samp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[1]Ian!$L$3:$L$4</c:f>
              <c:numCache>
                <c:formatCode>General</c:formatCode>
                <c:ptCount val="2"/>
                <c:pt idx="0">
                  <c:v>4.777</c:v>
                </c:pt>
                <c:pt idx="1">
                  <c:v>2.761</c:v>
                </c:pt>
              </c:numCache>
            </c:numRef>
          </c:xVal>
          <c:yVal>
            <c:numRef>
              <c:f>[1]Ian!$P$3:$P$4</c:f>
              <c:numCache>
                <c:formatCode>General</c:formatCode>
                <c:ptCount val="2"/>
                <c:pt idx="0">
                  <c:v>1.523</c:v>
                </c:pt>
                <c:pt idx="1">
                  <c:v>0.633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5921504"/>
        <c:axId val="2096223696"/>
      </c:scatterChart>
      <c:valAx>
        <c:axId val="-212592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s-IS"/>
                  <a:t>d48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96223696"/>
        <c:crosses val="autoZero"/>
        <c:crossBetween val="midCat"/>
      </c:valAx>
      <c:valAx>
        <c:axId val="2096223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s-IS"/>
                  <a:t>D48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25921504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hg</c:v>
          </c:tx>
          <c:spPr>
            <a:ln w="19050">
              <a:noFill/>
            </a:ln>
          </c:spPr>
          <c:marker>
            <c:symbol val="square"/>
            <c:size val="4"/>
            <c:spPr>
              <a:solidFill>
                <a:srgbClr val="CC99FF"/>
              </a:solidFill>
              <a:ln>
                <a:solidFill>
                  <a:srgbClr val="4600A5"/>
                </a:solidFill>
                <a:prstDash val="solid"/>
              </a:ln>
            </c:spPr>
          </c:marker>
          <c:xVal>
            <c:numRef>
              <c:f>'[1]HG+EG'!$M$3:$M$22</c:f>
              <c:numCache>
                <c:formatCode>General</c:formatCode>
                <c:ptCount val="20"/>
                <c:pt idx="0">
                  <c:v>-13.812</c:v>
                </c:pt>
                <c:pt idx="1">
                  <c:v>-16.789</c:v>
                </c:pt>
                <c:pt idx="2">
                  <c:v>53.083</c:v>
                </c:pt>
                <c:pt idx="3">
                  <c:v>26.203</c:v>
                </c:pt>
                <c:pt idx="4">
                  <c:v>-0.491</c:v>
                </c:pt>
                <c:pt idx="5">
                  <c:v>0.706</c:v>
                </c:pt>
                <c:pt idx="6">
                  <c:v>14.069</c:v>
                </c:pt>
                <c:pt idx="7">
                  <c:v>20.402</c:v>
                </c:pt>
                <c:pt idx="8">
                  <c:v>-14.661</c:v>
                </c:pt>
                <c:pt idx="9">
                  <c:v>-8.889</c:v>
                </c:pt>
                <c:pt idx="10">
                  <c:v>19.784</c:v>
                </c:pt>
                <c:pt idx="11">
                  <c:v>66.634</c:v>
                </c:pt>
              </c:numCache>
            </c:numRef>
          </c:xVal>
          <c:yVal>
            <c:numRef>
              <c:f>'[1]HG+EG'!$Q$3:$Q$22</c:f>
              <c:numCache>
                <c:formatCode>General</c:formatCode>
                <c:ptCount val="20"/>
                <c:pt idx="0">
                  <c:v>-3.27</c:v>
                </c:pt>
                <c:pt idx="1">
                  <c:v>-3.552</c:v>
                </c:pt>
                <c:pt idx="2">
                  <c:v>6.958</c:v>
                </c:pt>
                <c:pt idx="3">
                  <c:v>22.982</c:v>
                </c:pt>
                <c:pt idx="4">
                  <c:v>-1.151</c:v>
                </c:pt>
                <c:pt idx="5">
                  <c:v>-1.044</c:v>
                </c:pt>
                <c:pt idx="6">
                  <c:v>0.265</c:v>
                </c:pt>
                <c:pt idx="7">
                  <c:v>26.118</c:v>
                </c:pt>
                <c:pt idx="8">
                  <c:v>-1.975</c:v>
                </c:pt>
                <c:pt idx="9">
                  <c:v>-2.516</c:v>
                </c:pt>
                <c:pt idx="10">
                  <c:v>1.291</c:v>
                </c:pt>
                <c:pt idx="11">
                  <c:v>6.989</c:v>
                </c:pt>
              </c:numCache>
            </c:numRef>
          </c:yVal>
          <c:smooth val="0"/>
        </c:ser>
        <c:ser>
          <c:idx val="0"/>
          <c:order val="1"/>
          <c:tx>
            <c:v>eg</c:v>
          </c:tx>
          <c:spPr>
            <a:ln w="19050">
              <a:noFill/>
            </a:ln>
          </c:spPr>
          <c:marker>
            <c:symbol val="diamond"/>
            <c:size val="4"/>
            <c:spPr>
              <a:solidFill>
                <a:srgbClr val="99CCFF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xVal>
            <c:numRef>
              <c:f>'[1]HG+EG'!$M$29:$M$39</c:f>
              <c:numCache>
                <c:formatCode>General</c:formatCode>
                <c:ptCount val="11"/>
                <c:pt idx="0">
                  <c:v>-11.085</c:v>
                </c:pt>
                <c:pt idx="1">
                  <c:v>26.907</c:v>
                </c:pt>
                <c:pt idx="2">
                  <c:v>80.261</c:v>
                </c:pt>
                <c:pt idx="3">
                  <c:v>-11.533</c:v>
                </c:pt>
                <c:pt idx="4">
                  <c:v>26.746</c:v>
                </c:pt>
                <c:pt idx="5">
                  <c:v>-11.197</c:v>
                </c:pt>
                <c:pt idx="6">
                  <c:v>79.033</c:v>
                </c:pt>
                <c:pt idx="7">
                  <c:v>27.154</c:v>
                </c:pt>
                <c:pt idx="8">
                  <c:v>-10.742</c:v>
                </c:pt>
                <c:pt idx="9">
                  <c:v>80.53</c:v>
                </c:pt>
              </c:numCache>
            </c:numRef>
          </c:xVal>
          <c:yVal>
            <c:numRef>
              <c:f>'[1]HG+EG'!$Q$29:$Q$39</c:f>
              <c:numCache>
                <c:formatCode>General</c:formatCode>
                <c:ptCount val="11"/>
                <c:pt idx="0">
                  <c:v>-2.636</c:v>
                </c:pt>
                <c:pt idx="1">
                  <c:v>2.576</c:v>
                </c:pt>
                <c:pt idx="2">
                  <c:v>8.827</c:v>
                </c:pt>
                <c:pt idx="3">
                  <c:v>-2.137</c:v>
                </c:pt>
                <c:pt idx="4">
                  <c:v>2.656</c:v>
                </c:pt>
                <c:pt idx="5">
                  <c:v>-2.313</c:v>
                </c:pt>
                <c:pt idx="6">
                  <c:v>8.832</c:v>
                </c:pt>
                <c:pt idx="7">
                  <c:v>2.37</c:v>
                </c:pt>
                <c:pt idx="8">
                  <c:v>-1.115</c:v>
                </c:pt>
                <c:pt idx="9">
                  <c:v>8.982</c:v>
                </c:pt>
              </c:numCache>
            </c:numRef>
          </c:yVal>
          <c:smooth val="0"/>
        </c:ser>
        <c:ser>
          <c:idx val="2"/>
          <c:order val="2"/>
          <c:tx>
            <c:v>ian samp</c:v>
          </c:tx>
          <c:spPr>
            <a:ln w="19050">
              <a:noFill/>
            </a:ln>
          </c:spPr>
          <c:marker>
            <c:symbol val="triang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[1]Ian!$L$3:$L$4</c:f>
              <c:numCache>
                <c:formatCode>General</c:formatCode>
                <c:ptCount val="2"/>
                <c:pt idx="0">
                  <c:v>4.777</c:v>
                </c:pt>
                <c:pt idx="1">
                  <c:v>2.761</c:v>
                </c:pt>
              </c:numCache>
            </c:numRef>
          </c:xVal>
          <c:yVal>
            <c:numRef>
              <c:f>[1]Ian!$P$3:$P$4</c:f>
              <c:numCache>
                <c:formatCode>General</c:formatCode>
                <c:ptCount val="2"/>
                <c:pt idx="0">
                  <c:v>1.523</c:v>
                </c:pt>
                <c:pt idx="1">
                  <c:v>0.633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09220288"/>
        <c:axId val="-2123803280"/>
      </c:scatterChart>
      <c:valAx>
        <c:axId val="-210922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s-IS"/>
                  <a:t>d48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23803280"/>
        <c:crosses val="autoZero"/>
        <c:crossBetween val="midCat"/>
      </c:valAx>
      <c:valAx>
        <c:axId val="-21238032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s-IS"/>
                  <a:t>D48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210922028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215900</xdr:colOff>
      <xdr:row>11</xdr:row>
      <xdr:rowOff>0</xdr:rowOff>
    </xdr:from>
    <xdr:to>
      <xdr:col>18</xdr:col>
      <xdr:colOff>0</xdr:colOff>
      <xdr:row>11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215900</xdr:colOff>
      <xdr:row>39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erravp/Documents/Clumped%20at%20Michigan/DATA-DEC2015/December-2015-Resul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runs"/>
      <sheetName val="HG+EG"/>
      <sheetName val="Carb STDs"/>
      <sheetName val="Sierra"/>
      <sheetName val="Ian"/>
      <sheetName val="Kyle"/>
      <sheetName val="Tim"/>
    </sheetNames>
    <sheetDataSet>
      <sheetData sheetId="0"/>
      <sheetData sheetId="1">
        <row r="3">
          <cell r="M3">
            <v>-13.811999999999999</v>
          </cell>
          <cell r="Q3">
            <v>-3.27</v>
          </cell>
        </row>
        <row r="4">
          <cell r="M4">
            <v>-16.789000000000001</v>
          </cell>
          <cell r="Q4">
            <v>-3.552</v>
          </cell>
        </row>
        <row r="5">
          <cell r="M5">
            <v>53.082999999999998</v>
          </cell>
          <cell r="Q5">
            <v>6.9580000000000002</v>
          </cell>
        </row>
        <row r="6">
          <cell r="M6">
            <v>26.202999999999999</v>
          </cell>
          <cell r="Q6">
            <v>22.981999999999999</v>
          </cell>
        </row>
        <row r="7">
          <cell r="M7">
            <v>-0.49099999999999999</v>
          </cell>
          <cell r="Q7">
            <v>-1.151</v>
          </cell>
        </row>
        <row r="8">
          <cell r="M8">
            <v>0.70599999999999996</v>
          </cell>
          <cell r="Q8">
            <v>-1.044</v>
          </cell>
        </row>
        <row r="9">
          <cell r="M9">
            <v>14.069000000000001</v>
          </cell>
          <cell r="Q9">
            <v>0.26500000000000001</v>
          </cell>
        </row>
        <row r="10">
          <cell r="M10">
            <v>20.402000000000001</v>
          </cell>
          <cell r="Q10">
            <v>26.117999999999999</v>
          </cell>
        </row>
        <row r="11">
          <cell r="M11">
            <v>-14.661</v>
          </cell>
          <cell r="Q11">
            <v>-1.9750000000000001</v>
          </cell>
        </row>
        <row r="12">
          <cell r="M12">
            <v>-8.8889999999999993</v>
          </cell>
          <cell r="Q12">
            <v>-2.516</v>
          </cell>
        </row>
        <row r="13">
          <cell r="M13">
            <v>19.783999999999999</v>
          </cell>
          <cell r="Q13">
            <v>1.2909999999999999</v>
          </cell>
        </row>
        <row r="14">
          <cell r="M14">
            <v>66.634</v>
          </cell>
          <cell r="Q14">
            <v>6.9889999999999999</v>
          </cell>
        </row>
        <row r="29">
          <cell r="M29">
            <v>-11.085000000000001</v>
          </cell>
          <cell r="Q29">
            <v>-2.6360000000000001</v>
          </cell>
        </row>
        <row r="30">
          <cell r="M30">
            <v>26.907</v>
          </cell>
          <cell r="Q30">
            <v>2.5760000000000001</v>
          </cell>
        </row>
        <row r="31">
          <cell r="M31">
            <v>80.260999999999996</v>
          </cell>
          <cell r="Q31">
            <v>8.827</v>
          </cell>
        </row>
        <row r="32">
          <cell r="M32">
            <v>-11.532999999999999</v>
          </cell>
          <cell r="Q32">
            <v>-2.137</v>
          </cell>
        </row>
        <row r="33">
          <cell r="M33">
            <v>26.745999999999999</v>
          </cell>
          <cell r="Q33">
            <v>2.6560000000000001</v>
          </cell>
        </row>
        <row r="34">
          <cell r="M34">
            <v>-11.196999999999999</v>
          </cell>
          <cell r="Q34">
            <v>-2.3130000000000002</v>
          </cell>
        </row>
        <row r="35">
          <cell r="M35">
            <v>79.033000000000001</v>
          </cell>
          <cell r="Q35">
            <v>8.8320000000000007</v>
          </cell>
        </row>
        <row r="36">
          <cell r="M36">
            <v>27.154</v>
          </cell>
          <cell r="Q36">
            <v>2.37</v>
          </cell>
        </row>
        <row r="37">
          <cell r="M37">
            <v>-10.742000000000001</v>
          </cell>
          <cell r="Q37">
            <v>-1.115</v>
          </cell>
        </row>
        <row r="38">
          <cell r="M38">
            <v>80.53</v>
          </cell>
          <cell r="Q38">
            <v>8.9819999999999993</v>
          </cell>
        </row>
      </sheetData>
      <sheetData sheetId="2"/>
      <sheetData sheetId="3"/>
      <sheetData sheetId="4">
        <row r="3">
          <cell r="L3">
            <v>4.7770000000000001</v>
          </cell>
          <cell r="P3">
            <v>1.5229999999999999</v>
          </cell>
        </row>
        <row r="4">
          <cell r="L4">
            <v>2.7610000000000001</v>
          </cell>
          <cell r="P4">
            <v>0.63300000000000001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S35"/>
  <sheetViews>
    <sheetView tabSelected="1" workbookViewId="0">
      <selection activeCell="M3" sqref="M3:N3"/>
    </sheetView>
  </sheetViews>
  <sheetFormatPr baseColWidth="10" defaultRowHeight="19" x14ac:dyDescent="0.25"/>
  <cols>
    <col min="1" max="1" width="3.5" style="1" customWidth="1"/>
    <col min="2" max="2" width="10.5" style="3" customWidth="1"/>
    <col min="3" max="3" width="20.6640625" style="3" customWidth="1"/>
    <col min="4" max="4" width="16.6640625" style="1" customWidth="1"/>
    <col min="5" max="5" width="11.83203125" style="1" customWidth="1"/>
    <col min="6" max="6" width="8.1640625" style="1" customWidth="1"/>
    <col min="7" max="7" width="9" style="1" customWidth="1"/>
    <col min="8" max="8" width="13" style="1" customWidth="1"/>
    <col min="9" max="9" width="24.33203125" style="23" customWidth="1"/>
    <col min="10" max="10" width="37.33203125" style="1" customWidth="1"/>
    <col min="11" max="11" width="35.6640625" style="1" customWidth="1"/>
    <col min="12" max="12" width="10.83203125" style="1"/>
    <col min="13" max="13" width="7.6640625" style="1" customWidth="1"/>
    <col min="14" max="14" width="8.5" style="1" customWidth="1"/>
    <col min="15" max="15" width="13.33203125" style="1" customWidth="1"/>
    <col min="16" max="16" width="11.5" style="1" customWidth="1"/>
    <col min="17" max="17" width="21.6640625" style="1" customWidth="1"/>
    <col min="18" max="18" width="67.1640625" style="1" customWidth="1"/>
    <col min="19" max="16384" width="10.83203125" style="1"/>
  </cols>
  <sheetData>
    <row r="1" spans="1:19" s="3" customFormat="1" ht="43" customHeight="1" x14ac:dyDescent="0.25">
      <c r="A1" s="4"/>
      <c r="B1" s="5" t="s">
        <v>190</v>
      </c>
      <c r="C1" s="6" t="s">
        <v>191</v>
      </c>
      <c r="D1" s="5" t="s">
        <v>192</v>
      </c>
      <c r="E1" s="5" t="s">
        <v>209</v>
      </c>
      <c r="F1" s="5" t="s">
        <v>193</v>
      </c>
      <c r="G1" s="7" t="s">
        <v>194</v>
      </c>
      <c r="H1" s="7" t="s">
        <v>195</v>
      </c>
      <c r="I1" s="7"/>
      <c r="J1" s="7" t="s">
        <v>196</v>
      </c>
      <c r="K1" s="7" t="s">
        <v>197</v>
      </c>
      <c r="L1" s="7" t="s">
        <v>198</v>
      </c>
      <c r="M1" s="7" t="s">
        <v>207</v>
      </c>
      <c r="N1" s="7" t="s">
        <v>208</v>
      </c>
      <c r="O1" s="7" t="s">
        <v>199</v>
      </c>
      <c r="P1" s="7" t="s">
        <v>200</v>
      </c>
      <c r="Q1" s="7" t="s">
        <v>201</v>
      </c>
    </row>
    <row r="2" spans="1:19" ht="48" x14ac:dyDescent="0.2">
      <c r="A2" s="8">
        <v>1</v>
      </c>
      <c r="B2" s="9" t="s">
        <v>0</v>
      </c>
      <c r="C2" s="10" t="s">
        <v>1</v>
      </c>
      <c r="D2" s="11" t="s">
        <v>2</v>
      </c>
      <c r="E2" s="21">
        <v>2</v>
      </c>
      <c r="F2" s="12" t="s">
        <v>3</v>
      </c>
      <c r="G2" s="12" t="s">
        <v>4</v>
      </c>
      <c r="H2" s="12" t="s">
        <v>5</v>
      </c>
      <c r="I2" s="24"/>
      <c r="J2" s="12" t="s">
        <v>6</v>
      </c>
      <c r="K2" s="12" t="s">
        <v>7</v>
      </c>
      <c r="L2" s="12" t="s">
        <v>8</v>
      </c>
      <c r="M2" s="13">
        <v>35.447360000000003</v>
      </c>
      <c r="N2" s="13">
        <v>-107.99302</v>
      </c>
      <c r="O2" s="12" t="s">
        <v>9</v>
      </c>
      <c r="P2" s="12" t="s">
        <v>10</v>
      </c>
      <c r="Q2" s="8" t="s">
        <v>11</v>
      </c>
    </row>
    <row r="3" spans="1:19" ht="48" x14ac:dyDescent="0.2">
      <c r="A3" s="8">
        <v>2</v>
      </c>
      <c r="B3" s="9" t="s">
        <v>12</v>
      </c>
      <c r="C3" s="10" t="s">
        <v>13</v>
      </c>
      <c r="D3" s="11" t="s">
        <v>14</v>
      </c>
      <c r="E3" s="21">
        <v>2</v>
      </c>
      <c r="F3" s="12" t="s">
        <v>3</v>
      </c>
      <c r="G3" s="12" t="s">
        <v>15</v>
      </c>
      <c r="H3" s="12" t="s">
        <v>5</v>
      </c>
      <c r="I3" s="24" t="s">
        <v>277</v>
      </c>
      <c r="J3" s="12" t="s">
        <v>16</v>
      </c>
      <c r="K3" s="12" t="s">
        <v>17</v>
      </c>
      <c r="L3" s="12" t="s">
        <v>8</v>
      </c>
      <c r="M3" s="14">
        <v>35.013882000000002</v>
      </c>
      <c r="N3" s="14">
        <v>-107.809898</v>
      </c>
      <c r="O3" s="12" t="s">
        <v>18</v>
      </c>
      <c r="P3" s="12" t="s">
        <v>19</v>
      </c>
      <c r="Q3" s="12" t="s">
        <v>203</v>
      </c>
      <c r="R3" s="2"/>
      <c r="S3" s="2"/>
    </row>
    <row r="4" spans="1:19" ht="32" x14ac:dyDescent="0.2">
      <c r="A4" s="8">
        <v>3</v>
      </c>
      <c r="B4" s="9" t="s">
        <v>20</v>
      </c>
      <c r="C4" s="10" t="s">
        <v>21</v>
      </c>
      <c r="D4" s="11" t="s">
        <v>22</v>
      </c>
      <c r="E4" s="21">
        <v>2</v>
      </c>
      <c r="F4" s="12" t="s">
        <v>3</v>
      </c>
      <c r="G4" s="12" t="s">
        <v>4</v>
      </c>
      <c r="H4" s="12" t="s">
        <v>5</v>
      </c>
      <c r="I4" s="24" t="s">
        <v>210</v>
      </c>
      <c r="J4" s="12" t="s">
        <v>23</v>
      </c>
      <c r="K4" s="12" t="s">
        <v>24</v>
      </c>
      <c r="L4" s="12" t="s">
        <v>8</v>
      </c>
      <c r="M4" s="13">
        <v>35.510300000000001</v>
      </c>
      <c r="N4" s="13">
        <v>-108.1664</v>
      </c>
      <c r="O4" s="12" t="s">
        <v>25</v>
      </c>
      <c r="P4" s="12" t="s">
        <v>26</v>
      </c>
      <c r="Q4" s="12" t="s">
        <v>204</v>
      </c>
      <c r="R4" s="2"/>
    </row>
    <row r="5" spans="1:19" ht="64" x14ac:dyDescent="0.2">
      <c r="A5" s="8">
        <v>4</v>
      </c>
      <c r="B5" s="9" t="s">
        <v>27</v>
      </c>
      <c r="C5" s="10" t="s">
        <v>13</v>
      </c>
      <c r="D5" s="11" t="s">
        <v>28</v>
      </c>
      <c r="E5" s="21">
        <v>1</v>
      </c>
      <c r="F5" s="12" t="s">
        <v>3</v>
      </c>
      <c r="G5" s="12" t="s">
        <v>15</v>
      </c>
      <c r="H5" s="12" t="s">
        <v>29</v>
      </c>
      <c r="I5" s="24" t="s">
        <v>211</v>
      </c>
      <c r="J5" s="12" t="s">
        <v>30</v>
      </c>
      <c r="K5" s="12" t="s">
        <v>31</v>
      </c>
      <c r="L5" s="8" t="s">
        <v>11</v>
      </c>
      <c r="M5" s="13" t="s">
        <v>11</v>
      </c>
      <c r="N5" s="13" t="s">
        <v>11</v>
      </c>
      <c r="O5" s="12" t="s">
        <v>32</v>
      </c>
      <c r="P5" s="12" t="s">
        <v>33</v>
      </c>
      <c r="Q5" s="8" t="s">
        <v>11</v>
      </c>
    </row>
    <row r="6" spans="1:19" ht="64" x14ac:dyDescent="0.2">
      <c r="A6" s="8">
        <v>5</v>
      </c>
      <c r="B6" s="9" t="s">
        <v>34</v>
      </c>
      <c r="C6" s="10" t="s">
        <v>35</v>
      </c>
      <c r="D6" s="11" t="s">
        <v>36</v>
      </c>
      <c r="E6" s="21">
        <v>2</v>
      </c>
      <c r="F6" s="12" t="s">
        <v>37</v>
      </c>
      <c r="G6" s="12" t="s">
        <v>38</v>
      </c>
      <c r="H6" s="12" t="s">
        <v>39</v>
      </c>
      <c r="I6" s="24" t="s">
        <v>212</v>
      </c>
      <c r="J6" s="12" t="s">
        <v>40</v>
      </c>
      <c r="K6" s="12" t="s">
        <v>41</v>
      </c>
      <c r="L6" s="8" t="s">
        <v>11</v>
      </c>
      <c r="M6" s="14">
        <v>32.809399999999997</v>
      </c>
      <c r="N6" s="14">
        <v>-97.052499999999995</v>
      </c>
      <c r="O6" s="12" t="s">
        <v>42</v>
      </c>
      <c r="P6" s="12" t="s">
        <v>43</v>
      </c>
      <c r="Q6" s="8" t="s">
        <v>44</v>
      </c>
    </row>
    <row r="7" spans="1:19" ht="36" x14ac:dyDescent="0.2">
      <c r="A7" s="8">
        <v>6</v>
      </c>
      <c r="B7" s="9" t="s">
        <v>45</v>
      </c>
      <c r="C7" s="10" t="s">
        <v>46</v>
      </c>
      <c r="D7" s="11" t="s">
        <v>47</v>
      </c>
      <c r="E7" s="21">
        <v>2</v>
      </c>
      <c r="F7" s="12" t="s">
        <v>48</v>
      </c>
      <c r="G7" s="12" t="s">
        <v>49</v>
      </c>
      <c r="H7" s="12" t="s">
        <v>50</v>
      </c>
      <c r="I7" s="24" t="s">
        <v>213</v>
      </c>
      <c r="J7" s="12" t="s">
        <v>51</v>
      </c>
      <c r="K7" s="12" t="s">
        <v>52</v>
      </c>
      <c r="L7" s="12" t="s">
        <v>53</v>
      </c>
      <c r="M7" s="13">
        <v>44.580689999999997</v>
      </c>
      <c r="N7" s="13">
        <v>-108.15591000000001</v>
      </c>
      <c r="O7" s="12" t="s">
        <v>54</v>
      </c>
      <c r="P7" s="12" t="s">
        <v>55</v>
      </c>
      <c r="Q7" s="8" t="s">
        <v>11</v>
      </c>
    </row>
    <row r="8" spans="1:19" ht="36" x14ac:dyDescent="0.2">
      <c r="A8" s="8">
        <v>7</v>
      </c>
      <c r="B8" s="9" t="s">
        <v>56</v>
      </c>
      <c r="C8" s="10" t="s">
        <v>57</v>
      </c>
      <c r="D8" s="11" t="s">
        <v>58</v>
      </c>
      <c r="E8" s="21">
        <v>2</v>
      </c>
      <c r="F8" s="12" t="s">
        <v>59</v>
      </c>
      <c r="G8" s="12" t="s">
        <v>60</v>
      </c>
      <c r="H8" s="12" t="s">
        <v>61</v>
      </c>
      <c r="I8" s="24"/>
      <c r="J8" s="12" t="s">
        <v>62</v>
      </c>
      <c r="K8" s="12" t="s">
        <v>63</v>
      </c>
      <c r="L8" s="12" t="s">
        <v>64</v>
      </c>
      <c r="M8" s="13">
        <v>44.446390000000001</v>
      </c>
      <c r="N8" s="13">
        <v>-104.90496</v>
      </c>
      <c r="O8" s="12" t="s">
        <v>65</v>
      </c>
      <c r="P8" s="12" t="s">
        <v>66</v>
      </c>
      <c r="Q8" s="12" t="s">
        <v>67</v>
      </c>
    </row>
    <row r="9" spans="1:19" ht="48" x14ac:dyDescent="0.2">
      <c r="A9" s="8">
        <v>8</v>
      </c>
      <c r="B9" s="9" t="s">
        <v>68</v>
      </c>
      <c r="C9" s="10" t="s">
        <v>57</v>
      </c>
      <c r="D9" s="11" t="s">
        <v>69</v>
      </c>
      <c r="E9" s="21">
        <v>1</v>
      </c>
      <c r="F9" s="12" t="s">
        <v>59</v>
      </c>
      <c r="G9" s="12" t="s">
        <v>49</v>
      </c>
      <c r="H9" s="12" t="s">
        <v>70</v>
      </c>
      <c r="I9" s="24" t="s">
        <v>211</v>
      </c>
      <c r="J9" s="12" t="s">
        <v>71</v>
      </c>
      <c r="K9" s="12" t="s">
        <v>70</v>
      </c>
      <c r="L9" s="12" t="s">
        <v>72</v>
      </c>
      <c r="M9" s="13">
        <v>44.583730000000003</v>
      </c>
      <c r="N9" s="13">
        <v>-108.15513</v>
      </c>
      <c r="O9" s="12" t="s">
        <v>73</v>
      </c>
      <c r="P9" s="12" t="s">
        <v>74</v>
      </c>
      <c r="Q9" s="12" t="s">
        <v>75</v>
      </c>
    </row>
    <row r="10" spans="1:19" ht="48" x14ac:dyDescent="0.2">
      <c r="A10" s="8">
        <v>9</v>
      </c>
      <c r="B10" s="9" t="s">
        <v>76</v>
      </c>
      <c r="C10" s="10" t="s">
        <v>46</v>
      </c>
      <c r="D10" s="11" t="s">
        <v>77</v>
      </c>
      <c r="E10" s="21">
        <v>2</v>
      </c>
      <c r="F10" s="12" t="s">
        <v>48</v>
      </c>
      <c r="G10" s="12" t="s">
        <v>78</v>
      </c>
      <c r="H10" s="12" t="s">
        <v>79</v>
      </c>
      <c r="I10" s="24"/>
      <c r="J10" s="12" t="s">
        <v>80</v>
      </c>
      <c r="K10" s="12" t="s">
        <v>81</v>
      </c>
      <c r="L10" s="12" t="s">
        <v>82</v>
      </c>
      <c r="M10" s="13">
        <v>42.52825</v>
      </c>
      <c r="N10" s="13">
        <v>-106.5775</v>
      </c>
      <c r="O10" s="12" t="s">
        <v>83</v>
      </c>
      <c r="P10" s="12" t="s">
        <v>84</v>
      </c>
      <c r="Q10" s="12" t="s">
        <v>85</v>
      </c>
    </row>
    <row r="11" spans="1:19" ht="48" x14ac:dyDescent="0.2">
      <c r="A11" s="8">
        <v>10</v>
      </c>
      <c r="B11" s="9" t="s">
        <v>86</v>
      </c>
      <c r="C11" s="10" t="s">
        <v>87</v>
      </c>
      <c r="D11" s="11" t="s">
        <v>88</v>
      </c>
      <c r="E11" s="22">
        <v>3</v>
      </c>
      <c r="F11" s="12" t="s">
        <v>3</v>
      </c>
      <c r="G11" s="12" t="s">
        <v>89</v>
      </c>
      <c r="H11" s="12" t="s">
        <v>5</v>
      </c>
      <c r="I11" s="24"/>
      <c r="J11" s="12" t="s">
        <v>90</v>
      </c>
      <c r="K11" s="12" t="s">
        <v>91</v>
      </c>
      <c r="L11" s="12" t="s">
        <v>8</v>
      </c>
      <c r="M11" s="13">
        <v>33.886690000000002</v>
      </c>
      <c r="N11" s="13">
        <v>-106.75148</v>
      </c>
      <c r="O11" s="12" t="s">
        <v>18</v>
      </c>
      <c r="P11" s="12" t="s">
        <v>92</v>
      </c>
      <c r="Q11" s="12" t="s">
        <v>205</v>
      </c>
      <c r="R11" s="2"/>
    </row>
    <row r="12" spans="1:19" ht="96" x14ac:dyDescent="0.2">
      <c r="A12" s="8">
        <v>11</v>
      </c>
      <c r="B12" s="9" t="s">
        <v>93</v>
      </c>
      <c r="C12" s="10" t="s">
        <v>87</v>
      </c>
      <c r="D12" s="11" t="s">
        <v>94</v>
      </c>
      <c r="E12" s="21">
        <v>2</v>
      </c>
      <c r="F12" s="12" t="s">
        <v>95</v>
      </c>
      <c r="G12" s="12" t="s">
        <v>96</v>
      </c>
      <c r="H12" s="12" t="s">
        <v>97</v>
      </c>
      <c r="I12" s="24" t="s">
        <v>276</v>
      </c>
      <c r="J12" s="12" t="s">
        <v>98</v>
      </c>
      <c r="K12" s="12" t="s">
        <v>99</v>
      </c>
      <c r="L12" s="12" t="s">
        <v>100</v>
      </c>
      <c r="M12" s="13">
        <v>39.205500000000001</v>
      </c>
      <c r="N12" s="13">
        <v>-108.8672</v>
      </c>
      <c r="O12" s="12" t="s">
        <v>101</v>
      </c>
      <c r="P12" s="12" t="s">
        <v>102</v>
      </c>
      <c r="Q12" s="8" t="s">
        <v>103</v>
      </c>
    </row>
    <row r="13" spans="1:19" ht="64" x14ac:dyDescent="0.2">
      <c r="A13" s="8">
        <v>12</v>
      </c>
      <c r="B13" s="9" t="s">
        <v>104</v>
      </c>
      <c r="C13" s="10" t="s">
        <v>87</v>
      </c>
      <c r="D13" s="11" t="s">
        <v>105</v>
      </c>
      <c r="E13" s="21">
        <v>2</v>
      </c>
      <c r="F13" s="12" t="s">
        <v>95</v>
      </c>
      <c r="G13" s="12" t="s">
        <v>106</v>
      </c>
      <c r="H13" s="12" t="s">
        <v>97</v>
      </c>
      <c r="I13" s="24" t="s">
        <v>275</v>
      </c>
      <c r="J13" s="12" t="s">
        <v>107</v>
      </c>
      <c r="K13" s="8" t="s">
        <v>108</v>
      </c>
      <c r="L13" s="12" t="s">
        <v>109</v>
      </c>
      <c r="M13" s="13">
        <v>38.69914</v>
      </c>
      <c r="N13" s="13">
        <v>-107.90075</v>
      </c>
      <c r="O13" s="12" t="s">
        <v>110</v>
      </c>
      <c r="P13" s="12" t="s">
        <v>111</v>
      </c>
      <c r="Q13" s="12" t="s">
        <v>112</v>
      </c>
    </row>
    <row r="14" spans="1:19" ht="64" x14ac:dyDescent="0.2">
      <c r="A14" s="8">
        <v>13</v>
      </c>
      <c r="B14" s="9" t="s">
        <v>113</v>
      </c>
      <c r="C14" s="10" t="s">
        <v>114</v>
      </c>
      <c r="D14" s="11" t="s">
        <v>115</v>
      </c>
      <c r="E14" s="21">
        <v>2</v>
      </c>
      <c r="F14" s="12" t="s">
        <v>116</v>
      </c>
      <c r="G14" s="12" t="s">
        <v>117</v>
      </c>
      <c r="H14" s="12" t="s">
        <v>118</v>
      </c>
      <c r="I14" s="24" t="s">
        <v>274</v>
      </c>
      <c r="J14" s="12" t="s">
        <v>119</v>
      </c>
      <c r="K14" s="12" t="s">
        <v>120</v>
      </c>
      <c r="L14" s="13" t="s">
        <v>11</v>
      </c>
      <c r="M14" s="13">
        <v>37.072839999999999</v>
      </c>
      <c r="N14" s="13">
        <v>-111.62181</v>
      </c>
      <c r="O14" s="12" t="s">
        <v>121</v>
      </c>
      <c r="P14" s="12" t="s">
        <v>122</v>
      </c>
      <c r="Q14" s="15" t="s">
        <v>123</v>
      </c>
    </row>
    <row r="15" spans="1:19" ht="48" x14ac:dyDescent="0.2">
      <c r="A15" s="8">
        <v>14</v>
      </c>
      <c r="B15" s="9" t="s">
        <v>124</v>
      </c>
      <c r="C15" s="10" t="s">
        <v>87</v>
      </c>
      <c r="D15" s="11" t="s">
        <v>125</v>
      </c>
      <c r="E15" s="21">
        <v>2</v>
      </c>
      <c r="F15" s="12" t="s">
        <v>126</v>
      </c>
      <c r="G15" s="12" t="s">
        <v>127</v>
      </c>
      <c r="H15" s="12" t="s">
        <v>5</v>
      </c>
      <c r="I15" s="24"/>
      <c r="J15" s="12" t="s">
        <v>128</v>
      </c>
      <c r="K15" s="12" t="s">
        <v>129</v>
      </c>
      <c r="L15" s="12" t="s">
        <v>130</v>
      </c>
      <c r="M15" s="13">
        <v>36.183500000000002</v>
      </c>
      <c r="N15" s="13">
        <v>-109.88267</v>
      </c>
      <c r="O15" s="12" t="s">
        <v>83</v>
      </c>
      <c r="P15" s="12" t="s">
        <v>131</v>
      </c>
      <c r="Q15" s="12" t="s">
        <v>132</v>
      </c>
      <c r="R15" s="2"/>
    </row>
    <row r="16" spans="1:19" ht="48" x14ac:dyDescent="0.2">
      <c r="A16" s="8">
        <v>15</v>
      </c>
      <c r="B16" s="9" t="s">
        <v>133</v>
      </c>
      <c r="C16" s="10" t="s">
        <v>87</v>
      </c>
      <c r="D16" s="11" t="s">
        <v>134</v>
      </c>
      <c r="E16" s="21">
        <v>2</v>
      </c>
      <c r="F16" s="12" t="s">
        <v>135</v>
      </c>
      <c r="G16" s="12" t="s">
        <v>136</v>
      </c>
      <c r="H16" s="12" t="s">
        <v>137</v>
      </c>
      <c r="I16" s="24"/>
      <c r="J16" s="12" t="s">
        <v>138</v>
      </c>
      <c r="K16" s="12" t="s">
        <v>139</v>
      </c>
      <c r="L16" s="12" t="s">
        <v>130</v>
      </c>
      <c r="M16" s="13">
        <v>35.963650000000001</v>
      </c>
      <c r="N16" s="13">
        <v>-110.8377</v>
      </c>
      <c r="O16" s="12" t="s">
        <v>140</v>
      </c>
      <c r="P16" s="12" t="s">
        <v>141</v>
      </c>
      <c r="Q16" s="15" t="s">
        <v>142</v>
      </c>
    </row>
    <row r="17" spans="1:18" ht="48" x14ac:dyDescent="0.2">
      <c r="A17" s="8">
        <v>16</v>
      </c>
      <c r="B17" s="9" t="s">
        <v>143</v>
      </c>
      <c r="C17" s="10" t="s">
        <v>87</v>
      </c>
      <c r="D17" s="11" t="s">
        <v>144</v>
      </c>
      <c r="E17" s="21">
        <v>3</v>
      </c>
      <c r="F17" s="12" t="s">
        <v>95</v>
      </c>
      <c r="G17" s="12" t="s">
        <v>145</v>
      </c>
      <c r="H17" s="12" t="s">
        <v>5</v>
      </c>
      <c r="I17" s="24" t="s">
        <v>214</v>
      </c>
      <c r="J17" s="12" t="s">
        <v>146</v>
      </c>
      <c r="K17" s="12" t="s">
        <v>147</v>
      </c>
      <c r="L17" s="12" t="s">
        <v>148</v>
      </c>
      <c r="M17" s="13">
        <v>37.92033</v>
      </c>
      <c r="N17" s="13">
        <v>-108.6803</v>
      </c>
      <c r="O17" s="12" t="s">
        <v>149</v>
      </c>
      <c r="P17" s="12" t="s">
        <v>150</v>
      </c>
      <c r="Q17" s="8" t="s">
        <v>11</v>
      </c>
    </row>
    <row r="18" spans="1:18" ht="36" x14ac:dyDescent="0.2">
      <c r="A18" s="8">
        <v>17</v>
      </c>
      <c r="B18" s="9" t="s">
        <v>151</v>
      </c>
      <c r="C18" s="10" t="s">
        <v>87</v>
      </c>
      <c r="D18" s="11" t="s">
        <v>152</v>
      </c>
      <c r="E18" s="21">
        <v>2</v>
      </c>
      <c r="F18" s="12" t="s">
        <v>3</v>
      </c>
      <c r="G18" s="12" t="s">
        <v>89</v>
      </c>
      <c r="H18" s="12" t="s">
        <v>5</v>
      </c>
      <c r="I18" s="24" t="s">
        <v>273</v>
      </c>
      <c r="J18" s="16" t="s">
        <v>153</v>
      </c>
      <c r="K18" s="8" t="s">
        <v>154</v>
      </c>
      <c r="L18" s="17" t="s">
        <v>8</v>
      </c>
      <c r="M18" s="18">
        <v>34.393610000000002</v>
      </c>
      <c r="N18" s="18">
        <v>-107.37223</v>
      </c>
      <c r="O18" s="12" t="s">
        <v>155</v>
      </c>
      <c r="P18" s="12" t="s">
        <v>156</v>
      </c>
      <c r="Q18" s="12" t="s">
        <v>202</v>
      </c>
      <c r="R18" s="2"/>
    </row>
    <row r="19" spans="1:18" ht="48" x14ac:dyDescent="0.2">
      <c r="A19" s="8">
        <v>18</v>
      </c>
      <c r="B19" s="9" t="s">
        <v>157</v>
      </c>
      <c r="C19" s="10" t="s">
        <v>158</v>
      </c>
      <c r="D19" s="11" t="s">
        <v>159</v>
      </c>
      <c r="E19" s="21">
        <v>2</v>
      </c>
      <c r="F19" s="12" t="s">
        <v>160</v>
      </c>
      <c r="G19" s="12" t="s">
        <v>161</v>
      </c>
      <c r="H19" s="12" t="s">
        <v>5</v>
      </c>
      <c r="I19" s="24"/>
      <c r="J19" s="12" t="s">
        <v>162</v>
      </c>
      <c r="K19" s="8" t="s">
        <v>163</v>
      </c>
      <c r="L19" s="12" t="s">
        <v>164</v>
      </c>
      <c r="M19" s="13">
        <v>33.122079999999997</v>
      </c>
      <c r="N19" s="13">
        <v>-107.19985</v>
      </c>
      <c r="O19" s="12" t="s">
        <v>83</v>
      </c>
      <c r="P19" s="12" t="s">
        <v>165</v>
      </c>
      <c r="Q19" s="12" t="s">
        <v>166</v>
      </c>
    </row>
    <row r="20" spans="1:18" ht="36" x14ac:dyDescent="0.2">
      <c r="A20" s="8">
        <v>19</v>
      </c>
      <c r="B20" s="9" t="s">
        <v>167</v>
      </c>
      <c r="C20" s="10" t="s">
        <v>87</v>
      </c>
      <c r="D20" s="11" t="s">
        <v>168</v>
      </c>
      <c r="E20" s="21">
        <v>2</v>
      </c>
      <c r="F20" s="12" t="s">
        <v>116</v>
      </c>
      <c r="G20" s="12" t="s">
        <v>117</v>
      </c>
      <c r="H20" s="12" t="s">
        <v>118</v>
      </c>
      <c r="I20" s="24"/>
      <c r="J20" s="12" t="s">
        <v>169</v>
      </c>
      <c r="K20" s="12" t="s">
        <v>170</v>
      </c>
      <c r="L20" s="12" t="s">
        <v>171</v>
      </c>
      <c r="M20" s="13">
        <v>37.535800000000002</v>
      </c>
      <c r="N20" s="13">
        <v>-111.44</v>
      </c>
      <c r="O20" s="12" t="s">
        <v>172</v>
      </c>
      <c r="P20" s="12" t="s">
        <v>173</v>
      </c>
      <c r="Q20" s="12" t="s">
        <v>174</v>
      </c>
    </row>
    <row r="21" spans="1:18" ht="112" x14ac:dyDescent="0.2">
      <c r="A21" s="8">
        <v>20</v>
      </c>
      <c r="B21" s="9" t="s">
        <v>175</v>
      </c>
      <c r="C21" s="10" t="s">
        <v>87</v>
      </c>
      <c r="D21" s="11" t="s">
        <v>176</v>
      </c>
      <c r="E21" s="21">
        <v>2</v>
      </c>
      <c r="F21" s="12" t="s">
        <v>135</v>
      </c>
      <c r="G21" s="12" t="s">
        <v>127</v>
      </c>
      <c r="H21" s="8" t="s">
        <v>177</v>
      </c>
      <c r="I21" s="25"/>
      <c r="J21" s="12" t="s">
        <v>178</v>
      </c>
      <c r="K21" s="13" t="s">
        <v>179</v>
      </c>
      <c r="L21" s="12" t="s">
        <v>180</v>
      </c>
      <c r="M21" s="13">
        <v>34.292879999999997</v>
      </c>
      <c r="N21" s="13">
        <v>-109.05365</v>
      </c>
      <c r="O21" s="12" t="s">
        <v>155</v>
      </c>
      <c r="P21" s="12" t="s">
        <v>181</v>
      </c>
      <c r="Q21" s="12" t="s">
        <v>206</v>
      </c>
    </row>
    <row r="22" spans="1:18" ht="64" x14ac:dyDescent="0.2">
      <c r="A22" s="8">
        <v>21</v>
      </c>
      <c r="B22" s="9" t="s">
        <v>182</v>
      </c>
      <c r="C22" s="10" t="s">
        <v>114</v>
      </c>
      <c r="D22" s="11" t="s">
        <v>183</v>
      </c>
      <c r="E22" s="21">
        <v>2</v>
      </c>
      <c r="F22" s="12" t="s">
        <v>95</v>
      </c>
      <c r="G22" s="12" t="s">
        <v>184</v>
      </c>
      <c r="H22" s="8" t="s">
        <v>5</v>
      </c>
      <c r="I22" s="25"/>
      <c r="J22" s="12" t="s">
        <v>185</v>
      </c>
      <c r="K22" s="12" t="s">
        <v>186</v>
      </c>
      <c r="L22" s="13" t="s">
        <v>11</v>
      </c>
      <c r="M22" s="13">
        <v>37.17398</v>
      </c>
      <c r="N22" s="13">
        <v>-108.86968</v>
      </c>
      <c r="O22" s="12" t="s">
        <v>187</v>
      </c>
      <c r="P22" s="12" t="s">
        <v>188</v>
      </c>
      <c r="Q22" s="8" t="s">
        <v>189</v>
      </c>
    </row>
    <row r="29" spans="1:18" x14ac:dyDescent="0.2">
      <c r="B29" s="26" t="s">
        <v>215</v>
      </c>
      <c r="C29" s="27" t="s">
        <v>216</v>
      </c>
      <c r="D29" s="28" t="s">
        <v>217</v>
      </c>
      <c r="E29" s="20">
        <v>1</v>
      </c>
      <c r="F29" s="29"/>
      <c r="G29" s="29"/>
      <c r="H29" s="29" t="s">
        <v>218</v>
      </c>
      <c r="I29" s="29" t="s">
        <v>236</v>
      </c>
      <c r="J29" s="29"/>
      <c r="K29" s="29"/>
    </row>
    <row r="30" spans="1:18" ht="38" x14ac:dyDescent="0.2">
      <c r="B30" s="26" t="s">
        <v>219</v>
      </c>
      <c r="C30" s="27" t="s">
        <v>220</v>
      </c>
      <c r="D30" s="28" t="s">
        <v>221</v>
      </c>
      <c r="E30" s="20">
        <v>2</v>
      </c>
      <c r="F30" s="29"/>
      <c r="G30" s="29"/>
      <c r="H30" s="29" t="s">
        <v>218</v>
      </c>
      <c r="I30" s="29" t="s">
        <v>237</v>
      </c>
      <c r="J30" s="29"/>
      <c r="K30" s="29"/>
    </row>
    <row r="31" spans="1:18" ht="38" x14ac:dyDescent="0.2">
      <c r="B31" s="26" t="s">
        <v>222</v>
      </c>
      <c r="C31" s="27" t="s">
        <v>223</v>
      </c>
      <c r="D31" s="28" t="s">
        <v>224</v>
      </c>
      <c r="E31" s="20">
        <v>2</v>
      </c>
      <c r="H31" s="2" t="s">
        <v>225</v>
      </c>
      <c r="I31" s="1" t="s">
        <v>235</v>
      </c>
    </row>
    <row r="32" spans="1:18" ht="38" x14ac:dyDescent="0.2">
      <c r="B32" s="26" t="s">
        <v>222</v>
      </c>
      <c r="C32" s="27" t="s">
        <v>226</v>
      </c>
      <c r="D32" s="28" t="s">
        <v>227</v>
      </c>
      <c r="E32" s="20">
        <v>2</v>
      </c>
      <c r="H32" s="2" t="s">
        <v>218</v>
      </c>
      <c r="I32" s="1" t="s">
        <v>238</v>
      </c>
    </row>
    <row r="33" spans="2:9" ht="38" x14ac:dyDescent="0.2">
      <c r="B33" s="26" t="s">
        <v>222</v>
      </c>
      <c r="C33" s="27" t="s">
        <v>228</v>
      </c>
      <c r="D33" s="28" t="s">
        <v>229</v>
      </c>
      <c r="E33" s="20">
        <v>2</v>
      </c>
      <c r="H33" s="2" t="s">
        <v>218</v>
      </c>
      <c r="I33" s="1"/>
    </row>
    <row r="34" spans="2:9" ht="38" x14ac:dyDescent="0.2">
      <c r="B34" s="30" t="s">
        <v>230</v>
      </c>
      <c r="C34" s="31" t="s">
        <v>228</v>
      </c>
      <c r="D34" s="32" t="s">
        <v>231</v>
      </c>
      <c r="E34" s="19">
        <v>1</v>
      </c>
      <c r="H34" s="1" t="s">
        <v>218</v>
      </c>
      <c r="I34" s="1" t="s">
        <v>234</v>
      </c>
    </row>
    <row r="35" spans="2:9" ht="38" x14ac:dyDescent="0.2">
      <c r="B35" s="30" t="s">
        <v>230</v>
      </c>
      <c r="C35" s="27" t="s">
        <v>223</v>
      </c>
      <c r="D35" s="32" t="s">
        <v>232</v>
      </c>
      <c r="E35" s="19">
        <v>1</v>
      </c>
      <c r="H35" s="1" t="s">
        <v>218</v>
      </c>
      <c r="I35" s="1" t="s">
        <v>233</v>
      </c>
    </row>
  </sheetData>
  <phoneticPr fontId="8" type="noConversion"/>
  <pageMargins left="0.7" right="0.7" top="0.75" bottom="0.75" header="0.3" footer="0.3"/>
  <pageSetup scale="49" fitToHeight="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4"/>
  <sheetViews>
    <sheetView topLeftCell="A18" workbookViewId="0">
      <selection activeCell="B24" sqref="B24"/>
    </sheetView>
  </sheetViews>
  <sheetFormatPr baseColWidth="10" defaultRowHeight="16" x14ac:dyDescent="0.2"/>
  <cols>
    <col min="1" max="1" width="12.1640625" customWidth="1"/>
    <col min="3" max="3" width="18.33203125" customWidth="1"/>
    <col min="5" max="5" width="10.83203125" style="92"/>
    <col min="6" max="6" width="5.1640625" style="92" customWidth="1"/>
    <col min="7" max="7" width="10.83203125" style="92"/>
    <col min="8" max="8" width="5" style="92" customWidth="1"/>
    <col min="9" max="13" width="7.6640625" style="92" customWidth="1"/>
    <col min="14" max="14" width="9.83203125" style="92" customWidth="1"/>
    <col min="15" max="15" width="5.83203125" style="92" customWidth="1"/>
    <col min="16" max="16" width="8.83203125" style="92" customWidth="1"/>
    <col min="17" max="17" width="9.1640625" style="92" customWidth="1"/>
  </cols>
  <sheetData>
    <row r="1" spans="1:22" x14ac:dyDescent="0.2">
      <c r="E1" s="92" t="s">
        <v>259</v>
      </c>
      <c r="G1" s="92" t="s">
        <v>260</v>
      </c>
      <c r="I1" s="92" t="s">
        <v>261</v>
      </c>
      <c r="J1" s="92" t="s">
        <v>262</v>
      </c>
      <c r="K1" s="92" t="s">
        <v>263</v>
      </c>
      <c r="L1" s="92" t="s">
        <v>264</v>
      </c>
      <c r="M1" s="92" t="s">
        <v>265</v>
      </c>
      <c r="N1" s="92" t="s">
        <v>257</v>
      </c>
      <c r="P1" s="92" t="s">
        <v>266</v>
      </c>
      <c r="Q1" s="92" t="s">
        <v>267</v>
      </c>
      <c r="S1" t="s">
        <v>257</v>
      </c>
      <c r="T1" t="s">
        <v>258</v>
      </c>
    </row>
    <row r="2" spans="1:22" s="35" customFormat="1" ht="13" x14ac:dyDescent="0.15">
      <c r="A2" s="33">
        <v>42278</v>
      </c>
      <c r="B2" s="34">
        <v>0.44791666666666669</v>
      </c>
      <c r="C2" s="35" t="s">
        <v>239</v>
      </c>
      <c r="D2" s="36">
        <v>19.899999999999999</v>
      </c>
      <c r="E2" s="81">
        <v>-1.482</v>
      </c>
      <c r="F2" s="81">
        <v>0.7</v>
      </c>
      <c r="G2" s="81">
        <v>34.838000000000001</v>
      </c>
      <c r="H2" s="81">
        <v>1.6</v>
      </c>
      <c r="I2" s="81">
        <v>2.0680000000000001</v>
      </c>
      <c r="J2" s="81">
        <v>-0.13300000000000001</v>
      </c>
      <c r="K2" s="81">
        <v>1.619</v>
      </c>
      <c r="L2" s="81">
        <v>-2.5840000000000001</v>
      </c>
      <c r="M2" s="81">
        <v>11.776999999999999</v>
      </c>
      <c r="N2" s="81">
        <v>-0.38200000000000001</v>
      </c>
      <c r="O2" s="81">
        <v>9.1</v>
      </c>
      <c r="P2" s="81">
        <v>-2.3180000000000001</v>
      </c>
      <c r="Q2" s="81">
        <v>9.8179999999999996</v>
      </c>
      <c r="S2" s="37">
        <v>0.70777591383999994</v>
      </c>
      <c r="T2" s="38">
        <v>21.919704586183514</v>
      </c>
      <c r="U2" s="40"/>
      <c r="V2" s="38"/>
    </row>
    <row r="3" spans="1:22" s="43" customFormat="1" ht="13" x14ac:dyDescent="0.15">
      <c r="A3" s="41">
        <v>42278</v>
      </c>
      <c r="B3" s="42">
        <v>0.53055555555555556</v>
      </c>
      <c r="C3" s="43" t="s">
        <v>240</v>
      </c>
      <c r="D3" s="44">
        <v>12.1</v>
      </c>
      <c r="E3" s="82">
        <v>5.8209999999999997</v>
      </c>
      <c r="F3" s="83">
        <v>0.7</v>
      </c>
      <c r="G3" s="83">
        <v>36.716000000000001</v>
      </c>
      <c r="H3" s="83">
        <v>1.8</v>
      </c>
      <c r="I3" s="83">
        <v>8.9860000000000007</v>
      </c>
      <c r="J3" s="83">
        <v>1.696</v>
      </c>
      <c r="K3" s="83">
        <v>10.814</v>
      </c>
      <c r="L3" s="83">
        <v>2.1680000000000001</v>
      </c>
      <c r="M3" s="83">
        <v>7.9950000000000001</v>
      </c>
      <c r="N3" s="83">
        <v>-0.13400000000000001</v>
      </c>
      <c r="O3" s="83">
        <v>10.199999999999999</v>
      </c>
      <c r="P3" s="83">
        <v>-1.2210000000000001</v>
      </c>
      <c r="Q3" s="83">
        <v>-4.8780000000000001</v>
      </c>
      <c r="S3" s="45">
        <v>0.75142177903999996</v>
      </c>
      <c r="T3" s="46">
        <v>7.553931701759609</v>
      </c>
      <c r="U3" s="47"/>
      <c r="V3" s="46"/>
    </row>
    <row r="4" spans="1:22" s="35" customFormat="1" ht="13" x14ac:dyDescent="0.15">
      <c r="A4" s="33">
        <v>42279</v>
      </c>
      <c r="B4" s="34">
        <v>0.3756944444444445</v>
      </c>
      <c r="C4" s="35" t="s">
        <v>241</v>
      </c>
      <c r="D4" s="48">
        <v>17.899999999999999</v>
      </c>
      <c r="E4" s="81">
        <v>1.05</v>
      </c>
      <c r="F4" s="84">
        <v>0.7</v>
      </c>
      <c r="G4" s="85">
        <v>36.340000000000003</v>
      </c>
      <c r="H4" s="81">
        <v>1.2</v>
      </c>
      <c r="I4" s="81">
        <v>4.4939999999999998</v>
      </c>
      <c r="J4" s="81">
        <v>1.323</v>
      </c>
      <c r="K4" s="86">
        <v>5.6390000000000002</v>
      </c>
      <c r="L4" s="86">
        <v>1.2410000000000001</v>
      </c>
      <c r="M4" s="81">
        <v>8.6349999999999998</v>
      </c>
      <c r="N4" s="86">
        <v>-0.3</v>
      </c>
      <c r="O4" s="81">
        <v>10.5</v>
      </c>
      <c r="P4" s="86">
        <v>-1.403</v>
      </c>
      <c r="Q4" s="81">
        <v>1.226</v>
      </c>
      <c r="S4" s="50">
        <v>0.69874234103999999</v>
      </c>
      <c r="T4" s="51">
        <v>25.178396152973903</v>
      </c>
      <c r="U4" s="52"/>
      <c r="V4" s="53"/>
    </row>
    <row r="5" spans="1:22" s="35" customFormat="1" ht="13" x14ac:dyDescent="0.15">
      <c r="A5" s="33">
        <v>42279</v>
      </c>
      <c r="B5" s="34">
        <v>0.4597222222222222</v>
      </c>
      <c r="C5" s="35" t="s">
        <v>242</v>
      </c>
      <c r="D5" s="48">
        <v>18.5</v>
      </c>
      <c r="E5" s="81">
        <v>1.5229999999999999</v>
      </c>
      <c r="F5" s="84">
        <v>1.3</v>
      </c>
      <c r="G5" s="84">
        <v>35.375999999999998</v>
      </c>
      <c r="H5" s="81">
        <v>2.9</v>
      </c>
      <c r="I5" s="81">
        <v>4.907</v>
      </c>
      <c r="J5" s="81">
        <v>0.39300000000000002</v>
      </c>
      <c r="K5" s="81">
        <v>5.0490000000000004</v>
      </c>
      <c r="L5" s="81">
        <v>193.155</v>
      </c>
      <c r="M5" s="81">
        <v>-2.2610000000000001</v>
      </c>
      <c r="N5" s="81">
        <v>-0.39700000000000002</v>
      </c>
      <c r="O5" s="81">
        <v>19.399999999999999</v>
      </c>
      <c r="P5" s="87">
        <v>192.21899999999999</v>
      </c>
      <c r="Q5" s="81">
        <v>-8.2140000000000004</v>
      </c>
      <c r="S5" s="50">
        <v>0.60966521864000001</v>
      </c>
      <c r="T5" s="54">
        <v>64.424359358735501</v>
      </c>
      <c r="U5" s="52"/>
      <c r="V5" s="55"/>
    </row>
    <row r="6" spans="1:22" s="43" customFormat="1" ht="13" x14ac:dyDescent="0.15">
      <c r="A6" s="41">
        <v>42279</v>
      </c>
      <c r="B6" s="42">
        <v>0.48680555555555555</v>
      </c>
      <c r="C6" s="43" t="s">
        <v>243</v>
      </c>
      <c r="D6" s="44">
        <v>15.2</v>
      </c>
      <c r="E6" s="83">
        <v>0.78700000000000003</v>
      </c>
      <c r="F6" s="83">
        <v>0.7</v>
      </c>
      <c r="G6" s="83">
        <v>35.33</v>
      </c>
      <c r="H6" s="83">
        <v>1.1000000000000001</v>
      </c>
      <c r="I6" s="83">
        <v>4.2140000000000004</v>
      </c>
      <c r="J6" s="83">
        <v>0.34699999999999998</v>
      </c>
      <c r="K6" s="83">
        <v>4.3920000000000003</v>
      </c>
      <c r="L6" s="83">
        <v>0.82499999999999996</v>
      </c>
      <c r="M6" s="83">
        <v>13.257</v>
      </c>
      <c r="N6" s="83">
        <v>-0.29499999999999998</v>
      </c>
      <c r="O6" s="83">
        <v>10.9</v>
      </c>
      <c r="P6" s="83">
        <v>0.13</v>
      </c>
      <c r="Q6" s="83">
        <v>8.0419999999999998</v>
      </c>
      <c r="S6" s="56">
        <v>0.73392878912000015</v>
      </c>
      <c r="T6" s="57">
        <v>13.055607291273304</v>
      </c>
      <c r="U6" s="47"/>
      <c r="V6" s="46"/>
    </row>
    <row r="7" spans="1:22" s="35" customFormat="1" ht="13" x14ac:dyDescent="0.15">
      <c r="A7" s="33">
        <v>42282</v>
      </c>
      <c r="B7" s="34">
        <v>0.61458333333333337</v>
      </c>
      <c r="C7" s="35" t="s">
        <v>244</v>
      </c>
      <c r="D7" s="36">
        <v>10.3</v>
      </c>
      <c r="E7" s="81">
        <v>4.7789999999999999</v>
      </c>
      <c r="F7" s="81">
        <v>1.2</v>
      </c>
      <c r="G7" s="81">
        <v>36.451000000000001</v>
      </c>
      <c r="H7" s="81">
        <v>1.7</v>
      </c>
      <c r="I7" s="81">
        <v>7.9989999999999997</v>
      </c>
      <c r="J7" s="81">
        <v>1.4370000000000001</v>
      </c>
      <c r="K7" s="81">
        <v>9.5220000000000002</v>
      </c>
      <c r="L7" s="81">
        <v>3.6920000000000002</v>
      </c>
      <c r="M7" s="81">
        <v>3.956</v>
      </c>
      <c r="N7" s="81">
        <v>-0.151</v>
      </c>
      <c r="O7" s="81">
        <v>11.8</v>
      </c>
      <c r="P7" s="81">
        <v>0.81299999999999994</v>
      </c>
      <c r="Q7" s="81">
        <v>-7.3289999999999997</v>
      </c>
      <c r="S7" s="50">
        <v>0.76427800592000006</v>
      </c>
      <c r="T7" s="51">
        <v>3.7069465954334646</v>
      </c>
      <c r="U7" s="52"/>
      <c r="V7" s="53"/>
    </row>
    <row r="10" spans="1:22" x14ac:dyDescent="0.2">
      <c r="A10" s="58">
        <v>42341</v>
      </c>
      <c r="B10" s="59">
        <v>0.27569444444444446</v>
      </c>
      <c r="C10" s="60" t="s">
        <v>245</v>
      </c>
      <c r="D10" s="61">
        <v>5.2</v>
      </c>
      <c r="E10" s="88">
        <v>4.8449999999999998</v>
      </c>
      <c r="F10" s="88">
        <v>1.1000000000000001</v>
      </c>
      <c r="G10" s="88">
        <v>36.643000000000001</v>
      </c>
      <c r="H10" s="88">
        <v>2.4</v>
      </c>
      <c r="I10" s="88">
        <v>8.0670000000000002</v>
      </c>
      <c r="J10" s="88">
        <v>1.623</v>
      </c>
      <c r="K10" s="88">
        <v>9.7789999999999999</v>
      </c>
      <c r="L10" s="88">
        <v>4.7770000000000001</v>
      </c>
      <c r="M10" s="88">
        <v>-11.852</v>
      </c>
      <c r="N10" s="88">
        <v>-0.14799999999999999</v>
      </c>
      <c r="O10" s="88">
        <v>14.6</v>
      </c>
      <c r="P10" s="89">
        <v>1.5229999999999999</v>
      </c>
      <c r="Q10" s="88">
        <v>-23.387</v>
      </c>
      <c r="S10" s="62">
        <v>0.75889154665900005</v>
      </c>
      <c r="T10" s="63">
        <v>5.2993957865948573</v>
      </c>
    </row>
    <row r="11" spans="1:22" x14ac:dyDescent="0.2">
      <c r="A11" s="58">
        <v>42341</v>
      </c>
      <c r="B11" s="59">
        <v>0.35625000000000001</v>
      </c>
      <c r="C11" s="60" t="s">
        <v>246</v>
      </c>
      <c r="D11" s="61">
        <v>6.8</v>
      </c>
      <c r="E11" s="88">
        <v>1.127</v>
      </c>
      <c r="F11" s="88">
        <v>0.9</v>
      </c>
      <c r="G11" s="88">
        <v>36.070999999999998</v>
      </c>
      <c r="H11" s="88">
        <v>2.2000000000000002</v>
      </c>
      <c r="I11" s="88">
        <v>4.5579999999999998</v>
      </c>
      <c r="J11" s="88">
        <v>1.0629999999999999</v>
      </c>
      <c r="K11" s="90">
        <v>5.5430000000000001</v>
      </c>
      <c r="L11" s="90">
        <v>2.7610000000000001</v>
      </c>
      <c r="M11" s="90">
        <v>-12.766</v>
      </c>
      <c r="N11" s="90">
        <v>-0.20699999999999999</v>
      </c>
      <c r="O11" s="90">
        <v>12.1</v>
      </c>
      <c r="P11" s="90">
        <v>0.63300000000000001</v>
      </c>
      <c r="Q11" s="90">
        <v>-19.584</v>
      </c>
      <c r="R11" s="65"/>
      <c r="S11" s="66">
        <v>0.77029062850300001</v>
      </c>
      <c r="T11" s="63">
        <v>1.9612495897469557</v>
      </c>
    </row>
    <row r="12" spans="1:22" s="71" customFormat="1" x14ac:dyDescent="0.2">
      <c r="A12" s="67">
        <v>42341</v>
      </c>
      <c r="B12" s="68">
        <v>0.5229166666666667</v>
      </c>
      <c r="C12" s="69" t="s">
        <v>247</v>
      </c>
      <c r="D12" s="70">
        <v>14</v>
      </c>
      <c r="E12" s="91">
        <v>1.0980000000000001</v>
      </c>
      <c r="F12" s="91">
        <v>0.7</v>
      </c>
      <c r="G12" s="91">
        <v>35.279000000000003</v>
      </c>
      <c r="H12" s="91">
        <v>2.1</v>
      </c>
      <c r="I12" s="91">
        <v>4.5039999999999996</v>
      </c>
      <c r="J12" s="91">
        <v>0.29799999999999999</v>
      </c>
      <c r="K12" s="91">
        <v>4.6539999999999999</v>
      </c>
      <c r="L12" s="91">
        <v>-6.0000000000000001E-3</v>
      </c>
      <c r="M12" s="91">
        <v>8.4380000000000006</v>
      </c>
      <c r="N12" s="91">
        <v>-0.28399999999999997</v>
      </c>
      <c r="O12" s="91">
        <v>11.1</v>
      </c>
      <c r="P12" s="91">
        <v>-0.60199999999999998</v>
      </c>
      <c r="Q12" s="91">
        <v>3.0369999999999999</v>
      </c>
      <c r="S12" s="72">
        <v>0.702701851534</v>
      </c>
      <c r="T12" s="73">
        <v>23.736845255826438</v>
      </c>
    </row>
    <row r="13" spans="1:22" x14ac:dyDescent="0.2">
      <c r="A13" s="58">
        <v>42341</v>
      </c>
      <c r="B13" s="59">
        <v>0.85416666666666663</v>
      </c>
      <c r="C13" s="60" t="s">
        <v>248</v>
      </c>
      <c r="D13" s="74">
        <v>10.3</v>
      </c>
      <c r="E13" s="92">
        <v>0.80100000000000005</v>
      </c>
      <c r="F13" s="92">
        <v>0.7</v>
      </c>
      <c r="G13" s="92">
        <v>35.905000000000001</v>
      </c>
      <c r="H13" s="92">
        <v>2.5</v>
      </c>
      <c r="I13" s="92">
        <v>4.2460000000000004</v>
      </c>
      <c r="J13" s="92">
        <v>0.90300000000000002</v>
      </c>
      <c r="K13" s="92">
        <v>4.984</v>
      </c>
      <c r="L13" s="92">
        <v>1.337</v>
      </c>
      <c r="M13" s="92">
        <v>10.064</v>
      </c>
      <c r="N13" s="92">
        <v>-0.28499999999999998</v>
      </c>
      <c r="O13" s="92">
        <v>10.1</v>
      </c>
      <c r="P13" s="92">
        <v>-0.46800000000000003</v>
      </c>
      <c r="Q13" s="92">
        <v>3.7360000000000002</v>
      </c>
      <c r="S13" s="62">
        <v>0.69575300946400009</v>
      </c>
      <c r="T13" s="63">
        <v>26.280750637950291</v>
      </c>
    </row>
    <row r="14" spans="1:22" x14ac:dyDescent="0.2">
      <c r="A14" s="75">
        <v>42341</v>
      </c>
      <c r="B14" s="76">
        <v>0.9375</v>
      </c>
      <c r="C14" s="64" t="s">
        <v>249</v>
      </c>
      <c r="D14" s="74">
        <v>18.100000000000001</v>
      </c>
      <c r="E14" s="93">
        <v>1.3919999999999999</v>
      </c>
      <c r="F14" s="93">
        <v>0.7</v>
      </c>
      <c r="G14" s="93">
        <v>37.03</v>
      </c>
      <c r="H14" s="93">
        <v>1.5</v>
      </c>
      <c r="I14" s="93">
        <v>4.8369999999999997</v>
      </c>
      <c r="J14" s="93">
        <v>1.99</v>
      </c>
      <c r="K14" s="93">
        <v>6.6580000000000004</v>
      </c>
      <c r="L14" s="93">
        <v>8.2910000000000004</v>
      </c>
      <c r="M14" s="93">
        <v>9.3230000000000004</v>
      </c>
      <c r="N14" s="93">
        <v>-0.29499999999999998</v>
      </c>
      <c r="O14" s="93">
        <v>10.5</v>
      </c>
      <c r="P14" s="94">
        <v>4.2910000000000004</v>
      </c>
      <c r="Q14" s="93">
        <v>0.23400000000000001</v>
      </c>
      <c r="S14" s="62">
        <v>0.65516719241800003</v>
      </c>
      <c r="T14" s="63">
        <v>42.569190765526685</v>
      </c>
    </row>
    <row r="15" spans="1:22" s="71" customFormat="1" x14ac:dyDescent="0.2">
      <c r="A15" s="67">
        <v>42342</v>
      </c>
      <c r="B15" s="68">
        <v>0.26874999999999999</v>
      </c>
      <c r="C15" s="69" t="s">
        <v>250</v>
      </c>
      <c r="D15" s="77">
        <v>15.2</v>
      </c>
      <c r="E15" s="91">
        <v>-6.0570000000000004</v>
      </c>
      <c r="F15" s="91">
        <v>0.7</v>
      </c>
      <c r="G15" s="91">
        <v>35.61</v>
      </c>
      <c r="H15" s="91">
        <v>1.7</v>
      </c>
      <c r="I15" s="91">
        <v>-2.202</v>
      </c>
      <c r="J15" s="91">
        <v>0.60299999999999998</v>
      </c>
      <c r="K15" s="91">
        <v>-2.0129999999999999</v>
      </c>
      <c r="L15" s="91">
        <v>0.47899999999999998</v>
      </c>
      <c r="M15" s="91">
        <v>9.5830000000000002</v>
      </c>
      <c r="N15" s="91">
        <v>-0.33400000000000002</v>
      </c>
      <c r="O15" s="91">
        <v>9.3000000000000007</v>
      </c>
      <c r="P15" s="91">
        <v>-0.72599999999999998</v>
      </c>
      <c r="Q15" s="91">
        <v>10.757</v>
      </c>
      <c r="S15" s="72">
        <v>0.76705963662699994</v>
      </c>
      <c r="T15" s="73">
        <v>2.8952122839287995</v>
      </c>
    </row>
    <row r="16" spans="1:22" s="65" customFormat="1" x14ac:dyDescent="0.2">
      <c r="A16" s="75">
        <v>42346</v>
      </c>
      <c r="B16" s="76">
        <v>0.27847222222222223</v>
      </c>
      <c r="C16" s="65" t="s">
        <v>251</v>
      </c>
      <c r="D16" s="78">
        <v>13.4</v>
      </c>
      <c r="E16" s="93">
        <v>6.157</v>
      </c>
      <c r="F16" s="93">
        <v>0.7</v>
      </c>
      <c r="G16" s="93">
        <v>37.682000000000002</v>
      </c>
      <c r="H16" s="93">
        <v>1.6</v>
      </c>
      <c r="I16" s="93">
        <v>9.3320000000000007</v>
      </c>
      <c r="J16" s="93">
        <v>2.6280000000000001</v>
      </c>
      <c r="K16" s="93">
        <v>12.055</v>
      </c>
      <c r="L16" s="93">
        <v>5.3860000000000001</v>
      </c>
      <c r="M16" s="93">
        <v>4.5519999999999996</v>
      </c>
      <c r="N16" s="93">
        <v>-0.17699999999999999</v>
      </c>
      <c r="O16" s="93">
        <v>8.6</v>
      </c>
      <c r="P16" s="93">
        <v>0.122</v>
      </c>
      <c r="Q16" s="93">
        <v>-10.452</v>
      </c>
      <c r="S16" s="66">
        <v>0.68702801165500005</v>
      </c>
      <c r="T16" s="63">
        <v>29.569459206333477</v>
      </c>
    </row>
    <row r="17" spans="1:33" s="65" customFormat="1" x14ac:dyDescent="0.2">
      <c r="A17" s="75">
        <v>42346</v>
      </c>
      <c r="B17" s="76">
        <v>0.51666666666666672</v>
      </c>
      <c r="C17" s="65" t="s">
        <v>252</v>
      </c>
      <c r="D17" s="78">
        <v>20.100000000000001</v>
      </c>
      <c r="E17" s="93">
        <v>-1.976</v>
      </c>
      <c r="F17" s="93">
        <v>0.7</v>
      </c>
      <c r="G17" s="93">
        <v>34.941000000000003</v>
      </c>
      <c r="H17" s="93">
        <v>2</v>
      </c>
      <c r="I17" s="93">
        <v>1.6080000000000001</v>
      </c>
      <c r="J17" s="93">
        <v>-3.4000000000000002E-2</v>
      </c>
      <c r="K17" s="93">
        <v>1.2649999999999999</v>
      </c>
      <c r="L17" s="93">
        <v>-1.0049999999999999</v>
      </c>
      <c r="M17" s="93">
        <v>9.9789999999999992</v>
      </c>
      <c r="N17" s="93">
        <v>-0.35899999999999999</v>
      </c>
      <c r="O17" s="93">
        <v>10.1</v>
      </c>
      <c r="P17" s="93">
        <v>-0.93600000000000005</v>
      </c>
      <c r="Q17" s="93">
        <v>8.32</v>
      </c>
      <c r="S17" s="66">
        <v>0.68171727206499999</v>
      </c>
      <c r="T17" s="63">
        <v>31.625083065144281</v>
      </c>
    </row>
    <row r="18" spans="1:33" s="71" customFormat="1" x14ac:dyDescent="0.2">
      <c r="A18" s="67">
        <v>42346</v>
      </c>
      <c r="B18" s="68">
        <v>0.60347222222222219</v>
      </c>
      <c r="C18" s="71" t="s">
        <v>253</v>
      </c>
      <c r="D18" s="79">
        <v>17.2</v>
      </c>
      <c r="E18" s="91">
        <v>0.96899999999999997</v>
      </c>
      <c r="F18" s="91">
        <v>0.5</v>
      </c>
      <c r="G18" s="91">
        <v>35.466999999999999</v>
      </c>
      <c r="H18" s="91">
        <v>1.7</v>
      </c>
      <c r="I18" s="91">
        <v>4.3899999999999997</v>
      </c>
      <c r="J18" s="91">
        <v>0.48</v>
      </c>
      <c r="K18" s="91">
        <v>4.7149999999999999</v>
      </c>
      <c r="L18" s="91">
        <v>0.65800000000000003</v>
      </c>
      <c r="M18" s="91">
        <v>8.0440000000000005</v>
      </c>
      <c r="N18" s="91">
        <v>-0.28399999999999997</v>
      </c>
      <c r="O18" s="91">
        <v>9.3000000000000007</v>
      </c>
      <c r="P18" s="91">
        <v>-0.30099999999999999</v>
      </c>
      <c r="Q18" s="91">
        <v>2.4089999999999998</v>
      </c>
      <c r="S18" s="72">
        <v>0.70161755951500004</v>
      </c>
      <c r="T18" s="73">
        <v>24.129527745673897</v>
      </c>
    </row>
    <row r="19" spans="1:33" s="65" customFormat="1" x14ac:dyDescent="0.2">
      <c r="A19" s="75">
        <v>42348</v>
      </c>
      <c r="B19" s="76">
        <v>0.3659722222222222</v>
      </c>
      <c r="C19" s="80" t="s">
        <v>254</v>
      </c>
      <c r="D19" s="78">
        <v>10.199999999999999</v>
      </c>
      <c r="E19" s="93">
        <v>-4.3449999999999998</v>
      </c>
      <c r="F19" s="93">
        <v>0.7</v>
      </c>
      <c r="G19" s="93">
        <v>34.834000000000003</v>
      </c>
      <c r="H19" s="93">
        <v>1.8</v>
      </c>
      <c r="I19" s="93">
        <v>-0.62</v>
      </c>
      <c r="J19" s="93">
        <v>-0.14299999999999999</v>
      </c>
      <c r="K19" s="93">
        <v>-1.133</v>
      </c>
      <c r="L19" s="93">
        <v>-0.433</v>
      </c>
      <c r="M19" s="93">
        <v>4.593</v>
      </c>
      <c r="N19" s="93">
        <v>-0.35299999999999998</v>
      </c>
      <c r="O19" s="93">
        <v>10.9</v>
      </c>
      <c r="P19" s="93">
        <v>-0.14699999999999999</v>
      </c>
      <c r="Q19" s="93">
        <v>5.5389999999999997</v>
      </c>
      <c r="S19" s="66">
        <v>0.73084039110700005</v>
      </c>
      <c r="T19" s="63">
        <v>14.060946731759941</v>
      </c>
    </row>
    <row r="20" spans="1:33" s="65" customFormat="1" x14ac:dyDescent="0.2">
      <c r="A20" s="75">
        <v>42348</v>
      </c>
      <c r="B20" s="76">
        <v>0.44722222222222219</v>
      </c>
      <c r="C20" s="80" t="s">
        <v>255</v>
      </c>
      <c r="D20" s="78">
        <v>12.1</v>
      </c>
      <c r="E20" s="93">
        <v>-2.278</v>
      </c>
      <c r="F20" s="93">
        <v>0.7</v>
      </c>
      <c r="G20" s="93">
        <v>34.725999999999999</v>
      </c>
      <c r="H20" s="93">
        <v>1.8</v>
      </c>
      <c r="I20" s="93">
        <v>1.3169999999999999</v>
      </c>
      <c r="J20" s="93">
        <v>-0.24199999999999999</v>
      </c>
      <c r="K20" s="93">
        <v>0.79100000000000004</v>
      </c>
      <c r="L20" s="93">
        <v>-0.83699999999999997</v>
      </c>
      <c r="M20" s="93">
        <v>5.2549999999999999</v>
      </c>
      <c r="N20" s="93">
        <v>-0.32800000000000001</v>
      </c>
      <c r="O20" s="93">
        <v>10.199999999999999</v>
      </c>
      <c r="P20" s="93">
        <v>-0.35199999999999998</v>
      </c>
      <c r="Q20" s="93">
        <v>4.3250000000000002</v>
      </c>
      <c r="S20" s="66">
        <v>0.72371575431099999</v>
      </c>
      <c r="T20" s="63">
        <v>16.421180474228322</v>
      </c>
    </row>
    <row r="21" spans="1:33" x14ac:dyDescent="0.2">
      <c r="A21" s="58">
        <v>42348</v>
      </c>
      <c r="B21" s="59">
        <v>0.52638888888888891</v>
      </c>
      <c r="C21" s="80" t="s">
        <v>256</v>
      </c>
      <c r="D21" s="78">
        <v>13.1</v>
      </c>
      <c r="E21" s="92">
        <v>1.1659999999999999</v>
      </c>
      <c r="F21" s="92">
        <v>0.7</v>
      </c>
      <c r="G21" s="92">
        <v>36.709000000000003</v>
      </c>
      <c r="H21" s="92">
        <v>1.9</v>
      </c>
      <c r="I21" s="92">
        <v>4.6150000000000002</v>
      </c>
      <c r="J21" s="92">
        <v>1.679</v>
      </c>
      <c r="K21" s="92">
        <v>6.1589999999999998</v>
      </c>
      <c r="L21" s="92">
        <v>5.1100000000000003</v>
      </c>
      <c r="M21" s="92">
        <v>6.4050000000000002</v>
      </c>
      <c r="N21" s="92">
        <v>-0.25800000000000001</v>
      </c>
      <c r="O21" s="92">
        <v>11.7</v>
      </c>
      <c r="P21" s="92">
        <v>1.7430000000000001</v>
      </c>
      <c r="Q21" s="92">
        <v>-1.8149999999999999</v>
      </c>
      <c r="S21" s="66">
        <v>0.70410805663900011</v>
      </c>
      <c r="T21" s="63">
        <v>23.229890178549965</v>
      </c>
    </row>
    <row r="23" spans="1:33" x14ac:dyDescent="0.2">
      <c r="S23" s="62">
        <v>0.75637255410259197</v>
      </c>
      <c r="T23" s="62">
        <v>1.4175377196007997E-2</v>
      </c>
      <c r="U23" s="103">
        <v>5.3199056669920042</v>
      </c>
      <c r="V23" s="103">
        <v>4.2228184079192381</v>
      </c>
      <c r="W23" s="62">
        <v>-5.0738327290471261</v>
      </c>
      <c r="X23" s="62">
        <v>0.95835567453473758</v>
      </c>
    </row>
    <row r="24" spans="1:33" s="105" customFormat="1" x14ac:dyDescent="0.2">
      <c r="B24" t="s">
        <v>269</v>
      </c>
      <c r="C24" t="s">
        <v>270</v>
      </c>
      <c r="E24" s="62">
        <v>2.5836666666666663</v>
      </c>
      <c r="F24" s="62">
        <v>6.8500608269805349E-2</v>
      </c>
      <c r="G24" s="62">
        <v>-3.1778186799190493</v>
      </c>
      <c r="H24" s="62">
        <v>9.1681552537359198E-2</v>
      </c>
      <c r="P24" s="104"/>
      <c r="Q24" s="104"/>
      <c r="R24" s="106"/>
      <c r="S24" s="62">
        <v>0.68092194925984728</v>
      </c>
      <c r="T24" s="62"/>
      <c r="U24" s="103">
        <v>30.081424327627246</v>
      </c>
      <c r="V24" s="103"/>
      <c r="W24" s="62">
        <v>-1.2097296573377889</v>
      </c>
      <c r="X24" s="62"/>
    </row>
    <row r="25" spans="1:33" s="105" customFormat="1" x14ac:dyDescent="0.2">
      <c r="B25" t="s">
        <v>271</v>
      </c>
      <c r="C25" t="s">
        <v>272</v>
      </c>
      <c r="E25" s="62">
        <v>0.435</v>
      </c>
      <c r="F25" s="62"/>
      <c r="G25" s="62">
        <v>-4.6114887519341892</v>
      </c>
      <c r="H25" s="62"/>
      <c r="P25" s="104"/>
      <c r="Q25" s="104"/>
      <c r="R25" s="106"/>
      <c r="S25" s="104"/>
    </row>
    <row r="28" spans="1:33" s="65" customFormat="1" x14ac:dyDescent="0.2"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</row>
    <row r="29" spans="1:33" s="39" customFormat="1" ht="13" x14ac:dyDescent="0.15">
      <c r="A29" s="96">
        <v>42279</v>
      </c>
      <c r="B29" s="97">
        <v>0.4597222222222222</v>
      </c>
      <c r="C29" s="39" t="s">
        <v>242</v>
      </c>
      <c r="D29" s="48">
        <v>18.5</v>
      </c>
      <c r="E29" s="84">
        <v>1.5229999999999999</v>
      </c>
      <c r="F29" s="84">
        <v>1.3</v>
      </c>
      <c r="G29" s="84">
        <v>35.375999999999998</v>
      </c>
      <c r="H29" s="84">
        <v>2.9</v>
      </c>
      <c r="I29" s="84">
        <v>4.907</v>
      </c>
      <c r="J29" s="84">
        <v>0.39300000000000002</v>
      </c>
      <c r="K29" s="84">
        <v>5.0490000000000004</v>
      </c>
      <c r="L29" s="84">
        <v>193.155</v>
      </c>
      <c r="M29" s="84">
        <v>-2.2610000000000001</v>
      </c>
      <c r="N29" s="84">
        <v>-0.39700000000000002</v>
      </c>
      <c r="O29" s="84">
        <v>19.399999999999999</v>
      </c>
      <c r="P29" s="95">
        <v>192.21899999999999</v>
      </c>
      <c r="Q29" s="84">
        <v>-8.2140000000000004</v>
      </c>
      <c r="S29" s="50">
        <v>0.60966521864000001</v>
      </c>
      <c r="T29" s="54">
        <v>64.424359358735501</v>
      </c>
      <c r="U29" s="40"/>
      <c r="V29" s="100"/>
    </row>
    <row r="30" spans="1:33" s="39" customFormat="1" ht="13" x14ac:dyDescent="0.15">
      <c r="A30" s="96"/>
      <c r="B30" s="97"/>
      <c r="D30" s="48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95"/>
      <c r="Q30" s="84"/>
      <c r="S30" s="50"/>
      <c r="T30" s="54"/>
      <c r="U30" s="40"/>
      <c r="V30" s="100"/>
    </row>
    <row r="31" spans="1:33" s="39" customFormat="1" ht="13" x14ac:dyDescent="0.15">
      <c r="A31" s="96">
        <v>42278</v>
      </c>
      <c r="B31" s="97">
        <v>0.44791666666666669</v>
      </c>
      <c r="C31" s="39" t="s">
        <v>239</v>
      </c>
      <c r="D31" s="48">
        <v>19.899999999999999</v>
      </c>
      <c r="E31" s="101">
        <v>-1.482</v>
      </c>
      <c r="F31" s="84">
        <v>0.7</v>
      </c>
      <c r="G31" s="84">
        <v>34.838000000000001</v>
      </c>
      <c r="H31" s="84">
        <v>1.6</v>
      </c>
      <c r="I31" s="84">
        <v>2.0680000000000001</v>
      </c>
      <c r="J31" s="84">
        <v>-0.13300000000000001</v>
      </c>
      <c r="K31" s="84">
        <v>1.619</v>
      </c>
      <c r="L31" s="84">
        <v>-2.5840000000000001</v>
      </c>
      <c r="M31" s="84">
        <v>11.776999999999999</v>
      </c>
      <c r="N31" s="84">
        <v>-0.38200000000000001</v>
      </c>
      <c r="O31" s="84">
        <v>9.1</v>
      </c>
      <c r="P31" s="84">
        <v>-2.3180000000000001</v>
      </c>
      <c r="Q31" s="84">
        <v>9.8179999999999996</v>
      </c>
      <c r="S31" s="37">
        <v>0.70777591383999994</v>
      </c>
      <c r="T31" s="38">
        <v>21.919704586183514</v>
      </c>
      <c r="U31" s="40"/>
      <c r="V31" s="38"/>
    </row>
    <row r="32" spans="1:33" s="39" customFormat="1" ht="13" customHeight="1" x14ac:dyDescent="0.2">
      <c r="A32" s="75">
        <v>42342</v>
      </c>
      <c r="B32" s="76">
        <v>0.26874999999999999</v>
      </c>
      <c r="C32" s="64" t="s">
        <v>250</v>
      </c>
      <c r="D32" s="74">
        <v>15.2</v>
      </c>
      <c r="E32" s="93">
        <v>-6.0570000000000004</v>
      </c>
      <c r="F32" s="93">
        <v>0.7</v>
      </c>
      <c r="G32" s="93">
        <v>35.61</v>
      </c>
      <c r="H32" s="93">
        <v>1.7</v>
      </c>
      <c r="I32" s="93">
        <v>-2.202</v>
      </c>
      <c r="J32" s="93">
        <v>0.60299999999999998</v>
      </c>
      <c r="K32" s="93">
        <v>-2.0129999999999999</v>
      </c>
      <c r="L32" s="93">
        <v>0.47899999999999998</v>
      </c>
      <c r="M32" s="93">
        <v>9.5830000000000002</v>
      </c>
      <c r="N32" s="93">
        <v>-0.33400000000000002</v>
      </c>
      <c r="O32" s="93">
        <v>9.3000000000000007</v>
      </c>
      <c r="P32" s="93">
        <v>-0.72599999999999998</v>
      </c>
      <c r="Q32" s="93">
        <v>10.757</v>
      </c>
      <c r="R32" s="65"/>
      <c r="S32" s="66">
        <v>0.76705963662699994</v>
      </c>
      <c r="T32" s="63">
        <v>2.8952122839287995</v>
      </c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</row>
    <row r="33" spans="1:33" s="39" customFormat="1" ht="13" customHeight="1" x14ac:dyDescent="0.2">
      <c r="A33" s="75">
        <v>42348</v>
      </c>
      <c r="B33" s="76">
        <v>0.3659722222222222</v>
      </c>
      <c r="C33" s="80" t="s">
        <v>254</v>
      </c>
      <c r="D33" s="78">
        <v>10.199999999999999</v>
      </c>
      <c r="E33" s="93">
        <v>-4.3449999999999998</v>
      </c>
      <c r="F33" s="93">
        <v>0.7</v>
      </c>
      <c r="G33" s="93">
        <v>34.834000000000003</v>
      </c>
      <c r="H33" s="93">
        <v>1.8</v>
      </c>
      <c r="I33" s="93">
        <v>-0.62</v>
      </c>
      <c r="J33" s="93">
        <v>-0.14299999999999999</v>
      </c>
      <c r="K33" s="93">
        <v>-1.133</v>
      </c>
      <c r="L33" s="93">
        <v>-0.433</v>
      </c>
      <c r="M33" s="93">
        <v>4.593</v>
      </c>
      <c r="N33" s="93">
        <v>-0.35299999999999998</v>
      </c>
      <c r="O33" s="93">
        <v>10.9</v>
      </c>
      <c r="P33" s="93">
        <v>-0.14699999999999999</v>
      </c>
      <c r="Q33" s="93">
        <v>5.5389999999999997</v>
      </c>
      <c r="R33" s="65"/>
      <c r="S33" s="66">
        <v>0.73084039110700005</v>
      </c>
      <c r="T33" s="63">
        <v>14.060946731759941</v>
      </c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</row>
    <row r="34" spans="1:33" s="39" customFormat="1" ht="13" customHeight="1" x14ac:dyDescent="0.2">
      <c r="A34" s="75">
        <v>42346</v>
      </c>
      <c r="B34" s="76">
        <v>0.51666666666666672</v>
      </c>
      <c r="C34" s="65" t="s">
        <v>252</v>
      </c>
      <c r="D34" s="78">
        <v>20.100000000000001</v>
      </c>
      <c r="E34" s="93">
        <v>-1.976</v>
      </c>
      <c r="F34" s="93">
        <v>0.7</v>
      </c>
      <c r="G34" s="93">
        <v>34.941000000000003</v>
      </c>
      <c r="H34" s="93">
        <v>2</v>
      </c>
      <c r="I34" s="93">
        <v>1.6080000000000001</v>
      </c>
      <c r="J34" s="93">
        <v>-3.4000000000000002E-2</v>
      </c>
      <c r="K34" s="93">
        <v>1.2649999999999999</v>
      </c>
      <c r="L34" s="93">
        <v>-1.0049999999999999</v>
      </c>
      <c r="M34" s="93">
        <v>9.9789999999999992</v>
      </c>
      <c r="N34" s="93">
        <v>-0.35899999999999999</v>
      </c>
      <c r="O34" s="93">
        <v>10.1</v>
      </c>
      <c r="P34" s="93">
        <v>-0.93600000000000005</v>
      </c>
      <c r="Q34" s="93">
        <v>8.32</v>
      </c>
      <c r="R34" s="65"/>
      <c r="S34" s="66">
        <v>0.68171727206499999</v>
      </c>
      <c r="T34" s="63">
        <v>31.625083065144281</v>
      </c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</row>
    <row r="35" spans="1:33" s="39" customFormat="1" ht="13" customHeight="1" x14ac:dyDescent="0.2">
      <c r="A35" s="75">
        <v>42348</v>
      </c>
      <c r="B35" s="76">
        <v>0.44722222222222219</v>
      </c>
      <c r="C35" s="80" t="s">
        <v>255</v>
      </c>
      <c r="D35" s="78">
        <v>12.1</v>
      </c>
      <c r="E35" s="93">
        <v>-2.278</v>
      </c>
      <c r="F35" s="93">
        <v>0.7</v>
      </c>
      <c r="G35" s="93">
        <v>34.725999999999999</v>
      </c>
      <c r="H35" s="93">
        <v>1.8</v>
      </c>
      <c r="I35" s="93">
        <v>1.3169999999999999</v>
      </c>
      <c r="J35" s="93">
        <v>-0.24199999999999999</v>
      </c>
      <c r="K35" s="93">
        <v>0.79100000000000004</v>
      </c>
      <c r="L35" s="93">
        <v>-0.83699999999999997</v>
      </c>
      <c r="M35" s="93">
        <v>5.2549999999999999</v>
      </c>
      <c r="N35" s="93">
        <v>-0.32800000000000001</v>
      </c>
      <c r="O35" s="93">
        <v>10.199999999999999</v>
      </c>
      <c r="P35" s="93">
        <v>-0.35199999999999998</v>
      </c>
      <c r="Q35" s="93">
        <v>4.3250000000000002</v>
      </c>
      <c r="R35" s="65"/>
      <c r="S35" s="66">
        <v>0.72371575431099999</v>
      </c>
      <c r="T35" s="63">
        <v>16.421180474228322</v>
      </c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</row>
    <row r="36" spans="1:33" s="39" customFormat="1" ht="13" customHeight="1" x14ac:dyDescent="0.2">
      <c r="A36" s="75"/>
      <c r="B36" s="76"/>
      <c r="C36" s="80"/>
      <c r="D36" s="10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65"/>
      <c r="S36" s="66"/>
      <c r="T36" s="63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</row>
    <row r="37" spans="1:33" s="65" customFormat="1" x14ac:dyDescent="0.2">
      <c r="A37" s="96">
        <v>42279</v>
      </c>
      <c r="B37" s="97">
        <v>0.48680555555555555</v>
      </c>
      <c r="C37" s="39" t="s">
        <v>243</v>
      </c>
      <c r="D37" s="49">
        <v>15.2</v>
      </c>
      <c r="E37" s="84">
        <v>0.78700000000000003</v>
      </c>
      <c r="F37" s="84">
        <v>0.7</v>
      </c>
      <c r="G37" s="84">
        <v>35.33</v>
      </c>
      <c r="H37" s="84">
        <v>1.1000000000000001</v>
      </c>
      <c r="I37" s="84">
        <v>4.2140000000000004</v>
      </c>
      <c r="J37" s="84">
        <v>0.34699999999999998</v>
      </c>
      <c r="K37" s="84">
        <v>4.3920000000000003</v>
      </c>
      <c r="L37" s="84">
        <v>0.82499999999999996</v>
      </c>
      <c r="M37" s="84">
        <v>13.257</v>
      </c>
      <c r="N37" s="84">
        <v>-0.29499999999999998</v>
      </c>
      <c r="O37" s="84">
        <v>10.9</v>
      </c>
      <c r="P37" s="84">
        <v>0.13</v>
      </c>
      <c r="Q37" s="84">
        <v>8.0419999999999998</v>
      </c>
      <c r="R37" s="39"/>
      <c r="S37" s="50">
        <v>0.73392878912000015</v>
      </c>
      <c r="T37" s="51">
        <v>13.055607291273304</v>
      </c>
      <c r="U37" s="40"/>
      <c r="V37" s="38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1:33" s="65" customFormat="1" x14ac:dyDescent="0.2">
      <c r="A38" s="75">
        <v>42341</v>
      </c>
      <c r="B38" s="76">
        <v>0.35625000000000001</v>
      </c>
      <c r="C38" s="64" t="s">
        <v>246</v>
      </c>
      <c r="D38" s="99">
        <v>6.8</v>
      </c>
      <c r="E38" s="90">
        <v>1.127</v>
      </c>
      <c r="F38" s="90">
        <v>0.9</v>
      </c>
      <c r="G38" s="90">
        <v>36.070999999999998</v>
      </c>
      <c r="H38" s="90">
        <v>2.2000000000000002</v>
      </c>
      <c r="I38" s="90">
        <v>4.5579999999999998</v>
      </c>
      <c r="J38" s="90">
        <v>1.0629999999999999</v>
      </c>
      <c r="K38" s="90">
        <v>5.5430000000000001</v>
      </c>
      <c r="L38" s="90">
        <v>2.7610000000000001</v>
      </c>
      <c r="M38" s="90">
        <v>-12.766</v>
      </c>
      <c r="N38" s="90">
        <v>-0.20699999999999999</v>
      </c>
      <c r="O38" s="90">
        <v>12.1</v>
      </c>
      <c r="P38" s="90">
        <v>0.63300000000000001</v>
      </c>
      <c r="Q38" s="90">
        <v>-19.584</v>
      </c>
      <c r="S38" s="66">
        <v>0.77029062850300001</v>
      </c>
      <c r="T38" s="63">
        <v>1.9612495897469557</v>
      </c>
    </row>
    <row r="39" spans="1:33" s="65" customFormat="1" x14ac:dyDescent="0.2">
      <c r="A39" s="75">
        <v>42346</v>
      </c>
      <c r="B39" s="76">
        <v>0.60347222222222219</v>
      </c>
      <c r="C39" s="65" t="s">
        <v>253</v>
      </c>
      <c r="D39" s="78">
        <v>17.2</v>
      </c>
      <c r="E39" s="93">
        <v>0.96899999999999997</v>
      </c>
      <c r="F39" s="93">
        <v>0.5</v>
      </c>
      <c r="G39" s="93">
        <v>35.466999999999999</v>
      </c>
      <c r="H39" s="93">
        <v>1.7</v>
      </c>
      <c r="I39" s="93">
        <v>4.3899999999999997</v>
      </c>
      <c r="J39" s="93">
        <v>0.48</v>
      </c>
      <c r="K39" s="93">
        <v>4.7149999999999999</v>
      </c>
      <c r="L39" s="93">
        <v>0.65800000000000003</v>
      </c>
      <c r="M39" s="93">
        <v>8.0440000000000005</v>
      </c>
      <c r="N39" s="93">
        <v>-0.28399999999999997</v>
      </c>
      <c r="O39" s="93">
        <v>9.3000000000000007</v>
      </c>
      <c r="P39" s="93">
        <v>-0.30099999999999999</v>
      </c>
      <c r="Q39" s="93">
        <v>2.4089999999999998</v>
      </c>
      <c r="S39" s="66">
        <v>0.70161755951500004</v>
      </c>
      <c r="T39" s="63">
        <v>24.129527745673897</v>
      </c>
    </row>
    <row r="40" spans="1:33" s="65" customFormat="1" x14ac:dyDescent="0.2">
      <c r="A40" s="75">
        <v>42341</v>
      </c>
      <c r="B40" s="76">
        <v>0.5229166666666667</v>
      </c>
      <c r="C40" s="64" t="s">
        <v>247</v>
      </c>
      <c r="D40" s="74">
        <v>14</v>
      </c>
      <c r="E40" s="93">
        <v>1.0980000000000001</v>
      </c>
      <c r="F40" s="93">
        <v>0.7</v>
      </c>
      <c r="G40" s="93">
        <v>35.279000000000003</v>
      </c>
      <c r="H40" s="93">
        <v>2.1</v>
      </c>
      <c r="I40" s="93">
        <v>4.5039999999999996</v>
      </c>
      <c r="J40" s="93">
        <v>0.29799999999999999</v>
      </c>
      <c r="K40" s="93">
        <v>4.6539999999999999</v>
      </c>
      <c r="L40" s="93">
        <v>-6.0000000000000001E-3</v>
      </c>
      <c r="M40" s="93">
        <v>8.4380000000000006</v>
      </c>
      <c r="N40" s="93">
        <v>-0.28399999999999997</v>
      </c>
      <c r="O40" s="93">
        <v>11.1</v>
      </c>
      <c r="P40" s="93">
        <v>-0.60199999999999998</v>
      </c>
      <c r="Q40" s="93">
        <v>3.0369999999999999</v>
      </c>
      <c r="S40" s="66">
        <v>0.702701851534</v>
      </c>
      <c r="T40" s="63">
        <v>23.736845255826438</v>
      </c>
    </row>
    <row r="41" spans="1:33" s="65" customFormat="1" x14ac:dyDescent="0.2">
      <c r="A41" s="75"/>
      <c r="B41" s="76"/>
      <c r="C41" s="64"/>
      <c r="D41" s="74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S41" s="66"/>
      <c r="T41" s="63"/>
    </row>
    <row r="42" spans="1:33" s="65" customFormat="1" x14ac:dyDescent="0.2">
      <c r="A42" s="75">
        <v>42341</v>
      </c>
      <c r="B42" s="76">
        <v>0.27569444444444446</v>
      </c>
      <c r="C42" s="64" t="s">
        <v>245</v>
      </c>
      <c r="D42" s="61">
        <v>5.2</v>
      </c>
      <c r="E42" s="90">
        <v>4.8449999999999998</v>
      </c>
      <c r="F42" s="90">
        <v>1.1000000000000001</v>
      </c>
      <c r="G42" s="90">
        <v>36.643000000000001</v>
      </c>
      <c r="H42" s="90">
        <v>2.4</v>
      </c>
      <c r="I42" s="90">
        <v>8.0670000000000002</v>
      </c>
      <c r="J42" s="90">
        <v>1.623</v>
      </c>
      <c r="K42" s="90">
        <v>9.7789999999999999</v>
      </c>
      <c r="L42" s="90">
        <v>4.7770000000000001</v>
      </c>
      <c r="M42" s="90">
        <v>-11.852</v>
      </c>
      <c r="N42" s="90">
        <v>-0.14799999999999999</v>
      </c>
      <c r="O42" s="90">
        <v>14.6</v>
      </c>
      <c r="P42" s="94">
        <v>1.5229999999999999</v>
      </c>
      <c r="Q42" s="90">
        <v>-23.387</v>
      </c>
      <c r="S42" s="66">
        <v>0.75889154665900005</v>
      </c>
      <c r="T42" s="63">
        <v>5.2993957865948573</v>
      </c>
    </row>
    <row r="43" spans="1:33" s="65" customFormat="1" x14ac:dyDescent="0.2">
      <c r="A43" s="96">
        <v>42282</v>
      </c>
      <c r="B43" s="97">
        <v>0.61458333333333337</v>
      </c>
      <c r="C43" s="39" t="s">
        <v>244</v>
      </c>
      <c r="D43" s="48">
        <v>10.3</v>
      </c>
      <c r="E43" s="84">
        <v>4.7789999999999999</v>
      </c>
      <c r="F43" s="84">
        <v>1.2</v>
      </c>
      <c r="G43" s="84">
        <v>36.451000000000001</v>
      </c>
      <c r="H43" s="84">
        <v>1.7</v>
      </c>
      <c r="I43" s="84">
        <v>7.9989999999999997</v>
      </c>
      <c r="J43" s="84">
        <v>1.4370000000000001</v>
      </c>
      <c r="K43" s="84">
        <v>9.5220000000000002</v>
      </c>
      <c r="L43" s="84">
        <v>3.6920000000000002</v>
      </c>
      <c r="M43" s="84">
        <v>3.956</v>
      </c>
      <c r="N43" s="84">
        <v>-0.151</v>
      </c>
      <c r="O43" s="84">
        <v>11.8</v>
      </c>
      <c r="P43" s="84">
        <v>0.81299999999999994</v>
      </c>
      <c r="Q43" s="84">
        <v>-7.3289999999999997</v>
      </c>
      <c r="R43" s="39"/>
      <c r="S43" s="50">
        <v>0.76427800592000006</v>
      </c>
      <c r="T43" s="51">
        <v>3.7069465954334646</v>
      </c>
      <c r="U43" s="40"/>
      <c r="V43" s="38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 spans="1:33" s="65" customFormat="1" x14ac:dyDescent="0.2">
      <c r="A44" s="96"/>
      <c r="B44" s="97"/>
      <c r="C44" s="39"/>
      <c r="D44" s="48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39"/>
      <c r="S44" s="50"/>
      <c r="T44" s="51"/>
      <c r="U44" s="40"/>
      <c r="V44" s="38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</row>
    <row r="45" spans="1:33" s="65" customFormat="1" x14ac:dyDescent="0.2">
      <c r="A45" s="96">
        <v>42278</v>
      </c>
      <c r="B45" s="97">
        <v>0.53055555555555556</v>
      </c>
      <c r="C45" s="39" t="s">
        <v>240</v>
      </c>
      <c r="D45" s="48">
        <v>12.1</v>
      </c>
      <c r="E45" s="84">
        <v>5.8209999999999997</v>
      </c>
      <c r="F45" s="84">
        <v>0.7</v>
      </c>
      <c r="G45" s="84">
        <v>36.716000000000001</v>
      </c>
      <c r="H45" s="84">
        <v>1.8</v>
      </c>
      <c r="I45" s="84">
        <v>8.9860000000000007</v>
      </c>
      <c r="J45" s="84">
        <v>1.696</v>
      </c>
      <c r="K45" s="84">
        <v>10.814</v>
      </c>
      <c r="L45" s="84">
        <v>2.1680000000000001</v>
      </c>
      <c r="M45" s="84">
        <v>7.9950000000000001</v>
      </c>
      <c r="N45" s="84">
        <v>-0.13400000000000001</v>
      </c>
      <c r="O45" s="84">
        <v>10.199999999999999</v>
      </c>
      <c r="P45" s="84">
        <v>-1.2210000000000001</v>
      </c>
      <c r="Q45" s="84">
        <v>-4.8780000000000001</v>
      </c>
      <c r="R45" s="39"/>
      <c r="S45" s="37">
        <v>0.75142177903999996</v>
      </c>
      <c r="T45" s="38">
        <v>7.553931701759609</v>
      </c>
      <c r="U45" s="40"/>
      <c r="V45" s="38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</row>
    <row r="46" spans="1:33" s="65" customFormat="1" x14ac:dyDescent="0.2">
      <c r="A46" s="75">
        <v>42346</v>
      </c>
      <c r="B46" s="76">
        <v>0.27847222222222223</v>
      </c>
      <c r="C46" s="65" t="s">
        <v>251</v>
      </c>
      <c r="D46" s="102">
        <v>13.4</v>
      </c>
      <c r="E46" s="93">
        <v>6.157</v>
      </c>
      <c r="F46" s="93">
        <v>0.7</v>
      </c>
      <c r="G46" s="93">
        <v>37.682000000000002</v>
      </c>
      <c r="H46" s="93">
        <v>1.6</v>
      </c>
      <c r="I46" s="93">
        <v>9.3320000000000007</v>
      </c>
      <c r="J46" s="93">
        <v>2.6280000000000001</v>
      </c>
      <c r="K46" s="93">
        <v>12.055</v>
      </c>
      <c r="L46" s="93">
        <v>5.3860000000000001</v>
      </c>
      <c r="M46" s="93">
        <v>4.5519999999999996</v>
      </c>
      <c r="N46" s="93">
        <v>-0.17699999999999999</v>
      </c>
      <c r="O46" s="93">
        <v>8.6</v>
      </c>
      <c r="P46" s="93">
        <v>0.122</v>
      </c>
      <c r="Q46" s="93">
        <v>-10.452</v>
      </c>
      <c r="S46" s="66">
        <v>0.68702801165500005</v>
      </c>
      <c r="T46" s="63">
        <v>29.569459206333477</v>
      </c>
    </row>
    <row r="48" spans="1:33" s="65" customFormat="1" x14ac:dyDescent="0.2">
      <c r="A48" s="96">
        <v>42279</v>
      </c>
      <c r="B48" s="97">
        <v>0.3756944444444445</v>
      </c>
      <c r="C48" s="39" t="s">
        <v>241</v>
      </c>
      <c r="D48" s="48">
        <v>17.899999999999999</v>
      </c>
      <c r="E48" s="84">
        <v>1.05</v>
      </c>
      <c r="F48" s="84">
        <v>0.7</v>
      </c>
      <c r="G48" s="84">
        <v>36.340000000000003</v>
      </c>
      <c r="H48" s="84">
        <v>1.2</v>
      </c>
      <c r="I48" s="84">
        <v>4.4939999999999998</v>
      </c>
      <c r="J48" s="84">
        <v>1.323</v>
      </c>
      <c r="K48" s="86">
        <v>5.6390000000000002</v>
      </c>
      <c r="L48" s="86">
        <v>1.2410000000000001</v>
      </c>
      <c r="M48" s="84">
        <v>8.6349999999999998</v>
      </c>
      <c r="N48" s="86">
        <v>-0.3</v>
      </c>
      <c r="O48" s="84">
        <v>10.5</v>
      </c>
      <c r="P48" s="86">
        <v>-1.403</v>
      </c>
      <c r="Q48" s="84">
        <v>1.226</v>
      </c>
      <c r="R48" s="39"/>
      <c r="S48" s="50">
        <v>0.69874234103999999</v>
      </c>
      <c r="T48" s="51">
        <v>25.178396152973903</v>
      </c>
      <c r="U48" s="40"/>
      <c r="V48" s="38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</row>
    <row r="49" spans="1:20" s="65" customFormat="1" x14ac:dyDescent="0.2">
      <c r="A49" s="75">
        <v>42341</v>
      </c>
      <c r="B49" s="76">
        <v>0.85416666666666663</v>
      </c>
      <c r="C49" s="64" t="s">
        <v>248</v>
      </c>
      <c r="D49" s="74">
        <v>10.3</v>
      </c>
      <c r="E49" s="93">
        <v>0.80100000000000005</v>
      </c>
      <c r="F49" s="93">
        <v>0.7</v>
      </c>
      <c r="G49" s="93">
        <v>35.905000000000001</v>
      </c>
      <c r="H49" s="93">
        <v>2.5</v>
      </c>
      <c r="I49" s="93">
        <v>4.2460000000000004</v>
      </c>
      <c r="J49" s="93">
        <v>0.90300000000000002</v>
      </c>
      <c r="K49" s="93">
        <v>4.984</v>
      </c>
      <c r="L49" s="93">
        <v>1.337</v>
      </c>
      <c r="M49" s="93">
        <v>10.064</v>
      </c>
      <c r="N49" s="93">
        <v>-0.28499999999999998</v>
      </c>
      <c r="O49" s="93">
        <v>10.1</v>
      </c>
      <c r="P49" s="93">
        <v>-0.46800000000000003</v>
      </c>
      <c r="Q49" s="93">
        <v>3.7360000000000002</v>
      </c>
      <c r="S49" s="66">
        <v>0.69575300946400009</v>
      </c>
      <c r="T49" s="63">
        <v>26.280750637950291</v>
      </c>
    </row>
    <row r="50" spans="1:20" s="65" customFormat="1" x14ac:dyDescent="0.2">
      <c r="A50" s="75">
        <v>42341</v>
      </c>
      <c r="B50" s="76">
        <v>0.9375</v>
      </c>
      <c r="C50" s="64" t="s">
        <v>249</v>
      </c>
      <c r="D50" s="74">
        <v>18.100000000000001</v>
      </c>
      <c r="E50" s="93">
        <v>1.3919999999999999</v>
      </c>
      <c r="F50" s="93">
        <v>0.7</v>
      </c>
      <c r="G50" s="93">
        <v>37.03</v>
      </c>
      <c r="H50" s="93">
        <v>1.5</v>
      </c>
      <c r="I50" s="93">
        <v>4.8369999999999997</v>
      </c>
      <c r="J50" s="93">
        <v>1.99</v>
      </c>
      <c r="K50" s="93">
        <v>6.6580000000000004</v>
      </c>
      <c r="L50" s="93">
        <v>8.2910000000000004</v>
      </c>
      <c r="M50" s="93">
        <v>9.3230000000000004</v>
      </c>
      <c r="N50" s="93">
        <v>-0.29499999999999998</v>
      </c>
      <c r="O50" s="93">
        <v>10.5</v>
      </c>
      <c r="P50" s="94">
        <v>4.2910000000000004</v>
      </c>
      <c r="Q50" s="93">
        <v>0.23400000000000001</v>
      </c>
      <c r="S50" s="66">
        <v>0.65516719241800003</v>
      </c>
      <c r="T50" s="63">
        <v>42.569190765526685</v>
      </c>
    </row>
    <row r="51" spans="1:20" s="65" customFormat="1" x14ac:dyDescent="0.2">
      <c r="A51" s="75">
        <v>42348</v>
      </c>
      <c r="B51" s="76">
        <v>0.52638888888888891</v>
      </c>
      <c r="C51" s="80" t="s">
        <v>268</v>
      </c>
      <c r="D51" s="78">
        <v>13.1</v>
      </c>
      <c r="E51" s="93">
        <v>1.1659999999999999</v>
      </c>
      <c r="F51" s="93">
        <v>0.7</v>
      </c>
      <c r="G51" s="93">
        <v>36.709000000000003</v>
      </c>
      <c r="H51" s="93">
        <v>1.9</v>
      </c>
      <c r="I51" s="93">
        <v>4.6150000000000002</v>
      </c>
      <c r="J51" s="93">
        <v>1.679</v>
      </c>
      <c r="K51" s="93">
        <v>6.1589999999999998</v>
      </c>
      <c r="L51" s="93">
        <v>5.1100000000000003</v>
      </c>
      <c r="M51" s="93">
        <v>6.4050000000000002</v>
      </c>
      <c r="N51" s="93">
        <v>-0.25800000000000001</v>
      </c>
      <c r="O51" s="93">
        <v>11.7</v>
      </c>
      <c r="P51" s="93">
        <v>1.7430000000000001</v>
      </c>
      <c r="Q51" s="93">
        <v>-1.8149999999999999</v>
      </c>
      <c r="S51" s="66">
        <v>0.70410805663900011</v>
      </c>
      <c r="T51" s="63">
        <v>23.229890178549965</v>
      </c>
    </row>
    <row r="52" spans="1:20" s="65" customFormat="1" x14ac:dyDescent="0.2">
      <c r="D52" s="98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</row>
    <row r="53" spans="1:20" s="65" customFormat="1" x14ac:dyDescent="0.2"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</row>
    <row r="54" spans="1:20" s="65" customFormat="1" x14ac:dyDescent="0.2"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</row>
  </sheetData>
  <sortState ref="A29:AG49">
    <sortCondition ref="C29:C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list</vt:lpstr>
      <vt:lpstr>Mid East replicates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2016-01-26T20:54:16Z</cp:lastPrinted>
  <dcterms:created xsi:type="dcterms:W3CDTF">2016-01-26T20:44:56Z</dcterms:created>
  <dcterms:modified xsi:type="dcterms:W3CDTF">2016-04-21T17:44:47Z</dcterms:modified>
</cp:coreProperties>
</file>