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xybeloceras/Dropbox/BACK-UP/4.PROJECTS/2024 - Sam's GCP geochem thesis/Try2/"/>
    </mc:Choice>
  </mc:AlternateContent>
  <xr:revisionPtr revIDLastSave="0" documentId="13_ncr:1_{FE10FA35-2F2B-FE49-B6F6-F5B3D79A7D37}" xr6:coauthVersionLast="47" xr6:coauthVersionMax="47" xr10:uidLastSave="{00000000-0000-0000-0000-000000000000}"/>
  <bookViews>
    <workbookView xWindow="0" yWindow="600" windowWidth="33640" windowHeight="25280" xr2:uid="{303201E1-847E-4CFB-B5D9-4346434FBA21}"/>
  </bookViews>
  <sheets>
    <sheet name="All_sample_means" sheetId="1" r:id="rId1"/>
    <sheet name="Retained_samples" sheetId="14" r:id="rId2"/>
    <sheet name="Removed_samples" sheetId="13" r:id="rId3"/>
    <sheet name="OC_ammonites" sheetId="12" r:id="rId4"/>
    <sheet name="needs_Trace" sheetId="11" r:id="rId5"/>
    <sheet name="needs_SEM" sheetId="10" r:id="rId6"/>
    <sheet name="Avalon" sheetId="2" state="hidden" r:id="rId7"/>
    <sheet name="ESP" sheetId="3" state="hidden" r:id="rId8"/>
    <sheet name="Owl Creek" sheetId="4" state="hidden" r:id="rId9"/>
    <sheet name="Braggs" sheetId="5" state="hidden" r:id="rId10"/>
    <sheet name="Malvern" sheetId="6" state="hidden" r:id="rId11"/>
    <sheet name="Providence_sands" sheetId="7" state="hidden" r:id="rId12"/>
    <sheet name="Trim_cane_creek" sheetId="8" state="hidden" r:id="rId13"/>
    <sheet name="PB_landfill" sheetId="9" state="hidden" r:id="rId14"/>
  </sheets>
  <definedNames>
    <definedName name="_xlnm._FilterDatabase" localSheetId="0" hidden="1">All_sample_means!$A$1:$AX$121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A3" i="8"/>
  <c r="A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tc={792AE90E-C4C9-4BD2-9C9B-373D3AD0E08E}</author>
    <author>Adriana Brown</author>
    <author>tc={B70FF1AE-7433-4F36-ABF7-313856D4FD45}</author>
    <author>tc={55757099-E508-4376-A466-780985746D0F}</author>
  </authors>
  <commentList>
    <comment ref="H1" authorId="0" shapeId="0" xr:uid="{792AE90E-C4C9-4BD2-9C9B-373D3AD0E0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to KPg</t>
      </text>
    </comment>
    <comment ref="A41" authorId="1" shapeId="0" xr:uid="{55ED2D35-3FA7-4A6B-BD38-B549798B15DF}">
      <text>
        <r>
          <rPr>
            <b/>
            <sz val="9"/>
            <color indexed="81"/>
            <rFont val="Tahoma"/>
            <charset val="1"/>
          </rPr>
          <t>Adriana Brown:</t>
        </r>
        <r>
          <rPr>
            <sz val="9"/>
            <color indexed="81"/>
            <rFont val="Tahoma"/>
            <charset val="1"/>
          </rPr>
          <t xml:space="preserve">
-7 adjustment
</t>
        </r>
      </text>
    </comment>
    <comment ref="A72" authorId="2" shapeId="0" xr:uid="{B70FF1AE-7433-4F36-ABF7-313856D4FD45}">
      <text>
        <t>[Threaded comment]
Your version of Excel allows you to read this threaded comment; however, any edits to it will get removed if the file is opened in a newer version of Excel. Learn more: https://go.microsoft.com/fwlink/?linkid=870924
Comment:
    -7 m adjjustement</t>
      </text>
    </comment>
    <comment ref="A94" authorId="3" shapeId="0" xr:uid="{55757099-E508-4376-A466-780985746D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Find smithsonian ID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tc={76E743C9-2942-4DF3-9B29-CE892F5C2AB0}</author>
  </authors>
  <commentList>
    <comment ref="H1" authorId="0" shapeId="0" xr:uid="{76E743C9-2942-4DF3-9B29-CE892F5C2A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to KPg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tc={7302A9A9-545E-4137-83BA-7B9A063CDEFB}</author>
  </authors>
  <commentList>
    <comment ref="H1" authorId="0" shapeId="0" xr:uid="{7302A9A9-545E-4137-83BA-7B9A063CDE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to KPg</t>
      </text>
    </comment>
  </commentList>
</comments>
</file>

<file path=xl/sharedStrings.xml><?xml version="1.0" encoding="utf-8"?>
<sst xmlns="http://schemas.openxmlformats.org/spreadsheetml/2006/main" count="4899" uniqueCount="679">
  <si>
    <t>Name</t>
  </si>
  <si>
    <t>2.2-3525</t>
  </si>
  <si>
    <t>0.65-3525</t>
  </si>
  <si>
    <t>AVA-2OYSTER</t>
  </si>
  <si>
    <t>AVA-0.7OYSTER</t>
  </si>
  <si>
    <t>AVA-0.85OYSTER</t>
  </si>
  <si>
    <t>AVA-1.1OYSTER</t>
  </si>
  <si>
    <t>AVA-1.2OYSTER</t>
  </si>
  <si>
    <t>AVA-3.9EXO</t>
  </si>
  <si>
    <t>AVA+0.04OYSTER</t>
  </si>
  <si>
    <t>GRYPHAEOXN</t>
  </si>
  <si>
    <t>OYSTERPBCAVALON</t>
  </si>
  <si>
    <t>BRAGB2ANOMBLUE</t>
  </si>
  <si>
    <t>BRAGGS4CORIWHOLE</t>
  </si>
  <si>
    <t>BRAGGSB2ANOMIARED</t>
  </si>
  <si>
    <t>BRAGPECTAMNH3571</t>
  </si>
  <si>
    <t>BRAZOS-0.1OYSTER</t>
  </si>
  <si>
    <t>BRAZOS-0.2</t>
  </si>
  <si>
    <t>BRAZOS-0.33OYSTER</t>
  </si>
  <si>
    <t>BRAZOS-0.45OYSTER</t>
  </si>
  <si>
    <t>BRAZOS-0.63OYSTER</t>
  </si>
  <si>
    <t>BRAZOS-0.8OYA</t>
  </si>
  <si>
    <t>BRAZOS-0.8-OYB</t>
  </si>
  <si>
    <t>BRAZOS-1.1OYSTER</t>
  </si>
  <si>
    <t>ESP_DAN_HIGH_OY_1</t>
  </si>
  <si>
    <t>ESP_DAN_HIGH_OY_2</t>
  </si>
  <si>
    <t>ESP_DAN_LOW_EXO</t>
  </si>
  <si>
    <t>ESP_DAN_LOW_OYA</t>
  </si>
  <si>
    <t>ESP_DAN_MID_1_OY</t>
  </si>
  <si>
    <t>ESP_DAN_MID_OY_2</t>
  </si>
  <si>
    <t>ESP-bottom-exo-1</t>
  </si>
  <si>
    <t>ESP-bottom-exo-2</t>
  </si>
  <si>
    <t>ESP-grey-exo-1</t>
  </si>
  <si>
    <t>ESP-grey-oyster</t>
  </si>
  <si>
    <t>ESP-middle-exo-1</t>
  </si>
  <si>
    <t>ESP-middle-exo-2</t>
  </si>
  <si>
    <t>ESP-top-exo-1</t>
  </si>
  <si>
    <t>ESP-top-exo-2</t>
  </si>
  <si>
    <t>ESP+0.17_EXO</t>
  </si>
  <si>
    <t>ESP+0.3_EXO</t>
  </si>
  <si>
    <t>ESP+0.33_OY_3461</t>
  </si>
  <si>
    <t>ESP+0.35_OY</t>
  </si>
  <si>
    <t>ESP+0.4_OYSTER</t>
  </si>
  <si>
    <t>ESP+0.48_OY</t>
  </si>
  <si>
    <t>ESP+0.5_EXO</t>
  </si>
  <si>
    <t>ESP+0.64_OY</t>
  </si>
  <si>
    <t>ESP+0.7_OY_3461</t>
  </si>
  <si>
    <t>0.55-3461</t>
  </si>
  <si>
    <t>AMNH3461OYSTER</t>
  </si>
  <si>
    <t>-0.05ANNOMIA</t>
  </si>
  <si>
    <t>-0.05OYSTER</t>
  </si>
  <si>
    <t>-0.5BIVALVE</t>
  </si>
  <si>
    <t>-1NUCULANA</t>
  </si>
  <si>
    <t>-3.5OYSTER</t>
  </si>
  <si>
    <t>-4BIVALVE</t>
  </si>
  <si>
    <t>-7CYPRIMERIA</t>
  </si>
  <si>
    <t>-7NUCULANA</t>
  </si>
  <si>
    <t>+0.5PYCHODONT</t>
  </si>
  <si>
    <t>+2.5CARDIID</t>
  </si>
  <si>
    <t>MAL-MS-0-bivY</t>
  </si>
  <si>
    <t>Mal-MS-15-oy</t>
  </si>
  <si>
    <t>Mal-MS-3.5-nuculid0</t>
  </si>
  <si>
    <t>Mal-MS-35-OysterY</t>
  </si>
  <si>
    <t>Mal-MS-40-Lucinid</t>
  </si>
  <si>
    <t>Mal-MS-40-OyB</t>
  </si>
  <si>
    <t>MAL-MS-55-Oy</t>
  </si>
  <si>
    <t>Mal-MS-70-Cyp</t>
  </si>
  <si>
    <t>Mal-MS-75-Nuculid</t>
  </si>
  <si>
    <t>Mal-MS-t30-biv-r</t>
  </si>
  <si>
    <t>OC-1-15860</t>
  </si>
  <si>
    <t>OC-2-15848</t>
  </si>
  <si>
    <t>OC-3-15861</t>
  </si>
  <si>
    <t>OC-4-15545</t>
  </si>
  <si>
    <t>OC-5-15862</t>
  </si>
  <si>
    <t>OC-6-15863</t>
  </si>
  <si>
    <t>OC-7-15547</t>
  </si>
  <si>
    <t>OC-8-15864</t>
  </si>
  <si>
    <t>OC-9-15546</t>
  </si>
  <si>
    <t>OC-10-15865</t>
  </si>
  <si>
    <t>OC-11-15866</t>
  </si>
  <si>
    <t>OC-12-15867</t>
  </si>
  <si>
    <t>OC-13-15864</t>
  </si>
  <si>
    <t>OC-14-15868</t>
  </si>
  <si>
    <t>OC-15-15870</t>
  </si>
  <si>
    <t>OC-16-15871</t>
  </si>
  <si>
    <t>OC-17-15872</t>
  </si>
  <si>
    <t>OC-18A-15873A</t>
  </si>
  <si>
    <t>OC-19-15874</t>
  </si>
  <si>
    <t>OC-20-15875</t>
  </si>
  <si>
    <t>OC-21-15876</t>
  </si>
  <si>
    <t>OC-22-15877</t>
  </si>
  <si>
    <t>OC-23-15878</t>
  </si>
  <si>
    <t>OC-24-14851</t>
  </si>
  <si>
    <t>OC-25-15882</t>
  </si>
  <si>
    <t>OC-26-15881</t>
  </si>
  <si>
    <t>OC-27-15880</t>
  </si>
  <si>
    <t>OC-28A-15879-A</t>
  </si>
  <si>
    <t>OC-29-14847</t>
  </si>
  <si>
    <t>OC-30-15884</t>
  </si>
  <si>
    <t>OC-31-14830</t>
  </si>
  <si>
    <t>OC-32-14813</t>
  </si>
  <si>
    <t>OC-33-15886</t>
  </si>
  <si>
    <t>OC-34-14803</t>
  </si>
  <si>
    <t>OC-35-15889</t>
  </si>
  <si>
    <t>OC-36-15890</t>
  </si>
  <si>
    <t>OC-37-14836</t>
  </si>
  <si>
    <t>OC-38-14854</t>
  </si>
  <si>
    <t>OC-39-15891</t>
  </si>
  <si>
    <t>OC-40-14797</t>
  </si>
  <si>
    <t>OC-41A-15844A</t>
  </si>
  <si>
    <t>OC-42-15892</t>
  </si>
  <si>
    <t>OC-43-15893</t>
  </si>
  <si>
    <t>OC-18B-15873B</t>
  </si>
  <si>
    <t>OC-28B-15879B</t>
  </si>
  <si>
    <t>OC-41B-15844B</t>
  </si>
  <si>
    <t>OWLCR1</t>
  </si>
  <si>
    <t>OWLCR2</t>
  </si>
  <si>
    <t>OWLCR3</t>
  </si>
  <si>
    <t>OWLCR4</t>
  </si>
  <si>
    <t>OWLCR5</t>
  </si>
  <si>
    <t>OWLCR6</t>
  </si>
  <si>
    <t>OWLCR7</t>
  </si>
  <si>
    <t>OWLCR8</t>
  </si>
  <si>
    <t>OWLCR9</t>
  </si>
  <si>
    <t>OC-turA</t>
  </si>
  <si>
    <t>OC-turB</t>
  </si>
  <si>
    <t>EUBACULITE3MABOVE</t>
  </si>
  <si>
    <t>EUBACULITE4MABOVE</t>
  </si>
  <si>
    <t>AMNH3483OYSTER</t>
  </si>
  <si>
    <t>ANOMIAAMNH3484</t>
  </si>
  <si>
    <t>PECTEN3483</t>
  </si>
  <si>
    <t>PROVSANCRAPTER1</t>
  </si>
  <si>
    <t>PROVSANCRAPTE2</t>
  </si>
  <si>
    <t>PROSANCRAPTE3</t>
  </si>
  <si>
    <t>PROSANTELSP</t>
  </si>
  <si>
    <t>PROSANCRASP</t>
  </si>
  <si>
    <t>PROSANGIYROT</t>
  </si>
  <si>
    <t>PROSANLINSP</t>
  </si>
  <si>
    <t>PROVSANNUCROS</t>
  </si>
  <si>
    <t>PROSANNUCWHI</t>
  </si>
  <si>
    <t>PROSANPTERIA</t>
  </si>
  <si>
    <t>PROSAN-ANO-ARGB</t>
  </si>
  <si>
    <t>PROSAN-ANO-ARGC</t>
  </si>
  <si>
    <t>PROSAN-ANO-ARGE</t>
  </si>
  <si>
    <t>PROSANANOARGA</t>
  </si>
  <si>
    <t>PROSANANOARGD</t>
  </si>
  <si>
    <t>PROSANCORSP1A</t>
  </si>
  <si>
    <t>PROSANCORSP1B</t>
  </si>
  <si>
    <t>PROSANCORSP1C</t>
  </si>
  <si>
    <t>PROSANCORSP2</t>
  </si>
  <si>
    <t>PROSANCORSP3</t>
  </si>
  <si>
    <t>TCC_OY_-0.2</t>
  </si>
  <si>
    <t>TCC_OY_+0.5</t>
  </si>
  <si>
    <t>TCC_PUL_+0.7</t>
  </si>
  <si>
    <t>TCC_OY_+0.9</t>
  </si>
  <si>
    <t>TCC_OY_+1.35</t>
  </si>
  <si>
    <t>TCC_PUL_+1.37</t>
  </si>
  <si>
    <t>TCC_PUL_+1.4</t>
  </si>
  <si>
    <t>1.45-3944</t>
  </si>
  <si>
    <t>TCC-BU</t>
  </si>
  <si>
    <t>TCC-BU-SB2</t>
  </si>
  <si>
    <t>TCC-GRY</t>
  </si>
  <si>
    <t>TCC-PYC</t>
  </si>
  <si>
    <t>TCC-SB2</t>
  </si>
  <si>
    <t>Project</t>
  </si>
  <si>
    <t>Avalon</t>
  </si>
  <si>
    <t>Braggs</t>
  </si>
  <si>
    <t>Brazos</t>
  </si>
  <si>
    <t>EllisSandPit</t>
  </si>
  <si>
    <t>Malvern</t>
  </si>
  <si>
    <t>OwlCreek</t>
  </si>
  <si>
    <t>PBLandfill</t>
  </si>
  <si>
    <t>ProvSands</t>
  </si>
  <si>
    <t>TrimCane</t>
  </si>
  <si>
    <t>Nreps_good</t>
  </si>
  <si>
    <t>d13C_PDB</t>
  </si>
  <si>
    <t>sd13</t>
  </si>
  <si>
    <t>d18O_PDB</t>
  </si>
  <si>
    <t>d18O_SMOW</t>
  </si>
  <si>
    <t>sd18</t>
  </si>
  <si>
    <t>D47_CDES90</t>
  </si>
  <si>
    <t>D47_CDES90adj</t>
  </si>
  <si>
    <t>intse47adj</t>
  </si>
  <si>
    <t>lt95ci47</t>
  </si>
  <si>
    <t>D48_CDES90</t>
  </si>
  <si>
    <t>D48_CDES90adj</t>
  </si>
  <si>
    <t>intse48adj</t>
  </si>
  <si>
    <t>lt95ci48</t>
  </si>
  <si>
    <t>Temp</t>
  </si>
  <si>
    <t>intseT</t>
  </si>
  <si>
    <t>Tmin</t>
  </si>
  <si>
    <t>Tmax</t>
  </si>
  <si>
    <t>lt95ciT</t>
  </si>
  <si>
    <t>dw</t>
  </si>
  <si>
    <t>intsedw</t>
  </si>
  <si>
    <t>dwmin</t>
  </si>
  <si>
    <t>dwmax</t>
  </si>
  <si>
    <t>lt95cidw</t>
  </si>
  <si>
    <t>NA</t>
  </si>
  <si>
    <t>User</t>
  </si>
  <si>
    <t>SampleNumber</t>
  </si>
  <si>
    <t>Site</t>
  </si>
  <si>
    <t>Taxa</t>
  </si>
  <si>
    <t>oyster</t>
  </si>
  <si>
    <t>Gryphaeostrea</t>
  </si>
  <si>
    <t>pulaskensis</t>
  </si>
  <si>
    <t>Exogyra</t>
  </si>
  <si>
    <t>Nuculana</t>
  </si>
  <si>
    <t>Cyprimeria</t>
  </si>
  <si>
    <t>Pycnodonte</t>
  </si>
  <si>
    <t>Cardiidae </t>
  </si>
  <si>
    <t>Bivalvia</t>
  </si>
  <si>
    <t>Anomia</t>
  </si>
  <si>
    <t>Lucinidae</t>
  </si>
  <si>
    <t>Ostrea pulaskensis</t>
  </si>
  <si>
    <t>Gryphaeidae</t>
  </si>
  <si>
    <t>Anomia argentaria</t>
  </si>
  <si>
    <t>Exo cost. General</t>
  </si>
  <si>
    <t>Corbula sp.</t>
  </si>
  <si>
    <t>Extreme top of exogyra costata zone</t>
  </si>
  <si>
    <t>Crassatella pteropsis</t>
  </si>
  <si>
    <t>Tellina sp.</t>
  </si>
  <si>
    <t>Crassatella sp.</t>
  </si>
  <si>
    <t>Glycymeris rotundata</t>
  </si>
  <si>
    <t>Linearia sp.</t>
  </si>
  <si>
    <t>Nuculana rostrotruncana</t>
  </si>
  <si>
    <t>Nuculana whitfieldi</t>
  </si>
  <si>
    <r>
      <t xml:space="preserve">Discoscaphites iris </t>
    </r>
    <r>
      <rPr>
        <sz val="11"/>
        <color rgb="FF000000"/>
        <rFont val="Arial"/>
        <family val="2"/>
      </rPr>
      <t>(microconch)</t>
    </r>
  </si>
  <si>
    <r>
      <t xml:space="preserve">Discoscaphites iris </t>
    </r>
    <r>
      <rPr>
        <sz val="11"/>
        <color rgb="FF000000"/>
        <rFont val="Arial"/>
        <family val="2"/>
      </rPr>
      <t>(Macroconch)</t>
    </r>
  </si>
  <si>
    <r>
      <t xml:space="preserve">Discoscaphites minardi </t>
    </r>
    <r>
      <rPr>
        <sz val="11"/>
        <color rgb="FF000000"/>
        <rFont val="Arial"/>
        <family val="2"/>
      </rPr>
      <t>(Macroconch)</t>
    </r>
  </si>
  <si>
    <t>Eubaculites carinatus</t>
  </si>
  <si>
    <t>Eubaculites latecarinatus</t>
  </si>
  <si>
    <t>Discoscaphites iris (microconch)</t>
  </si>
  <si>
    <t>Discoscaphites iris (Macroconch)</t>
  </si>
  <si>
    <t>Discoscaphites minardi (Macroconch)</t>
  </si>
  <si>
    <t>Sphenodiscus pleurisepta</t>
  </si>
  <si>
    <t>Sphenodiscus sp.</t>
  </si>
  <si>
    <t>Sphenodiscus lobatus</t>
  </si>
  <si>
    <t>Nucula percrassa</t>
  </si>
  <si>
    <t>Gervilliopsis ensiformis</t>
  </si>
  <si>
    <t>Eutrephoceras sp.</t>
  </si>
  <si>
    <t>Aphrodina tippana</t>
  </si>
  <si>
    <t>Pecten</t>
  </si>
  <si>
    <t>Lat</t>
  </si>
  <si>
    <t>Long</t>
  </si>
  <si>
    <t>AMNH_loc</t>
  </si>
  <si>
    <t>Series</t>
  </si>
  <si>
    <t>Stage</t>
  </si>
  <si>
    <t>2022_09_19_CF</t>
  </si>
  <si>
    <t>CF</t>
  </si>
  <si>
    <t>2022_10_19_CF</t>
  </si>
  <si>
    <t>2022_10_17_CF</t>
  </si>
  <si>
    <t>AV-2OYSTER-1</t>
  </si>
  <si>
    <t>2023_07_09_BELLOWS</t>
  </si>
  <si>
    <t>bellows</t>
  </si>
  <si>
    <t>AVA-0.7OYSTER-1</t>
  </si>
  <si>
    <t>AVA-0.85OYSTER-1</t>
  </si>
  <si>
    <t>2023_07_13_BELLOWS</t>
  </si>
  <si>
    <t>AVA-1.1OYSTER-1</t>
  </si>
  <si>
    <t>AVA-1.2OYSTER-1</t>
  </si>
  <si>
    <t>AVA-3.9EXO-1</t>
  </si>
  <si>
    <t>AVA+0.04OYSTER-1</t>
  </si>
  <si>
    <t>OYSTERPBCAVALON-1</t>
  </si>
  <si>
    <t>2022_06_20_bellows</t>
  </si>
  <si>
    <t>2022_11_14_BELLOWS</t>
  </si>
  <si>
    <t>2022_12_06_BELLOWS</t>
  </si>
  <si>
    <t>Sample_ID</t>
  </si>
  <si>
    <t>BatchName</t>
  </si>
  <si>
    <t>Strat</t>
  </si>
  <si>
    <t>Issue</t>
  </si>
  <si>
    <t>d13C_final</t>
  </si>
  <si>
    <t>d18O_final</t>
  </si>
  <si>
    <t>D47_CDES90_adj2</t>
  </si>
  <si>
    <t>Temp_Anderson_adj2</t>
  </si>
  <si>
    <t>D48_CDES90_adj2</t>
  </si>
  <si>
    <t>d18Osmow</t>
  </si>
  <si>
    <t>alpha</t>
  </si>
  <si>
    <t>mode</t>
  </si>
  <si>
    <t>Sample_Name</t>
  </si>
  <si>
    <t>Strat_corrected</t>
  </si>
  <si>
    <t>Strat_error</t>
  </si>
  <si>
    <t>D47</t>
  </si>
  <si>
    <t>0.17_Exogyra_3461</t>
  </si>
  <si>
    <t>Ellis</t>
  </si>
  <si>
    <t>0.17_Exogyra_3462</t>
  </si>
  <si>
    <t>0.17_Exogyra_3463</t>
  </si>
  <si>
    <t>0.3_Exogyra_3461</t>
  </si>
  <si>
    <t>0.3_Exogyra_3462</t>
  </si>
  <si>
    <t>0.3_Exogyra_3463</t>
  </si>
  <si>
    <t>0.33_oy_3461</t>
  </si>
  <si>
    <t>0.33_oy_3462</t>
  </si>
  <si>
    <t>0.33_oy_3463</t>
  </si>
  <si>
    <t>0.35_Oy_3461</t>
  </si>
  <si>
    <t>0.35_Oy_3462</t>
  </si>
  <si>
    <t>0.35_Oy_3463</t>
  </si>
  <si>
    <t>0.46_oyster_3461</t>
  </si>
  <si>
    <t>0.46_oyster_3462</t>
  </si>
  <si>
    <t>0.46_oyster_3463</t>
  </si>
  <si>
    <t>0.48_Oy_3461</t>
  </si>
  <si>
    <t>0.5_exo_3461</t>
  </si>
  <si>
    <t>3460_45</t>
  </si>
  <si>
    <t>0.64_Oy_3461</t>
  </si>
  <si>
    <t>0.7_oy_3461</t>
  </si>
  <si>
    <t>5027_ESP-top-exo-1-1</t>
  </si>
  <si>
    <t>5046_ESP-top-exo-2-1</t>
  </si>
  <si>
    <t>5054_ESP-bottom-exo-1</t>
  </si>
  <si>
    <t>5054_ESP-bottom-exo-2</t>
  </si>
  <si>
    <t>5024_ESP-grey-exo-1</t>
  </si>
  <si>
    <t>5012_ESP-grey-oyster-1</t>
  </si>
  <si>
    <t>5038_ESP-middle-exo-1</t>
  </si>
  <si>
    <t>5008_ESP-middle-exo-2-1</t>
  </si>
  <si>
    <t>dan_high_oy_1_3461</t>
  </si>
  <si>
    <t>dan_high_oy_2_3461</t>
  </si>
  <si>
    <t>dan_low_exo_3461</t>
  </si>
  <si>
    <t>Dan_low_oy_3461A</t>
  </si>
  <si>
    <t>dan_mid_1_Oy_3461</t>
  </si>
  <si>
    <t>dan_mid_oy_2_3461</t>
  </si>
  <si>
    <t>ESP_+5.5</t>
  </si>
  <si>
    <t>Sample #</t>
  </si>
  <si>
    <t>UNM #</t>
  </si>
  <si>
    <t>Strat. Bin</t>
  </si>
  <si>
    <t>2020 Horizon (m.)</t>
  </si>
  <si>
    <t>Taxon</t>
  </si>
  <si>
    <t>ID</t>
  </si>
  <si>
    <t>Sample location</t>
  </si>
  <si>
    <t>Notes</t>
  </si>
  <si>
    <t>Ammonite</t>
  </si>
  <si>
    <t>Body chamber, flanks</t>
  </si>
  <si>
    <t>Body chamber/hook, flanks</t>
  </si>
  <si>
    <t>Specimen is crushed laterally</t>
  </si>
  <si>
    <t>Body chamber/hook, flanks and part of venter</t>
  </si>
  <si>
    <t>Small sample</t>
  </si>
  <si>
    <t>Phragmocone at last septum, flanks</t>
  </si>
  <si>
    <t>Base of body chamber, flanks</t>
  </si>
  <si>
    <t>Body chamber/phragmocone at last septum, flanks</t>
  </si>
  <si>
    <t>Shell looks chalky on inside</t>
  </si>
  <si>
    <t>18A</t>
  </si>
  <si>
    <t>15873A</t>
  </si>
  <si>
    <t>Phragmocone, flanks (WH = 12.6 mm)</t>
  </si>
  <si>
    <t>15873B</t>
  </si>
  <si>
    <t>Body chamber, flanks (WH = 15.3 mm)</t>
  </si>
  <si>
    <t>Phragmocone, flanks</t>
  </si>
  <si>
    <t>Shell looks chalky</t>
  </si>
  <si>
    <t>? Flanks</t>
  </si>
  <si>
    <t>Shell fragment only</t>
  </si>
  <si>
    <r>
      <t xml:space="preserve">Sphenodiscus </t>
    </r>
    <r>
      <rPr>
        <sz val="11"/>
        <color rgb="FF000000"/>
        <rFont val="Arial"/>
        <family val="2"/>
      </rPr>
      <t>sp.</t>
    </r>
  </si>
  <si>
    <t>28A</t>
  </si>
  <si>
    <t>15879A</t>
  </si>
  <si>
    <t>Base of body chamber, flanks (WH = 84.5 mm)</t>
  </si>
  <si>
    <t>28B</t>
  </si>
  <si>
    <t>15879B</t>
  </si>
  <si>
    <t>Phragmocone, flanks (WH = 71 mm )</t>
  </si>
  <si>
    <t>Bivalve</t>
  </si>
  <si>
    <t>Ventral margin</t>
  </si>
  <si>
    <t>Some Fe oxide on inside of shell?</t>
  </si>
  <si>
    <t>Anterior ventral margin</t>
  </si>
  <si>
    <t>Maybe bimineralic? Looks all nacreous and aragonitic</t>
  </si>
  <si>
    <t>41A</t>
  </si>
  <si>
    <t>15844A</t>
  </si>
  <si>
    <t>41B</t>
  </si>
  <si>
    <t>15844B</t>
  </si>
  <si>
    <t>Nautilid</t>
  </si>
  <si>
    <r>
      <t xml:space="preserve">Eutrephoceras </t>
    </r>
    <r>
      <rPr>
        <sz val="11"/>
        <color rgb="FF000000"/>
        <rFont val="Arial"/>
        <family val="2"/>
      </rPr>
      <t>sp.</t>
    </r>
  </si>
  <si>
    <t>Small sample - sent whole shell</t>
  </si>
  <si>
    <t>Legumen ellipticum</t>
  </si>
  <si>
    <r>
      <t xml:space="preserve">Cucullaea </t>
    </r>
    <r>
      <rPr>
        <sz val="11"/>
        <color rgb="FF000000"/>
        <rFont val="Arial"/>
        <family val="2"/>
      </rPr>
      <t>(</t>
    </r>
    <r>
      <rPr>
        <i/>
        <sz val="11"/>
        <color rgb="FF000000"/>
        <rFont val="Arial"/>
        <family val="2"/>
      </rPr>
      <t>Idonearca</t>
    </r>
    <r>
      <rPr>
        <sz val="11"/>
        <color rgb="FF000000"/>
        <rFont val="Arial"/>
        <family val="2"/>
      </rPr>
      <t xml:space="preserve">) </t>
    </r>
    <r>
      <rPr>
        <i/>
        <sz val="11"/>
        <color rgb="FF000000"/>
        <rFont val="Arial"/>
        <family val="2"/>
      </rPr>
      <t>capax</t>
    </r>
  </si>
  <si>
    <t>Date</t>
  </si>
  <si>
    <t>DateTime</t>
  </si>
  <si>
    <t>SCIPPnum</t>
  </si>
  <si>
    <t>CarbORGas</t>
  </si>
  <si>
    <t>Type</t>
  </si>
  <si>
    <t>Mode</t>
  </si>
  <si>
    <t>Weight</t>
  </si>
  <si>
    <t>Trans_Pressure</t>
  </si>
  <si>
    <t>Yield</t>
  </si>
  <si>
    <t>NuYield</t>
  </si>
  <si>
    <t>MaxPumpOverPressure</t>
  </si>
  <si>
    <t>Chops</t>
  </si>
  <si>
    <t>BalancePercent</t>
  </si>
  <si>
    <t>autorefill</t>
  </si>
  <si>
    <t>Sequence</t>
  </si>
  <si>
    <t>NumBlocks</t>
  </si>
  <si>
    <t>NumCycles</t>
  </si>
  <si>
    <t>IntTime</t>
  </si>
  <si>
    <t>sam44current</t>
  </si>
  <si>
    <t>ref44current</t>
  </si>
  <si>
    <t>d13C_err</t>
  </si>
  <si>
    <t>d13C_rm</t>
  </si>
  <si>
    <t>d18O_gasPDB</t>
  </si>
  <si>
    <t>d18O_err</t>
  </si>
  <si>
    <t>d18O_gasSMOW</t>
  </si>
  <si>
    <t>d18O_rm</t>
  </si>
  <si>
    <t>d45</t>
  </si>
  <si>
    <t>d45_err</t>
  </si>
  <si>
    <t>d45_rm</t>
  </si>
  <si>
    <t>d46</t>
  </si>
  <si>
    <t>d46_err</t>
  </si>
  <si>
    <t>d47</t>
  </si>
  <si>
    <t>d47_err</t>
  </si>
  <si>
    <t>d47_rm</t>
  </si>
  <si>
    <t>d48</t>
  </si>
  <si>
    <t>d48_err</t>
  </si>
  <si>
    <t>d48_rm</t>
  </si>
  <si>
    <t>d49</t>
  </si>
  <si>
    <t>d49_err</t>
  </si>
  <si>
    <t>d49_rm</t>
  </si>
  <si>
    <t>D47_err</t>
  </si>
  <si>
    <t>D47_rm</t>
  </si>
  <si>
    <t>D48</t>
  </si>
  <si>
    <t>D48_err</t>
  </si>
  <si>
    <t>D48_rm</t>
  </si>
  <si>
    <t>D49</t>
  </si>
  <si>
    <t>D49_err</t>
  </si>
  <si>
    <t>D49_rm</t>
  </si>
  <si>
    <t>window</t>
  </si>
  <si>
    <t>SlopeEGLs_eth</t>
  </si>
  <si>
    <t>D47s1_eth</t>
  </si>
  <si>
    <t>SlopeEGL48s_eth</t>
  </si>
  <si>
    <t>D48s1_ethg</t>
  </si>
  <si>
    <t>trueD47rf_intercarb</t>
  </si>
  <si>
    <t>trueD48_fiebig</t>
  </si>
  <si>
    <t>SlopeETFs_eth</t>
  </si>
  <si>
    <t>IntETFs_eth</t>
  </si>
  <si>
    <t>D47rfac_eth</t>
  </si>
  <si>
    <t>Temp_UNICAL</t>
  </si>
  <si>
    <t>Temp_Anderson</t>
  </si>
  <si>
    <t>SlopeETF48s_ethg</t>
  </si>
  <si>
    <t>IntETF48s_ethg</t>
  </si>
  <si>
    <t>D48rf_ethg</t>
  </si>
  <si>
    <t>Slope18 (always close to 1)</t>
  </si>
  <si>
    <t>Int18</t>
  </si>
  <si>
    <t>Slope13</t>
  </si>
  <si>
    <t>Int13</t>
  </si>
  <si>
    <t>d18O_final2</t>
  </si>
  <si>
    <t>d13CFinal2</t>
  </si>
  <si>
    <t>sample name</t>
  </si>
  <si>
    <t>location</t>
  </si>
  <si>
    <t>strat height</t>
  </si>
  <si>
    <t>6658_BRAGGS4CORIWHOLE-1</t>
  </si>
  <si>
    <t>BRAGGS4CORIWHOLE-1</t>
  </si>
  <si>
    <t>Samantha</t>
  </si>
  <si>
    <t>Carb</t>
  </si>
  <si>
    <t>sample</t>
  </si>
  <si>
    <t>Bel</t>
  </si>
  <si>
    <t>C:\Nu Stable\Analyses\CLUMPED-SEQUENCES\Clumped NuCarb.seq</t>
  </si>
  <si>
    <t>7987_BRAGGS4CORIWHOLE-2</t>
  </si>
  <si>
    <t>BRAGGS4CORIWHOLE-2</t>
  </si>
  <si>
    <t>Various</t>
  </si>
  <si>
    <t>8179_BRAGGS4CORIWHOLE-3</t>
  </si>
  <si>
    <t>BRAGGS4CORIWHOLE-3</t>
  </si>
  <si>
    <t>6662_BRAGGSB2ANOMIARED-1</t>
  </si>
  <si>
    <t>BRAGGSB2ANOMIARED-1</t>
  </si>
  <si>
    <t>8183_BRAGGSB2ANOMIARED-3</t>
  </si>
  <si>
    <t>BRAGGSB2ANOMIARED-3</t>
  </si>
  <si>
    <t>7017_BRAGPECTAMNH3571-1</t>
  </si>
  <si>
    <t>BRAGPECTAMNH3571-1</t>
  </si>
  <si>
    <t>Samantha D.</t>
  </si>
  <si>
    <t>2022_08_01_CF</t>
  </si>
  <si>
    <t>7116_BRAGPECTAMNH3571-2</t>
  </si>
  <si>
    <t>BRAGPECTAMNH3571-2</t>
  </si>
  <si>
    <t>2022_08_08_CF</t>
  </si>
  <si>
    <t>C:\Nu Stable\Analyses\CLUMPED-SEQUENCES\Clumped NuCarb + auto refill - short - 25nA.seq</t>
  </si>
  <si>
    <t>7264_BRAGPECTAMNH3571-3</t>
  </si>
  <si>
    <t>BRAGPECTAMNH3571-3</t>
  </si>
  <si>
    <t>2022_08_22_CF</t>
  </si>
  <si>
    <t>7291_BRAGB2AMNH3571-4</t>
  </si>
  <si>
    <t>BRAGB2AMNH3571-4</t>
  </si>
  <si>
    <t>7020_BRAGB2ANOMBLUE-1</t>
  </si>
  <si>
    <t>BRAGB2ANOMBLUE-1</t>
  </si>
  <si>
    <t>7115_BRAGB2ANOMBLUE-2</t>
  </si>
  <si>
    <t>BRAGB2ANOMBLUE-2</t>
  </si>
  <si>
    <t>7263_BRAGB2ANOMBLUE-3</t>
  </si>
  <si>
    <t>BRAGB2ANOMBLUE-3</t>
  </si>
  <si>
    <t>7290_BRAGB2ANOMBLUE-4</t>
  </si>
  <si>
    <t>BRAGB2ANOMBLUE-4</t>
  </si>
  <si>
    <t>Species</t>
  </si>
  <si>
    <t>Section</t>
  </si>
  <si>
    <t>Strat_height</t>
  </si>
  <si>
    <t>d18O</t>
  </si>
  <si>
    <t>d13C</t>
  </si>
  <si>
    <t>cap47</t>
  </si>
  <si>
    <t>Std_Error</t>
  </si>
  <si>
    <t>temp_std_Error</t>
  </si>
  <si>
    <t>dw_std_Error</t>
  </si>
  <si>
    <t>Dissolution_rating</t>
  </si>
  <si>
    <t>Secondary_growth_rating</t>
  </si>
  <si>
    <t>Overall_SEM_rating</t>
  </si>
  <si>
    <t>Mal_Ms_-7.5_Nuculid</t>
  </si>
  <si>
    <t>Nuculid</t>
  </si>
  <si>
    <t>Main</t>
  </si>
  <si>
    <t>Bad</t>
  </si>
  <si>
    <t>Mal_Ms_-7.0_CypriG</t>
  </si>
  <si>
    <t>Okay</t>
  </si>
  <si>
    <t>my name for this sample was cyprimeria</t>
  </si>
  <si>
    <t>Mal_Ms_-7.0_Nuclana</t>
  </si>
  <si>
    <t>N/A</t>
  </si>
  <si>
    <t>None</t>
  </si>
  <si>
    <t>Mal_Ms_-7.0_CypriP</t>
  </si>
  <si>
    <t>my name for this sample was cyp</t>
  </si>
  <si>
    <t>Mal_Ms_-5.5_Oyster</t>
  </si>
  <si>
    <t>Oyster</t>
  </si>
  <si>
    <t>Mal_Ms_-4.0_Bivalve</t>
  </si>
  <si>
    <t>Good</t>
  </si>
  <si>
    <t>Mal_Ms_-4.0_OysterB</t>
  </si>
  <si>
    <t>Mal_Ms_-3.5_OysterR</t>
  </si>
  <si>
    <t>Mal_Ms_-3.5_OysterY</t>
  </si>
  <si>
    <t>Mal_Ms_-1.0_Nuculana</t>
  </si>
  <si>
    <t>Mal_Ms_-0.5_Bivalve</t>
  </si>
  <si>
    <t>5738_MAL-MS-0-bivY</t>
  </si>
  <si>
    <t>Mal_Ms_-0.05_Anomia</t>
  </si>
  <si>
    <t>Use in schematic for "Good"</t>
  </si>
  <si>
    <t>Mal_Ms_-0.05_Oyster</t>
  </si>
  <si>
    <t>Mal_Ms_0.5_PycnoOyst</t>
  </si>
  <si>
    <t>Pycnodont</t>
  </si>
  <si>
    <t>This sample image says oyster, but my sample says bivalve. Unclear if same or different samples</t>
  </si>
  <si>
    <t>Mal_Ms_1.0_Oyster</t>
  </si>
  <si>
    <t>One rep had pumpover:</t>
  </si>
  <si>
    <t>true18</t>
  </si>
  <si>
    <t>true13</t>
  </si>
  <si>
    <t>Slope18</t>
  </si>
  <si>
    <t>d13C_final2</t>
  </si>
  <si>
    <t>Mal_Ms_1.5_Oyster</t>
  </si>
  <si>
    <t>2022_05_23_bellows</t>
  </si>
  <si>
    <t>PumpOver</t>
  </si>
  <si>
    <t>Mal_Ms_2.5_CardiidRight</t>
  </si>
  <si>
    <t>Cardiid</t>
  </si>
  <si>
    <t>Mal_Ms_3.0_BivalveRight (not sure if was Left or Right)</t>
  </si>
  <si>
    <t>Mal_Ms_3.5_Nuculana</t>
  </si>
  <si>
    <t>Mal_Ms_4.0_Lucinid</t>
  </si>
  <si>
    <t>Lucinid</t>
  </si>
  <si>
    <t>Garb_Rashkova_135282_-7.6_bac</t>
  </si>
  <si>
    <t>Baculite</t>
  </si>
  <si>
    <t>Mal_Ms_-7.5_BivalveG</t>
  </si>
  <si>
    <t>Mal_Ms_-7.5_BivalveY</t>
  </si>
  <si>
    <t>Garb_Rashkova_135274_-7.5b_bac</t>
  </si>
  <si>
    <t>Garb_Rashkova_135281_-7.4_bac</t>
  </si>
  <si>
    <t>Garb_Rashkova_135269_-7_spheno</t>
  </si>
  <si>
    <t>Sphenodiscus</t>
  </si>
  <si>
    <t>Garb_Rashkova_135267_-7_Nucula</t>
  </si>
  <si>
    <t>Mal_Ms_-6.5_Spheno</t>
  </si>
  <si>
    <t>Garb_Rashkova_135257_-6.5m_spheno</t>
  </si>
  <si>
    <t>Garb_Rashkova_135255_-6.5m_spheno</t>
  </si>
  <si>
    <t>No SEM</t>
  </si>
  <si>
    <t>Mal_Ms_-5.5_Bivalve</t>
  </si>
  <si>
    <t>Mal_Ms_-5.0_Nuculana</t>
  </si>
  <si>
    <t>Mal_Ms_-4.5_Bivalve</t>
  </si>
  <si>
    <t>Garb_Rashkova_135241_-4.5m_Nucula</t>
  </si>
  <si>
    <t>Garb_Rashkova_135238_-4.5m_spheno</t>
  </si>
  <si>
    <t>guessing, but hard to tell from just surface image</t>
  </si>
  <si>
    <t>Mal_Ms_-4.5_Spheno</t>
  </si>
  <si>
    <t>Garb_Rashkova_135235_-4m_Nucula</t>
  </si>
  <si>
    <t>Nucula</t>
  </si>
  <si>
    <t>Mal_Ms_-4.0_Spheno</t>
  </si>
  <si>
    <t>Mal_Ms_-3.5_NuculidRight</t>
  </si>
  <si>
    <t>Garb_Rashkova_135217_-1m_Disco</t>
  </si>
  <si>
    <t>Discoscaphites</t>
  </si>
  <si>
    <t>Garb_Rashkova_135218_-1m_Nucula</t>
  </si>
  <si>
    <t>Mal_Ms_-1.0_Spheno</t>
  </si>
  <si>
    <t>Garb_Rashkova_135318_-60cm_Nucula</t>
  </si>
  <si>
    <t>unable to tell, just surface in image</t>
  </si>
  <si>
    <t>Garb_Rashkova_135206_-0.5_bac</t>
  </si>
  <si>
    <t>Garb_Rashkova_135209_-0.5m_Nucula</t>
  </si>
  <si>
    <t>Garb_Rashkova_135213_-0.5m_spheno</t>
  </si>
  <si>
    <t>Garb_Rashkova_135197_-0--10cm_Nuculana</t>
  </si>
  <si>
    <t>Garb_Rashkova_135200_-0--10cm_spheno</t>
  </si>
  <si>
    <t>Mal_Ms_-0.05_Bivalve</t>
  </si>
  <si>
    <t>Mal_Ms_0_BivalveR</t>
  </si>
  <si>
    <t>Mal_Ms_0_Oyster</t>
  </si>
  <si>
    <t>Mal_Ms_0.5_OysterP</t>
  </si>
  <si>
    <t>Mal_Ms_0.5_OysterR</t>
  </si>
  <si>
    <t>Mal_Ms_1.0_Bivalve</t>
  </si>
  <si>
    <t>Mal_Ms_2.5_CardiidLeft</t>
  </si>
  <si>
    <t>Mal_Ms_3.0_NuculidLeft</t>
  </si>
  <si>
    <t>Mal_Ms_3.5_NuculidGR</t>
  </si>
  <si>
    <t>Mal_Ms_3.5_Bivalve</t>
  </si>
  <si>
    <t>Mal_Ms_3.5_NuculidO</t>
  </si>
  <si>
    <t>Mal_Ms_4.0_NuculidB</t>
  </si>
  <si>
    <t>Mal_Ms_4.0_NuculidR</t>
  </si>
  <si>
    <t>use this one in schematic for very dissolved</t>
  </si>
  <si>
    <t>Mal_Is_-0.20_Spheno</t>
  </si>
  <si>
    <t>Island</t>
  </si>
  <si>
    <t>Mal_Is_-0.10_NuculidG</t>
  </si>
  <si>
    <t>Mal_Is_-0.10_OysterRL</t>
  </si>
  <si>
    <t>Mal_Is_1.0_NuculidLeft</t>
  </si>
  <si>
    <t>Mal_Is_1.5_BivalveB</t>
  </si>
  <si>
    <t>Mal_Is_2.0_NuculidLeft</t>
  </si>
  <si>
    <t>Mal_Is_2.0_Oyster</t>
  </si>
  <si>
    <t>Mal_Is_2.5_Bivalve</t>
  </si>
  <si>
    <t>Removed</t>
  </si>
  <si>
    <t>TCC</t>
  </si>
  <si>
    <t>Biv</t>
  </si>
  <si>
    <t>TCC_oy_+0.5</t>
  </si>
  <si>
    <t>2023_02_27_BELLOWS</t>
  </si>
  <si>
    <t>2023_03_06_BELLOWS</t>
  </si>
  <si>
    <t>TCC_oy_+1.35</t>
  </si>
  <si>
    <t>TCC_pul_+1.4</t>
  </si>
  <si>
    <t>Pul</t>
  </si>
  <si>
    <t>TCC_oy_-0.2</t>
  </si>
  <si>
    <t>TCC_pul_+0.7</t>
  </si>
  <si>
    <t>TCC_oy_+0.9</t>
  </si>
  <si>
    <t>TCC_pul_+1.37</t>
  </si>
  <si>
    <t>PB Landfill</t>
  </si>
  <si>
    <t>?</t>
  </si>
  <si>
    <t>xYield</t>
  </si>
  <si>
    <t>Pecten3483</t>
  </si>
  <si>
    <t>Pect</t>
  </si>
  <si>
    <t>Eubaculites</t>
  </si>
  <si>
    <t>Sample</t>
  </si>
  <si>
    <t>Upper Cretaceous</t>
  </si>
  <si>
    <t>Formation</t>
  </si>
  <si>
    <t>Biozone</t>
  </si>
  <si>
    <t>Plummerita hantkeninoides</t>
  </si>
  <si>
    <t>Discoscaphites iris</t>
  </si>
  <si>
    <t>CC26b</t>
  </si>
  <si>
    <t>Maastrichtian</t>
  </si>
  <si>
    <t>Corsicana</t>
  </si>
  <si>
    <t>Stratigraphic_height_KPB</t>
  </si>
  <si>
    <t>Arkadelphia</t>
  </si>
  <si>
    <t>Paleocene</t>
  </si>
  <si>
    <t>Danian</t>
  </si>
  <si>
    <t>Clayton</t>
  </si>
  <si>
    <t>Owl Creek</t>
  </si>
  <si>
    <t>UC20dTP</t>
  </si>
  <si>
    <t>UC20d,TP</t>
  </si>
  <si>
    <t>P0, P1a?</t>
  </si>
  <si>
    <t>Praire Bluff Chalk</t>
  </si>
  <si>
    <t>P1a</t>
  </si>
  <si>
    <t>P1b</t>
  </si>
  <si>
    <t>P1c</t>
  </si>
  <si>
    <t>Exogyra costata</t>
  </si>
  <si>
    <t>CC25b?</t>
  </si>
  <si>
    <t>UC20aTP?</t>
  </si>
  <si>
    <t>Discoscaphites iris-D. minardi</t>
  </si>
  <si>
    <t>Discoscaphites iris-D. minardi?</t>
  </si>
  <si>
    <t>Dissolution</t>
  </si>
  <si>
    <t>Secondary_growth</t>
  </si>
  <si>
    <t>SEM_score</t>
  </si>
  <si>
    <t>GOOD</t>
  </si>
  <si>
    <t>OK</t>
  </si>
  <si>
    <t>BAD</t>
  </si>
  <si>
    <t>Trace_score</t>
  </si>
  <si>
    <t>ppm Sr in powder (mg/g)</t>
  </si>
  <si>
    <t>ppt Mg in powder (mg/g)</t>
  </si>
  <si>
    <t>ppm Ba in powder (ug/g)</t>
  </si>
  <si>
    <t>ppm Mn in powder (ug/g)</t>
  </si>
  <si>
    <t>ppm Fe in powder (ug/g)</t>
  </si>
  <si>
    <t>GCP</t>
  </si>
  <si>
    <t>JRI</t>
  </si>
  <si>
    <t>Crassatella</t>
  </si>
  <si>
    <t>Mineralogy</t>
  </si>
  <si>
    <t>Aragonite</t>
  </si>
  <si>
    <t xml:space="preserve">Exogyra </t>
  </si>
  <si>
    <t>Calcite</t>
  </si>
  <si>
    <t>Eubaculites latincorinatus</t>
  </si>
  <si>
    <t>Sphenodiscus b?</t>
  </si>
  <si>
    <t>Turitella sp.</t>
  </si>
  <si>
    <t>AVA-2.2-3525</t>
  </si>
  <si>
    <t>powder?</t>
  </si>
  <si>
    <t>y</t>
  </si>
  <si>
    <t>ESP+0.55-3461</t>
  </si>
  <si>
    <t>MAL+1OYSTER</t>
  </si>
  <si>
    <t>AVA-1.4-3525</t>
  </si>
  <si>
    <t>ESP-AMNH3461OYSTER</t>
  </si>
  <si>
    <t>MAL-3.5OYSTER</t>
  </si>
  <si>
    <t>Strat_height_other</t>
  </si>
  <si>
    <t>Site_grp</t>
  </si>
  <si>
    <t>Avalon-TrimCane</t>
  </si>
  <si>
    <t>Taxa_grp</t>
  </si>
  <si>
    <t>Scallop</t>
  </si>
  <si>
    <t>Clam</t>
  </si>
  <si>
    <t>Indet. Bivalvia</t>
  </si>
  <si>
    <t>Mussel</t>
  </si>
  <si>
    <t>Gastropod</t>
  </si>
  <si>
    <t>Gryphaeostrea vomer</t>
  </si>
  <si>
    <t>Pycnodonte pulaskensis</t>
  </si>
  <si>
    <t>Reason for removal: anomalous trace element conc</t>
  </si>
  <si>
    <t>Y</t>
  </si>
  <si>
    <t>N</t>
  </si>
  <si>
    <t>Reason for removal: poor SEM preservation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</si>
</sst>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sz val="9"/>
      <color indexed="81"/>
      <name val="Tahoma"/>
      <charset val="1"/>
    </font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22" fontId="0" fillId="0" borderId="0" xfId="0" applyNumberFormat="1"/>
    <xf numFmtId="11" fontId="0" fillId="0" borderId="0" xfId="0" applyNumberFormat="1"/>
    <xf numFmtId="0" fontId="9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0" borderId="0" xfId="0" applyFont="1" applyAlignment="1">
      <alignment horizontal="right" wrapText="1"/>
    </xf>
    <xf numFmtId="0" fontId="14" fillId="0" borderId="0" xfId="0" applyFont="1"/>
    <xf numFmtId="2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own, Adriana" id="{ECD4F888-7E84-415B-9F99-282F37870E81}" userId="S::abrownn@umich.edu::4c64fc71-de71-4faa-8e54-f688941949f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1-27T22:11:10.23" personId="{ECD4F888-7E84-415B-9F99-282F37870E81}" id="{792AE90E-C4C9-4BD2-9C9B-373D3AD0E08E}">
    <text>Relative to KPg</text>
  </threadedComment>
  <threadedComment ref="A72" dT="2026-04-09T18:09:10.43" personId="{ECD4F888-7E84-415B-9F99-282F37870E81}" id="{B70FF1AE-7433-4F36-ABF7-313856D4FD45}">
    <text>-7 m adjjustement</text>
  </threadedComment>
  <threadedComment ref="A94" dT="2026-04-08T17:47:02.79" personId="{ECD4F888-7E84-415B-9F99-282F37870E81}" id="{55757099-E508-4376-A466-780985746D0F}">
    <text xml:space="preserve">Find smithsonian ID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6-01-27T22:11:10.23" personId="{ECD4F888-7E84-415B-9F99-282F37870E81}" id="{76E743C9-2942-4DF3-9B29-CE892F5C2AB0}">
    <text>Relative to KPg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6-01-27T22:11:10.23" personId="{ECD4F888-7E84-415B-9F99-282F37870E81}" id="{7302A9A9-545E-4137-83BA-7B9A063CDEFB}">
    <text>Relative to KPg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2C52-131C-42C7-BAE7-5E72546CE056}">
  <dimension ref="A1:AX121"/>
  <sheetViews>
    <sheetView tabSelected="1" zoomScaleNormal="100" workbookViewId="0">
      <pane xSplit="1" topLeftCell="B1" activePane="topRight" state="frozen"/>
      <selection activeCell="A25" sqref="A25"/>
      <selection pane="topRight" activeCell="C1" sqref="C1"/>
    </sheetView>
  </sheetViews>
  <sheetFormatPr baseColWidth="10" defaultColWidth="9" defaultRowHeight="15" x14ac:dyDescent="0.2"/>
  <cols>
    <col min="1" max="1" width="24.6640625" style="15" customWidth="1"/>
    <col min="2" max="2" width="10" style="15" customWidth="1"/>
    <col min="3" max="3" width="11.5" style="17" customWidth="1"/>
    <col min="4" max="4" width="15.5" style="17" bestFit="1" customWidth="1"/>
    <col min="5" max="5" width="22" style="17" bestFit="1" customWidth="1"/>
    <col min="6" max="6" width="12.5" style="17" customWidth="1"/>
    <col min="7" max="7" width="10.5" style="17" bestFit="1" customWidth="1"/>
    <col min="8" max="8" width="23" style="18" bestFit="1" customWidth="1"/>
    <col min="9" max="9" width="18" style="26" customWidth="1"/>
    <col min="10" max="10" width="9.33203125" style="17" bestFit="1" customWidth="1"/>
    <col min="11" max="11" width="10.1640625" style="17" customWidth="1"/>
    <col min="12" max="13" width="11.1640625" style="17" customWidth="1"/>
    <col min="14" max="14" width="9" style="17"/>
    <col min="15" max="17" width="9" style="19"/>
    <col min="18" max="18" width="9" style="17"/>
    <col min="19" max="19" width="9.33203125" style="19" bestFit="1" customWidth="1"/>
    <col min="20" max="20" width="10.1640625" style="19" customWidth="1"/>
    <col min="21" max="21" width="9" style="19"/>
    <col min="22" max="26" width="13.1640625" style="19" bestFit="1" customWidth="1"/>
    <col min="27" max="27" width="9" style="19"/>
    <col min="28" max="28" width="9" style="17"/>
    <col min="29" max="50" width="9.33203125" style="17" bestFit="1" customWidth="1"/>
    <col min="51" max="16384" width="9" style="17"/>
  </cols>
  <sheetData>
    <row r="1" spans="1:50" s="15" customFormat="1" x14ac:dyDescent="0.2">
      <c r="A1" s="15" t="s">
        <v>607</v>
      </c>
      <c r="B1" s="15" t="s">
        <v>588</v>
      </c>
      <c r="C1" s="15" t="s">
        <v>201</v>
      </c>
      <c r="D1" s="15" t="s">
        <v>665</v>
      </c>
      <c r="E1" s="15" t="s">
        <v>202</v>
      </c>
      <c r="F1" s="15" t="s">
        <v>667</v>
      </c>
      <c r="G1" s="15" t="s">
        <v>649</v>
      </c>
      <c r="H1" s="16" t="s">
        <v>616</v>
      </c>
      <c r="I1" s="15" t="s">
        <v>664</v>
      </c>
      <c r="J1" s="15" t="s">
        <v>243</v>
      </c>
      <c r="K1" s="15" t="s">
        <v>244</v>
      </c>
      <c r="L1" s="15" t="s">
        <v>245</v>
      </c>
      <c r="M1" s="15" t="s">
        <v>246</v>
      </c>
      <c r="N1" s="15" t="s">
        <v>247</v>
      </c>
      <c r="O1" s="15" t="s">
        <v>609</v>
      </c>
      <c r="P1" s="15" t="s">
        <v>610</v>
      </c>
      <c r="Q1" s="15" t="s">
        <v>610</v>
      </c>
      <c r="R1" s="15" t="s">
        <v>610</v>
      </c>
      <c r="S1" s="15" t="s">
        <v>634</v>
      </c>
      <c r="T1" s="15" t="s">
        <v>635</v>
      </c>
      <c r="U1" s="15" t="s">
        <v>636</v>
      </c>
      <c r="V1" s="15" t="s">
        <v>641</v>
      </c>
      <c r="W1" s="15" t="s">
        <v>642</v>
      </c>
      <c r="X1" s="15" t="s">
        <v>643</v>
      </c>
      <c r="Y1" s="15" t="s">
        <v>644</v>
      </c>
      <c r="Z1" s="15" t="s">
        <v>645</v>
      </c>
      <c r="AA1" s="15" t="s">
        <v>640</v>
      </c>
      <c r="AB1" s="15" t="s">
        <v>588</v>
      </c>
      <c r="AC1" s="15" t="s">
        <v>174</v>
      </c>
      <c r="AD1" s="15" t="s">
        <v>175</v>
      </c>
      <c r="AE1" s="15" t="s">
        <v>176</v>
      </c>
      <c r="AF1" s="15" t="s">
        <v>177</v>
      </c>
      <c r="AG1" s="15" t="s">
        <v>178</v>
      </c>
      <c r="AH1" s="15" t="s">
        <v>179</v>
      </c>
      <c r="AI1" s="15" t="s">
        <v>181</v>
      </c>
      <c r="AJ1" s="15" t="s">
        <v>182</v>
      </c>
      <c r="AK1" s="15" t="s">
        <v>183</v>
      </c>
      <c r="AL1" s="15" t="s">
        <v>185</v>
      </c>
      <c r="AM1" s="15" t="s">
        <v>186</v>
      </c>
      <c r="AN1" s="15" t="s">
        <v>187</v>
      </c>
      <c r="AO1" s="15" t="s">
        <v>188</v>
      </c>
      <c r="AP1" s="15" t="s">
        <v>189</v>
      </c>
      <c r="AQ1" s="15" t="s">
        <v>190</v>
      </c>
      <c r="AR1" s="15" t="s">
        <v>191</v>
      </c>
      <c r="AS1" s="15" t="s">
        <v>192</v>
      </c>
      <c r="AT1" s="15" t="s">
        <v>193</v>
      </c>
      <c r="AU1" s="15" t="s">
        <v>194</v>
      </c>
      <c r="AV1" s="15" t="s">
        <v>195</v>
      </c>
      <c r="AW1" s="15" t="s">
        <v>196</v>
      </c>
      <c r="AX1" s="15" t="s">
        <v>197</v>
      </c>
    </row>
    <row r="2" spans="1:50" x14ac:dyDescent="0.2">
      <c r="A2" s="15" t="s">
        <v>2</v>
      </c>
      <c r="B2" s="17" t="s">
        <v>677</v>
      </c>
      <c r="C2" s="17" t="s">
        <v>165</v>
      </c>
      <c r="D2" s="17" t="s">
        <v>666</v>
      </c>
      <c r="E2" s="17" t="s">
        <v>205</v>
      </c>
      <c r="F2" s="17" t="s">
        <v>500</v>
      </c>
      <c r="G2" s="17" t="s">
        <v>652</v>
      </c>
      <c r="H2" s="18">
        <v>-0.65</v>
      </c>
      <c r="J2" s="17">
        <v>33.455112999999997</v>
      </c>
      <c r="K2" s="17">
        <v>-88.849669000000006</v>
      </c>
      <c r="L2" s="17">
        <v>3525</v>
      </c>
      <c r="M2" s="17" t="s">
        <v>608</v>
      </c>
      <c r="N2" s="17" t="s">
        <v>614</v>
      </c>
      <c r="O2" s="19" t="s">
        <v>625</v>
      </c>
      <c r="P2" s="19" t="s">
        <v>612</v>
      </c>
      <c r="Q2" s="17" t="s">
        <v>613</v>
      </c>
      <c r="R2" s="17" t="s">
        <v>622</v>
      </c>
      <c r="S2" s="19">
        <v>0</v>
      </c>
      <c r="T2" s="19">
        <v>0</v>
      </c>
      <c r="U2" s="19" t="s">
        <v>637</v>
      </c>
      <c r="V2" s="25">
        <v>1.0409999999999999</v>
      </c>
      <c r="W2" s="25">
        <v>2.1789999999999998</v>
      </c>
      <c r="X2" s="25">
        <v>10.875999999999999</v>
      </c>
      <c r="Y2" s="25">
        <v>166.845</v>
      </c>
      <c r="Z2" s="25">
        <v>320.82600000000002</v>
      </c>
      <c r="AC2" s="17">
        <v>5</v>
      </c>
      <c r="AD2" s="17">
        <v>2.1551342996595499</v>
      </c>
      <c r="AE2" s="17">
        <v>7.5027097979900398E-2</v>
      </c>
      <c r="AF2" s="17">
        <v>-1.32195241027389</v>
      </c>
      <c r="AG2" s="17">
        <v>29.547186040724601</v>
      </c>
      <c r="AH2" s="17">
        <v>0.241169953536262</v>
      </c>
      <c r="AI2" s="17">
        <v>0.57198192713250096</v>
      </c>
      <c r="AJ2" s="17">
        <v>1.42951771952142E-2</v>
      </c>
      <c r="AK2" s="17">
        <v>1.7054945160509899E-2</v>
      </c>
      <c r="AL2" s="17">
        <v>0.121130950535113</v>
      </c>
      <c r="AM2" s="17">
        <v>4.0560418829941401E-2</v>
      </c>
      <c r="AN2" s="17">
        <v>6.9815423396556303E-2</v>
      </c>
      <c r="AO2" s="17">
        <v>32.700000000000003</v>
      </c>
      <c r="AP2" s="17">
        <v>5.25</v>
      </c>
      <c r="AQ2" s="17">
        <v>26.6</v>
      </c>
      <c r="AR2" s="17">
        <v>39.1</v>
      </c>
      <c r="AS2" s="17">
        <v>6.25</v>
      </c>
      <c r="AT2" s="17">
        <v>2.5919678155113401</v>
      </c>
      <c r="AU2" s="17">
        <v>1.2496572249920099</v>
      </c>
      <c r="AV2" s="17">
        <v>1.15534616136665</v>
      </c>
      <c r="AW2" s="17">
        <v>4.0392435988375199</v>
      </c>
      <c r="AX2" s="17">
        <v>1.4419487187354301</v>
      </c>
    </row>
    <row r="3" spans="1:50" x14ac:dyDescent="0.2">
      <c r="A3" s="15" t="s">
        <v>9</v>
      </c>
      <c r="B3" s="17" t="s">
        <v>677</v>
      </c>
      <c r="C3" s="17" t="s">
        <v>165</v>
      </c>
      <c r="D3" s="17" t="s">
        <v>666</v>
      </c>
      <c r="E3" s="17" t="s">
        <v>204</v>
      </c>
      <c r="F3" s="17" t="s">
        <v>500</v>
      </c>
      <c r="G3" s="17" t="s">
        <v>652</v>
      </c>
      <c r="H3" s="18">
        <v>0.04</v>
      </c>
      <c r="J3" s="17">
        <v>33.455112999999997</v>
      </c>
      <c r="K3" s="17">
        <v>-88.849669000000006</v>
      </c>
      <c r="L3" s="17">
        <v>3525</v>
      </c>
      <c r="M3" s="17" t="s">
        <v>618</v>
      </c>
      <c r="N3" s="17" t="s">
        <v>619</v>
      </c>
      <c r="O3" s="19" t="s">
        <v>620</v>
      </c>
      <c r="Q3" s="17"/>
      <c r="R3" s="17" t="s">
        <v>626</v>
      </c>
      <c r="V3" s="19">
        <v>0.49942091310007036</v>
      </c>
      <c r="W3" s="19">
        <v>1.1599385765791395</v>
      </c>
      <c r="X3" s="19">
        <v>4.5691746163832958</v>
      </c>
      <c r="Y3" s="19">
        <v>105.69647910236763</v>
      </c>
      <c r="Z3" s="19">
        <v>226.29492718959932</v>
      </c>
      <c r="AC3" s="17">
        <v>3</v>
      </c>
      <c r="AD3" s="17">
        <v>1.7181959837880401</v>
      </c>
      <c r="AE3" s="17">
        <v>0.28288182272284901</v>
      </c>
      <c r="AF3" s="17">
        <v>-2.6689456598279802</v>
      </c>
      <c r="AG3" s="17">
        <v>28.158557229826702</v>
      </c>
      <c r="AH3" s="17">
        <v>7.3636668337014599E-2</v>
      </c>
      <c r="AI3" s="17">
        <v>0.55866775539924196</v>
      </c>
      <c r="AJ3" s="17">
        <v>2.9902475047618401E-3</v>
      </c>
      <c r="AK3" s="17">
        <v>2.2017839525711898E-2</v>
      </c>
      <c r="AL3" s="17">
        <v>0.244116881075058</v>
      </c>
      <c r="AM3" s="17">
        <v>9.5002411059057906E-3</v>
      </c>
      <c r="AN3" s="17">
        <v>9.0131324041094099E-2</v>
      </c>
      <c r="AO3" s="17">
        <v>37.700000000000003</v>
      </c>
      <c r="AP3" s="17">
        <v>1.1499999999999999</v>
      </c>
      <c r="AQ3" s="17">
        <v>29.6</v>
      </c>
      <c r="AR3" s="17">
        <v>46.5</v>
      </c>
      <c r="AS3" s="17">
        <v>8.4499999999999993</v>
      </c>
      <c r="AT3" s="17">
        <v>2.1895353391787502</v>
      </c>
      <c r="AU3" s="17">
        <v>0.28683059651660903</v>
      </c>
      <c r="AV3" s="17">
        <v>0.56384253975670595</v>
      </c>
      <c r="AW3" s="17">
        <v>3.8630098877503101</v>
      </c>
      <c r="AX3" s="17">
        <v>1.6495836739967999</v>
      </c>
    </row>
    <row r="4" spans="1:50" x14ac:dyDescent="0.2">
      <c r="A4" s="15" t="s">
        <v>4</v>
      </c>
      <c r="B4" s="17" t="s">
        <v>677</v>
      </c>
      <c r="C4" s="17" t="s">
        <v>165</v>
      </c>
      <c r="D4" s="17" t="s">
        <v>666</v>
      </c>
      <c r="E4" s="17" t="s">
        <v>204</v>
      </c>
      <c r="F4" s="17" t="s">
        <v>500</v>
      </c>
      <c r="G4" s="17" t="s">
        <v>652</v>
      </c>
      <c r="H4" s="18">
        <v>-0.7</v>
      </c>
      <c r="J4" s="17">
        <v>33.455112999999997</v>
      </c>
      <c r="K4" s="17">
        <v>-88.849669000000006</v>
      </c>
      <c r="L4" s="17">
        <v>3525</v>
      </c>
      <c r="M4" s="17" t="s">
        <v>608</v>
      </c>
      <c r="N4" s="17" t="s">
        <v>614</v>
      </c>
      <c r="O4" s="19" t="s">
        <v>625</v>
      </c>
      <c r="P4" s="19" t="s">
        <v>612</v>
      </c>
      <c r="Q4" s="17" t="s">
        <v>613</v>
      </c>
      <c r="R4" s="17" t="s">
        <v>622</v>
      </c>
      <c r="V4" s="19">
        <v>0.84232267713777931</v>
      </c>
      <c r="W4" s="19">
        <v>1.4794196963574557</v>
      </c>
      <c r="X4" s="19">
        <v>12.988001580327525</v>
      </c>
      <c r="Y4" s="19">
        <v>131.03850486670964</v>
      </c>
      <c r="Z4" s="19">
        <v>362.70193929122627</v>
      </c>
      <c r="AC4" s="17">
        <v>3</v>
      </c>
      <c r="AD4" s="17">
        <v>2.28020339871847</v>
      </c>
      <c r="AE4" s="17">
        <v>4.3198602510129698E-2</v>
      </c>
      <c r="AF4" s="17">
        <v>-2.0754000766994798</v>
      </c>
      <c r="AG4" s="17">
        <v>28.770449306929699</v>
      </c>
      <c r="AH4" s="17">
        <v>5.1782994246826398E-2</v>
      </c>
      <c r="AI4" s="17">
        <v>0.59214950114631404</v>
      </c>
      <c r="AJ4" s="17">
        <v>1.5803678863810101E-3</v>
      </c>
      <c r="AK4" s="17">
        <v>2.2017839525711898E-2</v>
      </c>
      <c r="AL4" s="17">
        <v>0.24817539056685001</v>
      </c>
      <c r="AM4" s="17">
        <v>2.61109711615823E-2</v>
      </c>
      <c r="AN4" s="17">
        <v>9.0131324041094099E-2</v>
      </c>
      <c r="AO4" s="17">
        <v>25.6</v>
      </c>
      <c r="AP4" s="17">
        <v>0.55000000000000104</v>
      </c>
      <c r="AQ4" s="17">
        <v>18.3</v>
      </c>
      <c r="AR4" s="17">
        <v>33.4</v>
      </c>
      <c r="AS4" s="17">
        <v>7.55</v>
      </c>
      <c r="AT4" s="17">
        <v>0.43297990480118598</v>
      </c>
      <c r="AU4" s="17">
        <v>0.161512382317198</v>
      </c>
      <c r="AV4" s="17">
        <v>-1.1284466003156699</v>
      </c>
      <c r="AW4" s="17">
        <v>2.0208695553519598</v>
      </c>
      <c r="AX4" s="17">
        <v>1.5746580778338199</v>
      </c>
    </row>
    <row r="5" spans="1:50" x14ac:dyDescent="0.2">
      <c r="A5" s="15" t="s">
        <v>5</v>
      </c>
      <c r="B5" s="17" t="s">
        <v>677</v>
      </c>
      <c r="C5" s="17" t="s">
        <v>165</v>
      </c>
      <c r="D5" s="17" t="s">
        <v>666</v>
      </c>
      <c r="E5" s="17" t="s">
        <v>204</v>
      </c>
      <c r="F5" s="17" t="s">
        <v>500</v>
      </c>
      <c r="G5" s="17" t="s">
        <v>652</v>
      </c>
      <c r="H5" s="18">
        <v>-0.85</v>
      </c>
      <c r="J5" s="17">
        <v>33.455112999999997</v>
      </c>
      <c r="K5" s="17">
        <v>-88.849669000000006</v>
      </c>
      <c r="L5" s="17">
        <v>3525</v>
      </c>
      <c r="M5" s="17" t="s">
        <v>608</v>
      </c>
      <c r="N5" s="17" t="s">
        <v>614</v>
      </c>
      <c r="O5" s="19" t="s">
        <v>625</v>
      </c>
      <c r="P5" s="19" t="s">
        <v>612</v>
      </c>
      <c r="Q5" s="17" t="s">
        <v>613</v>
      </c>
      <c r="R5" s="17" t="s">
        <v>622</v>
      </c>
      <c r="V5" s="19">
        <v>0.6660446729432169</v>
      </c>
      <c r="W5" s="19">
        <v>2.2862141783269778</v>
      </c>
      <c r="X5" s="19">
        <v>5.785864662576806</v>
      </c>
      <c r="Y5" s="19">
        <v>70.501905857321688</v>
      </c>
      <c r="Z5" s="19">
        <v>320.63851930429956</v>
      </c>
      <c r="AC5" s="17">
        <v>3</v>
      </c>
      <c r="AD5" s="17">
        <v>1.8276942301650601</v>
      </c>
      <c r="AE5" s="17">
        <v>1.6536533850576102E-2</v>
      </c>
      <c r="AF5" s="17">
        <v>-2.25506180965789</v>
      </c>
      <c r="AG5" s="17">
        <v>28.5852342298056</v>
      </c>
      <c r="AH5" s="17">
        <v>3.3019711073463101E-3</v>
      </c>
      <c r="AI5" s="17">
        <v>0.60522403826420101</v>
      </c>
      <c r="AJ5" s="17">
        <v>7.85477435606486E-3</v>
      </c>
      <c r="AK5" s="17">
        <v>2.2017839525711898E-2</v>
      </c>
      <c r="AL5" s="17">
        <v>0.20707867381120501</v>
      </c>
      <c r="AM5" s="17">
        <v>2.5154315884083799E-2</v>
      </c>
      <c r="AN5" s="17">
        <v>9.0131324041094099E-2</v>
      </c>
      <c r="AO5" s="17">
        <v>21.2</v>
      </c>
      <c r="AP5" s="17">
        <v>2.5499999999999998</v>
      </c>
      <c r="AQ5" s="17">
        <v>14.3</v>
      </c>
      <c r="AR5" s="17">
        <v>28.7</v>
      </c>
      <c r="AS5" s="17">
        <v>7.2</v>
      </c>
      <c r="AT5" s="17">
        <v>-0.64909984737926196</v>
      </c>
      <c r="AU5" s="17">
        <v>0.53355063567630601</v>
      </c>
      <c r="AV5" s="17">
        <v>-2.1206114785392201</v>
      </c>
      <c r="AW5" s="17">
        <v>0.87623812302013004</v>
      </c>
      <c r="AX5" s="17">
        <v>1.4984248007796701</v>
      </c>
    </row>
    <row r="6" spans="1:50" x14ac:dyDescent="0.2">
      <c r="A6" s="15" t="s">
        <v>6</v>
      </c>
      <c r="B6" s="17" t="s">
        <v>677</v>
      </c>
      <c r="C6" s="17" t="s">
        <v>165</v>
      </c>
      <c r="D6" s="17" t="s">
        <v>666</v>
      </c>
      <c r="E6" s="17" t="s">
        <v>204</v>
      </c>
      <c r="F6" s="17" t="s">
        <v>500</v>
      </c>
      <c r="G6" s="17" t="s">
        <v>652</v>
      </c>
      <c r="H6" s="18">
        <v>-1.1000000000000001</v>
      </c>
      <c r="J6" s="17">
        <v>33.455112999999997</v>
      </c>
      <c r="K6" s="17">
        <v>-88.849669000000006</v>
      </c>
      <c r="L6" s="17">
        <v>3525</v>
      </c>
      <c r="M6" s="17" t="s">
        <v>608</v>
      </c>
      <c r="N6" s="17" t="s">
        <v>614</v>
      </c>
      <c r="O6" s="19" t="s">
        <v>625</v>
      </c>
      <c r="P6" s="19" t="s">
        <v>612</v>
      </c>
      <c r="Q6" s="17" t="s">
        <v>613</v>
      </c>
      <c r="R6" s="17" t="s">
        <v>622</v>
      </c>
      <c r="V6" s="19">
        <v>0.56675738542015486</v>
      </c>
      <c r="W6" s="19">
        <v>3.1444361605848594</v>
      </c>
      <c r="X6" s="19">
        <v>7.1620027090656837</v>
      </c>
      <c r="Y6" s="19">
        <v>440.81825928763476</v>
      </c>
      <c r="Z6" s="19">
        <v>784.0281946674545</v>
      </c>
      <c r="AC6" s="17">
        <v>4</v>
      </c>
      <c r="AD6" s="17">
        <v>1.4659408347735301</v>
      </c>
      <c r="AE6" s="17">
        <v>2.0050895442684399E-2</v>
      </c>
      <c r="AF6" s="17">
        <v>-2.13100027111471</v>
      </c>
      <c r="AG6" s="17">
        <v>28.713130510505099</v>
      </c>
      <c r="AH6" s="17">
        <v>2.9243055314475401E-2</v>
      </c>
      <c r="AI6" s="17">
        <v>0.58607290492334496</v>
      </c>
      <c r="AJ6" s="17">
        <v>1.22891705518297E-2</v>
      </c>
      <c r="AK6" s="17">
        <v>1.9068008365715601E-2</v>
      </c>
      <c r="AL6" s="17">
        <v>0.16677377223185799</v>
      </c>
      <c r="AM6" s="17">
        <v>4.9866473723818597E-2</v>
      </c>
      <c r="AN6" s="17">
        <v>7.8056016296314604E-2</v>
      </c>
      <c r="AO6" s="17">
        <v>27.7</v>
      </c>
      <c r="AP6" s="17">
        <v>4.25</v>
      </c>
      <c r="AQ6" s="17">
        <v>21.2</v>
      </c>
      <c r="AR6" s="17">
        <v>34.5</v>
      </c>
      <c r="AS6" s="17">
        <v>6.65</v>
      </c>
      <c r="AT6" s="17">
        <v>0.79875431344692105</v>
      </c>
      <c r="AU6" s="17">
        <v>0.875896927459621</v>
      </c>
      <c r="AV6" s="17">
        <v>-0.55325053289311699</v>
      </c>
      <c r="AW6" s="17">
        <v>2.1538175555799599</v>
      </c>
      <c r="AX6" s="17">
        <v>1.35353404423654</v>
      </c>
    </row>
    <row r="7" spans="1:50" x14ac:dyDescent="0.2">
      <c r="A7" s="15" t="s">
        <v>7</v>
      </c>
      <c r="B7" s="17" t="s">
        <v>677</v>
      </c>
      <c r="C7" s="17" t="s">
        <v>165</v>
      </c>
      <c r="D7" s="17" t="s">
        <v>666</v>
      </c>
      <c r="E7" s="17" t="s">
        <v>204</v>
      </c>
      <c r="F7" s="17" t="s">
        <v>500</v>
      </c>
      <c r="G7" s="17" t="s">
        <v>652</v>
      </c>
      <c r="H7" s="18">
        <v>-1.2</v>
      </c>
      <c r="J7" s="17">
        <v>33.455112999999997</v>
      </c>
      <c r="K7" s="17">
        <v>-88.849669000000006</v>
      </c>
      <c r="L7" s="17">
        <v>3525</v>
      </c>
      <c r="M7" s="17" t="s">
        <v>608</v>
      </c>
      <c r="N7" s="17" t="s">
        <v>614</v>
      </c>
      <c r="O7" s="19" t="s">
        <v>625</v>
      </c>
      <c r="P7" s="19" t="s">
        <v>612</v>
      </c>
      <c r="Q7" s="17" t="s">
        <v>613</v>
      </c>
      <c r="R7" s="17" t="s">
        <v>622</v>
      </c>
      <c r="V7" s="19">
        <v>1.813720509448647</v>
      </c>
      <c r="W7" s="19">
        <v>0.14088224989348455</v>
      </c>
      <c r="X7" s="19">
        <v>30.557080387587167</v>
      </c>
      <c r="Y7" s="19">
        <v>10.828225999792881</v>
      </c>
      <c r="Z7" s="19">
        <v>204.44891315144434</v>
      </c>
      <c r="AC7" s="17">
        <v>4</v>
      </c>
      <c r="AD7" s="17">
        <v>2.1134026745730599</v>
      </c>
      <c r="AE7" s="17">
        <v>4.9505130911336397E-2</v>
      </c>
      <c r="AF7" s="17">
        <v>-1.97422684874063</v>
      </c>
      <c r="AG7" s="17">
        <v>28.8747497993648</v>
      </c>
      <c r="AH7" s="17">
        <v>3.7723970559654797E-2</v>
      </c>
      <c r="AI7" s="17">
        <v>0.57451323261586196</v>
      </c>
      <c r="AJ7" s="17">
        <v>1.2072782602946299E-2</v>
      </c>
      <c r="AK7" s="17">
        <v>1.9068008365715601E-2</v>
      </c>
      <c r="AL7" s="17">
        <v>0.200645066405756</v>
      </c>
      <c r="AM7" s="17">
        <v>3.3790610692456903E-2</v>
      </c>
      <c r="AN7" s="17">
        <v>7.8056016296314604E-2</v>
      </c>
      <c r="AO7" s="17">
        <v>31.8</v>
      </c>
      <c r="AP7" s="17">
        <v>4.4000000000000004</v>
      </c>
      <c r="AQ7" s="17">
        <v>25.1</v>
      </c>
      <c r="AR7" s="17">
        <v>38.9</v>
      </c>
      <c r="AS7" s="17">
        <v>6.9</v>
      </c>
      <c r="AT7" s="17">
        <v>1.7628344702429799</v>
      </c>
      <c r="AU7" s="17">
        <v>0.89148352493185701</v>
      </c>
      <c r="AV7" s="17">
        <v>0.39650137309774902</v>
      </c>
      <c r="AW7" s="17">
        <v>3.1481366853896602</v>
      </c>
      <c r="AX7" s="17">
        <v>1.3758176561459501</v>
      </c>
    </row>
    <row r="8" spans="1:50" x14ac:dyDescent="0.2">
      <c r="A8" s="15" t="s">
        <v>661</v>
      </c>
      <c r="B8" s="17" t="s">
        <v>677</v>
      </c>
      <c r="C8" s="17" t="s">
        <v>165</v>
      </c>
      <c r="D8" s="17" t="s">
        <v>666</v>
      </c>
      <c r="E8" s="17" t="s">
        <v>203</v>
      </c>
      <c r="F8" s="17" t="s">
        <v>500</v>
      </c>
      <c r="G8" s="17" t="s">
        <v>652</v>
      </c>
      <c r="H8" s="18">
        <v>-1.4</v>
      </c>
      <c r="J8" s="17">
        <v>33.455112999999997</v>
      </c>
      <c r="K8" s="17">
        <v>-88.849669000000006</v>
      </c>
      <c r="L8" s="17">
        <v>3525</v>
      </c>
      <c r="M8" s="17" t="s">
        <v>608</v>
      </c>
      <c r="N8" s="17" t="s">
        <v>614</v>
      </c>
      <c r="O8" s="19" t="s">
        <v>625</v>
      </c>
      <c r="P8" s="19" t="s">
        <v>612</v>
      </c>
      <c r="Q8" s="17" t="s">
        <v>613</v>
      </c>
      <c r="R8" s="17" t="s">
        <v>622</v>
      </c>
      <c r="S8" s="19">
        <v>0</v>
      </c>
      <c r="T8" s="19">
        <v>0</v>
      </c>
      <c r="U8" s="19" t="s">
        <v>637</v>
      </c>
      <c r="V8" s="25">
        <v>3.8682783505934037</v>
      </c>
      <c r="W8" s="25">
        <v>0.21240242860964803</v>
      </c>
      <c r="X8" s="25">
        <v>39.100415293375484</v>
      </c>
      <c r="Y8" s="25">
        <v>8.4011566564375997</v>
      </c>
      <c r="Z8" s="25">
        <v>222.3672828769221</v>
      </c>
      <c r="AC8" s="17">
        <v>3</v>
      </c>
      <c r="AD8" s="17">
        <v>0.99156078098559997</v>
      </c>
      <c r="AE8" s="17">
        <v>1.9188184042907501E-2</v>
      </c>
      <c r="AF8" s="17">
        <v>-1.4605393251567</v>
      </c>
      <c r="AG8" s="17">
        <v>29.4043154043027</v>
      </c>
      <c r="AH8" s="17">
        <v>5.6146241266053797E-2</v>
      </c>
      <c r="AI8" s="17">
        <v>0.59733244860164902</v>
      </c>
      <c r="AJ8" s="17">
        <v>1.6445076893968898E-2</v>
      </c>
      <c r="AK8" s="17">
        <v>2.2017839525711898E-2</v>
      </c>
      <c r="AL8" s="17">
        <v>0.15959592745083501</v>
      </c>
      <c r="AM8" s="17">
        <v>1.6823767040726599E-2</v>
      </c>
      <c r="AN8" s="17">
        <v>9.0131324041094099E-2</v>
      </c>
      <c r="AO8" s="17">
        <v>23.8</v>
      </c>
      <c r="AP8" s="17">
        <v>5.5</v>
      </c>
      <c r="AQ8" s="17">
        <v>16.7</v>
      </c>
      <c r="AR8" s="17">
        <v>31.5</v>
      </c>
      <c r="AS8" s="17">
        <v>7.4</v>
      </c>
      <c r="AT8" s="17">
        <v>0.68324121221178302</v>
      </c>
      <c r="AU8" s="17">
        <v>1.1802935785211199</v>
      </c>
      <c r="AV8" s="17">
        <v>-0.85846345198615404</v>
      </c>
      <c r="AW8" s="17">
        <v>2.2747560574460999</v>
      </c>
      <c r="AX8" s="17">
        <v>1.56660975471613</v>
      </c>
    </row>
    <row r="9" spans="1:50" x14ac:dyDescent="0.2">
      <c r="A9" s="15" t="s">
        <v>656</v>
      </c>
      <c r="B9" s="17" t="s">
        <v>676</v>
      </c>
      <c r="C9" s="17" t="s">
        <v>165</v>
      </c>
      <c r="D9" s="17" t="s">
        <v>666</v>
      </c>
      <c r="E9" s="17" t="s">
        <v>203</v>
      </c>
      <c r="F9" s="17" t="s">
        <v>500</v>
      </c>
      <c r="G9" s="17" t="s">
        <v>652</v>
      </c>
      <c r="H9" s="18">
        <v>-2.2000000000000002</v>
      </c>
      <c r="J9" s="17">
        <v>33.455112999999997</v>
      </c>
      <c r="K9" s="17">
        <v>-88.849669000000006</v>
      </c>
      <c r="L9" s="17">
        <v>3525</v>
      </c>
      <c r="M9" s="17" t="s">
        <v>608</v>
      </c>
      <c r="N9" s="17" t="s">
        <v>614</v>
      </c>
      <c r="O9" s="19" t="s">
        <v>625</v>
      </c>
      <c r="P9" s="19" t="s">
        <v>612</v>
      </c>
      <c r="Q9" s="17" t="s">
        <v>613</v>
      </c>
      <c r="R9" s="17" t="s">
        <v>622</v>
      </c>
      <c r="V9" s="19">
        <v>3.8864182351158347</v>
      </c>
      <c r="W9" s="19">
        <v>0.48534019957931612</v>
      </c>
      <c r="X9" s="19">
        <v>31.495920916360237</v>
      </c>
      <c r="Y9" s="19">
        <v>1904.2545751029841</v>
      </c>
      <c r="Z9" s="19">
        <v>903.16642350338077</v>
      </c>
      <c r="AC9" s="17">
        <v>3</v>
      </c>
      <c r="AD9" s="17">
        <v>2.6982734458830602</v>
      </c>
      <c r="AE9" s="17">
        <v>3.9580939142279198E-2</v>
      </c>
      <c r="AF9" s="17">
        <v>-1.0006999637960501</v>
      </c>
      <c r="AG9" s="17">
        <v>29.878368400323001</v>
      </c>
      <c r="AH9" s="17">
        <v>6.2129970330812599E-2</v>
      </c>
      <c r="AI9" s="17">
        <v>0.58555993479953505</v>
      </c>
      <c r="AJ9" s="17">
        <v>6.7478270361952999E-3</v>
      </c>
      <c r="AK9" s="17">
        <v>2.2017839525711898E-2</v>
      </c>
      <c r="AL9" s="17">
        <v>0.2366405221697</v>
      </c>
      <c r="AM9" s="17">
        <v>1.1483110243044801E-2</v>
      </c>
      <c r="AN9" s="17">
        <v>9.0131324041094099E-2</v>
      </c>
      <c r="AO9" s="17">
        <v>27.9</v>
      </c>
      <c r="AP9" s="17">
        <v>2.35</v>
      </c>
      <c r="AQ9" s="17">
        <v>20.5</v>
      </c>
      <c r="AR9" s="17">
        <v>35.799999999999997</v>
      </c>
      <c r="AS9" s="17">
        <v>7.65</v>
      </c>
      <c r="AT9" s="17">
        <v>1.97226504078662</v>
      </c>
      <c r="AU9" s="17">
        <v>0.52890021835304402</v>
      </c>
      <c r="AV9" s="17">
        <v>0.40083194071303302</v>
      </c>
      <c r="AW9" s="17">
        <v>3.56842596652143</v>
      </c>
      <c r="AX9" s="17">
        <v>1.5837970129042001</v>
      </c>
    </row>
    <row r="10" spans="1:50" x14ac:dyDescent="0.2">
      <c r="A10" s="15" t="s">
        <v>3</v>
      </c>
      <c r="B10" s="17" t="s">
        <v>677</v>
      </c>
      <c r="C10" s="17" t="s">
        <v>165</v>
      </c>
      <c r="D10" s="17" t="s">
        <v>666</v>
      </c>
      <c r="E10" s="17" t="s">
        <v>204</v>
      </c>
      <c r="F10" s="17" t="s">
        <v>500</v>
      </c>
      <c r="G10" s="17" t="s">
        <v>652</v>
      </c>
      <c r="H10" s="18">
        <v>-2</v>
      </c>
      <c r="J10" s="17">
        <v>33.455112999999997</v>
      </c>
      <c r="K10" s="17">
        <v>-88.849669000000006</v>
      </c>
      <c r="L10" s="17">
        <v>3525</v>
      </c>
      <c r="M10" s="17" t="s">
        <v>608</v>
      </c>
      <c r="N10" s="17" t="s">
        <v>614</v>
      </c>
      <c r="O10" s="19" t="s">
        <v>625</v>
      </c>
      <c r="P10" s="19" t="s">
        <v>612</v>
      </c>
      <c r="Q10" s="17" t="s">
        <v>613</v>
      </c>
      <c r="R10" s="17" t="s">
        <v>622</v>
      </c>
      <c r="V10" s="19">
        <v>1.2569999999999999</v>
      </c>
      <c r="W10" s="19">
        <v>2.758</v>
      </c>
      <c r="X10" s="19">
        <v>6.2270000000000003</v>
      </c>
      <c r="Y10" s="19">
        <v>458.303</v>
      </c>
      <c r="Z10" s="19">
        <v>1030.0640000000001</v>
      </c>
      <c r="AC10" s="17">
        <v>3</v>
      </c>
      <c r="AD10" s="17">
        <v>1.25377056602223</v>
      </c>
      <c r="AE10" s="17">
        <v>5.8701774539523799E-3</v>
      </c>
      <c r="AF10" s="17">
        <v>-1.9449178172419599</v>
      </c>
      <c r="AG10" s="17">
        <v>28.9049647730271</v>
      </c>
      <c r="AH10" s="17">
        <v>0.22215786296947301</v>
      </c>
      <c r="AI10" s="17">
        <v>0.59112574835447196</v>
      </c>
      <c r="AJ10" s="17">
        <v>1.2520614531136901E-3</v>
      </c>
      <c r="AK10" s="17">
        <v>2.2017839525711898E-2</v>
      </c>
      <c r="AL10" s="17">
        <v>0.23330600767460699</v>
      </c>
      <c r="AM10" s="17">
        <v>2.5958462330926201E-2</v>
      </c>
      <c r="AN10" s="17">
        <v>9.0131324041094099E-2</v>
      </c>
      <c r="AO10" s="17">
        <v>25.9</v>
      </c>
      <c r="AP10" s="17">
        <v>0.44999999999999901</v>
      </c>
      <c r="AQ10" s="17">
        <v>18.7</v>
      </c>
      <c r="AR10" s="17">
        <v>33.799999999999997</v>
      </c>
      <c r="AS10" s="17">
        <v>7.55</v>
      </c>
      <c r="AT10" s="17">
        <v>0.62436929601472002</v>
      </c>
      <c r="AU10" s="17">
        <v>0.30683209068280298</v>
      </c>
      <c r="AV10" s="17">
        <v>-1.0785730972971801</v>
      </c>
      <c r="AW10" s="17">
        <v>2.3946434476411</v>
      </c>
      <c r="AX10" s="17">
        <v>1.7366082724691401</v>
      </c>
    </row>
    <row r="11" spans="1:50" x14ac:dyDescent="0.2">
      <c r="A11" s="15" t="s">
        <v>8</v>
      </c>
      <c r="B11" s="17" t="s">
        <v>677</v>
      </c>
      <c r="C11" s="17" t="s">
        <v>165</v>
      </c>
      <c r="D11" s="17" t="s">
        <v>666</v>
      </c>
      <c r="E11" s="17" t="s">
        <v>203</v>
      </c>
      <c r="F11" s="17" t="s">
        <v>500</v>
      </c>
      <c r="G11" s="17" t="s">
        <v>652</v>
      </c>
      <c r="H11" s="18">
        <v>-3.9</v>
      </c>
      <c r="J11" s="17">
        <v>33.455112999999997</v>
      </c>
      <c r="K11" s="17">
        <v>-88.849669000000006</v>
      </c>
      <c r="L11" s="17">
        <v>3525</v>
      </c>
      <c r="M11" s="17" t="s">
        <v>608</v>
      </c>
      <c r="N11" s="17" t="s">
        <v>614</v>
      </c>
      <c r="O11" s="19" t="s">
        <v>625</v>
      </c>
      <c r="V11" s="19">
        <v>0.81569333077722372</v>
      </c>
      <c r="W11" s="19">
        <v>1.2821443258583205</v>
      </c>
      <c r="X11" s="19">
        <v>19.628186308683453</v>
      </c>
      <c r="Y11" s="19">
        <v>591.41009127264135</v>
      </c>
      <c r="Z11" s="19">
        <v>204.37777838962052</v>
      </c>
      <c r="AC11" s="17">
        <v>3</v>
      </c>
      <c r="AD11" s="17">
        <v>2.10929402384944</v>
      </c>
      <c r="AE11" s="17">
        <v>8.2689365179702407E-3</v>
      </c>
      <c r="AF11" s="17">
        <v>-2.4894344493482201</v>
      </c>
      <c r="AG11" s="17">
        <v>28.343617131822398</v>
      </c>
      <c r="AH11" s="17">
        <v>2.38856932872256E-2</v>
      </c>
      <c r="AI11" s="17">
        <v>0.56417694238157801</v>
      </c>
      <c r="AJ11" s="17">
        <v>5.8622278316219798E-3</v>
      </c>
      <c r="AK11" s="17">
        <v>2.2017839525711898E-2</v>
      </c>
      <c r="AL11" s="17">
        <v>0.20229684561111899</v>
      </c>
      <c r="AM11" s="17">
        <v>3.7446470665255797E-2</v>
      </c>
      <c r="AN11" s="17">
        <v>9.0131324041094099E-2</v>
      </c>
      <c r="AO11" s="17">
        <v>35.6</v>
      </c>
      <c r="AP11" s="17">
        <v>2.2000000000000002</v>
      </c>
      <c r="AQ11" s="17">
        <v>27.6</v>
      </c>
      <c r="AR11" s="17">
        <v>44.2</v>
      </c>
      <c r="AS11" s="17">
        <v>8.3000000000000007</v>
      </c>
      <c r="AT11" s="17">
        <v>1.97455482897874</v>
      </c>
      <c r="AU11" s="17">
        <v>0.440221189526596</v>
      </c>
      <c r="AV11" s="17">
        <v>0.39609521226111599</v>
      </c>
      <c r="AW11" s="17">
        <v>3.5847631679642999</v>
      </c>
      <c r="AX11" s="17">
        <v>1.5943339778515899</v>
      </c>
    </row>
    <row r="12" spans="1:50" ht="13.5" customHeight="1" x14ac:dyDescent="0.2">
      <c r="A12" s="15" t="s">
        <v>10</v>
      </c>
      <c r="B12" s="17" t="s">
        <v>677</v>
      </c>
      <c r="C12" s="17" t="s">
        <v>165</v>
      </c>
      <c r="D12" s="17" t="s">
        <v>666</v>
      </c>
      <c r="E12" s="17" t="s">
        <v>215</v>
      </c>
      <c r="F12" s="17" t="s">
        <v>500</v>
      </c>
      <c r="G12" s="17" t="s">
        <v>652</v>
      </c>
      <c r="H12" s="18" t="s">
        <v>198</v>
      </c>
      <c r="J12" s="17">
        <v>33.455112999999997</v>
      </c>
      <c r="K12" s="17">
        <v>-88.849669000000006</v>
      </c>
      <c r="L12" s="17">
        <v>3525</v>
      </c>
      <c r="M12" s="17" t="s">
        <v>608</v>
      </c>
      <c r="N12" s="17" t="s">
        <v>614</v>
      </c>
      <c r="O12" s="19" t="s">
        <v>625</v>
      </c>
      <c r="S12" s="19">
        <v>0</v>
      </c>
      <c r="T12" s="19">
        <v>0</v>
      </c>
      <c r="U12" s="19" t="s">
        <v>637</v>
      </c>
      <c r="V12" s="19">
        <v>1.052</v>
      </c>
      <c r="W12" s="19">
        <v>1.712</v>
      </c>
      <c r="X12" s="19">
        <v>3.6269999999999998</v>
      </c>
      <c r="Y12" s="19">
        <v>98.343000000000004</v>
      </c>
      <c r="Z12" s="19">
        <v>145.99</v>
      </c>
      <c r="AC12" s="17">
        <v>3</v>
      </c>
      <c r="AD12" s="17">
        <v>1.9246073059107101</v>
      </c>
      <c r="AE12" s="17">
        <v>8.8955460137847796E-3</v>
      </c>
      <c r="AF12" s="17">
        <v>-1.0371327876004901</v>
      </c>
      <c r="AG12" s="17">
        <v>29.840809437934801</v>
      </c>
      <c r="AH12" s="17">
        <v>3.4278462418025603E-2</v>
      </c>
      <c r="AI12" s="17">
        <v>0.60192276649777798</v>
      </c>
      <c r="AJ12" s="17">
        <v>1.1273961000936099E-2</v>
      </c>
      <c r="AK12" s="17">
        <v>2.2017839525711898E-2</v>
      </c>
      <c r="AL12" s="17">
        <v>0.18461504437043</v>
      </c>
      <c r="AM12" s="17">
        <v>2.2344542991075401E-2</v>
      </c>
      <c r="AN12" s="17">
        <v>9.0131324041094099E-2</v>
      </c>
      <c r="AO12" s="17">
        <v>22.3</v>
      </c>
      <c r="AP12" s="17">
        <v>3.7</v>
      </c>
      <c r="AQ12" s="17">
        <v>15.3</v>
      </c>
      <c r="AR12" s="17">
        <v>29.8</v>
      </c>
      <c r="AS12" s="17">
        <v>7.25</v>
      </c>
      <c r="AT12" s="17">
        <v>0.79900114529300503</v>
      </c>
      <c r="AU12" s="17">
        <v>0.79827431050875897</v>
      </c>
      <c r="AV12" s="17">
        <v>-0.71529372122313395</v>
      </c>
      <c r="AW12" s="17">
        <v>2.3454959717913701</v>
      </c>
      <c r="AX12" s="17">
        <v>1.5303948465072501</v>
      </c>
    </row>
    <row r="13" spans="1:50" x14ac:dyDescent="0.2">
      <c r="A13" s="15" t="s">
        <v>11</v>
      </c>
      <c r="B13" s="17" t="s">
        <v>677</v>
      </c>
      <c r="C13" s="17" t="s">
        <v>165</v>
      </c>
      <c r="D13" s="17" t="s">
        <v>666</v>
      </c>
      <c r="E13" s="17" t="s">
        <v>203</v>
      </c>
      <c r="F13" s="17" t="s">
        <v>500</v>
      </c>
      <c r="G13" s="17" t="s">
        <v>652</v>
      </c>
      <c r="H13" s="18" t="s">
        <v>198</v>
      </c>
      <c r="J13" s="17">
        <v>33.455112999999997</v>
      </c>
      <c r="K13" s="17">
        <v>-88.849669000000006</v>
      </c>
      <c r="L13" s="17">
        <v>3525</v>
      </c>
      <c r="M13" s="17" t="s">
        <v>608</v>
      </c>
      <c r="N13" s="17" t="s">
        <v>614</v>
      </c>
      <c r="O13" s="19" t="s">
        <v>625</v>
      </c>
      <c r="S13" s="19">
        <v>0</v>
      </c>
      <c r="T13" s="19">
        <v>0</v>
      </c>
      <c r="U13" s="19" t="s">
        <v>637</v>
      </c>
      <c r="V13" s="25">
        <v>1.2569999999999999</v>
      </c>
      <c r="W13" s="25">
        <v>2.758</v>
      </c>
      <c r="X13" s="25">
        <v>6.2270000000000003</v>
      </c>
      <c r="Y13" s="25">
        <v>458.303</v>
      </c>
      <c r="Z13" s="25">
        <v>1030.0640000000001</v>
      </c>
      <c r="AC13" s="17">
        <v>3</v>
      </c>
      <c r="AD13" s="17">
        <v>2.7240986641539502</v>
      </c>
      <c r="AE13" s="17">
        <v>2.8143435114922E-2</v>
      </c>
      <c r="AF13" s="17">
        <v>-1.4532615907400701</v>
      </c>
      <c r="AG13" s="17">
        <v>29.411818093490201</v>
      </c>
      <c r="AH13" s="17">
        <v>0.117919292132303</v>
      </c>
      <c r="AI13" s="17">
        <v>0.58761606289118895</v>
      </c>
      <c r="AJ13" s="17">
        <v>2.00280962171302E-3</v>
      </c>
      <c r="AK13" s="17">
        <v>2.2017839525711898E-2</v>
      </c>
      <c r="AL13" s="17">
        <v>0.25870874492382101</v>
      </c>
      <c r="AM13" s="17">
        <v>6.6904527065782801E-2</v>
      </c>
      <c r="AN13" s="17">
        <v>9.0131324041094099E-2</v>
      </c>
      <c r="AO13" s="17">
        <v>27.1</v>
      </c>
      <c r="AP13" s="17">
        <v>0.70000000000000095</v>
      </c>
      <c r="AQ13" s="17">
        <v>19.8</v>
      </c>
      <c r="AR13" s="17">
        <v>35.1</v>
      </c>
      <c r="AS13" s="17">
        <v>7.65</v>
      </c>
      <c r="AT13" s="17">
        <v>1.35855236477585</v>
      </c>
      <c r="AU13" s="17">
        <v>0.25489656646908498</v>
      </c>
      <c r="AV13" s="17">
        <v>-0.25327487562731199</v>
      </c>
      <c r="AW13" s="17">
        <v>3.0352452107373402</v>
      </c>
      <c r="AX13" s="17">
        <v>1.64426004318233</v>
      </c>
    </row>
    <row r="14" spans="1:50" x14ac:dyDescent="0.2">
      <c r="A14" s="15" t="s">
        <v>12</v>
      </c>
      <c r="B14" s="17" t="s">
        <v>676</v>
      </c>
      <c r="C14" s="17" t="s">
        <v>166</v>
      </c>
      <c r="D14" s="17" t="s">
        <v>198</v>
      </c>
      <c r="E14" s="17" t="s">
        <v>212</v>
      </c>
      <c r="F14" s="17" t="s">
        <v>669</v>
      </c>
      <c r="G14" s="17" t="s">
        <v>652</v>
      </c>
      <c r="H14" s="18">
        <v>0</v>
      </c>
      <c r="J14" s="17">
        <v>32.006</v>
      </c>
      <c r="K14" s="17">
        <v>-86.751000000000005</v>
      </c>
      <c r="V14" s="19">
        <v>6.3390000000000004</v>
      </c>
      <c r="W14" s="19">
        <v>40.206000000000003</v>
      </c>
      <c r="X14" s="19">
        <v>837.94899999999996</v>
      </c>
      <c r="Y14" s="19">
        <v>441.77699999999999</v>
      </c>
      <c r="Z14" s="19">
        <v>20271.654999999999</v>
      </c>
      <c r="AC14" s="17">
        <v>3</v>
      </c>
      <c r="AD14" s="17">
        <v>1.9553869290927199</v>
      </c>
      <c r="AE14" s="17">
        <v>1.4836012528023501E-2</v>
      </c>
      <c r="AF14" s="17">
        <v>-1.81536391473838</v>
      </c>
      <c r="AG14" s="17">
        <v>29.038523186656999</v>
      </c>
      <c r="AH14" s="17">
        <v>5.1102308890804103E-2</v>
      </c>
      <c r="AI14" s="17">
        <v>0.58482925729719104</v>
      </c>
      <c r="AJ14" s="17">
        <v>5.8355853546977502E-3</v>
      </c>
      <c r="AK14" s="17">
        <v>2.2017839525711898E-2</v>
      </c>
      <c r="AL14" s="17">
        <v>0.19629775418668299</v>
      </c>
      <c r="AM14" s="17">
        <v>2.0305018702021699E-2</v>
      </c>
      <c r="AN14" s="17">
        <v>9.0131324041094099E-2</v>
      </c>
      <c r="AO14" s="17">
        <v>28.1</v>
      </c>
      <c r="AP14" s="17">
        <v>2.0499999999999998</v>
      </c>
      <c r="AQ14" s="17">
        <v>20.7</v>
      </c>
      <c r="AR14" s="17">
        <v>36.1</v>
      </c>
      <c r="AS14" s="17">
        <v>7.7</v>
      </c>
      <c r="AT14" s="17">
        <v>1.1949846695703199</v>
      </c>
      <c r="AU14" s="17">
        <v>0.45750616271862998</v>
      </c>
      <c r="AV14" s="17">
        <v>-0.36253772912709797</v>
      </c>
      <c r="AW14" s="17">
        <v>2.7961101286338099</v>
      </c>
      <c r="AX14" s="17">
        <v>1.5793239288804599</v>
      </c>
    </row>
    <row r="15" spans="1:50" x14ac:dyDescent="0.2">
      <c r="A15" s="15" t="s">
        <v>13</v>
      </c>
      <c r="B15" s="17" t="s">
        <v>677</v>
      </c>
      <c r="C15" s="17" t="s">
        <v>166</v>
      </c>
      <c r="D15" s="17" t="s">
        <v>198</v>
      </c>
      <c r="E15" s="17" t="s">
        <v>211</v>
      </c>
      <c r="F15" s="17" t="s">
        <v>670</v>
      </c>
      <c r="G15" s="17" t="s">
        <v>652</v>
      </c>
      <c r="H15" s="18">
        <v>0</v>
      </c>
      <c r="J15" s="17">
        <v>32.006</v>
      </c>
      <c r="K15" s="17">
        <v>-86.751000000000005</v>
      </c>
      <c r="S15" s="19">
        <v>0</v>
      </c>
      <c r="T15" s="19">
        <v>1</v>
      </c>
      <c r="U15" s="19" t="s">
        <v>637</v>
      </c>
      <c r="V15" s="19">
        <v>1.228</v>
      </c>
      <c r="W15" s="19">
        <v>1.514</v>
      </c>
      <c r="X15" s="19">
        <v>3.8639999999999999</v>
      </c>
      <c r="Y15" s="19">
        <v>10.215999999999999</v>
      </c>
      <c r="Z15" s="19">
        <v>302.09399999999999</v>
      </c>
      <c r="AC15" s="17">
        <v>4</v>
      </c>
      <c r="AD15" s="17">
        <v>1.6172013034463899</v>
      </c>
      <c r="AE15" s="17">
        <v>8.2464533125683592E-3</v>
      </c>
      <c r="AF15" s="17">
        <v>-3.0072336125805599</v>
      </c>
      <c r="AG15" s="17">
        <v>27.809812796454601</v>
      </c>
      <c r="AH15" s="17">
        <v>5.2447246502791603E-2</v>
      </c>
      <c r="AI15" s="17">
        <v>0.59161676780857797</v>
      </c>
      <c r="AJ15" s="17">
        <v>1.16793888226205E-2</v>
      </c>
      <c r="AK15" s="17">
        <v>1.9068008365715601E-2</v>
      </c>
      <c r="AL15" s="17">
        <v>0.21577059632238299</v>
      </c>
      <c r="AM15" s="17">
        <v>1.1459426338433699E-2</v>
      </c>
      <c r="AN15" s="17">
        <v>7.8056016296314604E-2</v>
      </c>
      <c r="AO15" s="17">
        <v>25.8</v>
      </c>
      <c r="AP15" s="17">
        <v>3.95</v>
      </c>
      <c r="AQ15" s="17">
        <v>19.5</v>
      </c>
      <c r="AR15" s="17">
        <v>32.5</v>
      </c>
      <c r="AS15" s="17">
        <v>6.5</v>
      </c>
      <c r="AT15" s="17">
        <v>-0.46083968187110702</v>
      </c>
      <c r="AU15" s="17">
        <v>0.84765276635215503</v>
      </c>
      <c r="AV15" s="17">
        <v>-1.8086799795236199</v>
      </c>
      <c r="AW15" s="17">
        <v>0.91254613642479399</v>
      </c>
      <c r="AX15" s="17">
        <v>1.3606130579742099</v>
      </c>
    </row>
    <row r="16" spans="1:50" x14ac:dyDescent="0.2">
      <c r="A16" s="15" t="s">
        <v>14</v>
      </c>
      <c r="B16" s="17" t="s">
        <v>677</v>
      </c>
      <c r="C16" s="17" t="s">
        <v>166</v>
      </c>
      <c r="D16" s="17" t="s">
        <v>198</v>
      </c>
      <c r="E16" s="17" t="s">
        <v>212</v>
      </c>
      <c r="F16" s="17" t="s">
        <v>669</v>
      </c>
      <c r="G16" s="17" t="s">
        <v>652</v>
      </c>
      <c r="H16" s="18">
        <v>0</v>
      </c>
      <c r="J16" s="17">
        <v>32.006</v>
      </c>
      <c r="K16" s="17">
        <v>-86.751000000000005</v>
      </c>
      <c r="V16" s="19">
        <v>0.48520821032584321</v>
      </c>
      <c r="W16" s="19">
        <v>1.4613743867977735</v>
      </c>
      <c r="X16" s="19">
        <v>5.4448076461186012</v>
      </c>
      <c r="Y16" s="19">
        <v>300.468984234223</v>
      </c>
      <c r="Z16" s="19">
        <v>724.63769438112558</v>
      </c>
      <c r="AC16" s="17">
        <v>5</v>
      </c>
      <c r="AD16" s="17">
        <v>0.64142303074904305</v>
      </c>
      <c r="AE16" s="17">
        <v>2.9394981339940299E-2</v>
      </c>
      <c r="AF16" s="17">
        <v>-1.8013690678528</v>
      </c>
      <c r="AG16" s="17">
        <v>29.052950614259899</v>
      </c>
      <c r="AH16" s="17">
        <v>2.81271491333938E-2</v>
      </c>
      <c r="AI16" s="17">
        <v>0.59585439539917096</v>
      </c>
      <c r="AJ16" s="17">
        <v>9.4593153695634105E-3</v>
      </c>
      <c r="AK16" s="17">
        <v>1.7054945160509899E-2</v>
      </c>
      <c r="AL16" s="17">
        <v>0.26359514222584801</v>
      </c>
      <c r="AM16" s="17">
        <v>2.3790737724433301E-2</v>
      </c>
      <c r="AN16" s="17">
        <v>6.9815423396556303E-2</v>
      </c>
      <c r="AO16" s="17">
        <v>24.3</v>
      </c>
      <c r="AP16" s="17">
        <v>3.2</v>
      </c>
      <c r="AQ16" s="17">
        <v>18.7</v>
      </c>
      <c r="AR16" s="17">
        <v>30.2</v>
      </c>
      <c r="AS16" s="17">
        <v>5.75</v>
      </c>
      <c r="AT16" s="17">
        <v>0.44378284302877102</v>
      </c>
      <c r="AU16" s="17">
        <v>0.67981070680644995</v>
      </c>
      <c r="AV16" s="17">
        <v>-0.74645160861416604</v>
      </c>
      <c r="AW16" s="17">
        <v>1.6513137312414301</v>
      </c>
      <c r="AX16" s="17">
        <v>1.1988826699277999</v>
      </c>
    </row>
    <row r="17" spans="1:50" x14ac:dyDescent="0.2">
      <c r="A17" s="15" t="s">
        <v>15</v>
      </c>
      <c r="B17" s="17" t="s">
        <v>677</v>
      </c>
      <c r="C17" s="17" t="s">
        <v>166</v>
      </c>
      <c r="D17" s="17" t="s">
        <v>198</v>
      </c>
      <c r="E17" s="17" t="s">
        <v>242</v>
      </c>
      <c r="F17" s="17" t="s">
        <v>668</v>
      </c>
      <c r="G17" s="17" t="s">
        <v>652</v>
      </c>
      <c r="H17" s="18">
        <v>0</v>
      </c>
      <c r="J17" s="17">
        <v>32.006</v>
      </c>
      <c r="K17" s="17">
        <v>-86.751000000000005</v>
      </c>
      <c r="V17" s="19">
        <v>0.75872515311915989</v>
      </c>
      <c r="W17" s="19">
        <v>1.2601348851893861</v>
      </c>
      <c r="X17" s="19">
        <v>7.215800599903722</v>
      </c>
      <c r="Y17" s="19">
        <v>51.286224296567823</v>
      </c>
      <c r="Z17" s="19">
        <v>687.2968518709846</v>
      </c>
      <c r="AC17" s="17">
        <v>4</v>
      </c>
      <c r="AD17" s="17">
        <v>1.25904822271026</v>
      </c>
      <c r="AE17" s="17">
        <v>5.2862569639966203E-2</v>
      </c>
      <c r="AF17" s="17">
        <v>-1.4833300134998499</v>
      </c>
      <c r="AG17" s="17">
        <v>29.380820255782901</v>
      </c>
      <c r="AH17" s="17">
        <v>2.2618745791057999E-2</v>
      </c>
      <c r="AI17" s="17">
        <v>0.607338884104486</v>
      </c>
      <c r="AJ17" s="17">
        <v>8.9875555731637902E-3</v>
      </c>
      <c r="AK17" s="17">
        <v>1.9068008365715601E-2</v>
      </c>
      <c r="AL17" s="17">
        <v>0.23283212502878001</v>
      </c>
      <c r="AM17" s="17">
        <v>1.11072979598367E-2</v>
      </c>
      <c r="AN17" s="17">
        <v>7.8056016296314604E-2</v>
      </c>
      <c r="AO17" s="17">
        <v>20.5</v>
      </c>
      <c r="AP17" s="17">
        <v>2.9</v>
      </c>
      <c r="AQ17" s="17">
        <v>14.5</v>
      </c>
      <c r="AR17" s="17">
        <v>26.9</v>
      </c>
      <c r="AS17" s="17">
        <v>6.2</v>
      </c>
      <c r="AT17" s="17">
        <v>-2.21490606209045E-2</v>
      </c>
      <c r="AU17" s="17">
        <v>0.62837908606781001</v>
      </c>
      <c r="AV17" s="17">
        <v>-1.3239607807584</v>
      </c>
      <c r="AW17" s="17">
        <v>1.3103217333460899</v>
      </c>
      <c r="AX17" s="17">
        <v>1.3171412570522401</v>
      </c>
    </row>
    <row r="18" spans="1:50" x14ac:dyDescent="0.2">
      <c r="A18" s="15" t="s">
        <v>16</v>
      </c>
      <c r="B18" s="17" t="s">
        <v>677</v>
      </c>
      <c r="C18" s="17" t="s">
        <v>167</v>
      </c>
      <c r="D18" s="17" t="s">
        <v>167</v>
      </c>
      <c r="E18" s="17" t="s">
        <v>203</v>
      </c>
      <c r="F18" s="17" t="s">
        <v>500</v>
      </c>
      <c r="G18" s="17" t="s">
        <v>652</v>
      </c>
      <c r="H18" s="18">
        <v>-0.1</v>
      </c>
      <c r="J18" s="17">
        <v>31.115717</v>
      </c>
      <c r="K18" s="17">
        <v>-96.832696999999996</v>
      </c>
      <c r="L18" s="17">
        <v>3621</v>
      </c>
      <c r="M18" s="17" t="s">
        <v>608</v>
      </c>
      <c r="N18" s="17" t="s">
        <v>614</v>
      </c>
      <c r="O18" s="19" t="s">
        <v>615</v>
      </c>
      <c r="P18" s="19" t="s">
        <v>612</v>
      </c>
      <c r="Q18" s="19" t="s">
        <v>613</v>
      </c>
      <c r="R18" s="17" t="s">
        <v>611</v>
      </c>
      <c r="V18" s="19">
        <v>1.1890000000000001</v>
      </c>
      <c r="W18" s="19">
        <v>1.9219999999999999</v>
      </c>
      <c r="X18" s="19">
        <v>16.776</v>
      </c>
      <c r="Y18" s="19">
        <v>251.16200000000001</v>
      </c>
      <c r="Z18" s="19">
        <v>270.75599999999997</v>
      </c>
      <c r="AC18" s="17">
        <v>3</v>
      </c>
      <c r="AD18" s="17">
        <v>0.82366123181847595</v>
      </c>
      <c r="AE18" s="17">
        <v>2.3143579608881901E-2</v>
      </c>
      <c r="AF18" s="17">
        <v>-1.4744275492236201</v>
      </c>
      <c r="AG18" s="17">
        <v>29.3899978952299</v>
      </c>
      <c r="AH18" s="17">
        <v>0.138941926386139</v>
      </c>
      <c r="AI18" s="17">
        <v>0.59934375534606199</v>
      </c>
      <c r="AJ18" s="17">
        <v>4.7437904750269903E-3</v>
      </c>
      <c r="AK18" s="17">
        <v>2.2017839525711898E-2</v>
      </c>
      <c r="AL18" s="17">
        <v>0.23394182785211301</v>
      </c>
      <c r="AM18" s="17">
        <v>3.78900746794383E-2</v>
      </c>
      <c r="AN18" s="17">
        <v>9.0131324041094099E-2</v>
      </c>
      <c r="AO18" s="17">
        <v>23.2</v>
      </c>
      <c r="AP18" s="17">
        <v>1.55</v>
      </c>
      <c r="AQ18" s="17">
        <v>16.100000000000001</v>
      </c>
      <c r="AR18" s="17">
        <v>30.8</v>
      </c>
      <c r="AS18" s="17">
        <v>7.35</v>
      </c>
      <c r="AT18" s="17">
        <v>0.54631821575185302</v>
      </c>
      <c r="AU18" s="17">
        <v>0.45344330235110403</v>
      </c>
      <c r="AV18" s="17">
        <v>-1.08162842569243</v>
      </c>
      <c r="AW18" s="17">
        <v>2.20481775922531</v>
      </c>
      <c r="AX18" s="17">
        <v>1.64322309245887</v>
      </c>
    </row>
    <row r="19" spans="1:50" x14ac:dyDescent="0.2">
      <c r="A19" s="15" t="s">
        <v>17</v>
      </c>
      <c r="B19" s="17" t="s">
        <v>677</v>
      </c>
      <c r="C19" s="17" t="s">
        <v>167</v>
      </c>
      <c r="D19" s="17" t="s">
        <v>167</v>
      </c>
      <c r="E19" s="17" t="s">
        <v>203</v>
      </c>
      <c r="F19" s="17" t="s">
        <v>500</v>
      </c>
      <c r="G19" s="17" t="s">
        <v>652</v>
      </c>
      <c r="H19" s="18">
        <v>-0.2</v>
      </c>
      <c r="J19" s="17">
        <v>31.115717</v>
      </c>
      <c r="K19" s="17">
        <v>-96.832696999999996</v>
      </c>
      <c r="L19" s="17">
        <v>3621</v>
      </c>
      <c r="M19" s="17" t="s">
        <v>608</v>
      </c>
      <c r="N19" s="17" t="s">
        <v>614</v>
      </c>
      <c r="O19" s="19" t="s">
        <v>615</v>
      </c>
      <c r="P19" s="19" t="s">
        <v>612</v>
      </c>
      <c r="Q19" s="19" t="s">
        <v>613</v>
      </c>
      <c r="R19" s="17" t="s">
        <v>611</v>
      </c>
      <c r="S19" s="19">
        <v>0</v>
      </c>
      <c r="T19" s="19">
        <v>0</v>
      </c>
      <c r="U19" s="19" t="s">
        <v>637</v>
      </c>
      <c r="V19" s="19">
        <v>1.3220000000000001</v>
      </c>
      <c r="W19" s="19">
        <v>1.0249999999999999</v>
      </c>
      <c r="X19" s="19">
        <v>17.693000000000001</v>
      </c>
      <c r="Y19" s="19">
        <v>64.201999999999998</v>
      </c>
      <c r="Z19" s="19">
        <v>138.30000000000001</v>
      </c>
      <c r="AC19" s="17">
        <v>4</v>
      </c>
      <c r="AD19" s="17">
        <v>0.71929248068128704</v>
      </c>
      <c r="AE19" s="17">
        <v>1.92862558671698E-2</v>
      </c>
      <c r="AF19" s="17">
        <v>-1.9556009065381601</v>
      </c>
      <c r="AG19" s="17">
        <v>28.893951469440701</v>
      </c>
      <c r="AH19" s="17">
        <v>1.4152513551501E-2</v>
      </c>
      <c r="AI19" s="17">
        <v>0.59677256664184797</v>
      </c>
      <c r="AJ19" s="17">
        <v>1.08907764290624E-2</v>
      </c>
      <c r="AK19" s="17">
        <v>1.9068008365715601E-2</v>
      </c>
      <c r="AL19" s="17">
        <v>0.23653036544273501</v>
      </c>
      <c r="AM19" s="17">
        <v>2.5956431449616301E-2</v>
      </c>
      <c r="AN19" s="17">
        <v>7.8056016296314604E-2</v>
      </c>
      <c r="AO19" s="17">
        <v>24</v>
      </c>
      <c r="AP19" s="17">
        <v>3.65</v>
      </c>
      <c r="AQ19" s="17">
        <v>17.8</v>
      </c>
      <c r="AR19" s="17">
        <v>30.6</v>
      </c>
      <c r="AS19" s="17">
        <v>6.4</v>
      </c>
      <c r="AT19" s="17">
        <v>0.22799168312826601</v>
      </c>
      <c r="AU19" s="17">
        <v>0.75934404950726297</v>
      </c>
      <c r="AV19" s="17">
        <v>-1.0781923094324399</v>
      </c>
      <c r="AW19" s="17">
        <v>1.5613396570575999</v>
      </c>
      <c r="AX19" s="17">
        <v>1.3197659832450199</v>
      </c>
    </row>
    <row r="20" spans="1:50" x14ac:dyDescent="0.2">
      <c r="A20" s="15" t="s">
        <v>18</v>
      </c>
      <c r="B20" s="17" t="s">
        <v>677</v>
      </c>
      <c r="C20" s="17" t="s">
        <v>167</v>
      </c>
      <c r="D20" s="17" t="s">
        <v>167</v>
      </c>
      <c r="E20" s="17" t="s">
        <v>203</v>
      </c>
      <c r="F20" s="17" t="s">
        <v>500</v>
      </c>
      <c r="G20" s="17" t="s">
        <v>652</v>
      </c>
      <c r="H20" s="18">
        <v>-0.33</v>
      </c>
      <c r="J20" s="17">
        <v>31.115717</v>
      </c>
      <c r="K20" s="17">
        <v>-96.832696999999996</v>
      </c>
      <c r="L20" s="17">
        <v>3621</v>
      </c>
      <c r="M20" s="17" t="s">
        <v>608</v>
      </c>
      <c r="N20" s="17" t="s">
        <v>614</v>
      </c>
      <c r="O20" s="19" t="s">
        <v>615</v>
      </c>
      <c r="P20" s="19" t="s">
        <v>612</v>
      </c>
      <c r="Q20" s="19" t="s">
        <v>613</v>
      </c>
      <c r="R20" s="17" t="s">
        <v>611</v>
      </c>
      <c r="V20" s="19">
        <v>1.2549999999999999</v>
      </c>
      <c r="W20" s="19">
        <v>1.712</v>
      </c>
      <c r="X20" s="19">
        <v>24.353000000000002</v>
      </c>
      <c r="Y20" s="19">
        <v>255.02600000000001</v>
      </c>
      <c r="Z20" s="19">
        <v>363.947</v>
      </c>
      <c r="AC20" s="17">
        <v>3</v>
      </c>
      <c r="AD20" s="17">
        <v>2.2130370333723399</v>
      </c>
      <c r="AE20" s="17">
        <v>4.0570426937193399E-2</v>
      </c>
      <c r="AF20" s="17">
        <v>-1.58600226619434</v>
      </c>
      <c r="AG20" s="17">
        <v>29.2749744037576</v>
      </c>
      <c r="AH20" s="17">
        <v>7.9062492599154502E-2</v>
      </c>
      <c r="AI20" s="17">
        <v>0.59101689097492804</v>
      </c>
      <c r="AJ20" s="17">
        <v>5.3877966491149096E-3</v>
      </c>
      <c r="AK20" s="17">
        <v>2.2017839525711898E-2</v>
      </c>
      <c r="AL20" s="17">
        <v>0.25783748370054599</v>
      </c>
      <c r="AM20" s="17">
        <v>8.66513771421463E-3</v>
      </c>
      <c r="AN20" s="17">
        <v>9.0131324041094099E-2</v>
      </c>
      <c r="AO20" s="17">
        <v>26</v>
      </c>
      <c r="AP20" s="17">
        <v>1.85</v>
      </c>
      <c r="AQ20" s="17">
        <v>18.7</v>
      </c>
      <c r="AR20" s="17">
        <v>33.799999999999997</v>
      </c>
      <c r="AS20" s="17">
        <v>7.55</v>
      </c>
      <c r="AT20" s="17">
        <v>1.00438291726005</v>
      </c>
      <c r="AU20" s="17">
        <v>0.45000431469770802</v>
      </c>
      <c r="AV20" s="17">
        <v>-0.58031301517325995</v>
      </c>
      <c r="AW20" s="17">
        <v>2.6156634111654302</v>
      </c>
      <c r="AX20" s="17">
        <v>1.5979882131693399</v>
      </c>
    </row>
    <row r="21" spans="1:50" x14ac:dyDescent="0.2">
      <c r="A21" s="15" t="s">
        <v>19</v>
      </c>
      <c r="B21" s="17" t="s">
        <v>677</v>
      </c>
      <c r="C21" s="17" t="s">
        <v>167</v>
      </c>
      <c r="D21" s="17" t="s">
        <v>167</v>
      </c>
      <c r="E21" s="17" t="s">
        <v>203</v>
      </c>
      <c r="F21" s="17" t="s">
        <v>500</v>
      </c>
      <c r="G21" s="17" t="s">
        <v>652</v>
      </c>
      <c r="H21" s="18">
        <v>-0.45</v>
      </c>
      <c r="J21" s="17">
        <v>31.115717</v>
      </c>
      <c r="K21" s="17">
        <v>-96.832696999999996</v>
      </c>
      <c r="L21" s="17">
        <v>3621</v>
      </c>
      <c r="M21" s="17" t="s">
        <v>608</v>
      </c>
      <c r="N21" s="17" t="s">
        <v>614</v>
      </c>
      <c r="O21" s="19" t="s">
        <v>615</v>
      </c>
      <c r="P21" s="19" t="s">
        <v>612</v>
      </c>
      <c r="Q21" s="19" t="s">
        <v>613</v>
      </c>
      <c r="R21" s="17" t="s">
        <v>611</v>
      </c>
      <c r="S21" s="19">
        <v>0</v>
      </c>
      <c r="T21" s="19">
        <v>0</v>
      </c>
      <c r="U21" s="19" t="s">
        <v>637</v>
      </c>
      <c r="V21" s="19">
        <v>1.395</v>
      </c>
      <c r="W21" s="19">
        <v>1.3959999999999999</v>
      </c>
      <c r="X21" s="19">
        <v>18.274000000000001</v>
      </c>
      <c r="Y21" s="19">
        <v>149.80500000000001</v>
      </c>
      <c r="Z21" s="19">
        <v>313.14600000000002</v>
      </c>
      <c r="AC21" s="17">
        <v>3</v>
      </c>
      <c r="AD21" s="17">
        <v>1.8470424163450301</v>
      </c>
      <c r="AE21" s="17">
        <v>1.5459646922882601E-2</v>
      </c>
      <c r="AF21" s="17">
        <v>-2.0058300985272801</v>
      </c>
      <c r="AG21" s="17">
        <v>28.8421696931272</v>
      </c>
      <c r="AH21" s="17">
        <v>3.75891625752304E-2</v>
      </c>
      <c r="AI21" s="17">
        <v>0.59577673318575897</v>
      </c>
      <c r="AJ21" s="17">
        <v>5.6239398522614902E-3</v>
      </c>
      <c r="AK21" s="17">
        <v>2.2017839525711898E-2</v>
      </c>
      <c r="AL21" s="17">
        <v>0.233527776615992</v>
      </c>
      <c r="AM21" s="17">
        <v>4.2433389103431897E-2</v>
      </c>
      <c r="AN21" s="17">
        <v>9.0131324041094099E-2</v>
      </c>
      <c r="AO21" s="17">
        <v>24.3</v>
      </c>
      <c r="AP21" s="17">
        <v>1.9</v>
      </c>
      <c r="AQ21" s="17">
        <v>17.2</v>
      </c>
      <c r="AR21" s="17">
        <v>32.1</v>
      </c>
      <c r="AS21" s="17">
        <v>7.45</v>
      </c>
      <c r="AT21" s="17">
        <v>0.23886193787700399</v>
      </c>
      <c r="AU21" s="17">
        <v>0.42383892741992202</v>
      </c>
      <c r="AV21" s="17">
        <v>-1.2791230008047001</v>
      </c>
      <c r="AW21" s="17">
        <v>1.8259235056872301</v>
      </c>
      <c r="AX21" s="17">
        <v>1.5525232532459701</v>
      </c>
    </row>
    <row r="22" spans="1:50" x14ac:dyDescent="0.2">
      <c r="A22" s="15" t="s">
        <v>20</v>
      </c>
      <c r="B22" s="17" t="s">
        <v>677</v>
      </c>
      <c r="C22" s="17" t="s">
        <v>167</v>
      </c>
      <c r="D22" s="17" t="s">
        <v>167</v>
      </c>
      <c r="E22" s="17" t="s">
        <v>203</v>
      </c>
      <c r="F22" s="17" t="s">
        <v>500</v>
      </c>
      <c r="G22" s="17" t="s">
        <v>652</v>
      </c>
      <c r="H22" s="18">
        <v>-0.63</v>
      </c>
      <c r="J22" s="17">
        <v>31.115717</v>
      </c>
      <c r="K22" s="17">
        <v>-96.832696999999996</v>
      </c>
      <c r="L22" s="17">
        <v>3621</v>
      </c>
      <c r="M22" s="17" t="s">
        <v>608</v>
      </c>
      <c r="N22" s="17" t="s">
        <v>614</v>
      </c>
      <c r="O22" s="19" t="s">
        <v>615</v>
      </c>
      <c r="P22" s="19" t="s">
        <v>612</v>
      </c>
      <c r="Q22" s="19" t="s">
        <v>613</v>
      </c>
      <c r="R22" s="17" t="s">
        <v>611</v>
      </c>
      <c r="S22" s="19">
        <v>0</v>
      </c>
      <c r="T22" s="19">
        <v>0</v>
      </c>
      <c r="U22" s="19" t="s">
        <v>637</v>
      </c>
      <c r="V22" s="19">
        <v>1.34</v>
      </c>
      <c r="W22" s="19">
        <v>1.6839999999999999</v>
      </c>
      <c r="X22" s="19">
        <v>286.86500000000001</v>
      </c>
      <c r="Y22" s="19">
        <v>196.96799999999999</v>
      </c>
      <c r="Z22" s="19">
        <v>432.68799999999999</v>
      </c>
      <c r="AC22" s="17">
        <v>3</v>
      </c>
      <c r="AD22" s="17">
        <v>0.54226230067022696</v>
      </c>
      <c r="AE22" s="17">
        <v>5.3090356959164399E-2</v>
      </c>
      <c r="AF22" s="17">
        <v>-1.6164272478314601</v>
      </c>
      <c r="AG22" s="17">
        <v>29.243608985938099</v>
      </c>
      <c r="AH22" s="17">
        <v>5.8315193209553702E-2</v>
      </c>
      <c r="AI22" s="17">
        <v>0.593346616056871</v>
      </c>
      <c r="AJ22" s="17">
        <v>7.2163248145387798E-3</v>
      </c>
      <c r="AK22" s="17">
        <v>2.2017839525711898E-2</v>
      </c>
      <c r="AL22" s="17">
        <v>0.25875902969008802</v>
      </c>
      <c r="AM22" s="17">
        <v>5.6487336830489503E-2</v>
      </c>
      <c r="AN22" s="17">
        <v>9.0131324041094099E-2</v>
      </c>
      <c r="AO22" s="17">
        <v>25.2</v>
      </c>
      <c r="AP22" s="17">
        <v>2.4500000000000002</v>
      </c>
      <c r="AQ22" s="17">
        <v>18</v>
      </c>
      <c r="AR22" s="17">
        <v>32.9</v>
      </c>
      <c r="AS22" s="17">
        <v>7.45</v>
      </c>
      <c r="AT22" s="17">
        <v>0.81212377381711998</v>
      </c>
      <c r="AU22" s="17">
        <v>0.55339912542620995</v>
      </c>
      <c r="AV22" s="17">
        <v>-0.73905624340966403</v>
      </c>
      <c r="AW22" s="17">
        <v>2.3917421238977599</v>
      </c>
      <c r="AX22" s="17">
        <v>1.56539918365371</v>
      </c>
    </row>
    <row r="23" spans="1:50" x14ac:dyDescent="0.2">
      <c r="A23" s="15" t="s">
        <v>21</v>
      </c>
      <c r="B23" s="17" t="s">
        <v>677</v>
      </c>
      <c r="C23" s="17" t="s">
        <v>167</v>
      </c>
      <c r="D23" s="17" t="s">
        <v>167</v>
      </c>
      <c r="E23" s="17" t="s">
        <v>203</v>
      </c>
      <c r="F23" s="17" t="s">
        <v>500</v>
      </c>
      <c r="G23" s="17" t="s">
        <v>652</v>
      </c>
      <c r="H23" s="18">
        <v>-0.8</v>
      </c>
      <c r="J23" s="17">
        <v>31.115717</v>
      </c>
      <c r="K23" s="17">
        <v>-96.832696999999996</v>
      </c>
      <c r="L23" s="17">
        <v>3621</v>
      </c>
      <c r="M23" s="17" t="s">
        <v>608</v>
      </c>
      <c r="N23" s="17" t="s">
        <v>614</v>
      </c>
      <c r="O23" s="19" t="s">
        <v>615</v>
      </c>
      <c r="P23" s="19" t="s">
        <v>612</v>
      </c>
      <c r="Q23" s="19" t="s">
        <v>613</v>
      </c>
      <c r="R23" s="17" t="s">
        <v>611</v>
      </c>
      <c r="S23" s="19">
        <v>0</v>
      </c>
      <c r="T23" s="19">
        <v>0</v>
      </c>
      <c r="U23" s="19" t="s">
        <v>637</v>
      </c>
      <c r="V23" s="19">
        <v>3.1041310192426392</v>
      </c>
      <c r="W23" s="19">
        <v>0.21747761961515227</v>
      </c>
      <c r="X23" s="19">
        <v>27.336475003358103</v>
      </c>
      <c r="Y23" s="19">
        <v>73.123913216390363</v>
      </c>
      <c r="Z23" s="19">
        <v>246.67812031103927</v>
      </c>
      <c r="AC23" s="17">
        <v>3</v>
      </c>
      <c r="AD23" s="17">
        <v>1.37544869936181</v>
      </c>
      <c r="AE23" s="17">
        <v>3.7593987817432097E-2</v>
      </c>
      <c r="AF23" s="17">
        <v>-1.74807965653764</v>
      </c>
      <c r="AG23" s="17">
        <v>29.1078872012788</v>
      </c>
      <c r="AH23" s="17">
        <v>0.111487857975753</v>
      </c>
      <c r="AI23" s="17">
        <v>0.59006107066060798</v>
      </c>
      <c r="AJ23" s="17">
        <v>1.18841220656899E-2</v>
      </c>
      <c r="AK23" s="17">
        <v>2.2017839525711898E-2</v>
      </c>
      <c r="AL23" s="17">
        <v>0.18798168820769601</v>
      </c>
      <c r="AM23" s="17">
        <v>4.2010714119386498E-2</v>
      </c>
      <c r="AN23" s="17">
        <v>9.0131324041094099E-2</v>
      </c>
      <c r="AO23" s="17">
        <v>26.3</v>
      </c>
      <c r="AP23" s="17">
        <v>4.0999999999999996</v>
      </c>
      <c r="AQ23" s="17">
        <v>19</v>
      </c>
      <c r="AR23" s="17">
        <v>34.200000000000003</v>
      </c>
      <c r="AS23" s="17">
        <v>7.6</v>
      </c>
      <c r="AT23" s="17">
        <v>0.90231914242997402</v>
      </c>
      <c r="AU23" s="17">
        <v>0.933707030391417</v>
      </c>
      <c r="AV23" s="17">
        <v>-0.71066219160127297</v>
      </c>
      <c r="AW23" s="17">
        <v>2.5611384097934402</v>
      </c>
      <c r="AX23" s="17">
        <v>1.63590030069736</v>
      </c>
    </row>
    <row r="24" spans="1:50" x14ac:dyDescent="0.2">
      <c r="A24" s="15" t="s">
        <v>22</v>
      </c>
      <c r="B24" s="17" t="s">
        <v>676</v>
      </c>
      <c r="C24" s="17" t="s">
        <v>167</v>
      </c>
      <c r="D24" s="17" t="s">
        <v>167</v>
      </c>
      <c r="E24" s="17" t="s">
        <v>203</v>
      </c>
      <c r="F24" s="17" t="s">
        <v>500</v>
      </c>
      <c r="G24" s="17" t="s">
        <v>652</v>
      </c>
      <c r="H24" s="18">
        <v>-0.8</v>
      </c>
      <c r="J24" s="17">
        <v>31.115717</v>
      </c>
      <c r="K24" s="17">
        <v>-96.832696999999996</v>
      </c>
      <c r="L24" s="17">
        <v>3621</v>
      </c>
      <c r="M24" s="17" t="s">
        <v>608</v>
      </c>
      <c r="N24" s="17" t="s">
        <v>614</v>
      </c>
      <c r="O24" s="19" t="s">
        <v>615</v>
      </c>
      <c r="P24" s="19" t="s">
        <v>612</v>
      </c>
      <c r="Q24" s="19" t="s">
        <v>613</v>
      </c>
      <c r="R24" s="17" t="s">
        <v>611</v>
      </c>
      <c r="S24" s="19">
        <v>0</v>
      </c>
      <c r="T24" s="19">
        <v>0</v>
      </c>
      <c r="U24" s="19" t="s">
        <v>637</v>
      </c>
      <c r="V24" s="19">
        <v>1.2949999999999999</v>
      </c>
      <c r="W24" s="19">
        <v>1.869</v>
      </c>
      <c r="X24" s="19">
        <v>21.4</v>
      </c>
      <c r="Y24" s="19">
        <v>508.50599999999997</v>
      </c>
      <c r="Z24" s="19">
        <v>863.44600000000003</v>
      </c>
      <c r="AC24" s="17">
        <v>3</v>
      </c>
      <c r="AD24" s="17">
        <v>1.3080004399262299</v>
      </c>
      <c r="AE24" s="17">
        <v>4.1142021515384798E-2</v>
      </c>
      <c r="AF24" s="17">
        <v>-1.86701471663023</v>
      </c>
      <c r="AG24" s="17">
        <v>28.985275858478701</v>
      </c>
      <c r="AH24" s="17">
        <v>0.16411621697310899</v>
      </c>
      <c r="AI24" s="17">
        <v>0.59811501031285896</v>
      </c>
      <c r="AJ24" s="17">
        <v>8.9997532185943207E-3</v>
      </c>
      <c r="AK24" s="17">
        <v>2.2017839525711898E-2</v>
      </c>
      <c r="AL24" s="17">
        <v>0.25327008073165003</v>
      </c>
      <c r="AM24" s="17">
        <v>1.5120585559772E-2</v>
      </c>
      <c r="AN24" s="17">
        <v>9.0131324041094099E-2</v>
      </c>
      <c r="AO24" s="17">
        <v>23.6</v>
      </c>
      <c r="AP24" s="17">
        <v>3</v>
      </c>
      <c r="AQ24" s="17">
        <v>16.5</v>
      </c>
      <c r="AR24" s="17">
        <v>31.2</v>
      </c>
      <c r="AS24" s="17">
        <v>7.35</v>
      </c>
      <c r="AT24" s="17">
        <v>0.23496118832292701</v>
      </c>
      <c r="AU24" s="17">
        <v>0.77396948416759404</v>
      </c>
      <c r="AV24" s="17">
        <v>-1.4128994581371901</v>
      </c>
      <c r="AW24" s="17">
        <v>1.9134510113212899</v>
      </c>
      <c r="AX24" s="17">
        <v>1.6631752347292399</v>
      </c>
    </row>
    <row r="25" spans="1:50" x14ac:dyDescent="0.2">
      <c r="A25" s="15" t="s">
        <v>23</v>
      </c>
      <c r="B25" s="17" t="s">
        <v>677</v>
      </c>
      <c r="C25" s="17" t="s">
        <v>167</v>
      </c>
      <c r="D25" s="17" t="s">
        <v>167</v>
      </c>
      <c r="E25" s="17" t="s">
        <v>203</v>
      </c>
      <c r="F25" s="17" t="s">
        <v>500</v>
      </c>
      <c r="G25" s="17" t="s">
        <v>652</v>
      </c>
      <c r="H25" s="18">
        <v>-1.1000000000000001</v>
      </c>
      <c r="J25" s="17">
        <v>31.115717</v>
      </c>
      <c r="K25" s="17">
        <v>-96.832696999999996</v>
      </c>
      <c r="L25" s="17">
        <v>3621</v>
      </c>
      <c r="M25" s="17" t="s">
        <v>608</v>
      </c>
      <c r="N25" s="17" t="s">
        <v>614</v>
      </c>
      <c r="O25" s="19" t="s">
        <v>615</v>
      </c>
      <c r="P25" s="19" t="s">
        <v>612</v>
      </c>
      <c r="Q25" s="19" t="s">
        <v>613</v>
      </c>
      <c r="R25" s="17" t="s">
        <v>611</v>
      </c>
      <c r="S25" s="19">
        <v>0</v>
      </c>
      <c r="T25" s="19">
        <v>0</v>
      </c>
      <c r="U25" s="19" t="s">
        <v>637</v>
      </c>
      <c r="V25" s="19">
        <v>2.3490000000000002</v>
      </c>
      <c r="W25" s="19">
        <v>0.13500000000000001</v>
      </c>
      <c r="X25" s="19">
        <v>19.309000000000001</v>
      </c>
      <c r="Y25" s="19">
        <v>2.552</v>
      </c>
      <c r="Z25" s="19">
        <v>64.343000000000004</v>
      </c>
      <c r="AC25" s="17">
        <v>3</v>
      </c>
      <c r="AD25" s="17">
        <v>0.39212383038695697</v>
      </c>
      <c r="AE25" s="17">
        <v>1.11370537035635E-2</v>
      </c>
      <c r="AF25" s="17">
        <v>-2.3664966439163999</v>
      </c>
      <c r="AG25" s="17">
        <v>28.470354944820102</v>
      </c>
      <c r="AH25" s="17">
        <v>8.2686685367801105E-2</v>
      </c>
      <c r="AI25" s="17">
        <v>0.60533565605934903</v>
      </c>
      <c r="AJ25" s="17">
        <v>8.2183856231822505E-3</v>
      </c>
      <c r="AK25" s="17">
        <v>2.2017839525711898E-2</v>
      </c>
      <c r="AL25" s="17">
        <v>0.24333510595533001</v>
      </c>
      <c r="AM25" s="17">
        <v>2.3269601058546301E-2</v>
      </c>
      <c r="AN25" s="17">
        <v>9.0131324041094099E-2</v>
      </c>
      <c r="AO25" s="17">
        <v>21.2</v>
      </c>
      <c r="AP25" s="17">
        <v>2.7</v>
      </c>
      <c r="AQ25" s="17">
        <v>14.3</v>
      </c>
      <c r="AR25" s="17">
        <v>28.6</v>
      </c>
      <c r="AS25" s="17">
        <v>7.15</v>
      </c>
      <c r="AT25" s="17">
        <v>-0.76071404622098304</v>
      </c>
      <c r="AU25" s="17">
        <v>0.64181739649967495</v>
      </c>
      <c r="AV25" s="17">
        <v>-2.30907681581539</v>
      </c>
      <c r="AW25" s="17">
        <v>0.82188830356119502</v>
      </c>
      <c r="AX25" s="17">
        <v>1.56548255968829</v>
      </c>
    </row>
    <row r="26" spans="1:50" x14ac:dyDescent="0.2">
      <c r="A26" s="15" t="s">
        <v>24</v>
      </c>
      <c r="B26" s="17" t="s">
        <v>677</v>
      </c>
      <c r="C26" s="17" t="s">
        <v>168</v>
      </c>
      <c r="D26" s="17" t="s">
        <v>168</v>
      </c>
      <c r="E26" s="17" t="s">
        <v>203</v>
      </c>
      <c r="F26" s="17" t="s">
        <v>500</v>
      </c>
      <c r="G26" s="17" t="s">
        <v>652</v>
      </c>
      <c r="H26" s="18">
        <v>0.85</v>
      </c>
      <c r="J26" s="17">
        <v>34.55245</v>
      </c>
      <c r="K26" s="17">
        <v>-88.986997000000002</v>
      </c>
      <c r="L26" s="17">
        <v>3461</v>
      </c>
      <c r="M26" s="17" t="s">
        <v>618</v>
      </c>
      <c r="N26" s="17" t="s">
        <v>619</v>
      </c>
      <c r="O26" s="19" t="s">
        <v>620</v>
      </c>
      <c r="R26" s="17" t="s">
        <v>624</v>
      </c>
      <c r="V26" s="25">
        <v>1.18</v>
      </c>
      <c r="W26" s="25">
        <v>1.591</v>
      </c>
      <c r="X26" s="25">
        <v>6.484</v>
      </c>
      <c r="Y26" s="25">
        <v>39.383000000000003</v>
      </c>
      <c r="Z26" s="25">
        <v>256.17</v>
      </c>
      <c r="AC26" s="17">
        <v>3</v>
      </c>
      <c r="AD26" s="17">
        <v>2.5260080139963401</v>
      </c>
      <c r="AE26" s="17">
        <v>5.54546764744153E-2</v>
      </c>
      <c r="AF26" s="17">
        <v>-1.33531479315054</v>
      </c>
      <c r="AG26" s="17">
        <v>29.533410626593199</v>
      </c>
      <c r="AH26" s="17">
        <v>3.0900288584290399E-2</v>
      </c>
      <c r="AI26" s="17">
        <v>0.59225736892999203</v>
      </c>
      <c r="AJ26" s="17">
        <v>7.8528617711613492E-3</v>
      </c>
      <c r="AK26" s="17">
        <v>2.2017839525711898E-2</v>
      </c>
      <c r="AL26" s="17">
        <v>0.27698208371491401</v>
      </c>
      <c r="AM26" s="17">
        <v>3.4907125977790401E-2</v>
      </c>
      <c r="AN26" s="17">
        <v>9.0131324041094099E-2</v>
      </c>
      <c r="AO26" s="17">
        <v>25.5</v>
      </c>
      <c r="AP26" s="17">
        <v>2.7</v>
      </c>
      <c r="AQ26" s="17">
        <v>18.3</v>
      </c>
      <c r="AR26" s="17">
        <v>33.299999999999997</v>
      </c>
      <c r="AS26" s="17">
        <v>7.5</v>
      </c>
      <c r="AT26" s="17">
        <v>1.1546938344756701</v>
      </c>
      <c r="AU26" s="17">
        <v>0.57652177668757099</v>
      </c>
      <c r="AV26" s="17">
        <v>-0.36734492612617903</v>
      </c>
      <c r="AW26" s="17">
        <v>2.7243715139989</v>
      </c>
      <c r="AX26" s="17">
        <v>1.5458582200625399</v>
      </c>
    </row>
    <row r="27" spans="1:50" x14ac:dyDescent="0.2">
      <c r="A27" s="15" t="s">
        <v>25</v>
      </c>
      <c r="B27" s="17" t="s">
        <v>677</v>
      </c>
      <c r="C27" s="17" t="s">
        <v>168</v>
      </c>
      <c r="D27" s="17" t="s">
        <v>168</v>
      </c>
      <c r="E27" s="17" t="s">
        <v>203</v>
      </c>
      <c r="F27" s="17" t="s">
        <v>500</v>
      </c>
      <c r="G27" s="17" t="s">
        <v>652</v>
      </c>
      <c r="H27" s="18">
        <v>0.85</v>
      </c>
      <c r="J27" s="17">
        <v>34.55245</v>
      </c>
      <c r="K27" s="17">
        <v>-88.986997000000002</v>
      </c>
      <c r="L27" s="17">
        <v>3461</v>
      </c>
      <c r="M27" s="17" t="s">
        <v>618</v>
      </c>
      <c r="N27" s="17" t="s">
        <v>619</v>
      </c>
      <c r="O27" s="19" t="s">
        <v>620</v>
      </c>
      <c r="R27" s="17" t="s">
        <v>624</v>
      </c>
      <c r="V27" s="19">
        <v>1.1180000000000001</v>
      </c>
      <c r="W27" s="19">
        <v>1.5249999999999999</v>
      </c>
      <c r="X27" s="19">
        <v>3.9140000000000001</v>
      </c>
      <c r="Y27" s="19">
        <v>23.321000000000002</v>
      </c>
      <c r="Z27" s="19">
        <v>155.99299999999999</v>
      </c>
      <c r="AC27" s="17">
        <v>3</v>
      </c>
      <c r="AD27" s="17">
        <v>2.2896037903192901</v>
      </c>
      <c r="AE27" s="17">
        <v>3.3466776920073202E-2</v>
      </c>
      <c r="AF27" s="17">
        <v>-1.83008298654487</v>
      </c>
      <c r="AG27" s="17">
        <v>29.023349148341001</v>
      </c>
      <c r="AH27" s="17">
        <v>1.2521940641207501E-2</v>
      </c>
      <c r="AI27" s="17">
        <v>0.58216752172403097</v>
      </c>
      <c r="AJ27" s="17">
        <v>1.28013126043157E-2</v>
      </c>
      <c r="AK27" s="17">
        <v>2.2017839525711898E-2</v>
      </c>
      <c r="AL27" s="17">
        <v>0.21793537703945401</v>
      </c>
      <c r="AM27" s="17">
        <v>5.0699068281181002E-2</v>
      </c>
      <c r="AN27" s="17">
        <v>9.0131324041094099E-2</v>
      </c>
      <c r="AO27" s="17">
        <v>29</v>
      </c>
      <c r="AP27" s="17">
        <v>4.55</v>
      </c>
      <c r="AQ27" s="17">
        <v>21.6</v>
      </c>
      <c r="AR27" s="17">
        <v>37.1</v>
      </c>
      <c r="AS27" s="17">
        <v>7.75</v>
      </c>
      <c r="AT27" s="17">
        <v>1.3587217564281699</v>
      </c>
      <c r="AU27" s="17">
        <v>0.91218881753923098</v>
      </c>
      <c r="AV27" s="17">
        <v>-0.15249296803347101</v>
      </c>
      <c r="AW27" s="17">
        <v>2.93218300103513</v>
      </c>
      <c r="AX27" s="17">
        <v>1.5423379845342999</v>
      </c>
    </row>
    <row r="28" spans="1:50" x14ac:dyDescent="0.2">
      <c r="A28" s="15" t="s">
        <v>26</v>
      </c>
      <c r="B28" s="17" t="s">
        <v>677</v>
      </c>
      <c r="C28" s="17" t="s">
        <v>168</v>
      </c>
      <c r="D28" s="17" t="s">
        <v>168</v>
      </c>
      <c r="E28" s="17" t="s">
        <v>206</v>
      </c>
      <c r="F28" s="17" t="s">
        <v>500</v>
      </c>
      <c r="G28" s="17" t="s">
        <v>652</v>
      </c>
      <c r="H28" s="18">
        <v>0.15</v>
      </c>
      <c r="J28" s="17">
        <v>34.55245</v>
      </c>
      <c r="K28" s="17">
        <v>-88.986997000000002</v>
      </c>
      <c r="L28" s="17">
        <v>3461</v>
      </c>
      <c r="M28" s="17" t="s">
        <v>618</v>
      </c>
      <c r="N28" s="17" t="s">
        <v>619</v>
      </c>
      <c r="O28" s="19" t="s">
        <v>620</v>
      </c>
      <c r="R28" s="17" t="s">
        <v>624</v>
      </c>
      <c r="V28" s="19">
        <v>1.4279999999999999</v>
      </c>
      <c r="W28" s="19">
        <v>0.83299999999999996</v>
      </c>
      <c r="X28" s="19">
        <v>3.673</v>
      </c>
      <c r="Y28" s="19">
        <v>29.053000000000001</v>
      </c>
      <c r="Z28" s="19">
        <v>301.166</v>
      </c>
      <c r="AC28" s="17">
        <v>4</v>
      </c>
      <c r="AD28" s="17">
        <v>1.4156799395516499</v>
      </c>
      <c r="AE28" s="17">
        <v>1.3345635448807401E-2</v>
      </c>
      <c r="AF28" s="17">
        <v>-1.3587367560703201</v>
      </c>
      <c r="AG28" s="17">
        <v>29.509264690799501</v>
      </c>
      <c r="AH28" s="17">
        <v>1.6071728104409402E-2</v>
      </c>
      <c r="AI28" s="17">
        <v>0.58318361796628604</v>
      </c>
      <c r="AJ28" s="17">
        <v>2.12674680390008E-2</v>
      </c>
      <c r="AK28" s="17">
        <v>1.9068008365715601E-2</v>
      </c>
      <c r="AL28" s="17">
        <v>0.26805921585756998</v>
      </c>
      <c r="AM28" s="17">
        <v>4.7337310626064097E-2</v>
      </c>
      <c r="AN28" s="17">
        <v>7.8056016296314604E-2</v>
      </c>
      <c r="AO28" s="17">
        <v>28.7</v>
      </c>
      <c r="AP28" s="17">
        <v>7.5</v>
      </c>
      <c r="AQ28" s="17">
        <v>22.2</v>
      </c>
      <c r="AR28" s="17">
        <v>35.6</v>
      </c>
      <c r="AS28" s="17">
        <v>6.7</v>
      </c>
      <c r="AT28" s="17">
        <v>1.7721602870896001</v>
      </c>
      <c r="AU28" s="17">
        <v>1.5032715698808401</v>
      </c>
      <c r="AV28" s="17">
        <v>0.44051612532860002</v>
      </c>
      <c r="AW28" s="17">
        <v>3.1259721537720702</v>
      </c>
      <c r="AX28" s="17">
        <v>1.3427280142217299</v>
      </c>
    </row>
    <row r="29" spans="1:50" x14ac:dyDescent="0.2">
      <c r="A29" s="15" t="s">
        <v>27</v>
      </c>
      <c r="B29" s="17" t="s">
        <v>677</v>
      </c>
      <c r="C29" s="17" t="s">
        <v>168</v>
      </c>
      <c r="D29" s="17" t="s">
        <v>168</v>
      </c>
      <c r="E29" s="17" t="s">
        <v>203</v>
      </c>
      <c r="F29" s="17" t="s">
        <v>500</v>
      </c>
      <c r="G29" s="17" t="s">
        <v>652</v>
      </c>
      <c r="H29" s="18">
        <v>0.15</v>
      </c>
      <c r="J29" s="17">
        <v>34.55245</v>
      </c>
      <c r="K29" s="17">
        <v>-88.986997000000002</v>
      </c>
      <c r="L29" s="17">
        <v>3461</v>
      </c>
      <c r="M29" s="17" t="s">
        <v>618</v>
      </c>
      <c r="N29" s="17" t="s">
        <v>619</v>
      </c>
      <c r="O29" s="19" t="s">
        <v>620</v>
      </c>
      <c r="R29" s="17" t="s">
        <v>624</v>
      </c>
      <c r="V29" s="19">
        <v>1.2709999999999999</v>
      </c>
      <c r="W29" s="19">
        <v>1.2969999999999999</v>
      </c>
      <c r="X29" s="19">
        <v>4.6660000000000004</v>
      </c>
      <c r="Y29" s="19">
        <v>53.423000000000002</v>
      </c>
      <c r="Z29" s="19">
        <v>427.38099999999997</v>
      </c>
      <c r="AC29" s="17">
        <v>3</v>
      </c>
      <c r="AD29" s="17">
        <v>2.7250703161067098</v>
      </c>
      <c r="AE29" s="17">
        <v>1.21753069075532E-2</v>
      </c>
      <c r="AF29" s="17">
        <v>-1.5002545390433299</v>
      </c>
      <c r="AG29" s="17">
        <v>29.3633725931548</v>
      </c>
      <c r="AH29" s="17">
        <v>3.6757605472636602E-2</v>
      </c>
      <c r="AI29" s="17">
        <v>0.60699596205989903</v>
      </c>
      <c r="AJ29" s="17">
        <v>1.36831832830116E-2</v>
      </c>
      <c r="AK29" s="17">
        <v>2.2017839525711898E-2</v>
      </c>
      <c r="AL29" s="17">
        <v>0.27201423929032598</v>
      </c>
      <c r="AM29" s="17">
        <v>6.0238250732172396E-3</v>
      </c>
      <c r="AN29" s="17">
        <v>9.0131324041094099E-2</v>
      </c>
      <c r="AO29" s="17">
        <v>20.6</v>
      </c>
      <c r="AP29" s="17">
        <v>4.45</v>
      </c>
      <c r="AQ29" s="17">
        <v>13.8</v>
      </c>
      <c r="AR29" s="17">
        <v>28.1</v>
      </c>
      <c r="AS29" s="17">
        <v>7.15</v>
      </c>
      <c r="AT29" s="17">
        <v>-1.8196951352251699E-2</v>
      </c>
      <c r="AU29" s="17">
        <v>0.96571383387623699</v>
      </c>
      <c r="AV29" s="17">
        <v>-1.5072925190774</v>
      </c>
      <c r="AW29" s="17">
        <v>1.5468073843165899</v>
      </c>
      <c r="AX29" s="17">
        <v>1.527049951697</v>
      </c>
    </row>
    <row r="30" spans="1:50" x14ac:dyDescent="0.2">
      <c r="A30" s="15" t="s">
        <v>28</v>
      </c>
      <c r="B30" s="17" t="s">
        <v>677</v>
      </c>
      <c r="C30" s="17" t="s">
        <v>168</v>
      </c>
      <c r="D30" s="17" t="s">
        <v>168</v>
      </c>
      <c r="E30" s="17" t="s">
        <v>203</v>
      </c>
      <c r="F30" s="17" t="s">
        <v>500</v>
      </c>
      <c r="G30" s="17" t="s">
        <v>652</v>
      </c>
      <c r="H30" s="18">
        <v>0.55000000000000004</v>
      </c>
      <c r="J30" s="17">
        <v>34.55245</v>
      </c>
      <c r="K30" s="17">
        <v>-88.986997000000002</v>
      </c>
      <c r="L30" s="17">
        <v>3461</v>
      </c>
      <c r="M30" s="17" t="s">
        <v>618</v>
      </c>
      <c r="N30" s="17" t="s">
        <v>619</v>
      </c>
      <c r="O30" s="19" t="s">
        <v>620</v>
      </c>
      <c r="R30" s="17" t="s">
        <v>624</v>
      </c>
      <c r="V30" s="19">
        <v>1.3009999999999999</v>
      </c>
      <c r="W30" s="19">
        <v>1.36</v>
      </c>
      <c r="X30" s="19">
        <v>4.7619999999999996</v>
      </c>
      <c r="Y30" s="19">
        <v>20.821000000000002</v>
      </c>
      <c r="Z30" s="19">
        <v>127.9</v>
      </c>
      <c r="AC30" s="17">
        <v>4</v>
      </c>
      <c r="AD30" s="17">
        <v>2.2517532637220898</v>
      </c>
      <c r="AE30" s="17">
        <v>8.3491481593705397E-2</v>
      </c>
      <c r="AF30" s="17">
        <v>-1.44123975338452</v>
      </c>
      <c r="AG30" s="17">
        <v>29.424211525838398</v>
      </c>
      <c r="AH30" s="17">
        <v>4.2307851804741801E-2</v>
      </c>
      <c r="AI30" s="17">
        <v>0.57765256920217001</v>
      </c>
      <c r="AJ30" s="17">
        <v>3.6306795535985502E-3</v>
      </c>
      <c r="AK30" s="17">
        <v>1.9068008365715601E-2</v>
      </c>
      <c r="AL30" s="17">
        <v>0.13620766177468199</v>
      </c>
      <c r="AM30" s="17">
        <v>2.8880335165061301E-2</v>
      </c>
      <c r="AN30" s="17">
        <v>7.8056016296314604E-2</v>
      </c>
      <c r="AO30" s="17">
        <v>30.6</v>
      </c>
      <c r="AP30" s="17">
        <v>1.3</v>
      </c>
      <c r="AQ30" s="17">
        <v>24</v>
      </c>
      <c r="AR30" s="17">
        <v>37.700000000000003</v>
      </c>
      <c r="AS30" s="17">
        <v>6.85</v>
      </c>
      <c r="AT30" s="17">
        <v>2.0637298705462399</v>
      </c>
      <c r="AU30" s="17">
        <v>0.29575457097610103</v>
      </c>
      <c r="AV30" s="17">
        <v>0.70234907724079698</v>
      </c>
      <c r="AW30" s="17">
        <v>3.4644612423323902</v>
      </c>
      <c r="AX30" s="17">
        <v>1.3810560825458</v>
      </c>
    </row>
    <row r="31" spans="1:50" x14ac:dyDescent="0.2">
      <c r="A31" s="15" t="s">
        <v>29</v>
      </c>
      <c r="B31" s="17" t="s">
        <v>677</v>
      </c>
      <c r="C31" s="17" t="s">
        <v>168</v>
      </c>
      <c r="D31" s="17" t="s">
        <v>168</v>
      </c>
      <c r="E31" s="17" t="s">
        <v>203</v>
      </c>
      <c r="F31" s="17" t="s">
        <v>500</v>
      </c>
      <c r="G31" s="17" t="s">
        <v>652</v>
      </c>
      <c r="H31" s="18">
        <v>0.55000000000000004</v>
      </c>
      <c r="J31" s="17">
        <v>34.55245</v>
      </c>
      <c r="K31" s="17">
        <v>-88.986997000000002</v>
      </c>
      <c r="L31" s="17">
        <v>3461</v>
      </c>
      <c r="M31" s="17" t="s">
        <v>618</v>
      </c>
      <c r="N31" s="17" t="s">
        <v>619</v>
      </c>
      <c r="O31" s="19" t="s">
        <v>620</v>
      </c>
      <c r="R31" s="17" t="s">
        <v>624</v>
      </c>
      <c r="V31" s="25">
        <v>1.0029999999999999</v>
      </c>
      <c r="W31" s="25">
        <v>2.33</v>
      </c>
      <c r="X31" s="25">
        <v>4.7300000000000004</v>
      </c>
      <c r="Y31" s="25">
        <v>97.804000000000002</v>
      </c>
      <c r="Z31" s="25">
        <v>869.68399999999997</v>
      </c>
      <c r="AC31" s="17">
        <v>4</v>
      </c>
      <c r="AD31" s="17">
        <v>2.3629969199823799</v>
      </c>
      <c r="AE31" s="17">
        <v>6.3451793676617602E-2</v>
      </c>
      <c r="AF31" s="17">
        <v>-1.20777100665472</v>
      </c>
      <c r="AG31" s="17">
        <v>29.6648967915296</v>
      </c>
      <c r="AH31" s="17">
        <v>2.4175890079107198E-2</v>
      </c>
      <c r="AI31" s="17">
        <v>0.59653126150832303</v>
      </c>
      <c r="AJ31" s="17">
        <v>1.09164606993255E-2</v>
      </c>
      <c r="AK31" s="17">
        <v>1.9068008365715601E-2</v>
      </c>
      <c r="AL31" s="17">
        <v>0.235612074989628</v>
      </c>
      <c r="AM31" s="17">
        <v>3.5423963622478002E-2</v>
      </c>
      <c r="AN31" s="17">
        <v>7.8056016296314604E-2</v>
      </c>
      <c r="AO31" s="17">
        <v>24.1</v>
      </c>
      <c r="AP31" s="17">
        <v>3.65</v>
      </c>
      <c r="AQ31" s="17">
        <v>17.899999999999999</v>
      </c>
      <c r="AR31" s="17">
        <v>30.7</v>
      </c>
      <c r="AS31" s="17">
        <v>6.4</v>
      </c>
      <c r="AT31" s="17">
        <v>0.99789049025798704</v>
      </c>
      <c r="AU31" s="17">
        <v>0.76916042720427003</v>
      </c>
      <c r="AV31" s="17">
        <v>-0.31814152939045898</v>
      </c>
      <c r="AW31" s="17">
        <v>2.34113228065576</v>
      </c>
      <c r="AX31" s="17">
        <v>1.32963690502311</v>
      </c>
    </row>
    <row r="32" spans="1:50" x14ac:dyDescent="0.2">
      <c r="A32" s="15" t="s">
        <v>38</v>
      </c>
      <c r="B32" s="17" t="s">
        <v>677</v>
      </c>
      <c r="C32" s="17" t="s">
        <v>168</v>
      </c>
      <c r="D32" s="17" t="s">
        <v>168</v>
      </c>
      <c r="E32" s="17" t="s">
        <v>206</v>
      </c>
      <c r="F32" s="17" t="s">
        <v>500</v>
      </c>
      <c r="G32" s="17" t="s">
        <v>652</v>
      </c>
      <c r="H32" s="18">
        <v>-0.53</v>
      </c>
      <c r="J32" s="17">
        <v>34.55245</v>
      </c>
      <c r="K32" s="17">
        <v>-88.986997000000002</v>
      </c>
      <c r="L32" s="17">
        <v>3461</v>
      </c>
      <c r="M32" s="17" t="s">
        <v>608</v>
      </c>
      <c r="N32" s="17" t="s">
        <v>614</v>
      </c>
      <c r="O32" s="19" t="s">
        <v>621</v>
      </c>
      <c r="S32" s="19">
        <v>0</v>
      </c>
      <c r="T32" s="19">
        <v>1</v>
      </c>
      <c r="U32" s="19" t="s">
        <v>637</v>
      </c>
      <c r="V32" s="19">
        <v>1.3560000000000001</v>
      </c>
      <c r="W32" s="19">
        <v>1.101</v>
      </c>
      <c r="X32" s="19">
        <v>3.5659999999999998</v>
      </c>
      <c r="Y32" s="19">
        <v>27.875</v>
      </c>
      <c r="Z32" s="19">
        <v>309.13799999999998</v>
      </c>
      <c r="AC32" s="17">
        <v>3</v>
      </c>
      <c r="AD32" s="17">
        <v>1.0521728254559699</v>
      </c>
      <c r="AE32" s="17">
        <v>1.5775779213915101E-2</v>
      </c>
      <c r="AF32" s="17">
        <v>-0.12915069498414899</v>
      </c>
      <c r="AG32" s="17">
        <v>30.7768572570339</v>
      </c>
      <c r="AH32" s="17">
        <v>8.7048694781580602E-2</v>
      </c>
      <c r="AI32" s="17">
        <v>0.59324583346743398</v>
      </c>
      <c r="AJ32" s="17">
        <v>7.0870742650350604E-3</v>
      </c>
      <c r="AK32" s="17">
        <v>2.2017839525711898E-2</v>
      </c>
      <c r="AL32" s="17">
        <v>0.23808056691625901</v>
      </c>
      <c r="AM32" s="17">
        <v>1.39345448593885E-2</v>
      </c>
      <c r="AN32" s="17">
        <v>9.0131324041094099E-2</v>
      </c>
      <c r="AO32" s="17">
        <v>25.2</v>
      </c>
      <c r="AP32" s="17">
        <v>2.4</v>
      </c>
      <c r="AQ32" s="17">
        <v>18</v>
      </c>
      <c r="AR32" s="17">
        <v>33</v>
      </c>
      <c r="AS32" s="17">
        <v>7.5</v>
      </c>
      <c r="AT32" s="17">
        <v>1.5242959885413301</v>
      </c>
      <c r="AU32" s="17">
        <v>0.56743063545860695</v>
      </c>
      <c r="AV32" s="17">
        <v>-4.3347411326976698E-2</v>
      </c>
      <c r="AW32" s="17">
        <v>3.1393681089301699</v>
      </c>
      <c r="AX32" s="17">
        <v>1.59135776012857</v>
      </c>
    </row>
    <row r="33" spans="1:50" x14ac:dyDescent="0.2">
      <c r="A33" s="15" t="s">
        <v>39</v>
      </c>
      <c r="B33" s="17" t="s">
        <v>677</v>
      </c>
      <c r="C33" s="17" t="s">
        <v>168</v>
      </c>
      <c r="D33" s="17" t="s">
        <v>168</v>
      </c>
      <c r="E33" s="17" t="s">
        <v>206</v>
      </c>
      <c r="F33" s="17" t="s">
        <v>500</v>
      </c>
      <c r="G33" s="17" t="s">
        <v>652</v>
      </c>
      <c r="H33" s="18">
        <v>-0.4</v>
      </c>
      <c r="J33" s="17">
        <v>34.55245</v>
      </c>
      <c r="K33" s="17">
        <v>-88.986997000000002</v>
      </c>
      <c r="L33" s="17">
        <v>3461</v>
      </c>
      <c r="M33" s="17" t="s">
        <v>608</v>
      </c>
      <c r="N33" s="17" t="s">
        <v>614</v>
      </c>
      <c r="O33" s="19" t="s">
        <v>621</v>
      </c>
      <c r="S33" s="19">
        <v>0</v>
      </c>
      <c r="T33" s="19">
        <v>0</v>
      </c>
      <c r="U33" s="19" t="s">
        <v>637</v>
      </c>
      <c r="V33" s="19">
        <v>1.2969999999999999</v>
      </c>
      <c r="W33" s="19">
        <v>0.99099999999999999</v>
      </c>
      <c r="X33" s="19">
        <v>3.423</v>
      </c>
      <c r="Y33" s="19">
        <v>19.456</v>
      </c>
      <c r="Z33" s="19">
        <v>189.934</v>
      </c>
      <c r="AC33" s="17">
        <v>3</v>
      </c>
      <c r="AD33" s="17">
        <v>2.6902420426993201</v>
      </c>
      <c r="AE33" s="17">
        <v>2.5162183492125401E-2</v>
      </c>
      <c r="AF33" s="17">
        <v>-0.52347844577921299</v>
      </c>
      <c r="AG33" s="17">
        <v>30.3703408354618</v>
      </c>
      <c r="AH33" s="17">
        <v>3.5729098183484097E-2</v>
      </c>
      <c r="AI33" s="17">
        <v>0.57987325581361404</v>
      </c>
      <c r="AJ33" s="17">
        <v>1.64018585393352E-2</v>
      </c>
      <c r="AK33" s="17">
        <v>2.2017839525711898E-2</v>
      </c>
      <c r="AL33" s="17">
        <v>0.211500749098712</v>
      </c>
      <c r="AM33" s="17">
        <v>3.38506778611323E-2</v>
      </c>
      <c r="AN33" s="17">
        <v>9.0131324041094099E-2</v>
      </c>
      <c r="AO33" s="17">
        <v>29.9</v>
      </c>
      <c r="AP33" s="17">
        <v>5.85</v>
      </c>
      <c r="AQ33" s="17">
        <v>22.3</v>
      </c>
      <c r="AR33" s="17">
        <v>38</v>
      </c>
      <c r="AS33" s="17">
        <v>7.85</v>
      </c>
      <c r="AT33" s="17">
        <v>2.84720462001314</v>
      </c>
      <c r="AU33" s="17">
        <v>1.1869268424944199</v>
      </c>
      <c r="AV33" s="17">
        <v>1.2788780771616099</v>
      </c>
      <c r="AW33" s="17">
        <v>4.4364511042805397</v>
      </c>
      <c r="AX33" s="17">
        <v>1.5787865135594601</v>
      </c>
    </row>
    <row r="34" spans="1:50" x14ac:dyDescent="0.2">
      <c r="A34" s="15" t="s">
        <v>40</v>
      </c>
      <c r="B34" s="17" t="s">
        <v>677</v>
      </c>
      <c r="C34" s="17" t="s">
        <v>168</v>
      </c>
      <c r="D34" s="17" t="s">
        <v>168</v>
      </c>
      <c r="E34" s="17" t="s">
        <v>203</v>
      </c>
      <c r="F34" s="17" t="s">
        <v>500</v>
      </c>
      <c r="G34" s="17" t="s">
        <v>652</v>
      </c>
      <c r="H34" s="18">
        <v>-0.37</v>
      </c>
      <c r="J34" s="17">
        <v>34.55245</v>
      </c>
      <c r="K34" s="17">
        <v>-88.986997000000002</v>
      </c>
      <c r="L34" s="17">
        <v>3461</v>
      </c>
      <c r="M34" s="17" t="s">
        <v>608</v>
      </c>
      <c r="N34" s="17" t="s">
        <v>614</v>
      </c>
      <c r="O34" s="19" t="s">
        <v>621</v>
      </c>
      <c r="S34" s="19">
        <v>0</v>
      </c>
      <c r="T34" s="19">
        <v>0</v>
      </c>
      <c r="U34" s="19" t="s">
        <v>637</v>
      </c>
      <c r="V34" s="19">
        <v>1.3080000000000001</v>
      </c>
      <c r="W34" s="19">
        <v>1.079</v>
      </c>
      <c r="X34" s="19">
        <v>4.1619999999999999</v>
      </c>
      <c r="Y34" s="19">
        <v>48.389000000000003</v>
      </c>
      <c r="Z34" s="19">
        <v>266.67599999999999</v>
      </c>
      <c r="AC34" s="17">
        <v>3</v>
      </c>
      <c r="AD34" s="17">
        <v>-5.6575822066887004E-3</v>
      </c>
      <c r="AE34" s="17">
        <v>3.9126861547246303E-2</v>
      </c>
      <c r="AF34" s="17">
        <v>-2.7108499626478801</v>
      </c>
      <c r="AG34" s="17">
        <v>28.115357665006702</v>
      </c>
      <c r="AH34" s="17">
        <v>1.9199959005480698E-2</v>
      </c>
      <c r="AI34" s="17">
        <v>0.59010427343484595</v>
      </c>
      <c r="AJ34" s="17">
        <v>1.02102818842902E-2</v>
      </c>
      <c r="AK34" s="17">
        <v>2.2017839525711898E-2</v>
      </c>
      <c r="AL34" s="17">
        <v>0.25828229383894602</v>
      </c>
      <c r="AM34" s="17">
        <v>2.9357671315907E-2</v>
      </c>
      <c r="AN34" s="17">
        <v>9.0131324041094099E-2</v>
      </c>
      <c r="AO34" s="17">
        <v>26.3</v>
      </c>
      <c r="AP34" s="17">
        <v>3.5</v>
      </c>
      <c r="AQ34" s="17">
        <v>19</v>
      </c>
      <c r="AR34" s="17">
        <v>34.1</v>
      </c>
      <c r="AS34" s="17">
        <v>7.55</v>
      </c>
      <c r="AT34" s="17">
        <v>-0.84173653299467299</v>
      </c>
      <c r="AU34" s="17">
        <v>0.71605115797433405</v>
      </c>
      <c r="AV34" s="17">
        <v>-2.34997081977588</v>
      </c>
      <c r="AW34" s="17">
        <v>0.69263748354921995</v>
      </c>
      <c r="AX34" s="17">
        <v>1.5213041516625501</v>
      </c>
    </row>
    <row r="35" spans="1:50" x14ac:dyDescent="0.2">
      <c r="A35" s="15" t="s">
        <v>41</v>
      </c>
      <c r="B35" s="17" t="s">
        <v>676</v>
      </c>
      <c r="C35" s="17" t="s">
        <v>168</v>
      </c>
      <c r="D35" s="17" t="s">
        <v>168</v>
      </c>
      <c r="E35" s="17" t="s">
        <v>203</v>
      </c>
      <c r="F35" s="17" t="s">
        <v>500</v>
      </c>
      <c r="G35" s="17" t="s">
        <v>652</v>
      </c>
      <c r="H35" s="18">
        <v>-0.35</v>
      </c>
      <c r="J35" s="17">
        <v>34.55245</v>
      </c>
      <c r="K35" s="17">
        <v>-88.986997000000002</v>
      </c>
      <c r="L35" s="17">
        <v>3461</v>
      </c>
      <c r="M35" s="17" t="s">
        <v>608</v>
      </c>
      <c r="N35" s="17" t="s">
        <v>614</v>
      </c>
      <c r="O35" s="19" t="s">
        <v>621</v>
      </c>
      <c r="S35" s="19">
        <v>0</v>
      </c>
      <c r="T35" s="19">
        <v>0</v>
      </c>
      <c r="U35" s="19" t="s">
        <v>637</v>
      </c>
      <c r="V35" s="19">
        <v>0.96699999999999997</v>
      </c>
      <c r="W35" s="19">
        <v>1.6990000000000001</v>
      </c>
      <c r="X35" s="19">
        <v>4.99</v>
      </c>
      <c r="Y35" s="19">
        <v>185.35</v>
      </c>
      <c r="Z35" s="19">
        <v>1466.183</v>
      </c>
      <c r="AC35" s="17">
        <v>5</v>
      </c>
      <c r="AD35" s="17">
        <v>1.80385913857941</v>
      </c>
      <c r="AE35" s="17">
        <v>0.36680624402945</v>
      </c>
      <c r="AF35" s="17">
        <v>-2.9434733713034098</v>
      </c>
      <c r="AG35" s="17">
        <v>27.875543866789599</v>
      </c>
      <c r="AH35" s="17">
        <v>0.46318513751481799</v>
      </c>
      <c r="AI35" s="17">
        <v>0.59766206863986704</v>
      </c>
      <c r="AJ35" s="17">
        <v>1.26798518331798E-2</v>
      </c>
      <c r="AK35" s="17">
        <v>1.7054945160509899E-2</v>
      </c>
      <c r="AL35" s="17">
        <v>0.13968908341043601</v>
      </c>
      <c r="AM35" s="17">
        <v>5.1121752622735002E-2</v>
      </c>
      <c r="AN35" s="17">
        <v>6.9815423396556303E-2</v>
      </c>
      <c r="AO35" s="17">
        <v>23.7</v>
      </c>
      <c r="AP35" s="17">
        <v>4.25</v>
      </c>
      <c r="AQ35" s="17">
        <v>18.2</v>
      </c>
      <c r="AR35" s="17">
        <v>29.6</v>
      </c>
      <c r="AS35" s="17">
        <v>5.7</v>
      </c>
      <c r="AT35" s="17">
        <v>-0.82331380116636399</v>
      </c>
      <c r="AU35" s="17">
        <v>1.3192808143735399</v>
      </c>
      <c r="AV35" s="17">
        <v>-2.41803528167463</v>
      </c>
      <c r="AW35" s="17">
        <v>0.81085671702237505</v>
      </c>
      <c r="AX35" s="17">
        <v>1.6144459993485001</v>
      </c>
    </row>
    <row r="36" spans="1:50" x14ac:dyDescent="0.2">
      <c r="A36" s="15" t="s">
        <v>42</v>
      </c>
      <c r="B36" s="17" t="s">
        <v>677</v>
      </c>
      <c r="C36" s="17" t="s">
        <v>168</v>
      </c>
      <c r="D36" s="17" t="s">
        <v>168</v>
      </c>
      <c r="E36" s="17" t="s">
        <v>203</v>
      </c>
      <c r="F36" s="17" t="s">
        <v>500</v>
      </c>
      <c r="G36" s="17" t="s">
        <v>652</v>
      </c>
      <c r="H36" s="18">
        <v>-0.3</v>
      </c>
      <c r="J36" s="17">
        <v>34.55245</v>
      </c>
      <c r="K36" s="17">
        <v>-88.986997000000002</v>
      </c>
      <c r="L36" s="17">
        <v>3461</v>
      </c>
      <c r="M36" s="17" t="s">
        <v>608</v>
      </c>
      <c r="N36" s="17" t="s">
        <v>614</v>
      </c>
      <c r="O36" s="19" t="s">
        <v>621</v>
      </c>
      <c r="S36" s="19">
        <v>0</v>
      </c>
      <c r="T36" s="19">
        <v>1</v>
      </c>
      <c r="U36" s="19" t="s">
        <v>637</v>
      </c>
      <c r="AC36" s="17">
        <v>3</v>
      </c>
      <c r="AD36" s="17">
        <v>1.83234979818121</v>
      </c>
      <c r="AE36" s="17">
        <v>4.6465821678274698E-2</v>
      </c>
      <c r="AF36" s="17">
        <v>-2.9929574883279102</v>
      </c>
      <c r="AG36" s="17">
        <v>27.824530195707901</v>
      </c>
      <c r="AH36" s="17">
        <v>2.7895586864727501E-2</v>
      </c>
      <c r="AI36" s="17">
        <v>0.57760258018543598</v>
      </c>
      <c r="AJ36" s="17">
        <v>1.4714259511025399E-2</v>
      </c>
      <c r="AK36" s="17">
        <v>2.2017839525711898E-2</v>
      </c>
      <c r="AL36" s="17">
        <v>0.241882589172257</v>
      </c>
      <c r="AM36" s="17">
        <v>2.7573823603646901E-2</v>
      </c>
      <c r="AN36" s="17">
        <v>9.0131324041094099E-2</v>
      </c>
      <c r="AO36" s="17">
        <v>30.7</v>
      </c>
      <c r="AP36" s="17">
        <v>5.3</v>
      </c>
      <c r="AQ36" s="17">
        <v>23.1</v>
      </c>
      <c r="AR36" s="17">
        <v>38.9</v>
      </c>
      <c r="AS36" s="17">
        <v>7.9</v>
      </c>
      <c r="AT36" s="17">
        <v>0.52611095423151299</v>
      </c>
      <c r="AU36" s="17">
        <v>1.06302583270082</v>
      </c>
      <c r="AV36" s="17">
        <v>-1.0229147525350299</v>
      </c>
      <c r="AW36" s="17">
        <v>2.11463267954093</v>
      </c>
      <c r="AX36" s="17">
        <v>1.56877371603798</v>
      </c>
    </row>
    <row r="37" spans="1:50" x14ac:dyDescent="0.2">
      <c r="A37" s="15" t="s">
        <v>43</v>
      </c>
      <c r="B37" s="17" t="s">
        <v>677</v>
      </c>
      <c r="C37" s="17" t="s">
        <v>168</v>
      </c>
      <c r="D37" s="17" t="s">
        <v>168</v>
      </c>
      <c r="E37" s="17" t="s">
        <v>203</v>
      </c>
      <c r="F37" s="17" t="s">
        <v>500</v>
      </c>
      <c r="G37" s="17" t="s">
        <v>652</v>
      </c>
      <c r="H37" s="18">
        <v>-0.22</v>
      </c>
      <c r="J37" s="17">
        <v>34.55245</v>
      </c>
      <c r="K37" s="17">
        <v>-88.986997000000002</v>
      </c>
      <c r="L37" s="17">
        <v>3461</v>
      </c>
      <c r="M37" s="17" t="s">
        <v>608</v>
      </c>
      <c r="N37" s="17" t="s">
        <v>614</v>
      </c>
      <c r="O37" s="19" t="s">
        <v>621</v>
      </c>
      <c r="V37" s="19">
        <v>1.399</v>
      </c>
      <c r="W37" s="19">
        <v>1.22</v>
      </c>
      <c r="X37" s="19">
        <v>4.8319999999999999</v>
      </c>
      <c r="Y37" s="19">
        <v>48.844999999999999</v>
      </c>
      <c r="Z37" s="19">
        <v>994.99199999999996</v>
      </c>
      <c r="AC37" s="17">
        <v>3</v>
      </c>
      <c r="AD37" s="17">
        <v>1.81026214278813</v>
      </c>
      <c r="AE37" s="17">
        <v>1.1635648305866801E-2</v>
      </c>
      <c r="AF37" s="17">
        <v>-2.0212993714749201</v>
      </c>
      <c r="AG37" s="17">
        <v>28.826222264952801</v>
      </c>
      <c r="AH37" s="17">
        <v>4.5369583258343997E-2</v>
      </c>
      <c r="AI37" s="17">
        <v>0.59668172361905902</v>
      </c>
      <c r="AJ37" s="17">
        <v>1.90793736353763E-2</v>
      </c>
      <c r="AK37" s="17">
        <v>2.2017839525711898E-2</v>
      </c>
      <c r="AL37" s="17">
        <v>0.174154829000011</v>
      </c>
      <c r="AM37" s="17">
        <v>4.9086023360836097E-2</v>
      </c>
      <c r="AN37" s="17">
        <v>9.0131324041094099E-2</v>
      </c>
      <c r="AO37" s="17">
        <v>24</v>
      </c>
      <c r="AP37" s="17">
        <v>6.45</v>
      </c>
      <c r="AQ37" s="17">
        <v>16.899999999999999</v>
      </c>
      <c r="AR37" s="17">
        <v>31.7</v>
      </c>
      <c r="AS37" s="17">
        <v>7.4</v>
      </c>
      <c r="AT37" s="17">
        <v>0.16214947841263</v>
      </c>
      <c r="AU37" s="17">
        <v>1.3619566887976999</v>
      </c>
      <c r="AV37" s="17">
        <v>-1.36629900619641</v>
      </c>
      <c r="AW37" s="17">
        <v>1.74033119013893</v>
      </c>
      <c r="AX37" s="17">
        <v>1.55331509816767</v>
      </c>
    </row>
    <row r="38" spans="1:50" x14ac:dyDescent="0.2">
      <c r="A38" s="15" t="s">
        <v>44</v>
      </c>
      <c r="B38" s="17" t="s">
        <v>677</v>
      </c>
      <c r="C38" s="17" t="s">
        <v>168</v>
      </c>
      <c r="D38" s="17" t="s">
        <v>168</v>
      </c>
      <c r="E38" s="17" t="s">
        <v>206</v>
      </c>
      <c r="F38" s="17" t="s">
        <v>500</v>
      </c>
      <c r="G38" s="17" t="s">
        <v>652</v>
      </c>
      <c r="H38" s="18">
        <v>-0.2</v>
      </c>
      <c r="J38" s="17">
        <v>34.55245</v>
      </c>
      <c r="K38" s="17">
        <v>-88.986997000000002</v>
      </c>
      <c r="L38" s="17">
        <v>3461</v>
      </c>
      <c r="M38" s="17" t="s">
        <v>608</v>
      </c>
      <c r="N38" s="17" t="s">
        <v>614</v>
      </c>
      <c r="O38" s="19" t="s">
        <v>621</v>
      </c>
      <c r="V38" s="19">
        <v>1.2629999999999999</v>
      </c>
      <c r="W38" s="19">
        <v>1.917</v>
      </c>
      <c r="X38" s="19">
        <v>4.0259999999999998</v>
      </c>
      <c r="Y38" s="19">
        <v>41.091000000000001</v>
      </c>
      <c r="Z38" s="19">
        <v>305.47300000000001</v>
      </c>
      <c r="AC38" s="17">
        <v>3</v>
      </c>
      <c r="AD38" s="17">
        <v>2.8674144112842299</v>
      </c>
      <c r="AE38" s="17">
        <v>9.26216860808078E-2</v>
      </c>
      <c r="AF38" s="17">
        <v>-0.52543645934583105</v>
      </c>
      <c r="AG38" s="17">
        <v>30.368322299695802</v>
      </c>
      <c r="AH38" s="17">
        <v>0.123540911253364</v>
      </c>
      <c r="AI38" s="17">
        <v>0.60706890671612201</v>
      </c>
      <c r="AJ38" s="17">
        <v>3.1842769375523801E-3</v>
      </c>
      <c r="AK38" s="17">
        <v>2.2017839525711898E-2</v>
      </c>
      <c r="AL38" s="17">
        <v>0.24595228197086999</v>
      </c>
      <c r="AM38" s="17">
        <v>2.9113992963258499E-2</v>
      </c>
      <c r="AN38" s="17">
        <v>9.0131324041094099E-2</v>
      </c>
      <c r="AO38" s="17">
        <v>20.6</v>
      </c>
      <c r="AP38" s="17">
        <v>1.05</v>
      </c>
      <c r="AQ38" s="17">
        <v>13.7</v>
      </c>
      <c r="AR38" s="17">
        <v>28</v>
      </c>
      <c r="AS38" s="17">
        <v>7.15</v>
      </c>
      <c r="AT38" s="17">
        <v>0.95806803560617504</v>
      </c>
      <c r="AU38" s="17">
        <v>0.33962365761772201</v>
      </c>
      <c r="AV38" s="17">
        <v>-0.63852099405835405</v>
      </c>
      <c r="AW38" s="17">
        <v>2.5890748049100698</v>
      </c>
      <c r="AX38" s="17">
        <v>1.6137978994842099</v>
      </c>
    </row>
    <row r="39" spans="1:50" x14ac:dyDescent="0.2">
      <c r="A39" s="15" t="s">
        <v>659</v>
      </c>
      <c r="B39" s="17" t="s">
        <v>676</v>
      </c>
      <c r="C39" s="17" t="s">
        <v>168</v>
      </c>
      <c r="D39" s="17" t="s">
        <v>168</v>
      </c>
      <c r="E39" s="17" t="s">
        <v>211</v>
      </c>
      <c r="F39" s="17" t="s">
        <v>670</v>
      </c>
      <c r="G39" s="17" t="s">
        <v>652</v>
      </c>
      <c r="H39" s="18">
        <v>-0.15</v>
      </c>
      <c r="J39" s="17">
        <v>34.55245</v>
      </c>
      <c r="K39" s="17">
        <v>-88.986997000000002</v>
      </c>
      <c r="L39" s="17">
        <v>3461</v>
      </c>
      <c r="M39" s="17" t="s">
        <v>608</v>
      </c>
      <c r="N39" s="17" t="s">
        <v>614</v>
      </c>
      <c r="O39" s="19" t="s">
        <v>621</v>
      </c>
      <c r="V39" s="19">
        <v>6.898943427189046</v>
      </c>
      <c r="W39" s="19">
        <v>0.72049408661389958</v>
      </c>
      <c r="X39" s="19">
        <v>53.331059763978473</v>
      </c>
      <c r="Y39" s="19">
        <v>994.84055870388829</v>
      </c>
      <c r="Z39" s="19">
        <v>1006.2645229245765</v>
      </c>
      <c r="AC39" s="17">
        <v>3</v>
      </c>
      <c r="AD39" s="17">
        <v>2.1474441239178099</v>
      </c>
      <c r="AE39" s="17">
        <v>4.9588969196705197E-2</v>
      </c>
      <c r="AF39" s="17">
        <v>-0.76543380076233802</v>
      </c>
      <c r="AG39" s="17">
        <v>30.120906640456099</v>
      </c>
      <c r="AH39" s="17">
        <v>0.110980156905196</v>
      </c>
      <c r="AI39" s="17">
        <v>0.59872933069406398</v>
      </c>
      <c r="AJ39" s="17">
        <v>5.2605282576669004E-3</v>
      </c>
      <c r="AK39" s="17">
        <v>2.2017839525711898E-2</v>
      </c>
      <c r="AL39" s="17">
        <v>0.21283815309071399</v>
      </c>
      <c r="AM39" s="17">
        <v>4.01606150328098E-2</v>
      </c>
      <c r="AN39" s="17">
        <v>9.0131324041094099E-2</v>
      </c>
      <c r="AO39" s="17">
        <v>23.4</v>
      </c>
      <c r="AP39" s="17">
        <v>1.75</v>
      </c>
      <c r="AQ39" s="17">
        <v>16.3</v>
      </c>
      <c r="AR39" s="17">
        <v>31</v>
      </c>
      <c r="AS39" s="17">
        <v>7.35</v>
      </c>
      <c r="AT39" s="17">
        <v>1.29783120225534</v>
      </c>
      <c r="AU39" s="17">
        <v>0.46714009135752099</v>
      </c>
      <c r="AV39" s="17">
        <v>-0.30206585622920601</v>
      </c>
      <c r="AW39" s="17">
        <v>2.9282280789401498</v>
      </c>
      <c r="AX39" s="17">
        <v>1.6151469675846799</v>
      </c>
    </row>
    <row r="40" spans="1:50" x14ac:dyDescent="0.2">
      <c r="A40" s="15" t="s">
        <v>45</v>
      </c>
      <c r="B40" s="17" t="s">
        <v>677</v>
      </c>
      <c r="C40" s="17" t="s">
        <v>168</v>
      </c>
      <c r="D40" s="17" t="s">
        <v>168</v>
      </c>
      <c r="E40" s="17" t="s">
        <v>203</v>
      </c>
      <c r="F40" s="17" t="s">
        <v>500</v>
      </c>
      <c r="G40" s="17" t="s">
        <v>652</v>
      </c>
      <c r="H40" s="18">
        <v>-0.06</v>
      </c>
      <c r="J40" s="17">
        <v>34.55245</v>
      </c>
      <c r="K40" s="17">
        <v>-88.986997000000002</v>
      </c>
      <c r="L40" s="17">
        <v>3461</v>
      </c>
      <c r="M40" s="17" t="s">
        <v>608</v>
      </c>
      <c r="N40" s="17" t="s">
        <v>614</v>
      </c>
      <c r="O40" s="19" t="s">
        <v>621</v>
      </c>
      <c r="S40" s="19">
        <v>0</v>
      </c>
      <c r="T40" s="19">
        <v>0</v>
      </c>
      <c r="U40" s="19" t="s">
        <v>637</v>
      </c>
      <c r="V40" s="19">
        <v>1.387</v>
      </c>
      <c r="W40" s="19">
        <v>1.395</v>
      </c>
      <c r="X40" s="19">
        <v>4.9089999999999998</v>
      </c>
      <c r="Y40" s="19">
        <v>60.789000000000001</v>
      </c>
      <c r="Z40" s="19">
        <v>468.73899999999998</v>
      </c>
      <c r="AC40" s="17">
        <v>3</v>
      </c>
      <c r="AD40" s="17">
        <v>0.61685716827623904</v>
      </c>
      <c r="AE40" s="17">
        <v>2.36568547913278E-2</v>
      </c>
      <c r="AF40" s="17">
        <v>-2.5154102816695199</v>
      </c>
      <c r="AG40" s="17">
        <v>28.3168383865241</v>
      </c>
      <c r="AH40" s="17">
        <v>3.6461732960854802E-2</v>
      </c>
      <c r="AI40" s="17">
        <v>0.57435731605429896</v>
      </c>
      <c r="AJ40" s="17">
        <v>1.12446262134062E-2</v>
      </c>
      <c r="AK40" s="17">
        <v>2.2017839525711898E-2</v>
      </c>
      <c r="AL40" s="17">
        <v>0.26192784223347498</v>
      </c>
      <c r="AM40" s="17">
        <v>7.7923029651770601E-2</v>
      </c>
      <c r="AN40" s="17">
        <v>9.0131324041094099E-2</v>
      </c>
      <c r="AO40" s="17">
        <v>31.8</v>
      </c>
      <c r="AP40" s="17">
        <v>4.0999999999999996</v>
      </c>
      <c r="AQ40" s="17">
        <v>24.1</v>
      </c>
      <c r="AR40" s="17">
        <v>40.200000000000003</v>
      </c>
      <c r="AS40" s="17">
        <v>8.0500000000000007</v>
      </c>
      <c r="AT40" s="17">
        <v>1.2196246009954199</v>
      </c>
      <c r="AU40" s="17">
        <v>0.83152348748672</v>
      </c>
      <c r="AV40" s="17">
        <v>-0.34808308013759898</v>
      </c>
      <c r="AW40" s="17">
        <v>2.8433271770750301</v>
      </c>
      <c r="AX40" s="17">
        <v>1.59570512860631</v>
      </c>
    </row>
    <row r="41" spans="1:50" x14ac:dyDescent="0.2">
      <c r="A41" s="15" t="s">
        <v>46</v>
      </c>
      <c r="B41" s="17" t="s">
        <v>677</v>
      </c>
      <c r="C41" s="17" t="s">
        <v>168</v>
      </c>
      <c r="D41" s="17" t="s">
        <v>168</v>
      </c>
      <c r="E41" s="17" t="s">
        <v>203</v>
      </c>
      <c r="F41" s="17" t="s">
        <v>500</v>
      </c>
      <c r="G41" s="17" t="s">
        <v>652</v>
      </c>
      <c r="H41" s="18">
        <v>0</v>
      </c>
      <c r="J41" s="17">
        <v>34.55245</v>
      </c>
      <c r="K41" s="17">
        <v>-88.986997000000002</v>
      </c>
      <c r="L41" s="17">
        <v>3461</v>
      </c>
      <c r="M41" s="17" t="s">
        <v>608</v>
      </c>
      <c r="N41" s="17" t="s">
        <v>614</v>
      </c>
      <c r="O41" s="19" t="s">
        <v>621</v>
      </c>
      <c r="S41" s="19">
        <v>0</v>
      </c>
      <c r="T41" s="19">
        <v>1</v>
      </c>
      <c r="U41" s="19" t="s">
        <v>637</v>
      </c>
      <c r="V41" s="19">
        <v>1.34</v>
      </c>
      <c r="W41" s="19">
        <v>1.0289999999999999</v>
      </c>
      <c r="X41" s="19">
        <v>5.8959999999999999</v>
      </c>
      <c r="Y41" s="19">
        <v>23.475000000000001</v>
      </c>
      <c r="Z41" s="19">
        <v>95.423000000000002</v>
      </c>
      <c r="AC41" s="17">
        <v>3</v>
      </c>
      <c r="AD41" s="17">
        <v>2.16274076657563</v>
      </c>
      <c r="AE41" s="17">
        <v>1.7756784940755201E-2</v>
      </c>
      <c r="AF41" s="17">
        <v>-0.94589247377694896</v>
      </c>
      <c r="AG41" s="17">
        <v>29.934869989858601</v>
      </c>
      <c r="AH41" s="17">
        <v>1.38816855274571E-2</v>
      </c>
      <c r="AI41" s="17">
        <v>0.59709498565698604</v>
      </c>
      <c r="AJ41" s="17">
        <v>8.3772418221846404E-3</v>
      </c>
      <c r="AK41" s="17">
        <v>2.2017839525711898E-2</v>
      </c>
      <c r="AL41" s="17">
        <v>0.20894714149157201</v>
      </c>
      <c r="AM41" s="17">
        <v>1.28473220871254E-2</v>
      </c>
      <c r="AN41" s="17">
        <v>9.0131324041094099E-2</v>
      </c>
      <c r="AO41" s="17">
        <v>23.9</v>
      </c>
      <c r="AP41" s="17">
        <v>2.85</v>
      </c>
      <c r="AQ41" s="17">
        <v>16.8</v>
      </c>
      <c r="AR41" s="17">
        <v>31.6</v>
      </c>
      <c r="AS41" s="17">
        <v>7.4</v>
      </c>
      <c r="AT41" s="17">
        <v>1.21945777565361</v>
      </c>
      <c r="AU41" s="17">
        <v>0.59660168260501201</v>
      </c>
      <c r="AV41" s="17">
        <v>-0.28100661851408398</v>
      </c>
      <c r="AW41" s="17">
        <v>2.7696251289155498</v>
      </c>
      <c r="AX41" s="17">
        <v>1.52531587371482</v>
      </c>
    </row>
    <row r="42" spans="1:50" x14ac:dyDescent="0.2">
      <c r="A42" s="15" t="s">
        <v>662</v>
      </c>
      <c r="B42" s="17" t="s">
        <v>676</v>
      </c>
      <c r="C42" s="17" t="s">
        <v>168</v>
      </c>
      <c r="D42" s="17" t="s">
        <v>168</v>
      </c>
      <c r="E42" s="17" t="s">
        <v>203</v>
      </c>
      <c r="F42" s="17" t="s">
        <v>500</v>
      </c>
      <c r="G42" s="17" t="s">
        <v>652</v>
      </c>
      <c r="H42" s="18" t="s">
        <v>198</v>
      </c>
      <c r="J42" s="17">
        <v>34.55245</v>
      </c>
      <c r="K42" s="17">
        <v>-88.986997000000002</v>
      </c>
      <c r="L42" s="17">
        <v>3461</v>
      </c>
      <c r="M42" s="17" t="s">
        <v>608</v>
      </c>
      <c r="N42" s="17" t="s">
        <v>614</v>
      </c>
      <c r="O42" s="19" t="s">
        <v>621</v>
      </c>
      <c r="V42" s="25">
        <v>1.2</v>
      </c>
      <c r="W42" s="25">
        <v>1.3640000000000001</v>
      </c>
      <c r="X42" s="25">
        <v>6.0369999999999999</v>
      </c>
      <c r="Y42" s="25">
        <v>418.86099999999999</v>
      </c>
      <c r="Z42" s="25">
        <v>3282.1439999999998</v>
      </c>
      <c r="AC42" s="17">
        <v>3</v>
      </c>
      <c r="AD42" s="17">
        <v>1.23830936405616</v>
      </c>
      <c r="AE42" s="17">
        <v>3.5207105266340501E-2</v>
      </c>
      <c r="AF42" s="17">
        <v>-1.0849476143347401</v>
      </c>
      <c r="AG42" s="17">
        <v>29.7915166549062</v>
      </c>
      <c r="AH42" s="17">
        <v>9.2990936108343997E-2</v>
      </c>
      <c r="AI42" s="17">
        <v>0.590469887495778</v>
      </c>
      <c r="AJ42" s="17">
        <v>5.8409536036034696E-3</v>
      </c>
      <c r="AK42" s="17">
        <v>2.2017839525711898E-2</v>
      </c>
      <c r="AL42" s="17">
        <v>0.17704684157720799</v>
      </c>
      <c r="AM42" s="17">
        <v>2.9956021940847399E-2</v>
      </c>
      <c r="AN42" s="17">
        <v>9.0131324041094099E-2</v>
      </c>
      <c r="AO42" s="17">
        <v>26.2</v>
      </c>
      <c r="AP42" s="17">
        <v>2</v>
      </c>
      <c r="AQ42" s="17">
        <v>18.899999999999999</v>
      </c>
      <c r="AR42" s="17">
        <v>34</v>
      </c>
      <c r="AS42" s="17">
        <v>7.55</v>
      </c>
      <c r="AT42" s="17">
        <v>1.5470667986281801</v>
      </c>
      <c r="AU42" s="17">
        <v>0.49348822478708598</v>
      </c>
      <c r="AV42" s="17">
        <v>-4.9936940441739401E-2</v>
      </c>
      <c r="AW42" s="17">
        <v>3.1707231015666402</v>
      </c>
      <c r="AX42" s="17">
        <v>1.61033002100419</v>
      </c>
    </row>
    <row r="43" spans="1:50" x14ac:dyDescent="0.2">
      <c r="A43" s="15" t="s">
        <v>30</v>
      </c>
      <c r="B43" s="17" t="s">
        <v>677</v>
      </c>
      <c r="C43" s="17" t="s">
        <v>168</v>
      </c>
      <c r="D43" s="17" t="s">
        <v>168</v>
      </c>
      <c r="E43" s="17" t="s">
        <v>206</v>
      </c>
      <c r="F43" s="17" t="s">
        <v>500</v>
      </c>
      <c r="G43" s="17" t="s">
        <v>652</v>
      </c>
      <c r="H43" s="18">
        <v>-1</v>
      </c>
      <c r="J43" s="17">
        <v>34.55245</v>
      </c>
      <c r="K43" s="17">
        <v>-88.986997000000002</v>
      </c>
      <c r="L43" s="17">
        <v>3461</v>
      </c>
      <c r="M43" s="17" t="s">
        <v>608</v>
      </c>
      <c r="N43" s="17" t="s">
        <v>614</v>
      </c>
      <c r="O43" s="19" t="s">
        <v>621</v>
      </c>
      <c r="S43" s="19">
        <v>0</v>
      </c>
      <c r="T43" s="19">
        <v>0</v>
      </c>
      <c r="U43" s="19" t="s">
        <v>637</v>
      </c>
      <c r="V43" s="19">
        <v>1.2250000000000001</v>
      </c>
      <c r="W43" s="19">
        <v>1.2190000000000001</v>
      </c>
      <c r="X43" s="19">
        <v>3.6110000000000002</v>
      </c>
      <c r="Y43" s="19">
        <v>57.484000000000002</v>
      </c>
      <c r="Z43" s="19">
        <v>124.675</v>
      </c>
      <c r="AC43" s="17">
        <v>3</v>
      </c>
      <c r="AD43" s="17">
        <v>2.9311165344051302</v>
      </c>
      <c r="AE43" s="17">
        <v>2.9138250525554601E-2</v>
      </c>
      <c r="AF43" s="17">
        <v>-0.713356520355235</v>
      </c>
      <c r="AG43" s="17">
        <v>30.174593629600601</v>
      </c>
      <c r="AH43" s="17">
        <v>7.5364311196604902E-2</v>
      </c>
      <c r="AI43" s="17">
        <v>0.59311155722224596</v>
      </c>
      <c r="AJ43" s="17">
        <v>7.0758549097293998E-3</v>
      </c>
      <c r="AK43" s="17">
        <v>2.2017839525711898E-2</v>
      </c>
      <c r="AL43" s="17">
        <v>0.20514221279181</v>
      </c>
      <c r="AM43" s="17">
        <v>4.0231264005306203E-2</v>
      </c>
      <c r="AN43" s="17">
        <v>9.0131324041094099E-2</v>
      </c>
      <c r="AO43" s="17">
        <v>25.3</v>
      </c>
      <c r="AP43" s="17">
        <v>2.4</v>
      </c>
      <c r="AQ43" s="17">
        <v>18</v>
      </c>
      <c r="AR43" s="17">
        <v>33</v>
      </c>
      <c r="AS43" s="17">
        <v>7.5</v>
      </c>
      <c r="AT43" s="17">
        <v>1.73767493035871</v>
      </c>
      <c r="AU43" s="17">
        <v>0.55996448082078099</v>
      </c>
      <c r="AV43" s="17">
        <v>0.148305907436452</v>
      </c>
      <c r="AW43" s="17">
        <v>3.33429719882042</v>
      </c>
      <c r="AX43" s="17">
        <v>1.59299564569199</v>
      </c>
    </row>
    <row r="44" spans="1:50" x14ac:dyDescent="0.2">
      <c r="A44" s="15" t="s">
        <v>31</v>
      </c>
      <c r="B44" s="17" t="s">
        <v>676</v>
      </c>
      <c r="C44" s="17" t="s">
        <v>168</v>
      </c>
      <c r="D44" s="17" t="s">
        <v>168</v>
      </c>
      <c r="E44" s="17" t="s">
        <v>206</v>
      </c>
      <c r="F44" s="17" t="s">
        <v>500</v>
      </c>
      <c r="G44" s="17" t="s">
        <v>652</v>
      </c>
      <c r="H44" s="18">
        <v>-1</v>
      </c>
      <c r="J44" s="17">
        <v>34.55245</v>
      </c>
      <c r="K44" s="17">
        <v>-88.986997000000002</v>
      </c>
      <c r="L44" s="17">
        <v>3461</v>
      </c>
      <c r="M44" s="17" t="s">
        <v>608</v>
      </c>
      <c r="N44" s="17" t="s">
        <v>614</v>
      </c>
      <c r="O44" s="19" t="s">
        <v>621</v>
      </c>
      <c r="S44" s="19">
        <v>0</v>
      </c>
      <c r="T44" s="19">
        <v>0</v>
      </c>
      <c r="U44" s="19" t="s">
        <v>637</v>
      </c>
      <c r="V44" s="25">
        <v>1.248</v>
      </c>
      <c r="W44" s="25">
        <v>1.4410000000000001</v>
      </c>
      <c r="X44" s="25">
        <v>3.3450000000000002</v>
      </c>
      <c r="Y44" s="25">
        <v>129.70099999999999</v>
      </c>
      <c r="Z44" s="25">
        <v>143.36099999999999</v>
      </c>
      <c r="AC44" s="17">
        <v>3</v>
      </c>
      <c r="AD44" s="17">
        <v>2.3340703291947098</v>
      </c>
      <c r="AE44" s="17">
        <v>3.8738526453878097E-2</v>
      </c>
      <c r="AF44" s="17">
        <v>-0.59169407690907005</v>
      </c>
      <c r="AG44" s="17">
        <v>30.3000166591737</v>
      </c>
      <c r="AH44" s="17">
        <v>7.6227048172692505E-2</v>
      </c>
      <c r="AI44" s="17">
        <v>0.579326109544954</v>
      </c>
      <c r="AJ44" s="17">
        <v>5.0021179294030297E-3</v>
      </c>
      <c r="AK44" s="17">
        <v>2.2017839525711898E-2</v>
      </c>
      <c r="AL44" s="17">
        <v>0.29075987035979101</v>
      </c>
      <c r="AM44" s="17">
        <v>4.1774527255609997E-2</v>
      </c>
      <c r="AN44" s="17">
        <v>9.0131324041094099E-2</v>
      </c>
      <c r="AO44" s="17">
        <v>30</v>
      </c>
      <c r="AP44" s="17">
        <v>1.75</v>
      </c>
      <c r="AQ44" s="17">
        <v>22.5</v>
      </c>
      <c r="AR44" s="17">
        <v>38.200000000000003</v>
      </c>
      <c r="AS44" s="17">
        <v>7.85</v>
      </c>
      <c r="AT44" s="17">
        <v>2.7984393049299601</v>
      </c>
      <c r="AU44" s="17">
        <v>0.41849923120639698</v>
      </c>
      <c r="AV44" s="17">
        <v>1.2125126651474101</v>
      </c>
      <c r="AW44" s="17">
        <v>4.4447639761450501</v>
      </c>
      <c r="AX44" s="17">
        <v>1.6161256554988199</v>
      </c>
    </row>
    <row r="45" spans="1:50" x14ac:dyDescent="0.2">
      <c r="A45" s="15" t="s">
        <v>32</v>
      </c>
      <c r="B45" s="17" t="s">
        <v>676</v>
      </c>
      <c r="C45" s="17" t="s">
        <v>168</v>
      </c>
      <c r="D45" s="17" t="s">
        <v>168</v>
      </c>
      <c r="E45" s="17" t="s">
        <v>206</v>
      </c>
      <c r="F45" s="17" t="s">
        <v>500</v>
      </c>
      <c r="G45" s="17" t="s">
        <v>652</v>
      </c>
      <c r="H45" s="18">
        <v>-0.7</v>
      </c>
      <c r="J45" s="17">
        <v>34.55245</v>
      </c>
      <c r="K45" s="17">
        <v>-88.986997000000002</v>
      </c>
      <c r="L45" s="17">
        <v>3461</v>
      </c>
      <c r="M45" s="17" t="s">
        <v>608</v>
      </c>
      <c r="N45" s="17" t="s">
        <v>614</v>
      </c>
      <c r="O45" s="19" t="s">
        <v>621</v>
      </c>
      <c r="V45" s="19">
        <v>1.411</v>
      </c>
      <c r="W45" s="19">
        <v>3.1</v>
      </c>
      <c r="X45" s="19">
        <v>4.7270000000000003</v>
      </c>
      <c r="Y45" s="19">
        <v>246.39599999999999</v>
      </c>
      <c r="Z45" s="19">
        <v>1109.338</v>
      </c>
      <c r="AC45" s="17">
        <v>4</v>
      </c>
      <c r="AD45" s="17">
        <v>1.1275983491880299</v>
      </c>
      <c r="AE45" s="17">
        <v>1.9574583328736399E-2</v>
      </c>
      <c r="AF45" s="17">
        <v>-1.6166208226754999</v>
      </c>
      <c r="AG45" s="17">
        <v>29.2434094276956</v>
      </c>
      <c r="AH45" s="17">
        <v>4.4637895149622797E-2</v>
      </c>
      <c r="AI45" s="17">
        <v>0.604330750727468</v>
      </c>
      <c r="AJ45" s="17">
        <v>1.11115151516089E-2</v>
      </c>
      <c r="AK45" s="17">
        <v>1.9068008365715601E-2</v>
      </c>
      <c r="AL45" s="17">
        <v>0.112566240923264</v>
      </c>
      <c r="AM45" s="17">
        <v>1.6736362945951301E-2</v>
      </c>
      <c r="AN45" s="17">
        <v>7.8056016296314604E-2</v>
      </c>
      <c r="AO45" s="17">
        <v>21.5</v>
      </c>
      <c r="AP45" s="17">
        <v>3.65</v>
      </c>
      <c r="AQ45" s="17">
        <v>15.5</v>
      </c>
      <c r="AR45" s="17">
        <v>28</v>
      </c>
      <c r="AS45" s="17">
        <v>6.25</v>
      </c>
      <c r="AT45" s="17">
        <v>5.2735912763523601E-2</v>
      </c>
      <c r="AU45" s="17">
        <v>0.80153211680016101</v>
      </c>
      <c r="AV45" s="17">
        <v>-1.26178618213612</v>
      </c>
      <c r="AW45" s="17">
        <v>1.41785482678358</v>
      </c>
      <c r="AX45" s="17">
        <v>1.3398205044598499</v>
      </c>
    </row>
    <row r="46" spans="1:50" x14ac:dyDescent="0.2">
      <c r="A46" s="15" t="s">
        <v>33</v>
      </c>
      <c r="B46" s="17" t="s">
        <v>677</v>
      </c>
      <c r="C46" s="17" t="s">
        <v>168</v>
      </c>
      <c r="D46" s="17" t="s">
        <v>168</v>
      </c>
      <c r="E46" s="17" t="s">
        <v>203</v>
      </c>
      <c r="F46" s="17" t="s">
        <v>500</v>
      </c>
      <c r="G46" s="17" t="s">
        <v>652</v>
      </c>
      <c r="H46" s="18">
        <v>-0.7</v>
      </c>
      <c r="J46" s="17">
        <v>34.55245</v>
      </c>
      <c r="K46" s="17">
        <v>-88.986997000000002</v>
      </c>
      <c r="L46" s="17">
        <v>3461</v>
      </c>
      <c r="M46" s="17" t="s">
        <v>608</v>
      </c>
      <c r="N46" s="17" t="s">
        <v>614</v>
      </c>
      <c r="O46" s="19" t="s">
        <v>621</v>
      </c>
      <c r="V46" s="19">
        <v>1.4139999999999999</v>
      </c>
      <c r="W46" s="19">
        <v>0.91900000000000004</v>
      </c>
      <c r="X46" s="19">
        <v>8.7230000000000008</v>
      </c>
      <c r="Y46" s="19">
        <v>74.117999999999995</v>
      </c>
      <c r="Z46" s="19">
        <v>784.09699999999998</v>
      </c>
      <c r="AC46" s="17">
        <v>3</v>
      </c>
      <c r="AD46" s="17">
        <v>1.63604553283514</v>
      </c>
      <c r="AE46" s="17">
        <v>3.5955796145195701E-2</v>
      </c>
      <c r="AF46" s="17">
        <v>-1.3629095484509799</v>
      </c>
      <c r="AG46" s="17">
        <v>29.504962917406399</v>
      </c>
      <c r="AH46" s="17">
        <v>4.2389182960616202E-2</v>
      </c>
      <c r="AI46" s="17">
        <v>0.61460625600939001</v>
      </c>
      <c r="AJ46" s="17">
        <v>7.7250623339567897E-3</v>
      </c>
      <c r="AK46" s="17">
        <v>2.2017839525711898E-2</v>
      </c>
      <c r="AL46" s="17">
        <v>0.24984374061085801</v>
      </c>
      <c r="AM46" s="17">
        <v>6.6004435914896506E-2</v>
      </c>
      <c r="AN46" s="17">
        <v>9.0131324041094099E-2</v>
      </c>
      <c r="AO46" s="17">
        <v>18.2</v>
      </c>
      <c r="AP46" s="17">
        <v>2.4500000000000002</v>
      </c>
      <c r="AQ46" s="17">
        <v>11.5</v>
      </c>
      <c r="AR46" s="17">
        <v>25.4</v>
      </c>
      <c r="AS46" s="17">
        <v>6.95</v>
      </c>
      <c r="AT46" s="17">
        <v>-0.386188789234097</v>
      </c>
      <c r="AU46" s="17">
        <v>0.56138520762487998</v>
      </c>
      <c r="AV46" s="17">
        <v>-1.88227831103256</v>
      </c>
      <c r="AW46" s="17">
        <v>1.1480059686000501</v>
      </c>
      <c r="AX46" s="17">
        <v>1.5151421398163101</v>
      </c>
    </row>
    <row r="47" spans="1:50" x14ac:dyDescent="0.2">
      <c r="A47" s="15" t="s">
        <v>34</v>
      </c>
      <c r="B47" s="17" t="s">
        <v>677</v>
      </c>
      <c r="C47" s="17" t="s">
        <v>168</v>
      </c>
      <c r="D47" s="17" t="s">
        <v>168</v>
      </c>
      <c r="E47" s="17" t="s">
        <v>206</v>
      </c>
      <c r="F47" s="17" t="s">
        <v>500</v>
      </c>
      <c r="G47" s="17" t="s">
        <v>652</v>
      </c>
      <c r="H47" s="18">
        <v>-0.5</v>
      </c>
      <c r="J47" s="17">
        <v>34.55245</v>
      </c>
      <c r="K47" s="17">
        <v>-88.986997000000002</v>
      </c>
      <c r="L47" s="17">
        <v>3461</v>
      </c>
      <c r="M47" s="17" t="s">
        <v>608</v>
      </c>
      <c r="N47" s="17" t="s">
        <v>614</v>
      </c>
      <c r="O47" s="19" t="s">
        <v>621</v>
      </c>
      <c r="S47" s="19">
        <v>0</v>
      </c>
      <c r="T47" s="19">
        <v>0</v>
      </c>
      <c r="U47" s="19" t="s">
        <v>637</v>
      </c>
      <c r="V47" s="25">
        <v>1.47</v>
      </c>
      <c r="W47" s="25">
        <v>2.0089999999999999</v>
      </c>
      <c r="X47" s="25">
        <v>3.6429999999999998</v>
      </c>
      <c r="Y47" s="25">
        <v>32.271999999999998</v>
      </c>
      <c r="Z47" s="25">
        <v>289.97000000000003</v>
      </c>
      <c r="AC47" s="17">
        <v>4</v>
      </c>
      <c r="AD47" s="17">
        <v>1.4870534032920599</v>
      </c>
      <c r="AE47" s="17">
        <v>3.37296915415361E-2</v>
      </c>
      <c r="AF47" s="17">
        <v>-0.74326535235960201</v>
      </c>
      <c r="AG47" s="17">
        <v>30.143760315599</v>
      </c>
      <c r="AH47" s="17">
        <v>0.10193533705094</v>
      </c>
      <c r="AI47" s="17">
        <v>0.58783361856286198</v>
      </c>
      <c r="AJ47" s="17">
        <v>9.0315828237526995E-3</v>
      </c>
      <c r="AK47" s="17">
        <v>1.9068008365715601E-2</v>
      </c>
      <c r="AL47" s="17">
        <v>0.30180280196131998</v>
      </c>
      <c r="AM47" s="17">
        <v>1.9969557981023501E-2</v>
      </c>
      <c r="AN47" s="17">
        <v>7.8056016296314604E-2</v>
      </c>
      <c r="AO47" s="17">
        <v>27.1</v>
      </c>
      <c r="AP47" s="17">
        <v>3.1</v>
      </c>
      <c r="AQ47" s="17">
        <v>20.7</v>
      </c>
      <c r="AR47" s="17">
        <v>33.9</v>
      </c>
      <c r="AS47" s="17">
        <v>6.6</v>
      </c>
      <c r="AT47" s="17">
        <v>2.0705478859686099</v>
      </c>
      <c r="AU47" s="17">
        <v>0.72050241254493097</v>
      </c>
      <c r="AV47" s="17">
        <v>0.66179144937189005</v>
      </c>
      <c r="AW47" s="17">
        <v>3.5033575627800202</v>
      </c>
      <c r="AX47" s="17">
        <v>1.42078305670407</v>
      </c>
    </row>
    <row r="48" spans="1:50" x14ac:dyDescent="0.2">
      <c r="A48" s="15" t="s">
        <v>35</v>
      </c>
      <c r="B48" s="17" t="s">
        <v>677</v>
      </c>
      <c r="C48" s="17" t="s">
        <v>168</v>
      </c>
      <c r="D48" s="17" t="s">
        <v>168</v>
      </c>
      <c r="E48" s="17" t="s">
        <v>206</v>
      </c>
      <c r="F48" s="17" t="s">
        <v>500</v>
      </c>
      <c r="G48" s="17" t="s">
        <v>652</v>
      </c>
      <c r="H48" s="18">
        <v>-0.5</v>
      </c>
      <c r="J48" s="17">
        <v>34.55245</v>
      </c>
      <c r="K48" s="17">
        <v>-88.986997000000002</v>
      </c>
      <c r="L48" s="17">
        <v>3461</v>
      </c>
      <c r="M48" s="17" t="s">
        <v>608</v>
      </c>
      <c r="N48" s="17" t="s">
        <v>614</v>
      </c>
      <c r="O48" s="19" t="s">
        <v>621</v>
      </c>
      <c r="S48" s="19">
        <v>0</v>
      </c>
      <c r="T48" s="19">
        <v>0</v>
      </c>
      <c r="U48" s="19" t="s">
        <v>637</v>
      </c>
      <c r="V48" s="25">
        <v>1.2989999999999999</v>
      </c>
      <c r="W48" s="25">
        <v>1.46</v>
      </c>
      <c r="X48" s="25">
        <v>3.077</v>
      </c>
      <c r="Y48" s="25">
        <v>17.489999999999998</v>
      </c>
      <c r="Z48" s="25">
        <v>215.02699999999999</v>
      </c>
      <c r="AC48" s="17">
        <v>3</v>
      </c>
      <c r="AD48" s="17">
        <v>-4.1849916273951501E-2</v>
      </c>
      <c r="AE48" s="17">
        <v>6.0987204725448399E-2</v>
      </c>
      <c r="AF48" s="17">
        <v>-0.67188436119955197</v>
      </c>
      <c r="AG48" s="17">
        <v>30.217347693195801</v>
      </c>
      <c r="AH48" s="17">
        <v>0.107336902991597</v>
      </c>
      <c r="AI48" s="17">
        <v>0.58425818266289398</v>
      </c>
      <c r="AJ48" s="17">
        <v>1.05481717356842E-2</v>
      </c>
      <c r="AK48" s="17">
        <v>2.2017839525711898E-2</v>
      </c>
      <c r="AL48" s="17">
        <v>0.27718972306536199</v>
      </c>
      <c r="AM48" s="17">
        <v>5.2700813107695997E-2</v>
      </c>
      <c r="AN48" s="17">
        <v>9.0131324041094099E-2</v>
      </c>
      <c r="AO48" s="17">
        <v>28.3</v>
      </c>
      <c r="AP48" s="17">
        <v>3.7</v>
      </c>
      <c r="AQ48" s="17">
        <v>20.9</v>
      </c>
      <c r="AR48" s="17">
        <v>36.299999999999997</v>
      </c>
      <c r="AS48" s="17">
        <v>7.7</v>
      </c>
      <c r="AT48" s="17">
        <v>1.5977532498043301</v>
      </c>
      <c r="AU48" s="17">
        <v>0.83363296921873997</v>
      </c>
      <c r="AV48" s="17">
        <v>-3.8224600609737498E-4</v>
      </c>
      <c r="AW48" s="17">
        <v>3.2392833692776999</v>
      </c>
      <c r="AX48" s="17">
        <v>1.6198328076419</v>
      </c>
    </row>
    <row r="49" spans="1:50" x14ac:dyDescent="0.2">
      <c r="A49" s="15" t="s">
        <v>36</v>
      </c>
      <c r="B49" s="17" t="s">
        <v>677</v>
      </c>
      <c r="C49" s="17" t="s">
        <v>168</v>
      </c>
      <c r="D49" s="17" t="s">
        <v>168</v>
      </c>
      <c r="E49" s="17" t="s">
        <v>206</v>
      </c>
      <c r="F49" s="17" t="s">
        <v>500</v>
      </c>
      <c r="G49" s="17" t="s">
        <v>652</v>
      </c>
      <c r="H49" s="18">
        <v>-0.25</v>
      </c>
      <c r="J49" s="17">
        <v>34.55245</v>
      </c>
      <c r="K49" s="17">
        <v>-88.986997000000002</v>
      </c>
      <c r="L49" s="17">
        <v>3461</v>
      </c>
      <c r="M49" s="17" t="s">
        <v>608</v>
      </c>
      <c r="N49" s="17" t="s">
        <v>614</v>
      </c>
      <c r="O49" s="19" t="s">
        <v>621</v>
      </c>
      <c r="S49" s="19">
        <v>0</v>
      </c>
      <c r="T49" s="19">
        <v>0</v>
      </c>
      <c r="U49" s="19" t="s">
        <v>637</v>
      </c>
      <c r="V49" s="19">
        <v>1.268</v>
      </c>
      <c r="W49" s="19">
        <v>1.196</v>
      </c>
      <c r="X49" s="19">
        <v>3.34</v>
      </c>
      <c r="Y49" s="19">
        <v>35.130000000000003</v>
      </c>
      <c r="Z49" s="19">
        <v>306.16899999999998</v>
      </c>
      <c r="AC49" s="17">
        <v>3</v>
      </c>
      <c r="AD49" s="17">
        <v>-3.6746182230997801</v>
      </c>
      <c r="AE49" s="17">
        <v>0.24734424788717299</v>
      </c>
      <c r="AF49" s="17">
        <v>-1.2709711794160099</v>
      </c>
      <c r="AG49" s="17">
        <v>29.599743101428199</v>
      </c>
      <c r="AH49" s="17">
        <v>5.4911309257912599E-2</v>
      </c>
      <c r="AI49" s="17">
        <v>0.57579643124965596</v>
      </c>
      <c r="AJ49" s="17">
        <v>7.4548198076230298E-3</v>
      </c>
      <c r="AK49" s="17">
        <v>2.2017839525711898E-2</v>
      </c>
      <c r="AL49" s="17">
        <v>0.23995612566532501</v>
      </c>
      <c r="AM49" s="17">
        <v>3.1486854450479003E-2</v>
      </c>
      <c r="AN49" s="17">
        <v>9.0131324041094099E-2</v>
      </c>
      <c r="AO49" s="17">
        <v>31.3</v>
      </c>
      <c r="AP49" s="17">
        <v>2.65</v>
      </c>
      <c r="AQ49" s="17">
        <v>23.7</v>
      </c>
      <c r="AR49" s="17">
        <v>39.6</v>
      </c>
      <c r="AS49" s="17">
        <v>7.95</v>
      </c>
      <c r="AT49" s="17">
        <v>2.3713880380525998</v>
      </c>
      <c r="AU49" s="17">
        <v>0.57019558383018398</v>
      </c>
      <c r="AV49" s="17">
        <v>0.79936667561480601</v>
      </c>
      <c r="AW49" s="17">
        <v>4.0015639068384399</v>
      </c>
      <c r="AX49" s="17">
        <v>1.6010986156118201</v>
      </c>
    </row>
    <row r="50" spans="1:50" x14ac:dyDescent="0.2">
      <c r="A50" s="15" t="s">
        <v>37</v>
      </c>
      <c r="B50" s="17" t="s">
        <v>677</v>
      </c>
      <c r="C50" s="17" t="s">
        <v>168</v>
      </c>
      <c r="D50" s="17" t="s">
        <v>168</v>
      </c>
      <c r="E50" s="17" t="s">
        <v>206</v>
      </c>
      <c r="F50" s="17" t="s">
        <v>500</v>
      </c>
      <c r="G50" s="17" t="s">
        <v>652</v>
      </c>
      <c r="H50" s="18">
        <v>-0.25</v>
      </c>
      <c r="J50" s="17">
        <v>34.55245</v>
      </c>
      <c r="K50" s="17">
        <v>-88.986997000000002</v>
      </c>
      <c r="L50" s="17">
        <v>3461</v>
      </c>
      <c r="M50" s="17" t="s">
        <v>608</v>
      </c>
      <c r="N50" s="17" t="s">
        <v>614</v>
      </c>
      <c r="O50" s="19" t="s">
        <v>621</v>
      </c>
      <c r="S50" s="19">
        <v>0</v>
      </c>
      <c r="T50" s="19">
        <v>0</v>
      </c>
      <c r="U50" s="19" t="s">
        <v>637</v>
      </c>
      <c r="V50" s="19">
        <v>1.19</v>
      </c>
      <c r="W50" s="19">
        <v>1.466</v>
      </c>
      <c r="X50" s="19">
        <v>4.2770000000000001</v>
      </c>
      <c r="Y50" s="19">
        <v>65.094999999999999</v>
      </c>
      <c r="Z50" s="19">
        <v>655.04999999999995</v>
      </c>
      <c r="AC50" s="17">
        <v>3</v>
      </c>
      <c r="AD50" s="17">
        <v>1.56985534439227</v>
      </c>
      <c r="AE50" s="17">
        <v>3.83568421572461E-2</v>
      </c>
      <c r="AF50" s="17">
        <v>-1.7001362480580899</v>
      </c>
      <c r="AG50" s="17">
        <v>29.1573125405144</v>
      </c>
      <c r="AH50" s="17">
        <v>2.4345855048863899E-2</v>
      </c>
      <c r="AI50" s="17">
        <v>0.58164998534266599</v>
      </c>
      <c r="AJ50" s="17">
        <v>1.10662057869403E-2</v>
      </c>
      <c r="AK50" s="17">
        <v>2.2017839525711898E-2</v>
      </c>
      <c r="AL50" s="17">
        <v>0.18731717351076699</v>
      </c>
      <c r="AM50" s="17">
        <v>3.2177937900087002E-2</v>
      </c>
      <c r="AN50" s="17">
        <v>9.0131324041094099E-2</v>
      </c>
      <c r="AO50" s="17">
        <v>29.2</v>
      </c>
      <c r="AP50" s="17">
        <v>3.9</v>
      </c>
      <c r="AQ50" s="17">
        <v>21.7</v>
      </c>
      <c r="AR50" s="17">
        <v>37.299999999999997</v>
      </c>
      <c r="AS50" s="17">
        <v>7.8</v>
      </c>
      <c r="AT50" s="17">
        <v>1.5286155525318501</v>
      </c>
      <c r="AU50" s="17">
        <v>0.79419045276830502</v>
      </c>
      <c r="AV50" s="17">
        <v>-1.3069240227878301E-2</v>
      </c>
      <c r="AW50" s="17">
        <v>3.1118267320002801</v>
      </c>
      <c r="AX50" s="17">
        <v>1.5624479861140801</v>
      </c>
    </row>
    <row r="51" spans="1:50" x14ac:dyDescent="0.2">
      <c r="A51" s="15" t="s">
        <v>57</v>
      </c>
      <c r="B51" s="17" t="s">
        <v>677</v>
      </c>
      <c r="C51" s="17" t="s">
        <v>169</v>
      </c>
      <c r="D51" s="17" t="s">
        <v>169</v>
      </c>
      <c r="E51" s="17" t="s">
        <v>209</v>
      </c>
      <c r="F51" s="17" t="s">
        <v>500</v>
      </c>
      <c r="G51" s="17" t="s">
        <v>652</v>
      </c>
      <c r="H51" s="18">
        <v>0.5</v>
      </c>
      <c r="J51" s="17">
        <v>34.376944000000002</v>
      </c>
      <c r="K51" s="17">
        <v>-91.851667000000006</v>
      </c>
      <c r="L51" s="17">
        <v>3596</v>
      </c>
      <c r="M51" s="17" t="s">
        <v>618</v>
      </c>
      <c r="N51" s="17" t="s">
        <v>619</v>
      </c>
      <c r="O51" s="19" t="s">
        <v>620</v>
      </c>
      <c r="S51" s="19">
        <v>0</v>
      </c>
      <c r="T51" s="19">
        <v>0</v>
      </c>
      <c r="U51" s="19" t="s">
        <v>637</v>
      </c>
      <c r="V51" s="25">
        <v>1.133</v>
      </c>
      <c r="W51" s="25">
        <v>2.4630000000000001</v>
      </c>
      <c r="X51" s="25">
        <v>15.071999999999999</v>
      </c>
      <c r="Y51" s="25">
        <v>1664.7090000000001</v>
      </c>
      <c r="Z51" s="25">
        <v>276.70999999999998</v>
      </c>
      <c r="AC51" s="17">
        <v>4</v>
      </c>
      <c r="AD51" s="17">
        <v>0.91935256970783596</v>
      </c>
      <c r="AE51" s="17">
        <v>0.109513179153954</v>
      </c>
      <c r="AF51" s="17">
        <v>-3.1293772068521002</v>
      </c>
      <c r="AG51" s="17">
        <v>27.683893743684099</v>
      </c>
      <c r="AH51" s="17">
        <v>0.15213543285331199</v>
      </c>
      <c r="AI51" s="17">
        <v>0.58319669965301102</v>
      </c>
      <c r="AJ51" s="17">
        <v>5.2270733916771096E-3</v>
      </c>
      <c r="AK51" s="17">
        <v>1.9068008365715601E-2</v>
      </c>
      <c r="AL51" s="17">
        <v>0.29904632122395203</v>
      </c>
      <c r="AM51" s="17">
        <v>4.3584416654998903E-2</v>
      </c>
      <c r="AN51" s="17">
        <v>7.8056016296314604E-2</v>
      </c>
      <c r="AO51" s="17">
        <v>28.7</v>
      </c>
      <c r="AP51" s="17">
        <v>1.8</v>
      </c>
      <c r="AQ51" s="17">
        <v>22.2</v>
      </c>
      <c r="AR51" s="17">
        <v>35.6</v>
      </c>
      <c r="AS51" s="17">
        <v>6.7</v>
      </c>
      <c r="AT51" s="17">
        <v>-4.0313993117706603E-3</v>
      </c>
      <c r="AU51" s="17">
        <v>0.50424016964024099</v>
      </c>
      <c r="AV51" s="17">
        <v>-1.4655661187025499</v>
      </c>
      <c r="AW51" s="17">
        <v>1.47998257991708</v>
      </c>
      <c r="AX51" s="17">
        <v>1.47277434930982</v>
      </c>
    </row>
    <row r="52" spans="1:50" x14ac:dyDescent="0.2">
      <c r="A52" s="15" t="s">
        <v>58</v>
      </c>
      <c r="B52" s="17" t="s">
        <v>677</v>
      </c>
      <c r="C52" s="17" t="s">
        <v>169</v>
      </c>
      <c r="D52" s="17" t="s">
        <v>169</v>
      </c>
      <c r="E52" s="17" t="s">
        <v>210</v>
      </c>
      <c r="F52" s="17" t="s">
        <v>669</v>
      </c>
      <c r="G52" s="17" t="s">
        <v>650</v>
      </c>
      <c r="H52" s="18">
        <v>2.5</v>
      </c>
      <c r="J52" s="17">
        <v>34.376944000000002</v>
      </c>
      <c r="K52" s="17">
        <v>-91.851667000000006</v>
      </c>
      <c r="L52" s="17">
        <v>3596</v>
      </c>
      <c r="M52" s="17" t="s">
        <v>618</v>
      </c>
      <c r="N52" s="17" t="s">
        <v>619</v>
      </c>
      <c r="O52" s="19" t="s">
        <v>620</v>
      </c>
      <c r="V52" s="19">
        <v>4.0679999999999996</v>
      </c>
      <c r="W52" s="19">
        <v>0.65200000000000002</v>
      </c>
      <c r="X52" s="19">
        <v>143.21700000000001</v>
      </c>
      <c r="Y52" s="19">
        <v>24.951000000000001</v>
      </c>
      <c r="Z52" s="19">
        <v>639.91999999999996</v>
      </c>
      <c r="AC52" s="17">
        <v>3</v>
      </c>
      <c r="AD52" s="17">
        <v>-0.12873541338119801</v>
      </c>
      <c r="AE52" s="17">
        <v>4.86646666372927E-2</v>
      </c>
      <c r="AF52" s="17">
        <v>-3.3655559822110099</v>
      </c>
      <c r="AG52" s="17">
        <v>27.440414682378801</v>
      </c>
      <c r="AH52" s="17">
        <v>4.1859170597510001E-2</v>
      </c>
      <c r="AI52" s="17">
        <v>0.569872069731302</v>
      </c>
      <c r="AJ52" s="17">
        <v>1.17044965018247E-2</v>
      </c>
      <c r="AK52" s="17">
        <v>2.2017839525711898E-2</v>
      </c>
      <c r="AL52" s="17">
        <v>0.28132030227361698</v>
      </c>
      <c r="AM52" s="17">
        <v>4.21490090114593E-2</v>
      </c>
      <c r="AN52" s="17">
        <v>9.0131324041094099E-2</v>
      </c>
      <c r="AO52" s="17">
        <v>33.5</v>
      </c>
      <c r="AP52" s="17">
        <v>4.3499999999999996</v>
      </c>
      <c r="AQ52" s="17">
        <v>25.7</v>
      </c>
      <c r="AR52" s="17">
        <v>41.9</v>
      </c>
      <c r="AS52" s="17">
        <v>8.1</v>
      </c>
      <c r="AT52" s="17">
        <v>0.69424227239505898</v>
      </c>
      <c r="AU52" s="17">
        <v>0.87556964389932501</v>
      </c>
      <c r="AV52" s="17">
        <v>-0.88094851937785301</v>
      </c>
      <c r="AW52" s="17">
        <v>2.3050568148182702</v>
      </c>
      <c r="AX52" s="17">
        <v>1.5930026670980599</v>
      </c>
    </row>
    <row r="53" spans="1:50" x14ac:dyDescent="0.2">
      <c r="A53" s="15" t="s">
        <v>49</v>
      </c>
      <c r="B53" s="17" t="s">
        <v>677</v>
      </c>
      <c r="C53" s="17" t="s">
        <v>169</v>
      </c>
      <c r="D53" s="17" t="s">
        <v>169</v>
      </c>
      <c r="E53" s="17" t="s">
        <v>212</v>
      </c>
      <c r="F53" s="17" t="s">
        <v>669</v>
      </c>
      <c r="G53" s="17" t="s">
        <v>652</v>
      </c>
      <c r="H53" s="18">
        <v>-0.05</v>
      </c>
      <c r="J53" s="17">
        <v>34.376944000000002</v>
      </c>
      <c r="K53" s="17">
        <v>-91.851667000000006</v>
      </c>
      <c r="L53" s="17">
        <v>3596</v>
      </c>
      <c r="M53" s="17" t="s">
        <v>608</v>
      </c>
      <c r="N53" s="17" t="s">
        <v>614</v>
      </c>
      <c r="O53" s="19" t="s">
        <v>617</v>
      </c>
      <c r="P53" s="19" t="s">
        <v>612</v>
      </c>
      <c r="Q53" s="17"/>
      <c r="V53" s="19">
        <v>1.304</v>
      </c>
      <c r="W53" s="19">
        <v>1.343</v>
      </c>
      <c r="X53" s="19">
        <v>67.597999999999999</v>
      </c>
      <c r="Y53" s="19">
        <v>957.61500000000001</v>
      </c>
      <c r="Z53" s="19">
        <v>182.25800000000001</v>
      </c>
      <c r="AC53" s="17">
        <v>3</v>
      </c>
      <c r="AD53" s="17">
        <v>1.54667430413139</v>
      </c>
      <c r="AE53" s="17">
        <v>1.0664903764792E-2</v>
      </c>
      <c r="AF53" s="17">
        <v>-1.7202656287807701</v>
      </c>
      <c r="AG53" s="17">
        <v>29.136560960633599</v>
      </c>
      <c r="AH53" s="17">
        <v>8.16885384052288E-2</v>
      </c>
      <c r="AI53" s="17">
        <v>0.59959168404496799</v>
      </c>
      <c r="AJ53" s="17">
        <v>4.5333504693671998E-3</v>
      </c>
      <c r="AK53" s="17">
        <v>2.2017839525711898E-2</v>
      </c>
      <c r="AL53" s="17">
        <v>0.103547769606417</v>
      </c>
      <c r="AM53" s="17">
        <v>3.5272986144303499E-2</v>
      </c>
      <c r="AN53" s="17">
        <v>9.0131324041094099E-2</v>
      </c>
      <c r="AO53" s="17">
        <v>23.1</v>
      </c>
      <c r="AP53" s="17">
        <v>1.5</v>
      </c>
      <c r="AQ53" s="17">
        <v>16</v>
      </c>
      <c r="AR53" s="17">
        <v>30.7</v>
      </c>
      <c r="AS53" s="17">
        <v>7.35</v>
      </c>
      <c r="AT53" s="17">
        <v>0.27943989262052998</v>
      </c>
      <c r="AU53" s="17">
        <v>0.38764714296604602</v>
      </c>
      <c r="AV53" s="17">
        <v>-1.2935602023908399</v>
      </c>
      <c r="AW53" s="17">
        <v>1.8828138868400399</v>
      </c>
      <c r="AX53" s="17">
        <v>1.58818704461544</v>
      </c>
    </row>
    <row r="54" spans="1:50" x14ac:dyDescent="0.2">
      <c r="A54" s="15" t="s">
        <v>50</v>
      </c>
      <c r="B54" s="17" t="s">
        <v>677</v>
      </c>
      <c r="C54" s="17" t="s">
        <v>169</v>
      </c>
      <c r="D54" s="17" t="s">
        <v>169</v>
      </c>
      <c r="E54" s="17" t="s">
        <v>203</v>
      </c>
      <c r="F54" s="17" t="s">
        <v>500</v>
      </c>
      <c r="G54" s="17" t="s">
        <v>652</v>
      </c>
      <c r="H54" s="18">
        <v>-0.05</v>
      </c>
      <c r="J54" s="17">
        <v>34.376944000000002</v>
      </c>
      <c r="K54" s="17">
        <v>-91.851667000000006</v>
      </c>
      <c r="L54" s="17">
        <v>3596</v>
      </c>
      <c r="M54" s="17" t="s">
        <v>608</v>
      </c>
      <c r="N54" s="17" t="s">
        <v>614</v>
      </c>
      <c r="O54" s="19" t="s">
        <v>617</v>
      </c>
      <c r="P54" s="19" t="s">
        <v>612</v>
      </c>
      <c r="V54" s="19">
        <v>1.345</v>
      </c>
      <c r="W54" s="19">
        <v>0.96799999999999997</v>
      </c>
      <c r="X54" s="19">
        <v>17.579999999999998</v>
      </c>
      <c r="Y54" s="19">
        <v>280.20800000000003</v>
      </c>
      <c r="Z54" s="19">
        <v>224.91800000000001</v>
      </c>
      <c r="AC54" s="17">
        <v>4</v>
      </c>
      <c r="AD54" s="17">
        <v>0.63681179988699899</v>
      </c>
      <c r="AE54" s="17">
        <v>0.123013127161717</v>
      </c>
      <c r="AF54" s="17">
        <v>-2.98004128483946</v>
      </c>
      <c r="AG54" s="17">
        <v>27.837845639046201</v>
      </c>
      <c r="AH54" s="17">
        <v>0.10775211266863501</v>
      </c>
      <c r="AI54" s="17">
        <v>0.59541506819716805</v>
      </c>
      <c r="AJ54" s="17">
        <v>4.7287277016758401E-3</v>
      </c>
      <c r="AK54" s="17">
        <v>1.9068008365715601E-2</v>
      </c>
      <c r="AL54" s="17">
        <v>0.26487714980291999</v>
      </c>
      <c r="AM54" s="17">
        <v>2.1392113692151399E-2</v>
      </c>
      <c r="AN54" s="17">
        <v>7.8056016296314604E-2</v>
      </c>
      <c r="AO54" s="17">
        <v>24.5</v>
      </c>
      <c r="AP54" s="17">
        <v>1.6</v>
      </c>
      <c r="AQ54" s="17">
        <v>18.2</v>
      </c>
      <c r="AR54" s="17">
        <v>31.1</v>
      </c>
      <c r="AS54" s="17">
        <v>6.45</v>
      </c>
      <c r="AT54" s="17">
        <v>-0.69684045994426902</v>
      </c>
      <c r="AU54" s="17">
        <v>0.43015712285705399</v>
      </c>
      <c r="AV54" s="17">
        <v>-2.1095257524091302</v>
      </c>
      <c r="AW54" s="17">
        <v>0.72202911350893795</v>
      </c>
      <c r="AX54" s="17">
        <v>1.41577743295903</v>
      </c>
    </row>
    <row r="55" spans="1:50" x14ac:dyDescent="0.2">
      <c r="A55" s="15" t="s">
        <v>51</v>
      </c>
      <c r="B55" s="17" t="s">
        <v>677</v>
      </c>
      <c r="C55" s="17" t="s">
        <v>169</v>
      </c>
      <c r="D55" s="17" t="s">
        <v>169</v>
      </c>
      <c r="E55" s="17" t="s">
        <v>211</v>
      </c>
      <c r="F55" s="17" t="s">
        <v>670</v>
      </c>
      <c r="G55" s="17" t="s">
        <v>652</v>
      </c>
      <c r="H55" s="18">
        <v>-0.5</v>
      </c>
      <c r="J55" s="17">
        <v>34.376944000000002</v>
      </c>
      <c r="K55" s="17">
        <v>-91.851667000000006</v>
      </c>
      <c r="L55" s="17">
        <v>3596</v>
      </c>
      <c r="M55" s="17" t="s">
        <v>608</v>
      </c>
      <c r="N55" s="17" t="s">
        <v>614</v>
      </c>
      <c r="O55" s="19" t="s">
        <v>617</v>
      </c>
      <c r="P55" s="19" t="s">
        <v>612</v>
      </c>
      <c r="S55" s="19">
        <v>0</v>
      </c>
      <c r="T55" s="19">
        <v>0</v>
      </c>
      <c r="U55" s="19" t="s">
        <v>637</v>
      </c>
      <c r="V55" s="19">
        <v>3.9780000000000002</v>
      </c>
      <c r="W55" s="19">
        <v>0.245</v>
      </c>
      <c r="X55" s="19">
        <v>19.827000000000002</v>
      </c>
      <c r="Y55" s="19">
        <v>67.908000000000001</v>
      </c>
      <c r="Z55" s="19">
        <v>103.798</v>
      </c>
      <c r="AC55" s="17">
        <v>3</v>
      </c>
      <c r="AD55" s="17">
        <v>3.0266151578746898</v>
      </c>
      <c r="AE55" s="17">
        <v>2.86655987255152E-2</v>
      </c>
      <c r="AF55" s="17">
        <v>-1.7210740934737701</v>
      </c>
      <c r="AG55" s="17">
        <v>29.135727506296998</v>
      </c>
      <c r="AH55" s="17">
        <v>2.48497139086192E-2</v>
      </c>
      <c r="AI55" s="17">
        <v>0.59374203914203205</v>
      </c>
      <c r="AJ55" s="17">
        <v>3.9235218019100897E-3</v>
      </c>
      <c r="AK55" s="17">
        <v>2.2017839525711898E-2</v>
      </c>
      <c r="AL55" s="17">
        <v>0.29501175350973102</v>
      </c>
      <c r="AM55" s="17">
        <v>8.9973820440451806E-3</v>
      </c>
      <c r="AN55" s="17">
        <v>9.0131324041094099E-2</v>
      </c>
      <c r="AO55" s="17">
        <v>25</v>
      </c>
      <c r="AP55" s="17">
        <v>1.35</v>
      </c>
      <c r="AQ55" s="17">
        <v>17.8</v>
      </c>
      <c r="AR55" s="17">
        <v>32.799999999999997</v>
      </c>
      <c r="AS55" s="17">
        <v>7.5</v>
      </c>
      <c r="AT55" s="17">
        <v>0.66665629134888604</v>
      </c>
      <c r="AU55" s="17">
        <v>0.29816674752049699</v>
      </c>
      <c r="AV55" s="17">
        <v>-0.85384181746167098</v>
      </c>
      <c r="AW55" s="17">
        <v>2.2347919225606998</v>
      </c>
      <c r="AX55" s="17">
        <v>1.54431687001119</v>
      </c>
    </row>
    <row r="56" spans="1:50" x14ac:dyDescent="0.2">
      <c r="A56" s="15" t="s">
        <v>52</v>
      </c>
      <c r="B56" s="17" t="s">
        <v>677</v>
      </c>
      <c r="C56" s="17" t="s">
        <v>169</v>
      </c>
      <c r="D56" s="17" t="s">
        <v>169</v>
      </c>
      <c r="E56" s="17" t="s">
        <v>207</v>
      </c>
      <c r="F56" s="17" t="s">
        <v>669</v>
      </c>
      <c r="G56" s="17" t="s">
        <v>650</v>
      </c>
      <c r="H56" s="18">
        <v>-1</v>
      </c>
      <c r="J56" s="17">
        <v>34.376944000000002</v>
      </c>
      <c r="K56" s="17">
        <v>-91.851667000000006</v>
      </c>
      <c r="L56" s="17">
        <v>3596</v>
      </c>
      <c r="M56" s="17" t="s">
        <v>608</v>
      </c>
      <c r="N56" s="17" t="s">
        <v>614</v>
      </c>
      <c r="O56" s="19" t="s">
        <v>617</v>
      </c>
      <c r="P56" s="19" t="s">
        <v>612</v>
      </c>
      <c r="S56" s="19">
        <v>1</v>
      </c>
      <c r="T56" s="19">
        <v>1</v>
      </c>
      <c r="U56" s="19" t="s">
        <v>638</v>
      </c>
      <c r="V56" s="25">
        <v>2.5910000000000002</v>
      </c>
      <c r="W56" s="25">
        <v>0.183</v>
      </c>
      <c r="X56" s="25">
        <v>49.866</v>
      </c>
      <c r="Y56" s="25">
        <v>12.597</v>
      </c>
      <c r="Z56" s="25">
        <v>76.75</v>
      </c>
      <c r="AC56" s="17">
        <v>3</v>
      </c>
      <c r="AD56" s="17">
        <v>2.3593141319167201</v>
      </c>
      <c r="AE56" s="17">
        <v>2.5653008016425199E-2</v>
      </c>
      <c r="AF56" s="17">
        <v>-1.3085431223585</v>
      </c>
      <c r="AG56" s="17">
        <v>29.561009809729399</v>
      </c>
      <c r="AH56" s="17">
        <v>7.2867849215262806E-2</v>
      </c>
      <c r="AI56" s="17">
        <v>0.60094488193193196</v>
      </c>
      <c r="AJ56" s="17">
        <v>3.8717186397610598E-3</v>
      </c>
      <c r="AK56" s="17">
        <v>2.2017839525711898E-2</v>
      </c>
      <c r="AL56" s="17">
        <v>0.27827480962597101</v>
      </c>
      <c r="AM56" s="17">
        <v>1.8077258200111999E-2</v>
      </c>
      <c r="AN56" s="17">
        <v>9.0131324041094099E-2</v>
      </c>
      <c r="AO56" s="17">
        <v>22.6</v>
      </c>
      <c r="AP56" s="17">
        <v>1.25</v>
      </c>
      <c r="AQ56" s="17">
        <v>15.6</v>
      </c>
      <c r="AR56" s="17">
        <v>30.2</v>
      </c>
      <c r="AS56" s="17">
        <v>7.3</v>
      </c>
      <c r="AT56" s="17">
        <v>0.58902899915801799</v>
      </c>
      <c r="AU56" s="17">
        <v>0.32863884030393797</v>
      </c>
      <c r="AV56" s="17">
        <v>-0.959368784491062</v>
      </c>
      <c r="AW56" s="17">
        <v>2.1893789562020598</v>
      </c>
      <c r="AX56" s="17">
        <v>1.57437387034656</v>
      </c>
    </row>
    <row r="57" spans="1:50" x14ac:dyDescent="0.2">
      <c r="A57" s="15" t="s">
        <v>54</v>
      </c>
      <c r="B57" s="17" t="s">
        <v>677</v>
      </c>
      <c r="C57" s="17" t="s">
        <v>169</v>
      </c>
      <c r="D57" s="17" t="s">
        <v>169</v>
      </c>
      <c r="E57" s="17" t="s">
        <v>211</v>
      </c>
      <c r="F57" s="17" t="s">
        <v>670</v>
      </c>
      <c r="G57" s="17" t="s">
        <v>652</v>
      </c>
      <c r="H57" s="18">
        <v>-4</v>
      </c>
      <c r="J57" s="17">
        <v>34.376944000000002</v>
      </c>
      <c r="K57" s="17">
        <v>-91.851667000000006</v>
      </c>
      <c r="L57" s="17">
        <v>3596</v>
      </c>
      <c r="M57" s="17" t="s">
        <v>608</v>
      </c>
      <c r="N57" s="17" t="s">
        <v>614</v>
      </c>
      <c r="O57" s="19" t="s">
        <v>617</v>
      </c>
      <c r="P57" s="19" t="s">
        <v>612</v>
      </c>
      <c r="S57" s="19">
        <v>0</v>
      </c>
      <c r="T57" s="19">
        <v>0</v>
      </c>
      <c r="U57" s="19" t="s">
        <v>637</v>
      </c>
      <c r="V57" s="19">
        <v>2.8780000000000001</v>
      </c>
      <c r="W57" s="19">
        <v>0.26400000000000001</v>
      </c>
      <c r="X57" s="19">
        <v>13.973000000000001</v>
      </c>
      <c r="Y57" s="19">
        <v>81.674999999999997</v>
      </c>
      <c r="Z57" s="19">
        <v>568.43499999999995</v>
      </c>
      <c r="AC57" s="17">
        <v>3</v>
      </c>
      <c r="AD57" s="17">
        <v>3.54207639892766</v>
      </c>
      <c r="AE57" s="17">
        <v>4.75554327771993E-2</v>
      </c>
      <c r="AF57" s="17">
        <v>-0.49993203428368199</v>
      </c>
      <c r="AG57" s="17">
        <v>30.394615066536598</v>
      </c>
      <c r="AH57" s="17">
        <v>9.8366351179536599E-2</v>
      </c>
      <c r="AI57" s="17">
        <v>0.58860738748576202</v>
      </c>
      <c r="AJ57" s="17">
        <v>5.7224541846149701E-3</v>
      </c>
      <c r="AK57" s="17">
        <v>2.2017839525711898E-2</v>
      </c>
      <c r="AL57" s="17">
        <v>0.254741210118623</v>
      </c>
      <c r="AM57" s="17">
        <v>3.1372734309832298E-2</v>
      </c>
      <c r="AN57" s="17">
        <v>9.0131324041094099E-2</v>
      </c>
      <c r="AO57" s="17">
        <v>26.8</v>
      </c>
      <c r="AP57" s="17">
        <v>2</v>
      </c>
      <c r="AQ57" s="17">
        <v>19.5</v>
      </c>
      <c r="AR57" s="17">
        <v>34.700000000000003</v>
      </c>
      <c r="AS57" s="17">
        <v>7.6</v>
      </c>
      <c r="AT57" s="17">
        <v>2.2543692344347601</v>
      </c>
      <c r="AU57" s="17">
        <v>0.49740030674394098</v>
      </c>
      <c r="AV57" s="17">
        <v>0.65716577668501897</v>
      </c>
      <c r="AW57" s="17">
        <v>3.89740150273474</v>
      </c>
      <c r="AX57" s="17">
        <v>1.62011786302486</v>
      </c>
    </row>
    <row r="58" spans="1:50" x14ac:dyDescent="0.2">
      <c r="A58" s="15" t="s">
        <v>55</v>
      </c>
      <c r="B58" s="17" t="s">
        <v>677</v>
      </c>
      <c r="C58" s="17" t="s">
        <v>169</v>
      </c>
      <c r="D58" s="17" t="s">
        <v>169</v>
      </c>
      <c r="E58" s="17" t="s">
        <v>208</v>
      </c>
      <c r="F58" s="17" t="s">
        <v>671</v>
      </c>
      <c r="G58" s="17" t="s">
        <v>650</v>
      </c>
      <c r="H58" s="18">
        <v>-7</v>
      </c>
      <c r="J58" s="17">
        <v>34.376944000000002</v>
      </c>
      <c r="K58" s="17">
        <v>-91.851667000000006</v>
      </c>
      <c r="L58" s="17">
        <v>3596</v>
      </c>
      <c r="M58" s="17" t="s">
        <v>608</v>
      </c>
      <c r="N58" s="17" t="s">
        <v>614</v>
      </c>
      <c r="O58" s="19" t="s">
        <v>617</v>
      </c>
      <c r="P58" s="19" t="s">
        <v>612</v>
      </c>
      <c r="S58" s="19">
        <v>0</v>
      </c>
      <c r="T58" s="19">
        <v>0</v>
      </c>
      <c r="U58" s="19" t="s">
        <v>637</v>
      </c>
      <c r="V58" s="19">
        <v>3.1589999999999998</v>
      </c>
      <c r="W58" s="19">
        <v>0.28100000000000003</v>
      </c>
      <c r="X58" s="19">
        <v>77.015000000000001</v>
      </c>
      <c r="Y58" s="19">
        <v>48.218000000000004</v>
      </c>
      <c r="Z58" s="19">
        <v>376.221</v>
      </c>
      <c r="AC58" s="17">
        <v>3</v>
      </c>
      <c r="AD58" s="17">
        <v>1.54231813230601</v>
      </c>
      <c r="AE58" s="17">
        <v>0.22422951313396</v>
      </c>
      <c r="AF58" s="17">
        <v>-1.38412744204334</v>
      </c>
      <c r="AG58" s="17">
        <v>29.483089178723102</v>
      </c>
      <c r="AH58" s="17">
        <v>0.133131281783086</v>
      </c>
      <c r="AI58" s="17">
        <v>0.60224738400882805</v>
      </c>
      <c r="AJ58" s="17">
        <v>1.1166191602130801E-2</v>
      </c>
      <c r="AK58" s="17">
        <v>2.2017839525711898E-2</v>
      </c>
      <c r="AL58" s="17">
        <v>0.27728941694773501</v>
      </c>
      <c r="AM58" s="17">
        <v>7.6131666078272202E-3</v>
      </c>
      <c r="AN58" s="17">
        <v>9.0131324041094099E-2</v>
      </c>
      <c r="AO58" s="17">
        <v>22.2</v>
      </c>
      <c r="AP58" s="17">
        <v>3.65</v>
      </c>
      <c r="AQ58" s="17">
        <v>15.2</v>
      </c>
      <c r="AR58" s="17">
        <v>29.7</v>
      </c>
      <c r="AS58" s="17">
        <v>7.25</v>
      </c>
      <c r="AT58" s="17">
        <v>0.430697473859254</v>
      </c>
      <c r="AU58" s="17">
        <v>0.88422886054769401</v>
      </c>
      <c r="AV58" s="17">
        <v>-1.1799866589793699</v>
      </c>
      <c r="AW58" s="17">
        <v>2.0738558024592102</v>
      </c>
      <c r="AX58" s="17">
        <v>1.62692123071929</v>
      </c>
    </row>
    <row r="59" spans="1:50" x14ac:dyDescent="0.2">
      <c r="A59" s="15" t="s">
        <v>56</v>
      </c>
      <c r="B59" s="17" t="s">
        <v>677</v>
      </c>
      <c r="C59" s="17" t="s">
        <v>169</v>
      </c>
      <c r="D59" s="17" t="s">
        <v>169</v>
      </c>
      <c r="E59" s="17" t="s">
        <v>207</v>
      </c>
      <c r="F59" s="17" t="s">
        <v>669</v>
      </c>
      <c r="G59" s="17" t="s">
        <v>650</v>
      </c>
      <c r="H59" s="18">
        <v>-7</v>
      </c>
      <c r="J59" s="17">
        <v>34.376944000000002</v>
      </c>
      <c r="K59" s="17">
        <v>-91.851667000000006</v>
      </c>
      <c r="L59" s="17">
        <v>3596</v>
      </c>
      <c r="M59" s="17" t="s">
        <v>608</v>
      </c>
      <c r="N59" s="17" t="s">
        <v>614</v>
      </c>
      <c r="O59" s="19" t="s">
        <v>617</v>
      </c>
      <c r="P59" s="19" t="s">
        <v>612</v>
      </c>
      <c r="V59" s="19">
        <v>2.956</v>
      </c>
      <c r="W59" s="19">
        <v>0.27400000000000002</v>
      </c>
      <c r="X59" s="19">
        <v>58.246000000000002</v>
      </c>
      <c r="Y59" s="19">
        <v>33.826999999999998</v>
      </c>
      <c r="Z59" s="19">
        <v>278.904</v>
      </c>
      <c r="AC59" s="17">
        <v>3</v>
      </c>
      <c r="AD59" s="17">
        <v>2.79555420769278</v>
      </c>
      <c r="AE59" s="17">
        <v>1.8350490918984001E-2</v>
      </c>
      <c r="AF59" s="17">
        <v>-0.51271720709680102</v>
      </c>
      <c r="AG59" s="17">
        <v>30.3814347040318</v>
      </c>
      <c r="AH59" s="17">
        <v>4.4733416378299501E-2</v>
      </c>
      <c r="AI59" s="17">
        <v>0.59466938969467098</v>
      </c>
      <c r="AJ59" s="17">
        <v>1.3741570971997E-2</v>
      </c>
      <c r="AK59" s="17">
        <v>2.2017839525711898E-2</v>
      </c>
      <c r="AL59" s="17">
        <v>0.23274145621664299</v>
      </c>
      <c r="AM59" s="17">
        <v>2.49328679678604E-2</v>
      </c>
      <c r="AN59" s="17">
        <v>9.0131324041094099E-2</v>
      </c>
      <c r="AO59" s="17">
        <v>24.7</v>
      </c>
      <c r="AP59" s="17">
        <v>4.6500000000000004</v>
      </c>
      <c r="AQ59" s="17">
        <v>17.5</v>
      </c>
      <c r="AR59" s="17">
        <v>32.5</v>
      </c>
      <c r="AS59" s="17">
        <v>7.5</v>
      </c>
      <c r="AT59" s="17">
        <v>1.8168814249019101</v>
      </c>
      <c r="AU59" s="17">
        <v>0.99047383367150099</v>
      </c>
      <c r="AV59" s="17">
        <v>0.27230687276369298</v>
      </c>
      <c r="AW59" s="17">
        <v>3.4092306257997498</v>
      </c>
      <c r="AX59" s="17">
        <v>1.56846187651803</v>
      </c>
    </row>
    <row r="60" spans="1:50" x14ac:dyDescent="0.2">
      <c r="A60" s="15" t="s">
        <v>660</v>
      </c>
      <c r="B60" s="17" t="s">
        <v>676</v>
      </c>
      <c r="C60" s="17" t="s">
        <v>169</v>
      </c>
      <c r="D60" s="17" t="s">
        <v>169</v>
      </c>
      <c r="E60" s="17" t="s">
        <v>203</v>
      </c>
      <c r="F60" s="17" t="s">
        <v>500</v>
      </c>
      <c r="G60" s="17" t="s">
        <v>652</v>
      </c>
      <c r="H60" s="18">
        <v>1</v>
      </c>
      <c r="J60" s="17">
        <v>34.376944000000002</v>
      </c>
      <c r="K60" s="17">
        <v>-91.851667000000006</v>
      </c>
      <c r="L60" s="17">
        <v>3596</v>
      </c>
      <c r="M60" s="17" t="s">
        <v>618</v>
      </c>
      <c r="N60" s="17" t="s">
        <v>619</v>
      </c>
      <c r="O60" s="19" t="s">
        <v>620</v>
      </c>
      <c r="S60" s="19">
        <v>0</v>
      </c>
      <c r="T60" s="19">
        <v>0</v>
      </c>
      <c r="U60" s="19" t="s">
        <v>637</v>
      </c>
      <c r="V60" s="19">
        <v>1.0887507666454366</v>
      </c>
      <c r="W60" s="19">
        <v>2.6966503998064799</v>
      </c>
      <c r="X60" s="19">
        <v>22.835930949247341</v>
      </c>
      <c r="Y60" s="19">
        <v>2072.0664904098112</v>
      </c>
      <c r="Z60" s="19">
        <v>15827.194204573019</v>
      </c>
      <c r="AC60" s="17">
        <v>4</v>
      </c>
      <c r="AD60" s="17">
        <v>1.8682680645191101</v>
      </c>
      <c r="AE60" s="17">
        <v>8.2246893966895898E-2</v>
      </c>
      <c r="AF60" s="17">
        <v>-1.2194812649540601</v>
      </c>
      <c r="AG60" s="17">
        <v>29.652824569146201</v>
      </c>
      <c r="AH60" s="17">
        <v>4.6758886987346801E-2</v>
      </c>
      <c r="AI60" s="17">
        <v>0.59574037072006603</v>
      </c>
      <c r="AJ60" s="17">
        <v>1.1868910111420401E-2</v>
      </c>
      <c r="AK60" s="17">
        <v>1.9068008365715601E-2</v>
      </c>
      <c r="AL60" s="17">
        <v>0.239902478885724</v>
      </c>
      <c r="AM60" s="17">
        <v>3.92052683885208E-2</v>
      </c>
      <c r="AN60" s="17">
        <v>7.8056016296314604E-2</v>
      </c>
      <c r="AO60" s="17">
        <v>24.4</v>
      </c>
      <c r="AP60" s="17">
        <v>4</v>
      </c>
      <c r="AQ60" s="17">
        <v>18.100000000000001</v>
      </c>
      <c r="AR60" s="17">
        <v>31</v>
      </c>
      <c r="AS60" s="17">
        <v>6.45</v>
      </c>
      <c r="AT60" s="17">
        <v>1.0473720020788699</v>
      </c>
      <c r="AU60" s="17">
        <v>0.861034960546192</v>
      </c>
      <c r="AV60" s="17">
        <v>-0.30926298536815</v>
      </c>
      <c r="AW60" s="17">
        <v>2.4100320750504798</v>
      </c>
      <c r="AX60" s="17">
        <v>1.3596475302093201</v>
      </c>
    </row>
    <row r="61" spans="1:50" x14ac:dyDescent="0.2">
      <c r="A61" s="15" t="s">
        <v>663</v>
      </c>
      <c r="B61" s="17" t="s">
        <v>677</v>
      </c>
      <c r="C61" s="17" t="s">
        <v>169</v>
      </c>
      <c r="D61" s="17" t="s">
        <v>169</v>
      </c>
      <c r="E61" s="17" t="s">
        <v>203</v>
      </c>
      <c r="F61" s="17" t="s">
        <v>500</v>
      </c>
      <c r="G61" s="17" t="s">
        <v>652</v>
      </c>
      <c r="H61" s="18">
        <v>-3.5</v>
      </c>
      <c r="J61" s="17">
        <v>34.376944000000002</v>
      </c>
      <c r="K61" s="17">
        <v>-91.851667000000006</v>
      </c>
      <c r="L61" s="17">
        <v>3596</v>
      </c>
      <c r="M61" s="17" t="s">
        <v>608</v>
      </c>
      <c r="N61" s="17" t="s">
        <v>614</v>
      </c>
      <c r="O61" s="19" t="s">
        <v>617</v>
      </c>
      <c r="P61" s="19" t="s">
        <v>612</v>
      </c>
      <c r="V61" s="19">
        <v>1.3009999999999999</v>
      </c>
      <c r="W61" s="19">
        <v>4.1289999999999996</v>
      </c>
      <c r="X61" s="19">
        <v>17.876000000000001</v>
      </c>
      <c r="Y61" s="19">
        <v>1302.2670000000001</v>
      </c>
      <c r="Z61" s="19">
        <v>477.32</v>
      </c>
      <c r="AC61" s="17">
        <v>3</v>
      </c>
      <c r="AD61" s="17">
        <v>1.6241864688504899</v>
      </c>
      <c r="AE61" s="17">
        <v>7.9573864499447297E-2</v>
      </c>
      <c r="AF61" s="17">
        <v>-2.2600064392481198</v>
      </c>
      <c r="AG61" s="17">
        <v>28.580136761714702</v>
      </c>
      <c r="AH61" s="17">
        <v>1.8081105500391399E-2</v>
      </c>
      <c r="AI61" s="17">
        <v>0.58047844470855003</v>
      </c>
      <c r="AJ61" s="17">
        <v>3.70445919011704E-3</v>
      </c>
      <c r="AK61" s="17">
        <v>2.2017839525711898E-2</v>
      </c>
      <c r="AL61" s="17">
        <v>0.29238612479801701</v>
      </c>
      <c r="AM61" s="17">
        <v>5.4953371370446901E-3</v>
      </c>
      <c r="AN61" s="17">
        <v>9.0131324041094099E-2</v>
      </c>
      <c r="AO61" s="17">
        <v>29.6</v>
      </c>
      <c r="AP61" s="17">
        <v>1.35</v>
      </c>
      <c r="AQ61" s="17">
        <v>22.1</v>
      </c>
      <c r="AR61" s="17">
        <v>37.799999999999997</v>
      </c>
      <c r="AS61" s="17">
        <v>7.85</v>
      </c>
      <c r="AT61" s="17">
        <v>1.0458021661215799</v>
      </c>
      <c r="AU61" s="17">
        <v>0.28343886604449198</v>
      </c>
      <c r="AV61" s="17">
        <v>-0.48501043968747098</v>
      </c>
      <c r="AW61" s="17">
        <v>2.63679336767348</v>
      </c>
      <c r="AX61" s="17">
        <v>1.5609019036804701</v>
      </c>
    </row>
    <row r="62" spans="1:50" x14ac:dyDescent="0.2">
      <c r="A62" s="15" t="s">
        <v>59</v>
      </c>
      <c r="B62" s="17" t="s">
        <v>677</v>
      </c>
      <c r="C62" s="17" t="s">
        <v>169</v>
      </c>
      <c r="D62" s="17" t="s">
        <v>169</v>
      </c>
      <c r="E62" s="17" t="s">
        <v>211</v>
      </c>
      <c r="F62" s="17" t="s">
        <v>670</v>
      </c>
      <c r="G62" s="17" t="s">
        <v>652</v>
      </c>
      <c r="H62" s="18">
        <v>-0.5</v>
      </c>
      <c r="J62" s="17">
        <v>34.376944000000002</v>
      </c>
      <c r="K62" s="17">
        <v>-91.851667000000006</v>
      </c>
      <c r="L62" s="17">
        <v>3596</v>
      </c>
      <c r="M62" s="17" t="s">
        <v>608</v>
      </c>
      <c r="N62" s="17" t="s">
        <v>614</v>
      </c>
      <c r="O62" s="19" t="s">
        <v>617</v>
      </c>
      <c r="P62" s="19" t="s">
        <v>612</v>
      </c>
      <c r="V62" s="19">
        <v>1.2070000000000001</v>
      </c>
      <c r="W62" s="19">
        <v>1.8129999999999999</v>
      </c>
      <c r="X62" s="19">
        <v>21.794</v>
      </c>
      <c r="Y62" s="19">
        <v>1138.895</v>
      </c>
      <c r="Z62" s="19">
        <v>647.32500000000005</v>
      </c>
      <c r="AC62" s="17">
        <v>3</v>
      </c>
      <c r="AD62" s="17">
        <v>-0.13410276232465099</v>
      </c>
      <c r="AE62" s="17">
        <v>3.8581679537146002E-2</v>
      </c>
      <c r="AF62" s="17">
        <v>-0.28716064485394099</v>
      </c>
      <c r="AG62" s="17">
        <v>30.613963219613598</v>
      </c>
      <c r="AH62" s="17">
        <v>5.6954219531602297E-2</v>
      </c>
      <c r="AI62" s="17">
        <v>0.60053697563146902</v>
      </c>
      <c r="AJ62" s="17">
        <v>6.3241170242614398E-3</v>
      </c>
      <c r="AK62" s="17">
        <v>2.2017839525711898E-2</v>
      </c>
      <c r="AL62" s="17">
        <v>0.27974901183657602</v>
      </c>
      <c r="AM62" s="17">
        <v>2.1888758610410598E-2</v>
      </c>
      <c r="AN62" s="17">
        <v>9.0131324041094099E-2</v>
      </c>
      <c r="AO62" s="17">
        <v>22.8</v>
      </c>
      <c r="AP62" s="17">
        <v>2.1</v>
      </c>
      <c r="AQ62" s="17">
        <v>15.7</v>
      </c>
      <c r="AR62" s="17">
        <v>30.3</v>
      </c>
      <c r="AS62" s="17">
        <v>7.3</v>
      </c>
      <c r="AT62" s="17">
        <v>0.87948122364173298</v>
      </c>
      <c r="AU62" s="17">
        <v>0.48440488093234502</v>
      </c>
      <c r="AV62" s="17">
        <v>-0.66098042019848402</v>
      </c>
      <c r="AW62" s="17">
        <v>2.43052279947005</v>
      </c>
      <c r="AX62" s="17">
        <v>1.5457516098342701</v>
      </c>
    </row>
    <row r="63" spans="1:50" x14ac:dyDescent="0.2">
      <c r="A63" s="15" t="s">
        <v>60</v>
      </c>
      <c r="B63" s="17" t="s">
        <v>677</v>
      </c>
      <c r="C63" s="17" t="s">
        <v>169</v>
      </c>
      <c r="D63" s="17" t="s">
        <v>169</v>
      </c>
      <c r="E63" s="17" t="s">
        <v>203</v>
      </c>
      <c r="F63" s="17" t="s">
        <v>500</v>
      </c>
      <c r="G63" s="17" t="s">
        <v>652</v>
      </c>
      <c r="H63" s="18">
        <v>1.5</v>
      </c>
      <c r="J63" s="17">
        <v>34.376944000000002</v>
      </c>
      <c r="K63" s="17">
        <v>-91.851667000000006</v>
      </c>
      <c r="L63" s="17">
        <v>3596</v>
      </c>
      <c r="M63" s="17" t="s">
        <v>618</v>
      </c>
      <c r="N63" s="17" t="s">
        <v>619</v>
      </c>
      <c r="O63" s="19" t="s">
        <v>620</v>
      </c>
      <c r="V63" s="25">
        <v>1.3580000000000001</v>
      </c>
      <c r="W63" s="25">
        <v>1.6080000000000001</v>
      </c>
      <c r="X63" s="25">
        <v>32.859000000000002</v>
      </c>
      <c r="Y63" s="25">
        <v>622.04300000000001</v>
      </c>
      <c r="Z63" s="25">
        <v>357.68799999999999</v>
      </c>
      <c r="AC63" s="17">
        <v>3</v>
      </c>
      <c r="AD63" s="17">
        <v>-0.43886841402962901</v>
      </c>
      <c r="AE63" s="17">
        <v>2.2207837636171599E-2</v>
      </c>
      <c r="AF63" s="17">
        <v>-0.79348059950504901</v>
      </c>
      <c r="AG63" s="17">
        <v>30.091992915164301</v>
      </c>
      <c r="AH63" s="17">
        <v>9.3885897416156605E-3</v>
      </c>
      <c r="AI63" s="17">
        <v>0.58201182090313497</v>
      </c>
      <c r="AJ63" s="17">
        <v>1.03922654924779E-2</v>
      </c>
      <c r="AK63" s="17">
        <v>2.2017839525711898E-2</v>
      </c>
      <c r="AL63" s="17">
        <v>0.272968927654899</v>
      </c>
      <c r="AM63" s="17">
        <v>3.8656334520744802E-2</v>
      </c>
      <c r="AN63" s="17">
        <v>9.0131324041094099E-2</v>
      </c>
      <c r="AO63" s="17">
        <v>29.1</v>
      </c>
      <c r="AP63" s="17">
        <v>3.65</v>
      </c>
      <c r="AQ63" s="17">
        <v>21.6</v>
      </c>
      <c r="AR63" s="17">
        <v>37.200000000000003</v>
      </c>
      <c r="AS63" s="17">
        <v>7.8</v>
      </c>
      <c r="AT63" s="17">
        <v>1.6331163041036201</v>
      </c>
      <c r="AU63" s="17">
        <v>0.724771529473628</v>
      </c>
      <c r="AV63" s="17">
        <v>0.117426685854639</v>
      </c>
      <c r="AW63" s="17">
        <v>3.1899299486735799</v>
      </c>
      <c r="AX63" s="17">
        <v>1.5362516314094701</v>
      </c>
    </row>
    <row r="64" spans="1:50" x14ac:dyDescent="0.2">
      <c r="A64" s="15" t="s">
        <v>61</v>
      </c>
      <c r="B64" s="17" t="s">
        <v>677</v>
      </c>
      <c r="C64" s="17" t="s">
        <v>169</v>
      </c>
      <c r="D64" s="17" t="s">
        <v>169</v>
      </c>
      <c r="E64" s="17" t="s">
        <v>207</v>
      </c>
      <c r="F64" s="17" t="s">
        <v>669</v>
      </c>
      <c r="G64" s="17" t="s">
        <v>650</v>
      </c>
      <c r="H64" s="18">
        <v>3.5</v>
      </c>
      <c r="J64" s="17">
        <v>34.376944000000002</v>
      </c>
      <c r="K64" s="17">
        <v>-91.851667000000006</v>
      </c>
      <c r="L64" s="17">
        <v>3596</v>
      </c>
      <c r="M64" s="17" t="s">
        <v>618</v>
      </c>
      <c r="N64" s="17" t="s">
        <v>619</v>
      </c>
      <c r="O64" s="19" t="s">
        <v>620</v>
      </c>
      <c r="S64" s="19">
        <v>0</v>
      </c>
      <c r="T64" s="19">
        <v>0</v>
      </c>
      <c r="U64" s="19" t="s">
        <v>637</v>
      </c>
      <c r="V64" s="19">
        <v>4.9000000000000004</v>
      </c>
      <c r="W64" s="19">
        <v>0.2</v>
      </c>
      <c r="X64" s="19">
        <v>85.117999999999995</v>
      </c>
      <c r="Y64" s="19">
        <v>6.6790000000000003</v>
      </c>
      <c r="Z64" s="19">
        <v>47.152999999999999</v>
      </c>
      <c r="AC64" s="17">
        <v>3</v>
      </c>
      <c r="AD64" s="17">
        <v>2.1783684395612499</v>
      </c>
      <c r="AE64" s="17">
        <v>1.94044452439588E-2</v>
      </c>
      <c r="AF64" s="17">
        <v>-1.3164610110464601</v>
      </c>
      <c r="AG64" s="17">
        <v>29.552847179102098</v>
      </c>
      <c r="AH64" s="17">
        <v>0.10213954701125801</v>
      </c>
      <c r="AI64" s="17">
        <v>0.58954393252764004</v>
      </c>
      <c r="AJ64" s="17">
        <v>1.1490737407687001E-3</v>
      </c>
      <c r="AK64" s="17">
        <v>2.2017839525711898E-2</v>
      </c>
      <c r="AL64" s="17">
        <v>0.20564164276119001</v>
      </c>
      <c r="AM64" s="17">
        <v>3.0941763674450701E-2</v>
      </c>
      <c r="AN64" s="17">
        <v>9.0131324041094099E-2</v>
      </c>
      <c r="AO64" s="17">
        <v>26.5</v>
      </c>
      <c r="AP64" s="17">
        <v>0.39999999999999902</v>
      </c>
      <c r="AQ64" s="17">
        <v>19.2</v>
      </c>
      <c r="AR64" s="17">
        <v>34.299999999999997</v>
      </c>
      <c r="AS64" s="17">
        <v>7.55</v>
      </c>
      <c r="AT64" s="17">
        <v>1.37532535662842</v>
      </c>
      <c r="AU64" s="17">
        <v>0.17977535080638099</v>
      </c>
      <c r="AV64" s="17">
        <v>-0.227260385946465</v>
      </c>
      <c r="AW64" s="17">
        <v>3.0046046888707001</v>
      </c>
      <c r="AX64" s="17">
        <v>1.61593253740858</v>
      </c>
    </row>
    <row r="65" spans="1:50" x14ac:dyDescent="0.2">
      <c r="A65" s="15" t="s">
        <v>62</v>
      </c>
      <c r="B65" s="17" t="s">
        <v>677</v>
      </c>
      <c r="C65" s="17" t="s">
        <v>169</v>
      </c>
      <c r="D65" s="17" t="s">
        <v>169</v>
      </c>
      <c r="E65" s="17" t="s">
        <v>203</v>
      </c>
      <c r="F65" s="17" t="s">
        <v>500</v>
      </c>
      <c r="G65" s="17" t="s">
        <v>652</v>
      </c>
      <c r="H65" s="18">
        <v>-3.5</v>
      </c>
      <c r="J65" s="17">
        <v>34.376944000000002</v>
      </c>
      <c r="K65" s="17">
        <v>-91.851667000000006</v>
      </c>
      <c r="L65" s="17">
        <v>3596</v>
      </c>
      <c r="M65" s="17" t="s">
        <v>608</v>
      </c>
      <c r="N65" s="17" t="s">
        <v>614</v>
      </c>
      <c r="O65" s="19" t="s">
        <v>617</v>
      </c>
      <c r="P65" s="19" t="s">
        <v>612</v>
      </c>
      <c r="AC65" s="17">
        <v>3</v>
      </c>
      <c r="AD65" s="17">
        <v>-0.27221062217375602</v>
      </c>
      <c r="AE65" s="17">
        <v>0.65148285870281297</v>
      </c>
      <c r="AF65" s="17">
        <v>-2.7072122236138001</v>
      </c>
      <c r="AG65" s="17">
        <v>28.1191078465543</v>
      </c>
      <c r="AH65" s="17">
        <v>9.4021343443979596E-2</v>
      </c>
      <c r="AI65" s="17">
        <v>0.59032223316955501</v>
      </c>
      <c r="AJ65" s="17">
        <v>5.5209817417977199E-3</v>
      </c>
      <c r="AK65" s="17">
        <v>2.2017839525711898E-2</v>
      </c>
      <c r="AL65" s="17">
        <v>0.19723977413701399</v>
      </c>
      <c r="AM65" s="17">
        <v>2.6167131882495701E-2</v>
      </c>
      <c r="AN65" s="17">
        <v>9.0131324041094099E-2</v>
      </c>
      <c r="AO65" s="17">
        <v>26.2</v>
      </c>
      <c r="AP65" s="17">
        <v>1.9</v>
      </c>
      <c r="AQ65" s="17">
        <v>18.899999999999999</v>
      </c>
      <c r="AR65" s="17">
        <v>34.1</v>
      </c>
      <c r="AS65" s="17">
        <v>7.6</v>
      </c>
      <c r="AT65" s="17">
        <v>-7.9472272051020795E-2</v>
      </c>
      <c r="AU65" s="17">
        <v>0.47371459321112802</v>
      </c>
      <c r="AV65" s="17">
        <v>-1.6750297296976</v>
      </c>
      <c r="AW65" s="17">
        <v>1.5618328848090599</v>
      </c>
      <c r="AX65" s="17">
        <v>1.6184313072533301</v>
      </c>
    </row>
    <row r="66" spans="1:50" x14ac:dyDescent="0.2">
      <c r="A66" s="15" t="s">
        <v>63</v>
      </c>
      <c r="B66" s="17" t="s">
        <v>677</v>
      </c>
      <c r="C66" s="17" t="s">
        <v>169</v>
      </c>
      <c r="D66" s="17" t="s">
        <v>169</v>
      </c>
      <c r="E66" s="17" t="s">
        <v>213</v>
      </c>
      <c r="F66" s="17" t="s">
        <v>669</v>
      </c>
      <c r="G66" s="17" t="s">
        <v>650</v>
      </c>
      <c r="H66" s="18">
        <v>4</v>
      </c>
      <c r="J66" s="17">
        <v>34.376944000000002</v>
      </c>
      <c r="K66" s="17">
        <v>-91.851667000000006</v>
      </c>
      <c r="L66" s="17">
        <v>3596</v>
      </c>
      <c r="M66" s="17" t="s">
        <v>618</v>
      </c>
      <c r="N66" s="17" t="s">
        <v>619</v>
      </c>
      <c r="O66" s="19" t="s">
        <v>620</v>
      </c>
      <c r="V66" s="19">
        <v>2.6520000000000001</v>
      </c>
      <c r="W66" s="19">
        <v>0.161</v>
      </c>
      <c r="X66" s="19">
        <v>53.893000000000001</v>
      </c>
      <c r="Y66" s="19">
        <v>55.087000000000003</v>
      </c>
      <c r="Z66" s="19">
        <v>52.631999999999998</v>
      </c>
      <c r="AC66" s="17">
        <v>5</v>
      </c>
      <c r="AD66" s="17">
        <v>0.38724396391308702</v>
      </c>
      <c r="AE66" s="17">
        <v>0.12937105543548699</v>
      </c>
      <c r="AF66" s="17">
        <v>-1.4780645832386199</v>
      </c>
      <c r="AG66" s="17">
        <v>29.3862484404935</v>
      </c>
      <c r="AH66" s="17">
        <v>7.1290399285561301E-2</v>
      </c>
      <c r="AI66" s="17">
        <v>0.59276535575849298</v>
      </c>
      <c r="AJ66" s="17">
        <v>5.8296754097783097E-3</v>
      </c>
      <c r="AK66" s="17">
        <v>1.7054945160509899E-2</v>
      </c>
      <c r="AL66" s="17">
        <v>0.22809686197586801</v>
      </c>
      <c r="AM66" s="17">
        <v>1.2055975198338301E-2</v>
      </c>
      <c r="AN66" s="17">
        <v>6.9815423396556303E-2</v>
      </c>
      <c r="AO66" s="17">
        <v>25.4</v>
      </c>
      <c r="AP66" s="17">
        <v>2</v>
      </c>
      <c r="AQ66" s="17">
        <v>19.7</v>
      </c>
      <c r="AR66" s="17">
        <v>31.3</v>
      </c>
      <c r="AS66" s="17">
        <v>5.8</v>
      </c>
      <c r="AT66" s="17">
        <v>0.99134624089776902</v>
      </c>
      <c r="AU66" s="17">
        <v>0.474309916086327</v>
      </c>
      <c r="AV66" s="17">
        <v>-0.253831389535776</v>
      </c>
      <c r="AW66" s="17">
        <v>2.2329444495715101</v>
      </c>
      <c r="AX66" s="17">
        <v>1.2433879195536399</v>
      </c>
    </row>
    <row r="67" spans="1:50" x14ac:dyDescent="0.2">
      <c r="A67" s="15" t="s">
        <v>64</v>
      </c>
      <c r="B67" s="17" t="s">
        <v>677</v>
      </c>
      <c r="C67" s="17" t="s">
        <v>169</v>
      </c>
      <c r="D67" s="17" t="s">
        <v>169</v>
      </c>
      <c r="E67" s="17" t="s">
        <v>203</v>
      </c>
      <c r="F67" s="17" t="s">
        <v>500</v>
      </c>
      <c r="G67" s="17" t="s">
        <v>652</v>
      </c>
      <c r="H67" s="18">
        <v>-4</v>
      </c>
      <c r="J67" s="17">
        <v>34.376944000000002</v>
      </c>
      <c r="K67" s="17">
        <v>-91.851667000000006</v>
      </c>
      <c r="L67" s="17">
        <v>3596</v>
      </c>
      <c r="M67" s="17" t="s">
        <v>608</v>
      </c>
      <c r="N67" s="17" t="s">
        <v>614</v>
      </c>
      <c r="O67" s="19" t="s">
        <v>617</v>
      </c>
      <c r="P67" s="19" t="s">
        <v>612</v>
      </c>
      <c r="V67" s="19">
        <v>1.329</v>
      </c>
      <c r="W67" s="19">
        <v>1.008</v>
      </c>
      <c r="X67" s="19">
        <v>27.864999999999998</v>
      </c>
      <c r="Y67" s="19">
        <v>966.63599999999997</v>
      </c>
      <c r="Z67" s="19">
        <v>342.85399999999998</v>
      </c>
      <c r="AC67" s="17">
        <v>3</v>
      </c>
      <c r="AD67" s="17">
        <v>-0.81852863992098301</v>
      </c>
      <c r="AE67" s="17">
        <v>0.33539655718165801</v>
      </c>
      <c r="AF67" s="17">
        <v>-3.20080042412701</v>
      </c>
      <c r="AG67" s="17">
        <v>27.610262834763201</v>
      </c>
      <c r="AH67" s="17">
        <v>9.8851873393569503E-2</v>
      </c>
      <c r="AI67" s="17">
        <v>0.55610687229189804</v>
      </c>
      <c r="AJ67" s="17">
        <v>6.3050605987728303E-3</v>
      </c>
      <c r="AK67" s="17">
        <v>2.2017839525711898E-2</v>
      </c>
      <c r="AL67" s="17">
        <v>0.21232052003183099</v>
      </c>
      <c r="AM67" s="17">
        <v>1.7459864961787398E-2</v>
      </c>
      <c r="AN67" s="17">
        <v>9.0131324041094099E-2</v>
      </c>
      <c r="AO67" s="17">
        <v>38.700000000000003</v>
      </c>
      <c r="AP67" s="17">
        <v>2.4500000000000002</v>
      </c>
      <c r="AQ67" s="17">
        <v>30.5</v>
      </c>
      <c r="AR67" s="17">
        <v>47.6</v>
      </c>
      <c r="AS67" s="17">
        <v>8.5500000000000007</v>
      </c>
      <c r="AT67" s="17">
        <v>1.84140889077321</v>
      </c>
      <c r="AU67" s="17">
        <v>0.55145982269220895</v>
      </c>
      <c r="AV67" s="17">
        <v>0.182216621034854</v>
      </c>
      <c r="AW67" s="17">
        <v>3.5464353007578202</v>
      </c>
      <c r="AX67" s="17">
        <v>1.6821093398614799</v>
      </c>
    </row>
    <row r="68" spans="1:50" x14ac:dyDescent="0.2">
      <c r="A68" s="15" t="s">
        <v>65</v>
      </c>
      <c r="B68" s="17" t="s">
        <v>677</v>
      </c>
      <c r="C68" s="17" t="s">
        <v>169</v>
      </c>
      <c r="D68" s="17" t="s">
        <v>169</v>
      </c>
      <c r="E68" s="17" t="s">
        <v>203</v>
      </c>
      <c r="F68" s="17" t="s">
        <v>500</v>
      </c>
      <c r="G68" s="17" t="s">
        <v>652</v>
      </c>
      <c r="H68" s="18">
        <v>-5.5</v>
      </c>
      <c r="J68" s="17">
        <v>34.376944000000002</v>
      </c>
      <c r="K68" s="17">
        <v>-91.851667000000006</v>
      </c>
      <c r="L68" s="17">
        <v>3596</v>
      </c>
      <c r="M68" s="17" t="s">
        <v>608</v>
      </c>
      <c r="N68" s="17" t="s">
        <v>614</v>
      </c>
      <c r="O68" s="19" t="s">
        <v>617</v>
      </c>
      <c r="P68" s="19" t="s">
        <v>612</v>
      </c>
      <c r="AC68" s="17">
        <v>3</v>
      </c>
      <c r="AD68" s="17">
        <v>-1.2061820401276</v>
      </c>
      <c r="AE68" s="17">
        <v>2.5865372240034001E-2</v>
      </c>
      <c r="AF68" s="17">
        <v>-0.655695382683394</v>
      </c>
      <c r="AG68" s="17">
        <v>30.2340370730379</v>
      </c>
      <c r="AH68" s="17">
        <v>3.6331162553005697E-2</v>
      </c>
      <c r="AI68" s="17">
        <v>0.59032718357349701</v>
      </c>
      <c r="AJ68" s="17">
        <v>3.86204521440874E-3</v>
      </c>
      <c r="AK68" s="17">
        <v>2.2017839525711898E-2</v>
      </c>
      <c r="AL68" s="17">
        <v>0.243946729471752</v>
      </c>
      <c r="AM68" s="17">
        <v>1.90316908343298E-2</v>
      </c>
      <c r="AN68" s="17">
        <v>9.0131324041094099E-2</v>
      </c>
      <c r="AO68" s="17">
        <v>26.2</v>
      </c>
      <c r="AP68" s="17">
        <v>1.3</v>
      </c>
      <c r="AQ68" s="17">
        <v>18.899999999999999</v>
      </c>
      <c r="AR68" s="17">
        <v>34.1</v>
      </c>
      <c r="AS68" s="17">
        <v>7.6</v>
      </c>
      <c r="AT68" s="17">
        <v>1.19729935166015</v>
      </c>
      <c r="AU68" s="17">
        <v>0.29501178966137298</v>
      </c>
      <c r="AV68" s="17">
        <v>-0.33160712409255699</v>
      </c>
      <c r="AW68" s="17">
        <v>2.7714412142645402</v>
      </c>
      <c r="AX68" s="17">
        <v>1.55152416917855</v>
      </c>
    </row>
    <row r="69" spans="1:50" x14ac:dyDescent="0.2">
      <c r="A69" s="15" t="s">
        <v>66</v>
      </c>
      <c r="B69" s="17" t="s">
        <v>676</v>
      </c>
      <c r="C69" s="17" t="s">
        <v>169</v>
      </c>
      <c r="D69" s="17" t="s">
        <v>169</v>
      </c>
      <c r="E69" s="17" t="s">
        <v>208</v>
      </c>
      <c r="F69" s="17" t="s">
        <v>671</v>
      </c>
      <c r="G69" s="17" t="s">
        <v>650</v>
      </c>
      <c r="H69" s="18">
        <v>-7</v>
      </c>
      <c r="J69" s="17">
        <v>34.376944000000002</v>
      </c>
      <c r="K69" s="17">
        <v>-91.851667000000006</v>
      </c>
      <c r="L69" s="17">
        <v>3596</v>
      </c>
      <c r="M69" s="17" t="s">
        <v>608</v>
      </c>
      <c r="N69" s="17" t="s">
        <v>614</v>
      </c>
      <c r="O69" s="19" t="s">
        <v>617</v>
      </c>
      <c r="P69" s="19" t="s">
        <v>612</v>
      </c>
      <c r="V69" s="19">
        <v>2.7789999999999999</v>
      </c>
      <c r="W69" s="19">
        <v>0.34300000000000003</v>
      </c>
      <c r="X69" s="19">
        <v>67.09</v>
      </c>
      <c r="Y69" s="19">
        <v>87.167000000000002</v>
      </c>
      <c r="Z69" s="19">
        <v>1491.924</v>
      </c>
      <c r="AC69" s="17">
        <v>3</v>
      </c>
      <c r="AD69" s="17">
        <v>2.6998780174785</v>
      </c>
      <c r="AE69" s="17">
        <v>7.3583998833947201E-3</v>
      </c>
      <c r="AF69" s="17">
        <v>-1.56028682593585</v>
      </c>
      <c r="AG69" s="17">
        <v>29.301484708274501</v>
      </c>
      <c r="AH69" s="17">
        <v>5.9150117709850097E-2</v>
      </c>
      <c r="AI69" s="17">
        <v>0.60819077575809199</v>
      </c>
      <c r="AJ69" s="17">
        <v>6.1204756847693699E-3</v>
      </c>
      <c r="AK69" s="17">
        <v>2.2017839525711898E-2</v>
      </c>
      <c r="AL69" s="17">
        <v>0.235314654498607</v>
      </c>
      <c r="AM69" s="17">
        <v>2.4432819955520001E-2</v>
      </c>
      <c r="AN69" s="17">
        <v>9.0131324041094099E-2</v>
      </c>
      <c r="AO69" s="17">
        <v>20.3</v>
      </c>
      <c r="AP69" s="17">
        <v>2</v>
      </c>
      <c r="AQ69" s="17">
        <v>13.4</v>
      </c>
      <c r="AR69" s="17">
        <v>27.6</v>
      </c>
      <c r="AS69" s="17">
        <v>7.1</v>
      </c>
      <c r="AT69" s="17">
        <v>-0.14106019785367599</v>
      </c>
      <c r="AU69" s="17">
        <v>0.47616978176426999</v>
      </c>
      <c r="AV69" s="17">
        <v>-1.6766150390491199</v>
      </c>
      <c r="AW69" s="17">
        <v>1.4087332590295301</v>
      </c>
      <c r="AX69" s="17">
        <v>1.5426741490393301</v>
      </c>
    </row>
    <row r="70" spans="1:50" x14ac:dyDescent="0.2">
      <c r="A70" s="15" t="s">
        <v>67</v>
      </c>
      <c r="B70" s="17" t="s">
        <v>677</v>
      </c>
      <c r="C70" s="17" t="s">
        <v>169</v>
      </c>
      <c r="D70" s="17" t="s">
        <v>169</v>
      </c>
      <c r="E70" s="17" t="s">
        <v>207</v>
      </c>
      <c r="F70" s="17" t="s">
        <v>669</v>
      </c>
      <c r="G70" s="17" t="s">
        <v>650</v>
      </c>
      <c r="H70" s="18">
        <v>-7.5</v>
      </c>
      <c r="J70" s="17">
        <v>34.376944000000002</v>
      </c>
      <c r="K70" s="17">
        <v>-91.851667000000006</v>
      </c>
      <c r="L70" s="17">
        <v>3596</v>
      </c>
      <c r="M70" s="17" t="s">
        <v>608</v>
      </c>
      <c r="N70" s="17" t="s">
        <v>614</v>
      </c>
      <c r="O70" s="19" t="s">
        <v>617</v>
      </c>
      <c r="P70" s="19" t="s">
        <v>612</v>
      </c>
      <c r="V70" s="25">
        <v>3.1120000000000001</v>
      </c>
      <c r="W70" s="25">
        <v>0.28999999999999998</v>
      </c>
      <c r="X70" s="25">
        <v>42.996000000000002</v>
      </c>
      <c r="Y70" s="25">
        <v>23.062000000000001</v>
      </c>
      <c r="Z70" s="25">
        <v>817.06399999999996</v>
      </c>
      <c r="AC70" s="17">
        <v>3</v>
      </c>
      <c r="AD70" s="17">
        <v>-1.6546680465568</v>
      </c>
      <c r="AE70" s="17">
        <v>0.23341179680594101</v>
      </c>
      <c r="AF70" s="17">
        <v>-3.6657235434250901</v>
      </c>
      <c r="AG70" s="17">
        <v>27.130968941847598</v>
      </c>
      <c r="AH70" s="17">
        <v>7.5228819210677797E-2</v>
      </c>
      <c r="AI70" s="17">
        <v>0.56914020844803703</v>
      </c>
      <c r="AJ70" s="17">
        <v>1.3020136425432699E-2</v>
      </c>
      <c r="AK70" s="17">
        <v>2.2017839525711898E-2</v>
      </c>
      <c r="AL70" s="17">
        <v>0.225932166761702</v>
      </c>
      <c r="AM70" s="17">
        <v>2.1834468713000699E-2</v>
      </c>
      <c r="AN70" s="17">
        <v>9.0131324041094099E-2</v>
      </c>
      <c r="AO70" s="17">
        <v>33.700000000000003</v>
      </c>
      <c r="AP70" s="17">
        <v>4.8499999999999996</v>
      </c>
      <c r="AQ70" s="17">
        <v>25.9</v>
      </c>
      <c r="AR70" s="17">
        <v>42.2</v>
      </c>
      <c r="AS70" s="17">
        <v>8.15</v>
      </c>
      <c r="AT70" s="17">
        <v>0.43119051248243101</v>
      </c>
      <c r="AU70" s="17">
        <v>1.0026122357268701</v>
      </c>
      <c r="AV70" s="17">
        <v>-1.1740273614369701</v>
      </c>
      <c r="AW70" s="17">
        <v>2.09030128092513</v>
      </c>
      <c r="AX70" s="17">
        <v>1.6321643211810499</v>
      </c>
    </row>
    <row r="71" spans="1:50" x14ac:dyDescent="0.2">
      <c r="A71" s="15" t="s">
        <v>68</v>
      </c>
      <c r="B71" s="17" t="s">
        <v>677</v>
      </c>
      <c r="C71" s="17" t="s">
        <v>169</v>
      </c>
      <c r="D71" s="17" t="s">
        <v>169</v>
      </c>
      <c r="E71" s="17" t="s">
        <v>211</v>
      </c>
      <c r="F71" s="17" t="s">
        <v>670</v>
      </c>
      <c r="G71" s="17" t="s">
        <v>650</v>
      </c>
      <c r="H71" s="18">
        <v>3</v>
      </c>
      <c r="J71" s="17">
        <v>34.376944000000002</v>
      </c>
      <c r="K71" s="17">
        <v>-91.851667000000006</v>
      </c>
      <c r="L71" s="17">
        <v>3596</v>
      </c>
      <c r="M71" s="17" t="s">
        <v>618</v>
      </c>
      <c r="N71" s="17" t="s">
        <v>619</v>
      </c>
      <c r="O71" s="19" t="s">
        <v>620</v>
      </c>
      <c r="V71" s="19">
        <v>3.0859999999999999</v>
      </c>
      <c r="W71" s="19">
        <v>0.21199999999999999</v>
      </c>
      <c r="X71" s="19">
        <v>43.7</v>
      </c>
      <c r="Y71" s="19">
        <v>55.567999999999998</v>
      </c>
      <c r="Z71" s="19">
        <v>257.68400000000003</v>
      </c>
      <c r="AC71" s="17">
        <v>3</v>
      </c>
      <c r="AD71" s="17">
        <v>0.62568313550765597</v>
      </c>
      <c r="AE71" s="17">
        <v>2.3413413665568799E-2</v>
      </c>
      <c r="AF71" s="17">
        <v>-0.21606236028321901</v>
      </c>
      <c r="AG71" s="17">
        <v>30.687259152160401</v>
      </c>
      <c r="AH71" s="17">
        <v>5.9349252405753401E-2</v>
      </c>
      <c r="AI71" s="17">
        <v>0.58703288156909705</v>
      </c>
      <c r="AJ71" s="17">
        <v>1.07247270138089E-2</v>
      </c>
      <c r="AK71" s="17">
        <v>2.2017839525711898E-2</v>
      </c>
      <c r="AL71" s="17">
        <v>0.19858292625641399</v>
      </c>
      <c r="AM71" s="17">
        <v>1.45792816358073E-2</v>
      </c>
      <c r="AN71" s="17">
        <v>9.0131324041094099E-2</v>
      </c>
      <c r="AO71" s="17">
        <v>27.3</v>
      </c>
      <c r="AP71" s="17">
        <v>3.7</v>
      </c>
      <c r="AQ71" s="17">
        <v>20</v>
      </c>
      <c r="AR71" s="17">
        <v>35.299999999999997</v>
      </c>
      <c r="AS71" s="17">
        <v>7.65</v>
      </c>
      <c r="AT71" s="17">
        <v>1.8568094705320799</v>
      </c>
      <c r="AU71" s="17">
        <v>0.79202064184209997</v>
      </c>
      <c r="AV71" s="17">
        <v>0.31562168721791301</v>
      </c>
      <c r="AW71" s="17">
        <v>3.46212591231119</v>
      </c>
      <c r="AX71" s="17">
        <v>1.5732521125466401</v>
      </c>
    </row>
    <row r="72" spans="1:50" x14ac:dyDescent="0.2">
      <c r="A72" s="15" t="s">
        <v>97</v>
      </c>
      <c r="B72" s="17" t="s">
        <v>677</v>
      </c>
      <c r="C72" s="17" t="s">
        <v>170</v>
      </c>
      <c r="D72" s="17" t="s">
        <v>170</v>
      </c>
      <c r="E72" s="17" t="s">
        <v>238</v>
      </c>
      <c r="F72" s="17" t="s">
        <v>669</v>
      </c>
      <c r="G72" s="17" t="s">
        <v>650</v>
      </c>
      <c r="H72" s="18">
        <v>-8</v>
      </c>
      <c r="I72" s="27"/>
      <c r="J72" s="17">
        <v>34.748610999999997</v>
      </c>
      <c r="K72" s="17">
        <v>-88.911666999999994</v>
      </c>
      <c r="L72" s="17">
        <v>3460</v>
      </c>
      <c r="M72" s="17" t="s">
        <v>608</v>
      </c>
      <c r="N72" s="17" t="s">
        <v>614</v>
      </c>
      <c r="O72" s="19" t="s">
        <v>621</v>
      </c>
      <c r="P72" s="19" t="s">
        <v>612</v>
      </c>
      <c r="Q72" s="19" t="s">
        <v>613</v>
      </c>
      <c r="R72" s="17" t="s">
        <v>623</v>
      </c>
      <c r="U72" s="19" t="s">
        <v>637</v>
      </c>
      <c r="AC72" s="17">
        <v>3</v>
      </c>
      <c r="AD72" s="17">
        <v>-4.62020426712703</v>
      </c>
      <c r="AE72" s="17">
        <v>7.8832677075261707E-3</v>
      </c>
      <c r="AF72" s="17">
        <v>-1.00913079146847</v>
      </c>
      <c r="AG72" s="17">
        <v>29.869676975767199</v>
      </c>
      <c r="AH72" s="17">
        <v>0.119905452481219</v>
      </c>
      <c r="AI72" s="17">
        <v>0.582404388780424</v>
      </c>
      <c r="AJ72" s="17">
        <v>9.6632316975886201E-3</v>
      </c>
      <c r="AK72" s="17">
        <v>2.2017839525711898E-2</v>
      </c>
      <c r="AL72" s="17">
        <v>0.19339237767450801</v>
      </c>
      <c r="AM72" s="17">
        <v>1.29359131081207E-2</v>
      </c>
      <c r="AN72" s="17">
        <v>9.0131324041094099E-2</v>
      </c>
      <c r="AO72" s="17">
        <v>29</v>
      </c>
      <c r="AP72" s="17">
        <v>3.4</v>
      </c>
      <c r="AQ72" s="17">
        <v>21.5</v>
      </c>
      <c r="AR72" s="17">
        <v>37</v>
      </c>
      <c r="AS72" s="17">
        <v>7.75</v>
      </c>
      <c r="AT72" s="17">
        <v>1.3973363873445801</v>
      </c>
      <c r="AU72" s="17">
        <v>0.783487669560884</v>
      </c>
      <c r="AV72" s="17">
        <v>-0.226307211378071</v>
      </c>
      <c r="AW72" s="17">
        <v>3.0437865592551798</v>
      </c>
      <c r="AX72" s="17">
        <v>1.63504688531663</v>
      </c>
    </row>
    <row r="73" spans="1:50" x14ac:dyDescent="0.2">
      <c r="A73" s="15" t="s">
        <v>98</v>
      </c>
      <c r="B73" s="17" t="s">
        <v>677</v>
      </c>
      <c r="C73" s="17" t="s">
        <v>170</v>
      </c>
      <c r="D73" s="17" t="s">
        <v>170</v>
      </c>
      <c r="E73" s="17" t="s">
        <v>238</v>
      </c>
      <c r="F73" s="17" t="s">
        <v>669</v>
      </c>
      <c r="G73" s="17" t="s">
        <v>650</v>
      </c>
      <c r="H73" s="18">
        <v>-7.1</v>
      </c>
      <c r="I73" s="27"/>
      <c r="J73" s="17">
        <v>34.748610999999997</v>
      </c>
      <c r="K73" s="17">
        <v>-88.911666999999994</v>
      </c>
      <c r="L73" s="17">
        <v>3460</v>
      </c>
      <c r="M73" s="17" t="s">
        <v>608</v>
      </c>
      <c r="N73" s="17" t="s">
        <v>614</v>
      </c>
      <c r="O73" s="19" t="s">
        <v>621</v>
      </c>
      <c r="P73" s="19" t="s">
        <v>612</v>
      </c>
      <c r="Q73" s="19" t="s">
        <v>613</v>
      </c>
      <c r="R73" s="17" t="s">
        <v>623</v>
      </c>
      <c r="U73" s="19" t="s">
        <v>637</v>
      </c>
      <c r="V73" s="25">
        <v>2.262</v>
      </c>
      <c r="W73" s="25">
        <v>0.20699999999999999</v>
      </c>
      <c r="X73" s="25">
        <v>4.9489999999999998</v>
      </c>
      <c r="Y73" s="25">
        <v>14.595000000000001</v>
      </c>
      <c r="Z73" s="25">
        <v>109.357</v>
      </c>
      <c r="AC73" s="17">
        <v>3</v>
      </c>
      <c r="AD73" s="17">
        <v>-3.5300435896436402</v>
      </c>
      <c r="AE73" s="17">
        <v>3.7826236169406398E-2</v>
      </c>
      <c r="AF73" s="17">
        <v>-1.3871718874593899</v>
      </c>
      <c r="AG73" s="17">
        <v>29.4799506294992</v>
      </c>
      <c r="AH73" s="17">
        <v>0.155583063260292</v>
      </c>
      <c r="AI73" s="17">
        <v>0.60624431988599303</v>
      </c>
      <c r="AJ73" s="17">
        <v>5.1389214390551103E-3</v>
      </c>
      <c r="AK73" s="17">
        <v>2.2017839525711898E-2</v>
      </c>
      <c r="AL73" s="17">
        <v>0.32364636764355498</v>
      </c>
      <c r="AM73" s="17">
        <v>6.9423441476904602E-3</v>
      </c>
      <c r="AN73" s="17">
        <v>9.0131324041094099E-2</v>
      </c>
      <c r="AO73" s="17">
        <v>20.9</v>
      </c>
      <c r="AP73" s="17">
        <v>1.7</v>
      </c>
      <c r="AQ73" s="17">
        <v>14</v>
      </c>
      <c r="AR73" s="17">
        <v>28.3</v>
      </c>
      <c r="AS73" s="17">
        <v>7.15</v>
      </c>
      <c r="AT73" s="17">
        <v>-0.61202557853096096</v>
      </c>
      <c r="AU73" s="17">
        <v>0.50237036534690604</v>
      </c>
      <c r="AV73" s="17">
        <v>-2.2220022827919998</v>
      </c>
      <c r="AW73" s="17">
        <v>1.03210213069724</v>
      </c>
      <c r="AX73" s="17">
        <v>1.62705220674462</v>
      </c>
    </row>
    <row r="74" spans="1:50" x14ac:dyDescent="0.2">
      <c r="A74" s="15" t="s">
        <v>99</v>
      </c>
      <c r="B74" s="17" t="s">
        <v>677</v>
      </c>
      <c r="C74" s="17" t="s">
        <v>170</v>
      </c>
      <c r="D74" s="17" t="s">
        <v>170</v>
      </c>
      <c r="E74" s="17" t="s">
        <v>238</v>
      </c>
      <c r="F74" s="17" t="s">
        <v>669</v>
      </c>
      <c r="G74" s="17" t="s">
        <v>650</v>
      </c>
      <c r="H74" s="18">
        <v>-6.5</v>
      </c>
      <c r="I74" s="27"/>
      <c r="J74" s="17">
        <v>34.748610999999997</v>
      </c>
      <c r="K74" s="17">
        <v>-88.911666999999994</v>
      </c>
      <c r="L74" s="17">
        <v>3460</v>
      </c>
      <c r="M74" s="17" t="s">
        <v>608</v>
      </c>
      <c r="N74" s="17" t="s">
        <v>614</v>
      </c>
      <c r="O74" s="19" t="s">
        <v>621</v>
      </c>
      <c r="P74" s="19" t="s">
        <v>612</v>
      </c>
      <c r="Q74" s="19" t="s">
        <v>613</v>
      </c>
      <c r="R74" s="17" t="s">
        <v>623</v>
      </c>
      <c r="U74" s="19" t="s">
        <v>637</v>
      </c>
      <c r="AC74" s="17">
        <v>3</v>
      </c>
      <c r="AD74" s="17">
        <v>2.3411492291088098</v>
      </c>
      <c r="AE74" s="17">
        <v>7.3328505666926502E-2</v>
      </c>
      <c r="AF74" s="17">
        <v>-3.5208902353293298E-2</v>
      </c>
      <c r="AG74" s="17">
        <v>30.873702790475001</v>
      </c>
      <c r="AH74" s="17">
        <v>0.16216561316689601</v>
      </c>
      <c r="AI74" s="17">
        <v>0.59512072489346801</v>
      </c>
      <c r="AJ74" s="17">
        <v>5.5654859691322504E-3</v>
      </c>
      <c r="AK74" s="17">
        <v>2.2017839525711898E-2</v>
      </c>
      <c r="AL74" s="17">
        <v>0.25478925369377298</v>
      </c>
      <c r="AM74" s="17">
        <v>3.02532301868433E-2</v>
      </c>
      <c r="AN74" s="17">
        <v>9.0131324041094099E-2</v>
      </c>
      <c r="AO74" s="17">
        <v>24.6</v>
      </c>
      <c r="AP74" s="17">
        <v>1.9</v>
      </c>
      <c r="AQ74" s="17">
        <v>17.399999999999999</v>
      </c>
      <c r="AR74" s="17">
        <v>32.299999999999997</v>
      </c>
      <c r="AS74" s="17">
        <v>7.45</v>
      </c>
      <c r="AT74" s="17">
        <v>1.4974400244263999</v>
      </c>
      <c r="AU74" s="17">
        <v>0.54132560587140699</v>
      </c>
      <c r="AV74" s="17">
        <v>-0.14907389212123701</v>
      </c>
      <c r="AW74" s="17">
        <v>3.17243052023343</v>
      </c>
      <c r="AX74" s="17">
        <v>1.6607522061773401</v>
      </c>
    </row>
    <row r="75" spans="1:50" x14ac:dyDescent="0.2">
      <c r="A75" s="15" t="s">
        <v>100</v>
      </c>
      <c r="B75" s="17" t="s">
        <v>677</v>
      </c>
      <c r="C75" s="17" t="s">
        <v>170</v>
      </c>
      <c r="D75" s="17" t="s">
        <v>170</v>
      </c>
      <c r="E75" s="17" t="s">
        <v>238</v>
      </c>
      <c r="F75" s="17" t="s">
        <v>669</v>
      </c>
      <c r="G75" s="17" t="s">
        <v>650</v>
      </c>
      <c r="H75" s="18">
        <v>-5.6</v>
      </c>
      <c r="I75" s="27"/>
      <c r="J75" s="17">
        <v>34.748610999999997</v>
      </c>
      <c r="K75" s="17">
        <v>-88.911666999999994</v>
      </c>
      <c r="L75" s="17">
        <v>3460</v>
      </c>
      <c r="M75" s="17" t="s">
        <v>608</v>
      </c>
      <c r="N75" s="17" t="s">
        <v>614</v>
      </c>
      <c r="O75" s="19" t="s">
        <v>621</v>
      </c>
      <c r="P75" s="19" t="s">
        <v>612</v>
      </c>
      <c r="Q75" s="19" t="s">
        <v>613</v>
      </c>
      <c r="R75" s="17" t="s">
        <v>623</v>
      </c>
      <c r="U75" s="19" t="s">
        <v>637</v>
      </c>
      <c r="V75" s="25">
        <v>2.4119999999999999</v>
      </c>
      <c r="W75" s="25">
        <v>0.19400000000000001</v>
      </c>
      <c r="X75" s="25">
        <v>7.4749999999999996</v>
      </c>
      <c r="Y75" s="25">
        <v>17.879000000000001</v>
      </c>
      <c r="Z75" s="25">
        <v>176.40600000000001</v>
      </c>
      <c r="AC75" s="17">
        <v>3</v>
      </c>
      <c r="AD75" s="17">
        <v>1.4766117875887499</v>
      </c>
      <c r="AE75" s="17">
        <v>3.5574806860189698E-2</v>
      </c>
      <c r="AF75" s="17">
        <v>-0.81224918342159402</v>
      </c>
      <c r="AG75" s="17">
        <v>30.072644194318801</v>
      </c>
      <c r="AH75" s="17">
        <v>2.7579058990674001E-2</v>
      </c>
      <c r="AI75" s="17">
        <v>0.60972970732437004</v>
      </c>
      <c r="AJ75" s="17">
        <v>3.3014623495154602E-3</v>
      </c>
      <c r="AK75" s="17">
        <v>2.2017839525711898E-2</v>
      </c>
      <c r="AL75" s="17">
        <v>0.167010404905061</v>
      </c>
      <c r="AM75" s="17">
        <v>2.3891634980874599E-2</v>
      </c>
      <c r="AN75" s="17">
        <v>9.0131324041094099E-2</v>
      </c>
      <c r="AO75" s="17">
        <v>19.8</v>
      </c>
      <c r="AP75" s="17">
        <v>1.05</v>
      </c>
      <c r="AQ75" s="17">
        <v>12.9</v>
      </c>
      <c r="AR75" s="17">
        <v>27.1</v>
      </c>
      <c r="AS75" s="17">
        <v>7.1</v>
      </c>
      <c r="AT75" s="17">
        <v>-0.26494299346450101</v>
      </c>
      <c r="AU75" s="17">
        <v>0.24547241803480799</v>
      </c>
      <c r="AV75" s="17">
        <v>-1.7624460198641101</v>
      </c>
      <c r="AW75" s="17">
        <v>1.2465031895816301</v>
      </c>
      <c r="AX75" s="17">
        <v>1.5044746047228701</v>
      </c>
    </row>
    <row r="76" spans="1:50" x14ac:dyDescent="0.2">
      <c r="A76" s="15" t="s">
        <v>101</v>
      </c>
      <c r="B76" s="17" t="s">
        <v>677</v>
      </c>
      <c r="C76" s="17" t="s">
        <v>170</v>
      </c>
      <c r="D76" s="17" t="s">
        <v>170</v>
      </c>
      <c r="E76" s="17" t="s">
        <v>239</v>
      </c>
      <c r="F76" s="17" t="s">
        <v>669</v>
      </c>
      <c r="G76" s="17" t="s">
        <v>650</v>
      </c>
      <c r="H76" s="18">
        <v>-5.5</v>
      </c>
      <c r="I76" s="27"/>
      <c r="J76" s="17">
        <v>34.748610999999997</v>
      </c>
      <c r="K76" s="17">
        <v>-88.911666999999994</v>
      </c>
      <c r="L76" s="17">
        <v>3460</v>
      </c>
      <c r="M76" s="17" t="s">
        <v>608</v>
      </c>
      <c r="N76" s="17" t="s">
        <v>614</v>
      </c>
      <c r="O76" s="19" t="s">
        <v>621</v>
      </c>
      <c r="P76" s="19" t="s">
        <v>612</v>
      </c>
      <c r="Q76" s="19" t="s">
        <v>613</v>
      </c>
      <c r="R76" s="17" t="s">
        <v>623</v>
      </c>
      <c r="U76" s="19" t="s">
        <v>637</v>
      </c>
      <c r="V76" s="25">
        <v>2.2330000000000001</v>
      </c>
      <c r="W76" s="25">
        <v>0.17100000000000001</v>
      </c>
      <c r="X76" s="25">
        <v>6.891</v>
      </c>
      <c r="Y76" s="25">
        <v>2.8580000000000001</v>
      </c>
      <c r="Z76" s="25">
        <v>51.225999999999999</v>
      </c>
      <c r="AC76" s="17">
        <v>3</v>
      </c>
      <c r="AD76" s="17">
        <v>2.13271568850916</v>
      </c>
      <c r="AE76" s="17">
        <v>6.0234209415212701E-2</v>
      </c>
      <c r="AF76" s="17">
        <v>-0.281033942491075</v>
      </c>
      <c r="AG76" s="17">
        <v>30.6202792983465</v>
      </c>
      <c r="AH76" s="17">
        <v>4.7378812432738698E-2</v>
      </c>
      <c r="AI76" s="17">
        <v>0.59972104538858995</v>
      </c>
      <c r="AJ76" s="17">
        <v>4.1974056389664297E-3</v>
      </c>
      <c r="AK76" s="17">
        <v>2.2017839525711898E-2</v>
      </c>
      <c r="AL76" s="17">
        <v>0.19588495839872599</v>
      </c>
      <c r="AM76" s="17">
        <v>2.22983733493652E-2</v>
      </c>
      <c r="AN76" s="17">
        <v>9.0131324041094099E-2</v>
      </c>
      <c r="AO76" s="17">
        <v>23</v>
      </c>
      <c r="AP76" s="17">
        <v>1.4</v>
      </c>
      <c r="AQ76" s="17">
        <v>16</v>
      </c>
      <c r="AR76" s="17">
        <v>30.6</v>
      </c>
      <c r="AS76" s="17">
        <v>7.3</v>
      </c>
      <c r="AT76" s="17">
        <v>0.92645272511106203</v>
      </c>
      <c r="AU76" s="17">
        <v>0.33169601556005501</v>
      </c>
      <c r="AV76" s="17">
        <v>-0.58138633815644902</v>
      </c>
      <c r="AW76" s="17">
        <v>2.4856906894365198</v>
      </c>
      <c r="AX76" s="17">
        <v>1.5335385137964901</v>
      </c>
    </row>
    <row r="77" spans="1:50" x14ac:dyDescent="0.2">
      <c r="A77" s="15" t="s">
        <v>102</v>
      </c>
      <c r="B77" s="17" t="s">
        <v>676</v>
      </c>
      <c r="C77" s="17" t="s">
        <v>170</v>
      </c>
      <c r="D77" s="17" t="s">
        <v>170</v>
      </c>
      <c r="E77" s="17" t="s">
        <v>238</v>
      </c>
      <c r="F77" s="17" t="s">
        <v>669</v>
      </c>
      <c r="G77" s="17" t="s">
        <v>650</v>
      </c>
      <c r="H77" s="18">
        <v>-3.15</v>
      </c>
      <c r="I77" s="27"/>
      <c r="J77" s="17">
        <v>34.748610999999997</v>
      </c>
      <c r="K77" s="17">
        <v>-88.911666999999994</v>
      </c>
      <c r="L77" s="17">
        <v>3460</v>
      </c>
      <c r="M77" s="17" t="s">
        <v>608</v>
      </c>
      <c r="N77" s="17" t="s">
        <v>614</v>
      </c>
      <c r="O77" s="19" t="s">
        <v>621</v>
      </c>
      <c r="P77" s="19" t="s">
        <v>612</v>
      </c>
      <c r="Q77" s="19" t="s">
        <v>613</v>
      </c>
      <c r="R77" s="17" t="s">
        <v>623</v>
      </c>
      <c r="U77" s="19" t="s">
        <v>637</v>
      </c>
      <c r="V77" s="25">
        <v>2.6619999999999999</v>
      </c>
      <c r="W77" s="25">
        <v>0.23799999999999999</v>
      </c>
      <c r="X77" s="25">
        <v>7.8639999999999999</v>
      </c>
      <c r="Y77" s="25">
        <v>34.807000000000002</v>
      </c>
      <c r="Z77" s="25">
        <v>58.048999999999999</v>
      </c>
      <c r="AC77" s="17">
        <v>3</v>
      </c>
      <c r="AD77" s="17">
        <v>2.1775186160575202</v>
      </c>
      <c r="AE77" s="17">
        <v>2.0358466051546901E-2</v>
      </c>
      <c r="AF77" s="17">
        <v>-0.101761521528514</v>
      </c>
      <c r="AG77" s="17">
        <v>30.805093029841</v>
      </c>
      <c r="AH77" s="17">
        <v>0.10539742606689401</v>
      </c>
      <c r="AI77" s="17">
        <v>0.599519601199476</v>
      </c>
      <c r="AJ77" s="17">
        <v>1.0156405462793399E-2</v>
      </c>
      <c r="AK77" s="17">
        <v>2.2017839525711898E-2</v>
      </c>
      <c r="AL77" s="17">
        <v>0.156557319355145</v>
      </c>
      <c r="AM77" s="17">
        <v>2.69671565776049E-2</v>
      </c>
      <c r="AN77" s="17">
        <v>9.0131324041094099E-2</v>
      </c>
      <c r="AO77" s="17">
        <v>23.1</v>
      </c>
      <c r="AP77" s="17">
        <v>3.35</v>
      </c>
      <c r="AQ77" s="17">
        <v>16</v>
      </c>
      <c r="AR77" s="17">
        <v>30.7</v>
      </c>
      <c r="AS77" s="17">
        <v>7.35</v>
      </c>
      <c r="AT77" s="17">
        <v>1.12634410534292</v>
      </c>
      <c r="AU77" s="17">
        <v>0.78570187023876803</v>
      </c>
      <c r="AV77" s="17">
        <v>-0.458424245080437</v>
      </c>
      <c r="AW77" s="17">
        <v>2.7413088708331101</v>
      </c>
      <c r="AX77" s="17">
        <v>1.5998665579567699</v>
      </c>
    </row>
    <row r="78" spans="1:50" x14ac:dyDescent="0.2">
      <c r="A78" s="15" t="s">
        <v>103</v>
      </c>
      <c r="B78" s="17" t="s">
        <v>677</v>
      </c>
      <c r="C78" s="17" t="s">
        <v>170</v>
      </c>
      <c r="D78" s="17" t="s">
        <v>170</v>
      </c>
      <c r="E78" s="17" t="s">
        <v>238</v>
      </c>
      <c r="F78" s="17" t="s">
        <v>669</v>
      </c>
      <c r="G78" s="17" t="s">
        <v>650</v>
      </c>
      <c r="H78" s="18">
        <v>-2.5999999999999996</v>
      </c>
      <c r="I78" s="27"/>
      <c r="J78" s="17">
        <v>34.748610999999997</v>
      </c>
      <c r="K78" s="17">
        <v>-88.911666999999994</v>
      </c>
      <c r="L78" s="17">
        <v>3460</v>
      </c>
      <c r="M78" s="17" t="s">
        <v>608</v>
      </c>
      <c r="N78" s="17" t="s">
        <v>614</v>
      </c>
      <c r="O78" s="19" t="s">
        <v>621</v>
      </c>
      <c r="P78" s="19" t="s">
        <v>612</v>
      </c>
      <c r="Q78" s="19" t="s">
        <v>613</v>
      </c>
      <c r="R78" s="17" t="s">
        <v>623</v>
      </c>
      <c r="U78" s="19" t="s">
        <v>637</v>
      </c>
      <c r="V78" s="25">
        <v>4.5270000000000001</v>
      </c>
      <c r="W78" s="25">
        <v>0.22700000000000001</v>
      </c>
      <c r="X78" s="25">
        <v>11.926</v>
      </c>
      <c r="Y78" s="25">
        <v>27.236000000000001</v>
      </c>
      <c r="Z78" s="25">
        <v>307.98700000000002</v>
      </c>
      <c r="AC78" s="17">
        <v>3</v>
      </c>
      <c r="AD78" s="17">
        <v>3.92488017933323</v>
      </c>
      <c r="AE78" s="17">
        <v>1.45664652191357E-2</v>
      </c>
      <c r="AF78" s="17">
        <v>-0.416819896539534</v>
      </c>
      <c r="AG78" s="17">
        <v>30.480296200458401</v>
      </c>
      <c r="AH78" s="17">
        <v>4.8993833071264203E-2</v>
      </c>
      <c r="AI78" s="17">
        <v>0.59484616454483397</v>
      </c>
      <c r="AJ78" s="17">
        <v>7.1399912502681804E-3</v>
      </c>
      <c r="AK78" s="17">
        <v>2.2017839525711898E-2</v>
      </c>
      <c r="AL78" s="17">
        <v>0.25178271151339099</v>
      </c>
      <c r="AM78" s="17">
        <v>1.0416979415064099E-2</v>
      </c>
      <c r="AN78" s="17">
        <v>9.0131324041094099E-2</v>
      </c>
      <c r="AO78" s="17">
        <v>24.7</v>
      </c>
      <c r="AP78" s="17">
        <v>2.4</v>
      </c>
      <c r="AQ78" s="17">
        <v>17.5</v>
      </c>
      <c r="AR78" s="17">
        <v>32.4</v>
      </c>
      <c r="AS78" s="17">
        <v>7.45</v>
      </c>
      <c r="AT78" s="17">
        <v>1.13542810398144</v>
      </c>
      <c r="AU78" s="17">
        <v>0.53188556080561999</v>
      </c>
      <c r="AV78" s="17">
        <v>-0.39975415551509702</v>
      </c>
      <c r="AW78" s="17">
        <v>2.69875157433626</v>
      </c>
      <c r="AX78" s="17">
        <v>1.54925286492568</v>
      </c>
    </row>
    <row r="79" spans="1:50" x14ac:dyDescent="0.2">
      <c r="A79" s="15" t="s">
        <v>104</v>
      </c>
      <c r="B79" s="17" t="s">
        <v>677</v>
      </c>
      <c r="C79" s="17" t="s">
        <v>170</v>
      </c>
      <c r="D79" s="17" t="s">
        <v>170</v>
      </c>
      <c r="E79" s="17" t="s">
        <v>238</v>
      </c>
      <c r="F79" s="17" t="s">
        <v>669</v>
      </c>
      <c r="G79" s="17" t="s">
        <v>650</v>
      </c>
      <c r="H79" s="18">
        <v>-2.5</v>
      </c>
      <c r="I79" s="27"/>
      <c r="J79" s="17">
        <v>34.748610999999997</v>
      </c>
      <c r="K79" s="17">
        <v>-88.911666999999994</v>
      </c>
      <c r="L79" s="17">
        <v>3460</v>
      </c>
      <c r="M79" s="17" t="s">
        <v>608</v>
      </c>
      <c r="N79" s="17" t="s">
        <v>614</v>
      </c>
      <c r="O79" s="19" t="s">
        <v>621</v>
      </c>
      <c r="P79" s="19" t="s">
        <v>612</v>
      </c>
      <c r="Q79" s="19" t="s">
        <v>613</v>
      </c>
      <c r="R79" s="17" t="s">
        <v>623</v>
      </c>
      <c r="U79" s="19" t="s">
        <v>637</v>
      </c>
      <c r="AC79" s="17">
        <v>3</v>
      </c>
      <c r="AD79" s="17">
        <v>1.6952789841826901</v>
      </c>
      <c r="AE79" s="17">
        <v>2.1511046779307399E-2</v>
      </c>
      <c r="AF79" s="17">
        <v>-0.27264614619331201</v>
      </c>
      <c r="AG79" s="17">
        <v>30.628926361427901</v>
      </c>
      <c r="AH79" s="17">
        <v>8.4107474648837902E-2</v>
      </c>
      <c r="AI79" s="17">
        <v>0.59045607509431597</v>
      </c>
      <c r="AJ79" s="17">
        <v>7.1557745710923099E-3</v>
      </c>
      <c r="AK79" s="17">
        <v>2.2017839525711898E-2</v>
      </c>
      <c r="AL79" s="17">
        <v>0.23923832304919301</v>
      </c>
      <c r="AM79" s="17">
        <v>2.40854966992139E-2</v>
      </c>
      <c r="AN79" s="17">
        <v>9.0131324041094099E-2</v>
      </c>
      <c r="AO79" s="17">
        <v>26.2</v>
      </c>
      <c r="AP79" s="17">
        <v>2.4500000000000002</v>
      </c>
      <c r="AQ79" s="17">
        <v>18.899999999999999</v>
      </c>
      <c r="AR79" s="17">
        <v>34</v>
      </c>
      <c r="AS79" s="17">
        <v>7.55</v>
      </c>
      <c r="AT79" s="17">
        <v>1.58105884207862</v>
      </c>
      <c r="AU79" s="17">
        <v>0.571389766543689</v>
      </c>
      <c r="AV79" s="17">
        <v>5.2193599574366098E-3</v>
      </c>
      <c r="AW79" s="17">
        <v>3.1832848136591601</v>
      </c>
      <c r="AX79" s="17">
        <v>1.5890327268508599</v>
      </c>
    </row>
    <row r="80" spans="1:50" x14ac:dyDescent="0.2">
      <c r="A80" s="15" t="s">
        <v>105</v>
      </c>
      <c r="B80" s="17" t="s">
        <v>677</v>
      </c>
      <c r="C80" s="17" t="s">
        <v>170</v>
      </c>
      <c r="D80" s="17" t="s">
        <v>170</v>
      </c>
      <c r="E80" s="17" t="s">
        <v>238</v>
      </c>
      <c r="F80" s="17" t="s">
        <v>669</v>
      </c>
      <c r="G80" s="17" t="s">
        <v>650</v>
      </c>
      <c r="H80" s="18">
        <v>-1.7999999999999998</v>
      </c>
      <c r="I80" s="27"/>
      <c r="J80" s="17">
        <v>34.748610999999997</v>
      </c>
      <c r="K80" s="17">
        <v>-88.911666999999994</v>
      </c>
      <c r="L80" s="17">
        <v>3460</v>
      </c>
      <c r="M80" s="17" t="s">
        <v>608</v>
      </c>
      <c r="N80" s="17" t="s">
        <v>614</v>
      </c>
      <c r="O80" s="19" t="s">
        <v>621</v>
      </c>
      <c r="P80" s="19" t="s">
        <v>612</v>
      </c>
      <c r="Q80" s="19" t="s">
        <v>613</v>
      </c>
      <c r="R80" s="17" t="s">
        <v>623</v>
      </c>
      <c r="U80" s="19" t="s">
        <v>637</v>
      </c>
      <c r="AC80" s="17">
        <v>3</v>
      </c>
      <c r="AD80" s="17">
        <v>2.9936476065154198</v>
      </c>
      <c r="AE80" s="17">
        <v>0.104565235319935</v>
      </c>
      <c r="AF80" s="17">
        <v>-0.11138839310170601</v>
      </c>
      <c r="AG80" s="17">
        <v>30.795168591667501</v>
      </c>
      <c r="AH80" s="17">
        <v>9.2021149929730706E-2</v>
      </c>
      <c r="AI80" s="17">
        <v>0.61362259291385202</v>
      </c>
      <c r="AJ80" s="17">
        <v>1.17616780579667E-2</v>
      </c>
      <c r="AK80" s="17">
        <v>2.2017839525711898E-2</v>
      </c>
      <c r="AL80" s="17">
        <v>0.33225099765176402</v>
      </c>
      <c r="AM80" s="17">
        <v>2.2066826383039001E-2</v>
      </c>
      <c r="AN80" s="17">
        <v>9.0131324041094099E-2</v>
      </c>
      <c r="AO80" s="17">
        <v>18.5</v>
      </c>
      <c r="AP80" s="17">
        <v>3.7</v>
      </c>
      <c r="AQ80" s="17">
        <v>11.8</v>
      </c>
      <c r="AR80" s="17">
        <v>25.8</v>
      </c>
      <c r="AS80" s="17">
        <v>7</v>
      </c>
      <c r="AT80" s="17">
        <v>0.16416584810122001</v>
      </c>
      <c r="AU80" s="17">
        <v>0.86729051961310699</v>
      </c>
      <c r="AV80" s="17">
        <v>-1.36568035945993</v>
      </c>
      <c r="AW80" s="17">
        <v>1.75198102107856</v>
      </c>
      <c r="AX80" s="17">
        <v>1.5588306902692499</v>
      </c>
    </row>
    <row r="81" spans="1:50" x14ac:dyDescent="0.2">
      <c r="A81" s="15" t="s">
        <v>106</v>
      </c>
      <c r="B81" s="17" t="s">
        <v>677</v>
      </c>
      <c r="C81" s="17" t="s">
        <v>170</v>
      </c>
      <c r="D81" s="17" t="s">
        <v>170</v>
      </c>
      <c r="E81" s="17" t="s">
        <v>238</v>
      </c>
      <c r="F81" s="17" t="s">
        <v>669</v>
      </c>
      <c r="G81" s="17" t="s">
        <v>650</v>
      </c>
      <c r="H81" s="18">
        <v>-1.2000000000000002</v>
      </c>
      <c r="I81" s="27"/>
      <c r="J81" s="17">
        <v>34.748610999999997</v>
      </c>
      <c r="K81" s="17">
        <v>-88.911666999999994</v>
      </c>
      <c r="L81" s="17">
        <v>3460</v>
      </c>
      <c r="M81" s="17" t="s">
        <v>608</v>
      </c>
      <c r="N81" s="17" t="s">
        <v>614</v>
      </c>
      <c r="O81" s="19" t="s">
        <v>621</v>
      </c>
      <c r="P81" s="19" t="s">
        <v>612</v>
      </c>
      <c r="Q81" s="19" t="s">
        <v>613</v>
      </c>
      <c r="R81" s="17" t="s">
        <v>623</v>
      </c>
      <c r="U81" s="19" t="s">
        <v>637</v>
      </c>
      <c r="AC81" s="17">
        <v>3</v>
      </c>
      <c r="AD81" s="17">
        <v>1.77220453776856</v>
      </c>
      <c r="AE81" s="17">
        <v>5.7527038933565297E-2</v>
      </c>
      <c r="AF81" s="17">
        <v>-0.36431847207793899</v>
      </c>
      <c r="AG81" s="17">
        <v>30.534420443950101</v>
      </c>
      <c r="AH81" s="17">
        <v>0.110869770654937</v>
      </c>
      <c r="AI81" s="17">
        <v>0.59610861332494303</v>
      </c>
      <c r="AJ81" s="17">
        <v>1.93347393274336E-3</v>
      </c>
      <c r="AK81" s="17">
        <v>2.2017839525711898E-2</v>
      </c>
      <c r="AL81" s="17">
        <v>0.29866425648682798</v>
      </c>
      <c r="AM81" s="17">
        <v>2.1619014899003398E-2</v>
      </c>
      <c r="AN81" s="17">
        <v>9.0131324041094099E-2</v>
      </c>
      <c r="AO81" s="17">
        <v>24.2</v>
      </c>
      <c r="AP81" s="17">
        <v>0.64999999999999902</v>
      </c>
      <c r="AQ81" s="17">
        <v>17.100000000000001</v>
      </c>
      <c r="AR81" s="17">
        <v>31.9</v>
      </c>
      <c r="AS81" s="17">
        <v>7.4</v>
      </c>
      <c r="AT81" s="17">
        <v>1.0869542225636899</v>
      </c>
      <c r="AU81" s="17">
        <v>0.23929038604688899</v>
      </c>
      <c r="AV81" s="17">
        <v>-0.49201414273215999</v>
      </c>
      <c r="AW81" s="17">
        <v>2.7154394993747202</v>
      </c>
      <c r="AX81" s="17">
        <v>1.6037268210534401</v>
      </c>
    </row>
    <row r="82" spans="1:50" x14ac:dyDescent="0.2">
      <c r="A82" s="15" t="s">
        <v>107</v>
      </c>
      <c r="B82" s="17" t="s">
        <v>677</v>
      </c>
      <c r="C82" s="17" t="s">
        <v>170</v>
      </c>
      <c r="D82" s="17" t="s">
        <v>170</v>
      </c>
      <c r="E82" s="17" t="s">
        <v>238</v>
      </c>
      <c r="F82" s="17" t="s">
        <v>669</v>
      </c>
      <c r="G82" s="17" t="s">
        <v>650</v>
      </c>
      <c r="H82" s="18">
        <v>-0.79999999999999982</v>
      </c>
      <c r="I82" s="27"/>
      <c r="J82" s="17">
        <v>34.748610999999997</v>
      </c>
      <c r="K82" s="17">
        <v>-88.911666999999994</v>
      </c>
      <c r="L82" s="17">
        <v>3460</v>
      </c>
      <c r="M82" s="17" t="s">
        <v>608</v>
      </c>
      <c r="N82" s="17" t="s">
        <v>614</v>
      </c>
      <c r="O82" s="19" t="s">
        <v>621</v>
      </c>
      <c r="P82" s="19" t="s">
        <v>612</v>
      </c>
      <c r="Q82" s="19" t="s">
        <v>613</v>
      </c>
      <c r="R82" s="17" t="s">
        <v>623</v>
      </c>
      <c r="U82" s="19" t="s">
        <v>637</v>
      </c>
      <c r="AC82" s="17">
        <v>3</v>
      </c>
      <c r="AD82" s="17">
        <v>3.02850652720526</v>
      </c>
      <c r="AE82" s="17">
        <v>3.1892326372898301E-2</v>
      </c>
      <c r="AF82" s="17">
        <v>-0.142882654938849</v>
      </c>
      <c r="AG82" s="17">
        <v>30.762700842196999</v>
      </c>
      <c r="AH82" s="17">
        <v>6.47924981868232E-2</v>
      </c>
      <c r="AI82" s="17">
        <v>0.58604686302620002</v>
      </c>
      <c r="AJ82" s="17">
        <v>1.08752638491684E-2</v>
      </c>
      <c r="AK82" s="17">
        <v>2.2017839525711898E-2</v>
      </c>
      <c r="AL82" s="17">
        <v>0.25691746734633097</v>
      </c>
      <c r="AM82" s="17">
        <v>1.2009441510743299E-2</v>
      </c>
      <c r="AN82" s="17">
        <v>9.0131324041094099E-2</v>
      </c>
      <c r="AO82" s="17">
        <v>27.7</v>
      </c>
      <c r="AP82" s="17">
        <v>3.75</v>
      </c>
      <c r="AQ82" s="17">
        <v>20.3</v>
      </c>
      <c r="AR82" s="17">
        <v>35.700000000000003</v>
      </c>
      <c r="AS82" s="17">
        <v>7.7</v>
      </c>
      <c r="AT82" s="17">
        <v>2.0094202186808201</v>
      </c>
      <c r="AU82" s="17">
        <v>0.80537787325437205</v>
      </c>
      <c r="AV82" s="17">
        <v>0.44594129821962297</v>
      </c>
      <c r="AW82" s="17">
        <v>3.6162133968597301</v>
      </c>
      <c r="AX82" s="17">
        <v>1.5851360493200599</v>
      </c>
    </row>
    <row r="83" spans="1:50" x14ac:dyDescent="0.2">
      <c r="A83" s="15" t="s">
        <v>108</v>
      </c>
      <c r="B83" s="17" t="s">
        <v>677</v>
      </c>
      <c r="C83" s="17" t="s">
        <v>170</v>
      </c>
      <c r="D83" s="17" t="s">
        <v>170</v>
      </c>
      <c r="E83" s="17" t="s">
        <v>238</v>
      </c>
      <c r="F83" s="17" t="s">
        <v>669</v>
      </c>
      <c r="G83" s="17" t="s">
        <v>650</v>
      </c>
      <c r="H83" s="18">
        <v>-1.2000000000000002</v>
      </c>
      <c r="I83" s="27"/>
      <c r="J83" s="17">
        <v>34.748610999999997</v>
      </c>
      <c r="K83" s="17">
        <v>-88.911666999999994</v>
      </c>
      <c r="L83" s="17">
        <v>3460</v>
      </c>
      <c r="M83" s="17" t="s">
        <v>608</v>
      </c>
      <c r="N83" s="17" t="s">
        <v>614</v>
      </c>
      <c r="O83" s="19" t="s">
        <v>621</v>
      </c>
      <c r="P83" s="19" t="s">
        <v>612</v>
      </c>
      <c r="Q83" s="19" t="s">
        <v>613</v>
      </c>
      <c r="R83" s="17" t="s">
        <v>623</v>
      </c>
      <c r="U83" s="19" t="s">
        <v>637</v>
      </c>
      <c r="AC83" s="17">
        <v>3</v>
      </c>
      <c r="AD83" s="17">
        <v>3.0852273806834698</v>
      </c>
      <c r="AE83" s="17">
        <v>6.2368035876673097E-2</v>
      </c>
      <c r="AF83" s="17">
        <v>-0.20583730063491401</v>
      </c>
      <c r="AG83" s="17">
        <v>30.697800268402499</v>
      </c>
      <c r="AH83" s="17">
        <v>0.140134248262936</v>
      </c>
      <c r="AI83" s="17">
        <v>0.59908838719038904</v>
      </c>
      <c r="AJ83" s="17">
        <v>2.39935292045174E-3</v>
      </c>
      <c r="AK83" s="17">
        <v>2.2017839525711898E-2</v>
      </c>
      <c r="AL83" s="17">
        <v>0.270818842344209</v>
      </c>
      <c r="AM83" s="17">
        <v>2.5400041790116699E-2</v>
      </c>
      <c r="AN83" s="17">
        <v>9.0131324041094099E-2</v>
      </c>
      <c r="AO83" s="17">
        <v>23.2</v>
      </c>
      <c r="AP83" s="17">
        <v>0.80000000000000104</v>
      </c>
      <c r="AQ83" s="17">
        <v>16.2</v>
      </c>
      <c r="AR83" s="17">
        <v>30.9</v>
      </c>
      <c r="AS83" s="17">
        <v>7.35</v>
      </c>
      <c r="AT83" s="17">
        <v>1.0425274505466899</v>
      </c>
      <c r="AU83" s="17">
        <v>0.299145612359553</v>
      </c>
      <c r="AV83" s="17">
        <v>-0.55344322794508105</v>
      </c>
      <c r="AW83" s="17">
        <v>2.7095469534758601</v>
      </c>
      <c r="AX83" s="17">
        <v>1.6314950907104699</v>
      </c>
    </row>
    <row r="84" spans="1:50" x14ac:dyDescent="0.2">
      <c r="A84" s="15" t="s">
        <v>111</v>
      </c>
      <c r="B84" s="17" t="s">
        <v>677</v>
      </c>
      <c r="C84" s="17" t="s">
        <v>170</v>
      </c>
      <c r="D84" s="17" t="s">
        <v>170</v>
      </c>
      <c r="E84" s="17" t="s">
        <v>241</v>
      </c>
      <c r="F84" s="17" t="s">
        <v>669</v>
      </c>
      <c r="G84" s="17" t="s">
        <v>650</v>
      </c>
      <c r="H84" s="18">
        <v>-6.8</v>
      </c>
      <c r="I84" s="27"/>
      <c r="J84" s="17">
        <v>34.748610999999997</v>
      </c>
      <c r="K84" s="17">
        <v>-88.911666999999994</v>
      </c>
      <c r="L84" s="17">
        <v>3460</v>
      </c>
      <c r="M84" s="17" t="s">
        <v>608</v>
      </c>
      <c r="N84" s="17" t="s">
        <v>614</v>
      </c>
      <c r="O84" s="19" t="s">
        <v>621</v>
      </c>
      <c r="P84" s="19" t="s">
        <v>612</v>
      </c>
      <c r="Q84" s="19" t="s">
        <v>613</v>
      </c>
      <c r="R84" s="17" t="s">
        <v>623</v>
      </c>
      <c r="U84" s="19" t="s">
        <v>637</v>
      </c>
      <c r="AC84" s="17">
        <v>3</v>
      </c>
      <c r="AD84" s="17">
        <v>1.22350557500374</v>
      </c>
      <c r="AE84" s="17">
        <v>2.5789322660023698E-3</v>
      </c>
      <c r="AF84" s="17">
        <v>-0.493930716253838</v>
      </c>
      <c r="AG84" s="17">
        <v>30.400801885306802</v>
      </c>
      <c r="AH84" s="17">
        <v>3.4689558980918599E-2</v>
      </c>
      <c r="AI84" s="17">
        <v>0.60201677293311195</v>
      </c>
      <c r="AJ84" s="17">
        <v>2.0658907453802501E-3</v>
      </c>
      <c r="AK84" s="17">
        <v>2.2017839525711898E-2</v>
      </c>
      <c r="AL84" s="17">
        <v>0.21031438855514401</v>
      </c>
      <c r="AM84" s="17">
        <v>2.17311340834637E-2</v>
      </c>
      <c r="AN84" s="17">
        <v>9.0131324041094099E-2</v>
      </c>
      <c r="AO84" s="17">
        <v>22.3</v>
      </c>
      <c r="AP84" s="17">
        <v>0.69999999999999896</v>
      </c>
      <c r="AQ84" s="17">
        <v>15.3</v>
      </c>
      <c r="AR84" s="17">
        <v>29.8</v>
      </c>
      <c r="AS84" s="17">
        <v>7.25</v>
      </c>
      <c r="AT84" s="17">
        <v>0.57016295515654702</v>
      </c>
      <c r="AU84" s="17">
        <v>0.17715074382277901</v>
      </c>
      <c r="AV84" s="17">
        <v>-0.931857065391682</v>
      </c>
      <c r="AW84" s="17">
        <v>2.1040904045978599</v>
      </c>
      <c r="AX84" s="17">
        <v>1.51797373499477</v>
      </c>
    </row>
    <row r="85" spans="1:50" x14ac:dyDescent="0.2">
      <c r="A85" s="15" t="s">
        <v>124</v>
      </c>
      <c r="B85" s="17" t="s">
        <v>677</v>
      </c>
      <c r="C85" s="17" t="s">
        <v>170</v>
      </c>
      <c r="D85" s="17" t="s">
        <v>170</v>
      </c>
      <c r="E85" s="17" t="s">
        <v>655</v>
      </c>
      <c r="F85" s="17" t="s">
        <v>672</v>
      </c>
      <c r="G85" s="17" t="s">
        <v>650</v>
      </c>
      <c r="H85" s="18">
        <v>-8.5</v>
      </c>
      <c r="I85" s="27"/>
      <c r="J85" s="17">
        <v>34.748610999999997</v>
      </c>
      <c r="K85" s="17">
        <v>-88.911666999999994</v>
      </c>
      <c r="L85" s="17">
        <v>3460</v>
      </c>
      <c r="M85" s="17" t="s">
        <v>608</v>
      </c>
      <c r="N85" s="17" t="s">
        <v>614</v>
      </c>
      <c r="O85" s="19" t="s">
        <v>621</v>
      </c>
      <c r="AC85" s="17">
        <v>3</v>
      </c>
      <c r="AD85" s="17">
        <v>-2.3250206725372702</v>
      </c>
      <c r="AE85" s="17">
        <v>2.0503557643330301E-2</v>
      </c>
      <c r="AF85" s="17">
        <v>-0.81221173817454495</v>
      </c>
      <c r="AG85" s="17">
        <v>30.0726827969985</v>
      </c>
      <c r="AH85" s="17">
        <v>9.6059685187329699E-2</v>
      </c>
      <c r="AI85" s="17">
        <v>0.60527781894551103</v>
      </c>
      <c r="AJ85" s="17">
        <v>4.1756764274048898E-3</v>
      </c>
      <c r="AK85" s="17">
        <v>2.2017839525711898E-2</v>
      </c>
      <c r="AL85" s="17">
        <v>0.24588303668911701</v>
      </c>
      <c r="AM85" s="17">
        <v>2.4968979808999599E-2</v>
      </c>
      <c r="AN85" s="17">
        <v>9.0131324041094099E-2</v>
      </c>
      <c r="AO85" s="17">
        <v>21.2</v>
      </c>
      <c r="AP85" s="17">
        <v>1.4</v>
      </c>
      <c r="AQ85" s="17">
        <v>14.3</v>
      </c>
      <c r="AR85" s="17">
        <v>28.7</v>
      </c>
      <c r="AS85" s="17">
        <v>7.2</v>
      </c>
      <c r="AT85" s="17">
        <v>2.5353665282978E-2</v>
      </c>
      <c r="AU85" s="17">
        <v>0.38218421455008</v>
      </c>
      <c r="AV85" s="17">
        <v>-1.5248523615917999</v>
      </c>
      <c r="AW85" s="17">
        <v>1.62922298847445</v>
      </c>
      <c r="AX85" s="17">
        <v>1.5770376750331301</v>
      </c>
    </row>
    <row r="86" spans="1:50" x14ac:dyDescent="0.2">
      <c r="A86" s="15" t="s">
        <v>125</v>
      </c>
      <c r="B86" s="17" t="s">
        <v>677</v>
      </c>
      <c r="C86" s="17" t="s">
        <v>170</v>
      </c>
      <c r="D86" s="17" t="s">
        <v>170</v>
      </c>
      <c r="E86" s="17" t="s">
        <v>655</v>
      </c>
      <c r="F86" s="17" t="s">
        <v>672</v>
      </c>
      <c r="G86" s="17" t="s">
        <v>650</v>
      </c>
      <c r="H86" s="18">
        <v>-8.5</v>
      </c>
      <c r="I86" s="27"/>
      <c r="J86" s="17">
        <v>34.748610999999997</v>
      </c>
      <c r="K86" s="17">
        <v>-88.911666999999994</v>
      </c>
      <c r="L86" s="17">
        <v>3460</v>
      </c>
      <c r="M86" s="17" t="s">
        <v>608</v>
      </c>
      <c r="N86" s="17" t="s">
        <v>614</v>
      </c>
      <c r="O86" s="19" t="s">
        <v>621</v>
      </c>
      <c r="AC86" s="17">
        <v>4</v>
      </c>
      <c r="AD86" s="17">
        <v>-1.82784053452914</v>
      </c>
      <c r="AE86" s="17">
        <v>5.6036458737351399E-2</v>
      </c>
      <c r="AF86" s="17">
        <v>-0.58256424201377</v>
      </c>
      <c r="AG86" s="17">
        <v>30.309428697265599</v>
      </c>
      <c r="AH86" s="17">
        <v>9.5197122016800501E-2</v>
      </c>
      <c r="AI86" s="17">
        <v>0.59691327257833304</v>
      </c>
      <c r="AJ86" s="17">
        <v>1.5968088295911301E-3</v>
      </c>
      <c r="AK86" s="17">
        <v>1.9068008365715601E-2</v>
      </c>
      <c r="AL86" s="17">
        <v>0.22094744765673999</v>
      </c>
      <c r="AM86" s="17">
        <v>7.1741170925765704E-3</v>
      </c>
      <c r="AN86" s="17">
        <v>7.8056016296314604E-2</v>
      </c>
      <c r="AO86" s="17">
        <v>24</v>
      </c>
      <c r="AP86" s="17">
        <v>0.55000000000000104</v>
      </c>
      <c r="AQ86" s="17">
        <v>17.8</v>
      </c>
      <c r="AR86" s="17">
        <v>30.6</v>
      </c>
      <c r="AS86" s="17">
        <v>6.4</v>
      </c>
      <c r="AT86" s="17">
        <v>0.82788535497093096</v>
      </c>
      <c r="AU86" s="17">
        <v>0.20393836765123299</v>
      </c>
      <c r="AV86" s="17">
        <v>-0.54693599228846801</v>
      </c>
      <c r="AW86" s="17">
        <v>2.22985059749226</v>
      </c>
      <c r="AX86" s="17">
        <v>1.3883932948903599</v>
      </c>
    </row>
    <row r="87" spans="1:50" x14ac:dyDescent="0.2">
      <c r="A87" s="15" t="s">
        <v>115</v>
      </c>
      <c r="B87" s="17" t="s">
        <v>677</v>
      </c>
      <c r="C87" s="17" t="s">
        <v>170</v>
      </c>
      <c r="D87" s="17" t="s">
        <v>170</v>
      </c>
      <c r="E87" s="17" t="s">
        <v>648</v>
      </c>
      <c r="F87" s="17" t="s">
        <v>669</v>
      </c>
      <c r="G87" s="17" t="s">
        <v>650</v>
      </c>
      <c r="H87" s="17">
        <v>-1.2999999999999998</v>
      </c>
      <c r="I87" s="27"/>
      <c r="J87" s="17">
        <v>34.748610999999997</v>
      </c>
      <c r="K87" s="17">
        <v>-88.911666999999994</v>
      </c>
      <c r="L87" s="17">
        <v>3460</v>
      </c>
      <c r="M87" s="17" t="s">
        <v>608</v>
      </c>
      <c r="N87" s="17" t="s">
        <v>614</v>
      </c>
      <c r="O87" s="19" t="s">
        <v>621</v>
      </c>
      <c r="AC87" s="17">
        <v>3</v>
      </c>
      <c r="AD87" s="17">
        <v>-3.8394715897116898</v>
      </c>
      <c r="AE87" s="17">
        <v>3.9929333853288201E-2</v>
      </c>
      <c r="AF87" s="17">
        <v>-1.39011384399093</v>
      </c>
      <c r="AG87" s="17">
        <v>29.476917737091298</v>
      </c>
      <c r="AH87" s="17">
        <v>3.6012829073323101E-2</v>
      </c>
      <c r="AI87" s="17">
        <v>0.59879900055822</v>
      </c>
      <c r="AJ87" s="17">
        <v>1.1009076533804001E-2</v>
      </c>
      <c r="AK87" s="17">
        <v>2.2017839525711898E-2</v>
      </c>
      <c r="AL87" s="17">
        <v>0.237160821527066</v>
      </c>
      <c r="AM87" s="17">
        <v>9.3369483844757302E-3</v>
      </c>
      <c r="AN87" s="17">
        <v>9.0131324041094099E-2</v>
      </c>
      <c r="AO87" s="17">
        <v>23.3</v>
      </c>
      <c r="AP87" s="17">
        <v>3.7</v>
      </c>
      <c r="AQ87" s="17">
        <v>16.3</v>
      </c>
      <c r="AR87" s="17">
        <v>31</v>
      </c>
      <c r="AS87" s="17">
        <v>7.35</v>
      </c>
      <c r="AT87" s="17">
        <v>-0.12287832514402899</v>
      </c>
      <c r="AU87" s="17">
        <v>0.787771804238389</v>
      </c>
      <c r="AV87" s="17">
        <v>-1.6151769247009</v>
      </c>
      <c r="AW87" s="17">
        <v>1.4400605070086401</v>
      </c>
      <c r="AX87" s="17">
        <v>1.52761871585477</v>
      </c>
    </row>
    <row r="88" spans="1:50" x14ac:dyDescent="0.2">
      <c r="A88" s="15" t="s">
        <v>117</v>
      </c>
      <c r="B88" s="17" t="s">
        <v>677</v>
      </c>
      <c r="C88" s="17" t="s">
        <v>170</v>
      </c>
      <c r="D88" s="17" t="s">
        <v>170</v>
      </c>
      <c r="E88" s="17" t="s">
        <v>648</v>
      </c>
      <c r="F88" s="17" t="s">
        <v>669</v>
      </c>
      <c r="G88" s="17" t="s">
        <v>650</v>
      </c>
      <c r="H88" s="17">
        <v>-1.5999999999999996</v>
      </c>
      <c r="I88" s="27"/>
      <c r="J88" s="17">
        <v>34.748610999999997</v>
      </c>
      <c r="K88" s="17">
        <v>-88.911666999999994</v>
      </c>
      <c r="L88" s="17">
        <v>3460</v>
      </c>
      <c r="M88" s="17" t="s">
        <v>608</v>
      </c>
      <c r="N88" s="17" t="s">
        <v>614</v>
      </c>
      <c r="O88" s="19" t="s">
        <v>621</v>
      </c>
      <c r="S88" s="19">
        <v>0</v>
      </c>
      <c r="T88" s="19">
        <v>0</v>
      </c>
      <c r="U88" s="19" t="s">
        <v>637</v>
      </c>
      <c r="AC88" s="17">
        <v>4</v>
      </c>
      <c r="AD88" s="17">
        <v>0.639862860200758</v>
      </c>
      <c r="AE88" s="17">
        <v>8.5551677413747904E-2</v>
      </c>
      <c r="AF88" s="17">
        <v>-0.42874672193998398</v>
      </c>
      <c r="AG88" s="17">
        <v>30.468000716884902</v>
      </c>
      <c r="AH88" s="17">
        <v>7.1138659025006504E-2</v>
      </c>
      <c r="AI88" s="17">
        <v>0.58206548175145301</v>
      </c>
      <c r="AJ88" s="17">
        <v>5.5047764480661999E-3</v>
      </c>
      <c r="AK88" s="17">
        <v>1.9068008365715601E-2</v>
      </c>
      <c r="AL88" s="17">
        <v>0.18730253980606501</v>
      </c>
      <c r="AM88" s="17">
        <v>9.5991600081634394E-3</v>
      </c>
      <c r="AN88" s="17">
        <v>7.8056016296314604E-2</v>
      </c>
      <c r="AO88" s="17">
        <v>29.1</v>
      </c>
      <c r="AP88" s="17">
        <v>1.9</v>
      </c>
      <c r="AQ88" s="17">
        <v>22.6</v>
      </c>
      <c r="AR88" s="17">
        <v>36</v>
      </c>
      <c r="AS88" s="17">
        <v>6.7</v>
      </c>
      <c r="AT88" s="17">
        <v>1.9987359466041399</v>
      </c>
      <c r="AU88" s="17">
        <v>0.44179797884470401</v>
      </c>
      <c r="AV88" s="17">
        <v>0.62776134963166896</v>
      </c>
      <c r="AW88" s="17">
        <v>3.39183895457086</v>
      </c>
      <c r="AX88" s="17">
        <v>1.38203880246959</v>
      </c>
    </row>
    <row r="89" spans="1:50" x14ac:dyDescent="0.2">
      <c r="A89" s="15" t="s">
        <v>119</v>
      </c>
      <c r="B89" s="17" t="s">
        <v>677</v>
      </c>
      <c r="C89" s="17" t="s">
        <v>170</v>
      </c>
      <c r="D89" s="17" t="s">
        <v>170</v>
      </c>
      <c r="E89" s="17" t="s">
        <v>651</v>
      </c>
      <c r="F89" s="17" t="s">
        <v>500</v>
      </c>
      <c r="G89" s="17" t="s">
        <v>650</v>
      </c>
      <c r="H89" s="17">
        <v>-1.5999999999999996</v>
      </c>
      <c r="I89" s="27"/>
      <c r="J89" s="17">
        <v>34.748610999999997</v>
      </c>
      <c r="K89" s="17">
        <v>-88.911666999999994</v>
      </c>
      <c r="L89" s="17">
        <v>3460</v>
      </c>
      <c r="M89" s="17" t="s">
        <v>608</v>
      </c>
      <c r="N89" s="17" t="s">
        <v>614</v>
      </c>
      <c r="O89" s="19" t="s">
        <v>621</v>
      </c>
      <c r="AC89" s="17">
        <v>3</v>
      </c>
      <c r="AD89" s="17">
        <v>0.29046979264463402</v>
      </c>
      <c r="AE89" s="17">
        <v>0.107509410346948</v>
      </c>
      <c r="AF89" s="17">
        <v>-1.3998594729957801</v>
      </c>
      <c r="AG89" s="17">
        <v>29.466870870693899</v>
      </c>
      <c r="AH89" s="17">
        <v>4.2148309596593603E-2</v>
      </c>
      <c r="AI89" s="17">
        <v>0.60966872040720699</v>
      </c>
      <c r="AJ89" s="17">
        <v>1.2216494455420399E-3</v>
      </c>
      <c r="AK89" s="17">
        <v>2.2017839525711898E-2</v>
      </c>
      <c r="AL89" s="17">
        <v>0.23221901255367</v>
      </c>
      <c r="AM89" s="17">
        <v>4.2686649213032002E-2</v>
      </c>
      <c r="AN89" s="17">
        <v>9.0131324041094099E-2</v>
      </c>
      <c r="AO89" s="17">
        <v>19.8</v>
      </c>
      <c r="AP89" s="17">
        <v>0.4</v>
      </c>
      <c r="AQ89" s="17">
        <v>12.9</v>
      </c>
      <c r="AR89" s="17">
        <v>27.1</v>
      </c>
      <c r="AS89" s="17">
        <v>7.1</v>
      </c>
      <c r="AT89" s="17">
        <v>-0.85287514722153901</v>
      </c>
      <c r="AU89" s="17">
        <v>0.124173533365422</v>
      </c>
      <c r="AV89" s="17">
        <v>-2.3636325843068602</v>
      </c>
      <c r="AW89" s="17">
        <v>0.67185909435750102</v>
      </c>
      <c r="AX89" s="17">
        <v>1.5177458393321801</v>
      </c>
    </row>
    <row r="90" spans="1:50" x14ac:dyDescent="0.2">
      <c r="A90" s="15" t="s">
        <v>120</v>
      </c>
      <c r="B90" s="17" t="s">
        <v>677</v>
      </c>
      <c r="C90" s="17" t="s">
        <v>170</v>
      </c>
      <c r="D90" s="17" t="s">
        <v>170</v>
      </c>
      <c r="E90" s="17" t="s">
        <v>648</v>
      </c>
      <c r="F90" s="17" t="s">
        <v>669</v>
      </c>
      <c r="G90" s="17" t="s">
        <v>650</v>
      </c>
      <c r="H90" s="17">
        <v>-3</v>
      </c>
      <c r="I90" s="27"/>
      <c r="J90" s="17">
        <v>34.748610999999997</v>
      </c>
      <c r="K90" s="17">
        <v>-88.911666999999994</v>
      </c>
      <c r="L90" s="17">
        <v>3460</v>
      </c>
      <c r="M90" s="17" t="s">
        <v>608</v>
      </c>
      <c r="N90" s="17" t="s">
        <v>614</v>
      </c>
      <c r="O90" s="19" t="s">
        <v>621</v>
      </c>
      <c r="AC90" s="17">
        <v>3</v>
      </c>
      <c r="AD90" s="17">
        <v>1.08144900065276</v>
      </c>
      <c r="AE90" s="17">
        <v>1.22621328867051E-2</v>
      </c>
      <c r="AF90" s="17">
        <v>-0.89336058904627502</v>
      </c>
      <c r="AG90" s="17">
        <v>29.989025635146302</v>
      </c>
      <c r="AH90" s="17">
        <v>3.3249342346941997E-2</v>
      </c>
      <c r="AI90" s="17">
        <v>0.59763111862090301</v>
      </c>
      <c r="AJ90" s="17">
        <v>5.2470771571594497E-3</v>
      </c>
      <c r="AK90" s="17">
        <v>2.2017839525711898E-2</v>
      </c>
      <c r="AL90" s="17">
        <v>0.22673952309158099</v>
      </c>
      <c r="AM90" s="17">
        <v>1.24134285589876E-2</v>
      </c>
      <c r="AN90" s="17">
        <v>9.0131324041094099E-2</v>
      </c>
      <c r="AO90" s="17">
        <v>23.7</v>
      </c>
      <c r="AP90" s="17">
        <v>1.75</v>
      </c>
      <c r="AQ90" s="17">
        <v>16.600000000000001</v>
      </c>
      <c r="AR90" s="17">
        <v>31.4</v>
      </c>
      <c r="AS90" s="17">
        <v>7.4</v>
      </c>
      <c r="AT90" s="17">
        <v>0.45581068517867601</v>
      </c>
      <c r="AU90" s="17">
        <v>0.38755365766854799</v>
      </c>
      <c r="AV90" s="17">
        <v>-1.0519499144943401</v>
      </c>
      <c r="AW90" s="17">
        <v>2.0128798286912102</v>
      </c>
      <c r="AX90" s="17">
        <v>1.5324148715927799</v>
      </c>
    </row>
    <row r="91" spans="1:50" x14ac:dyDescent="0.2">
      <c r="A91" s="15" t="s">
        <v>128</v>
      </c>
      <c r="B91" s="17" t="s">
        <v>677</v>
      </c>
      <c r="C91" s="17" t="s">
        <v>171</v>
      </c>
      <c r="D91" s="17" t="s">
        <v>198</v>
      </c>
      <c r="E91" s="17" t="s">
        <v>203</v>
      </c>
      <c r="F91" s="17" t="s">
        <v>500</v>
      </c>
      <c r="G91" s="17" t="s">
        <v>652</v>
      </c>
      <c r="H91" s="18" t="s">
        <v>198</v>
      </c>
      <c r="J91" s="17">
        <v>33.967222</v>
      </c>
      <c r="K91" s="17">
        <v>-89.000833</v>
      </c>
      <c r="L91" s="17">
        <v>3483</v>
      </c>
      <c r="M91" s="17" t="s">
        <v>608</v>
      </c>
      <c r="N91" s="17" t="s">
        <v>614</v>
      </c>
      <c r="O91" s="19" t="s">
        <v>625</v>
      </c>
      <c r="P91" s="19" t="s">
        <v>633</v>
      </c>
      <c r="Q91" s="17" t="s">
        <v>630</v>
      </c>
      <c r="R91" s="17" t="s">
        <v>631</v>
      </c>
      <c r="V91" s="25">
        <v>1.3640000000000001</v>
      </c>
      <c r="W91" s="25">
        <v>2.9910000000000001</v>
      </c>
      <c r="X91" s="25">
        <v>5.4180000000000001</v>
      </c>
      <c r="Y91" s="25">
        <v>261.93299999999999</v>
      </c>
      <c r="Z91" s="25">
        <v>2054.5360000000001</v>
      </c>
      <c r="AC91" s="17">
        <v>3</v>
      </c>
      <c r="AD91" s="17">
        <v>-3.9720632833551002</v>
      </c>
      <c r="AE91" s="17">
        <v>2.6069627666379401E-2</v>
      </c>
      <c r="AF91" s="17">
        <v>-1.04236565936186</v>
      </c>
      <c r="AG91" s="17">
        <v>29.835414818107299</v>
      </c>
      <c r="AH91" s="17">
        <v>3.5711248085504799E-2</v>
      </c>
      <c r="AI91" s="17">
        <v>0.60017241504652996</v>
      </c>
      <c r="AJ91" s="17">
        <v>6.2688924028261499E-3</v>
      </c>
      <c r="AK91" s="17">
        <v>2.2017839525711898E-2</v>
      </c>
      <c r="AL91" s="17">
        <v>0.214171895121406</v>
      </c>
      <c r="AM91" s="17">
        <v>3.1304146406183203E-2</v>
      </c>
      <c r="AN91" s="17">
        <v>9.0131324041094099E-2</v>
      </c>
      <c r="AO91" s="17">
        <v>22.9</v>
      </c>
      <c r="AP91" s="17">
        <v>2.1</v>
      </c>
      <c r="AQ91" s="17">
        <v>15.8</v>
      </c>
      <c r="AR91" s="17">
        <v>30.5</v>
      </c>
      <c r="AS91" s="17">
        <v>7.35</v>
      </c>
      <c r="AT91" s="17">
        <v>0.14380486080904101</v>
      </c>
      <c r="AU91" s="17">
        <v>0.46317053643241501</v>
      </c>
      <c r="AV91" s="17">
        <v>-1.37395234191911</v>
      </c>
      <c r="AW91" s="17">
        <v>1.69152002540307</v>
      </c>
      <c r="AX91" s="17">
        <v>1.53273618366109</v>
      </c>
    </row>
    <row r="92" spans="1:50" x14ac:dyDescent="0.2">
      <c r="A92" s="15" t="s">
        <v>129</v>
      </c>
      <c r="B92" s="17" t="s">
        <v>677</v>
      </c>
      <c r="C92" s="17" t="s">
        <v>171</v>
      </c>
      <c r="D92" s="17" t="s">
        <v>198</v>
      </c>
      <c r="E92" s="17" t="s">
        <v>212</v>
      </c>
      <c r="F92" s="17" t="s">
        <v>669</v>
      </c>
      <c r="G92" s="17" t="s">
        <v>652</v>
      </c>
      <c r="H92" s="18" t="s">
        <v>198</v>
      </c>
      <c r="J92" s="17">
        <v>33.967222</v>
      </c>
      <c r="K92" s="17">
        <v>-89.000833</v>
      </c>
      <c r="L92" s="17">
        <v>3483</v>
      </c>
      <c r="M92" s="17" t="s">
        <v>608</v>
      </c>
      <c r="N92" s="17" t="s">
        <v>614</v>
      </c>
      <c r="O92" s="19" t="s">
        <v>625</v>
      </c>
      <c r="P92" s="19" t="s">
        <v>632</v>
      </c>
      <c r="Q92" s="17" t="s">
        <v>630</v>
      </c>
      <c r="R92" s="17" t="s">
        <v>631</v>
      </c>
      <c r="V92" s="19">
        <v>0.64867758654548013</v>
      </c>
      <c r="W92" s="19">
        <v>1.2971159469598381</v>
      </c>
      <c r="X92" s="19">
        <v>13.77377446751608</v>
      </c>
      <c r="Y92" s="19">
        <v>194.10289380674004</v>
      </c>
      <c r="Z92" s="19">
        <v>418.8285126883041</v>
      </c>
      <c r="AC92" s="17">
        <v>4</v>
      </c>
      <c r="AD92" s="17">
        <v>2.2780224590008502</v>
      </c>
      <c r="AE92" s="17">
        <v>8.1995545925749494E-2</v>
      </c>
      <c r="AF92" s="17">
        <v>-3.8271674636576898</v>
      </c>
      <c r="AG92" s="17">
        <v>26.964534790040599</v>
      </c>
      <c r="AH92" s="17">
        <v>3.8914124643977102E-2</v>
      </c>
      <c r="AI92" s="17">
        <v>0.57290975278140899</v>
      </c>
      <c r="AJ92" s="17">
        <v>7.8025211972958704E-3</v>
      </c>
      <c r="AK92" s="17">
        <v>1.9068008365715601E-2</v>
      </c>
      <c r="AL92" s="17">
        <v>0.173040166145317</v>
      </c>
      <c r="AM92" s="17">
        <v>1.34429894416375E-2</v>
      </c>
      <c r="AN92" s="17">
        <v>7.8056016296314604E-2</v>
      </c>
      <c r="AO92" s="17">
        <v>32.4</v>
      </c>
      <c r="AP92" s="17">
        <v>2.8</v>
      </c>
      <c r="AQ92" s="17">
        <v>25.6</v>
      </c>
      <c r="AR92" s="17">
        <v>39.6</v>
      </c>
      <c r="AS92" s="17">
        <v>7</v>
      </c>
      <c r="AT92" s="17">
        <v>1.9052101635793399E-2</v>
      </c>
      <c r="AU92" s="17">
        <v>0.57868682944769001</v>
      </c>
      <c r="AV92" s="17">
        <v>-1.3610329544386599</v>
      </c>
      <c r="AW92" s="17">
        <v>1.41641125121589</v>
      </c>
      <c r="AX92" s="17">
        <v>1.38872210282727</v>
      </c>
    </row>
    <row r="93" spans="1:50" x14ac:dyDescent="0.2">
      <c r="A93" s="15" t="s">
        <v>130</v>
      </c>
      <c r="B93" s="17" t="s">
        <v>676</v>
      </c>
      <c r="C93" s="17" t="s">
        <v>171</v>
      </c>
      <c r="D93" s="17" t="s">
        <v>198</v>
      </c>
      <c r="E93" s="17" t="s">
        <v>242</v>
      </c>
      <c r="F93" s="17" t="s">
        <v>668</v>
      </c>
      <c r="G93" s="17" t="s">
        <v>652</v>
      </c>
      <c r="H93" s="18" t="s">
        <v>198</v>
      </c>
      <c r="J93" s="17">
        <v>33.967222</v>
      </c>
      <c r="K93" s="17">
        <v>-89.000833</v>
      </c>
      <c r="L93" s="17">
        <v>3483</v>
      </c>
      <c r="M93" s="17" t="s">
        <v>608</v>
      </c>
      <c r="N93" s="17" t="s">
        <v>614</v>
      </c>
      <c r="O93" s="19" t="s">
        <v>625</v>
      </c>
      <c r="P93" s="19" t="s">
        <v>632</v>
      </c>
      <c r="Q93" s="17" t="s">
        <v>630</v>
      </c>
      <c r="R93" s="17" t="s">
        <v>631</v>
      </c>
      <c r="S93" s="19">
        <v>0</v>
      </c>
      <c r="T93" s="19">
        <v>2</v>
      </c>
      <c r="U93" s="19" t="s">
        <v>639</v>
      </c>
      <c r="V93" s="25">
        <v>1.629</v>
      </c>
      <c r="W93" s="25">
        <v>1.629</v>
      </c>
      <c r="X93" s="25">
        <v>9.3650000000000002</v>
      </c>
      <c r="Y93" s="25">
        <v>139.50299999999999</v>
      </c>
      <c r="Z93" s="25">
        <v>594.03300000000002</v>
      </c>
      <c r="AC93" s="17">
        <v>3</v>
      </c>
      <c r="AD93" s="17">
        <v>-2.4223614853826398</v>
      </c>
      <c r="AE93" s="17">
        <v>2.7021003206561499E-2</v>
      </c>
      <c r="AF93" s="17">
        <v>-0.89091047673530499</v>
      </c>
      <c r="AG93" s="17">
        <v>29.9915514804288</v>
      </c>
      <c r="AH93" s="17">
        <v>4.3031354737789802E-2</v>
      </c>
      <c r="AI93" s="17">
        <v>0.59916797132140698</v>
      </c>
      <c r="AJ93" s="17">
        <v>4.9889846643324399E-3</v>
      </c>
      <c r="AK93" s="17">
        <v>2.2017839525711898E-2</v>
      </c>
      <c r="AL93" s="17">
        <v>0.24719318133807899</v>
      </c>
      <c r="AM93" s="17">
        <v>3.0355268388930899E-2</v>
      </c>
      <c r="AN93" s="17">
        <v>9.0131324041094099E-2</v>
      </c>
      <c r="AO93" s="17">
        <v>23.2</v>
      </c>
      <c r="AP93" s="17">
        <v>1.65</v>
      </c>
      <c r="AQ93" s="17">
        <v>16.100000000000001</v>
      </c>
      <c r="AR93" s="17">
        <v>30.8</v>
      </c>
      <c r="AS93" s="17">
        <v>7.35</v>
      </c>
      <c r="AT93" s="17">
        <v>0.356598877168608</v>
      </c>
      <c r="AU93" s="17">
        <v>0.37784720005106498</v>
      </c>
      <c r="AV93" s="17">
        <v>-1.1655385933501099</v>
      </c>
      <c r="AW93" s="17">
        <v>1.90873184537111</v>
      </c>
      <c r="AX93" s="17">
        <v>1.53713521936061</v>
      </c>
    </row>
    <row r="94" spans="1:50" x14ac:dyDescent="0.2">
      <c r="A94" s="15" t="s">
        <v>144</v>
      </c>
      <c r="B94" s="17" t="s">
        <v>676</v>
      </c>
      <c r="C94" s="17" t="s">
        <v>172</v>
      </c>
      <c r="D94" s="17" t="s">
        <v>198</v>
      </c>
      <c r="E94" s="17" t="s">
        <v>216</v>
      </c>
      <c r="F94" s="17" t="s">
        <v>669</v>
      </c>
      <c r="G94" s="17" t="s">
        <v>652</v>
      </c>
      <c r="H94" s="17"/>
      <c r="I94" s="18" t="s">
        <v>217</v>
      </c>
      <c r="J94" s="17">
        <v>31.7</v>
      </c>
      <c r="K94" s="17">
        <v>-85.1</v>
      </c>
      <c r="M94" s="17" t="s">
        <v>608</v>
      </c>
      <c r="N94" s="17" t="s">
        <v>614</v>
      </c>
      <c r="P94" s="19" t="s">
        <v>629</v>
      </c>
      <c r="V94" s="19">
        <v>1.65</v>
      </c>
      <c r="W94" s="19">
        <v>2.4969999999999999</v>
      </c>
      <c r="X94" s="19">
        <v>14.256</v>
      </c>
      <c r="Y94" s="19">
        <v>102.801</v>
      </c>
      <c r="Z94" s="19">
        <v>238.63800000000001</v>
      </c>
      <c r="AC94" s="17">
        <v>5</v>
      </c>
      <c r="AD94" s="17">
        <v>0.81433083060473499</v>
      </c>
      <c r="AE94" s="17">
        <v>4.0126652516437301E-2</v>
      </c>
      <c r="AF94" s="17">
        <v>-0.62882424399836001</v>
      </c>
      <c r="AG94" s="17">
        <v>30.2617387986196</v>
      </c>
      <c r="AH94" s="17">
        <v>3.0886387382978601E-2</v>
      </c>
      <c r="AI94" s="17">
        <v>0.56921502307008198</v>
      </c>
      <c r="AJ94" s="17">
        <v>3.8300883861837901E-2</v>
      </c>
      <c r="AK94" s="17">
        <v>1.7054945160509899E-2</v>
      </c>
      <c r="AL94" s="17">
        <v>0.180730330509632</v>
      </c>
      <c r="AM94" s="17">
        <v>0.101049982710538</v>
      </c>
      <c r="AN94" s="17">
        <v>6.9815423396556303E-2</v>
      </c>
      <c r="AO94" s="17">
        <v>33.700000000000003</v>
      </c>
      <c r="AP94" s="17">
        <v>14.2</v>
      </c>
      <c r="AQ94" s="17">
        <v>27.6</v>
      </c>
      <c r="AR94" s="17">
        <v>40.200000000000003</v>
      </c>
      <c r="AS94" s="17">
        <v>6.3</v>
      </c>
      <c r="AT94" s="17">
        <v>3.4805775037614199</v>
      </c>
      <c r="AU94" s="17">
        <v>2.7642000769246202</v>
      </c>
      <c r="AV94" s="17">
        <v>2.2553204124759501</v>
      </c>
      <c r="AW94" s="17">
        <v>4.7345441371982098</v>
      </c>
      <c r="AX94" s="17">
        <v>1.2396118623611301</v>
      </c>
    </row>
    <row r="95" spans="1:50" x14ac:dyDescent="0.2">
      <c r="A95" s="15" t="s">
        <v>141</v>
      </c>
      <c r="B95" s="17" t="s">
        <v>677</v>
      </c>
      <c r="C95" s="17" t="s">
        <v>172</v>
      </c>
      <c r="D95" s="17" t="s">
        <v>198</v>
      </c>
      <c r="E95" s="17" t="s">
        <v>216</v>
      </c>
      <c r="F95" s="17" t="s">
        <v>669</v>
      </c>
      <c r="G95" s="17" t="s">
        <v>652</v>
      </c>
      <c r="I95" s="18" t="s">
        <v>217</v>
      </c>
      <c r="J95" s="17">
        <v>31.7</v>
      </c>
      <c r="K95" s="17">
        <v>-85.1</v>
      </c>
      <c r="M95" s="17" t="s">
        <v>608</v>
      </c>
      <c r="N95" s="17" t="s">
        <v>614</v>
      </c>
      <c r="P95" s="19" t="s">
        <v>629</v>
      </c>
      <c r="AC95" s="17">
        <v>3</v>
      </c>
      <c r="AD95" s="17">
        <v>1.2981838226278599</v>
      </c>
      <c r="AE95" s="17">
        <v>9.96159139714035E-2</v>
      </c>
      <c r="AF95" s="17">
        <v>-1.23710869240932</v>
      </c>
      <c r="AG95" s="17">
        <v>29.634652277908302</v>
      </c>
      <c r="AH95" s="17">
        <v>5.2787048810527801E-2</v>
      </c>
      <c r="AI95" s="17">
        <v>0.61453116246964501</v>
      </c>
      <c r="AJ95" s="17">
        <v>5.5318148276125103E-4</v>
      </c>
      <c r="AK95" s="17">
        <v>2.2017839525711898E-2</v>
      </c>
      <c r="AL95" s="17">
        <v>0.27871733311355201</v>
      </c>
      <c r="AM95" s="17">
        <v>8.8403129804031401E-3</v>
      </c>
      <c r="AN95" s="17">
        <v>9.0131324041094099E-2</v>
      </c>
      <c r="AO95" s="17">
        <v>18.2</v>
      </c>
      <c r="AP95" s="17">
        <v>0.149999999999999</v>
      </c>
      <c r="AQ95" s="17">
        <v>11.5</v>
      </c>
      <c r="AR95" s="17">
        <v>25.5</v>
      </c>
      <c r="AS95" s="17">
        <v>7</v>
      </c>
      <c r="AT95" s="17">
        <v>-1.02492848109819</v>
      </c>
      <c r="AU95" s="17">
        <v>8.2778579197452004E-2</v>
      </c>
      <c r="AV95" s="17">
        <v>-2.5180427508157699</v>
      </c>
      <c r="AW95" s="17">
        <v>0.526025171954416</v>
      </c>
      <c r="AX95" s="17">
        <v>1.52203396138509</v>
      </c>
    </row>
    <row r="96" spans="1:50" x14ac:dyDescent="0.2">
      <c r="A96" s="15" t="s">
        <v>142</v>
      </c>
      <c r="B96" s="17" t="s">
        <v>677</v>
      </c>
      <c r="C96" s="17" t="s">
        <v>172</v>
      </c>
      <c r="D96" s="17" t="s">
        <v>198</v>
      </c>
      <c r="E96" s="17" t="s">
        <v>216</v>
      </c>
      <c r="F96" s="17" t="s">
        <v>669</v>
      </c>
      <c r="G96" s="17" t="s">
        <v>652</v>
      </c>
      <c r="I96" s="18" t="s">
        <v>217</v>
      </c>
      <c r="J96" s="17">
        <v>31.7</v>
      </c>
      <c r="K96" s="17">
        <v>-85.1</v>
      </c>
      <c r="M96" s="17" t="s">
        <v>608</v>
      </c>
      <c r="N96" s="17" t="s">
        <v>614</v>
      </c>
      <c r="P96" s="19" t="s">
        <v>629</v>
      </c>
      <c r="AC96" s="17">
        <v>5</v>
      </c>
      <c r="AD96" s="17">
        <v>1.18385928864155</v>
      </c>
      <c r="AE96" s="17">
        <v>4.0231582267930298E-2</v>
      </c>
      <c r="AF96" s="17">
        <v>-0.94146878030077796</v>
      </c>
      <c r="AG96" s="17">
        <v>29.939430419700098</v>
      </c>
      <c r="AH96" s="17">
        <v>1.3858897433993701E-2</v>
      </c>
      <c r="AI96" s="17">
        <v>0.56670536961373097</v>
      </c>
      <c r="AJ96" s="17">
        <v>1.52251976427268E-2</v>
      </c>
      <c r="AK96" s="17">
        <v>1.7054945160509899E-2</v>
      </c>
      <c r="AL96" s="17">
        <v>0.16432126750994999</v>
      </c>
      <c r="AM96" s="17">
        <v>9.8735669630048803E-2</v>
      </c>
      <c r="AN96" s="17">
        <v>6.9815423396556303E-2</v>
      </c>
      <c r="AO96" s="17">
        <v>34.6</v>
      </c>
      <c r="AP96" s="17">
        <v>5.7</v>
      </c>
      <c r="AQ96" s="17">
        <v>28.5</v>
      </c>
      <c r="AR96" s="17">
        <v>41.2</v>
      </c>
      <c r="AS96" s="17">
        <v>6.35</v>
      </c>
      <c r="AT96" s="17">
        <v>3.3390422897180101</v>
      </c>
      <c r="AU96" s="17">
        <v>1.10258759786848</v>
      </c>
      <c r="AV96" s="17">
        <v>2.1375622277856801</v>
      </c>
      <c r="AW96" s="17">
        <v>4.5874916875054597</v>
      </c>
      <c r="AX96" s="17">
        <v>1.22496472985989</v>
      </c>
    </row>
    <row r="97" spans="1:50" x14ac:dyDescent="0.2">
      <c r="A97" s="15" t="s">
        <v>145</v>
      </c>
      <c r="B97" s="17" t="s">
        <v>677</v>
      </c>
      <c r="C97" s="17" t="s">
        <v>172</v>
      </c>
      <c r="D97" s="17" t="s">
        <v>198</v>
      </c>
      <c r="E97" s="17" t="s">
        <v>216</v>
      </c>
      <c r="F97" s="17" t="s">
        <v>669</v>
      </c>
      <c r="G97" s="17" t="s">
        <v>652</v>
      </c>
      <c r="I97" s="18" t="s">
        <v>217</v>
      </c>
      <c r="J97" s="17">
        <v>31.7</v>
      </c>
      <c r="K97" s="17">
        <v>-85.1</v>
      </c>
      <c r="M97" s="17" t="s">
        <v>608</v>
      </c>
      <c r="N97" s="17" t="s">
        <v>614</v>
      </c>
      <c r="P97" s="19" t="s">
        <v>629</v>
      </c>
      <c r="AC97" s="17">
        <v>3</v>
      </c>
      <c r="AD97" s="17">
        <v>1.0824512114909599</v>
      </c>
      <c r="AE97" s="17">
        <v>0.31419981949482201</v>
      </c>
      <c r="AF97" s="17">
        <v>-1.02635893749972</v>
      </c>
      <c r="AG97" s="17">
        <v>29.851916307742201</v>
      </c>
      <c r="AH97" s="17">
        <v>4.2478566587072102E-2</v>
      </c>
      <c r="AI97" s="17">
        <v>0.61533214287100002</v>
      </c>
      <c r="AJ97" s="17">
        <v>9.76729711145863E-3</v>
      </c>
      <c r="AK97" s="17">
        <v>2.2017839525711898E-2</v>
      </c>
      <c r="AL97" s="17">
        <v>0.25962564356561602</v>
      </c>
      <c r="AM97" s="17">
        <v>3.0178457183215199E-2</v>
      </c>
      <c r="AN97" s="17">
        <v>9.0131324041094099E-2</v>
      </c>
      <c r="AO97" s="17">
        <v>18</v>
      </c>
      <c r="AP97" s="17">
        <v>3.1</v>
      </c>
      <c r="AQ97" s="17">
        <v>11.3</v>
      </c>
      <c r="AR97" s="17">
        <v>25.2</v>
      </c>
      <c r="AS97" s="17">
        <v>6.95</v>
      </c>
      <c r="AT97" s="17">
        <v>-9.1816288175664298E-2</v>
      </c>
      <c r="AU97" s="17">
        <v>0.70061469337650795</v>
      </c>
      <c r="AV97" s="17">
        <v>-1.5904414347993501</v>
      </c>
      <c r="AW97" s="17">
        <v>1.4449325679609</v>
      </c>
      <c r="AX97" s="17">
        <v>1.51768700138012</v>
      </c>
    </row>
    <row r="98" spans="1:50" x14ac:dyDescent="0.2">
      <c r="A98" s="15" t="s">
        <v>143</v>
      </c>
      <c r="B98" s="17" t="s">
        <v>677</v>
      </c>
      <c r="C98" s="17" t="s">
        <v>172</v>
      </c>
      <c r="D98" s="17" t="s">
        <v>198</v>
      </c>
      <c r="E98" s="17" t="s">
        <v>216</v>
      </c>
      <c r="F98" s="17" t="s">
        <v>669</v>
      </c>
      <c r="G98" s="17" t="s">
        <v>652</v>
      </c>
      <c r="I98" s="18" t="s">
        <v>217</v>
      </c>
      <c r="J98" s="17">
        <v>31.7</v>
      </c>
      <c r="K98" s="17">
        <v>-85.1</v>
      </c>
      <c r="M98" s="17" t="s">
        <v>608</v>
      </c>
      <c r="N98" s="17" t="s">
        <v>614</v>
      </c>
      <c r="P98" s="19" t="s">
        <v>629</v>
      </c>
      <c r="AC98" s="17">
        <v>5</v>
      </c>
      <c r="AD98" s="17">
        <v>1.4911311059613901</v>
      </c>
      <c r="AE98" s="17">
        <v>8.7951408769628994E-2</v>
      </c>
      <c r="AF98" s="17">
        <v>-1.6795297851354301</v>
      </c>
      <c r="AG98" s="17">
        <v>29.178555949206</v>
      </c>
      <c r="AH98" s="17">
        <v>2.6377001612610099E-2</v>
      </c>
      <c r="AI98" s="17">
        <v>0.59853871787922597</v>
      </c>
      <c r="AJ98" s="17">
        <v>1.20897966331886E-2</v>
      </c>
      <c r="AK98" s="17">
        <v>1.7054945160509899E-2</v>
      </c>
      <c r="AL98" s="17">
        <v>6.6203433107269505E-2</v>
      </c>
      <c r="AM98" s="17">
        <v>8.1769238123413607E-2</v>
      </c>
      <c r="AN98" s="17">
        <v>6.9815423396556303E-2</v>
      </c>
      <c r="AO98" s="17">
        <v>23.4</v>
      </c>
      <c r="AP98" s="17">
        <v>4</v>
      </c>
      <c r="AQ98" s="17">
        <v>17.899999999999999</v>
      </c>
      <c r="AR98" s="17">
        <v>29.3</v>
      </c>
      <c r="AS98" s="17">
        <v>5.7</v>
      </c>
      <c r="AT98" s="17">
        <v>0.38184775089723599</v>
      </c>
      <c r="AU98" s="17">
        <v>0.84617901695992304</v>
      </c>
      <c r="AV98" s="17">
        <v>-0.79246865967832003</v>
      </c>
      <c r="AW98" s="17">
        <v>1.5947054019025</v>
      </c>
      <c r="AX98" s="17">
        <v>1.19358703079041</v>
      </c>
    </row>
    <row r="99" spans="1:50" x14ac:dyDescent="0.2">
      <c r="A99" s="15" t="s">
        <v>146</v>
      </c>
      <c r="B99" s="17" t="s">
        <v>677</v>
      </c>
      <c r="C99" s="17" t="s">
        <v>172</v>
      </c>
      <c r="D99" s="17" t="s">
        <v>198</v>
      </c>
      <c r="E99" s="17" t="s">
        <v>218</v>
      </c>
      <c r="F99" s="17" t="s">
        <v>669</v>
      </c>
      <c r="G99" s="17" t="s">
        <v>652</v>
      </c>
      <c r="I99" s="18" t="s">
        <v>217</v>
      </c>
      <c r="J99" s="17">
        <v>31.7</v>
      </c>
      <c r="K99" s="17">
        <v>-85.1</v>
      </c>
      <c r="M99" s="17" t="s">
        <v>608</v>
      </c>
      <c r="N99" s="17" t="s">
        <v>614</v>
      </c>
      <c r="P99" s="19" t="s">
        <v>629</v>
      </c>
      <c r="AC99" s="17">
        <v>4</v>
      </c>
      <c r="AD99" s="17">
        <v>1.3885332090331499</v>
      </c>
      <c r="AE99" s="17">
        <v>7.7606464876962697E-2</v>
      </c>
      <c r="AF99" s="17">
        <v>-0.99477523100399801</v>
      </c>
      <c r="AG99" s="17">
        <v>29.884476266605699</v>
      </c>
      <c r="AH99" s="17">
        <v>3.3058986191351399E-2</v>
      </c>
      <c r="AI99" s="17">
        <v>0.60402014383579195</v>
      </c>
      <c r="AJ99" s="17">
        <v>9.0815051023028E-3</v>
      </c>
      <c r="AK99" s="17">
        <v>1.9068008365715601E-2</v>
      </c>
      <c r="AL99" s="17">
        <v>0.25439692923714202</v>
      </c>
      <c r="AM99" s="17">
        <v>5.0577412911297102E-2</v>
      </c>
      <c r="AN99" s="17">
        <v>7.8056016296314604E-2</v>
      </c>
      <c r="AO99" s="17">
        <v>21.6</v>
      </c>
      <c r="AP99" s="17">
        <v>2.95</v>
      </c>
      <c r="AQ99" s="17">
        <v>15.6</v>
      </c>
      <c r="AR99" s="17">
        <v>28.1</v>
      </c>
      <c r="AS99" s="17">
        <v>6.25</v>
      </c>
      <c r="AT99" s="17">
        <v>0.69639589734242702</v>
      </c>
      <c r="AU99" s="17">
        <v>0.64482954361335498</v>
      </c>
      <c r="AV99" s="17">
        <v>-0.60683747295308899</v>
      </c>
      <c r="AW99" s="17">
        <v>2.0502125859732101</v>
      </c>
      <c r="AX99" s="17">
        <v>1.3285250294631501</v>
      </c>
    </row>
    <row r="100" spans="1:50" x14ac:dyDescent="0.2">
      <c r="A100" s="15" t="s">
        <v>147</v>
      </c>
      <c r="B100" s="17" t="s">
        <v>677</v>
      </c>
      <c r="C100" s="17" t="s">
        <v>172</v>
      </c>
      <c r="D100" s="17" t="s">
        <v>198</v>
      </c>
      <c r="E100" s="17" t="s">
        <v>218</v>
      </c>
      <c r="F100" s="17" t="s">
        <v>669</v>
      </c>
      <c r="G100" s="17" t="s">
        <v>652</v>
      </c>
      <c r="I100" s="18" t="s">
        <v>217</v>
      </c>
      <c r="J100" s="17">
        <v>31.7</v>
      </c>
      <c r="K100" s="17">
        <v>-85.1</v>
      </c>
      <c r="M100" s="17" t="s">
        <v>608</v>
      </c>
      <c r="N100" s="17" t="s">
        <v>614</v>
      </c>
      <c r="P100" s="19" t="s">
        <v>629</v>
      </c>
      <c r="AC100" s="17">
        <v>3</v>
      </c>
      <c r="AD100" s="17">
        <v>0.31067973607501498</v>
      </c>
      <c r="AE100" s="17">
        <v>9.4323905730956097E-3</v>
      </c>
      <c r="AF100" s="17">
        <v>-0.39264011035308199</v>
      </c>
      <c r="AG100" s="17">
        <v>30.505223383835901</v>
      </c>
      <c r="AH100" s="17">
        <v>4.8959460992154299E-2</v>
      </c>
      <c r="AI100" s="17">
        <v>0.61564156277811199</v>
      </c>
      <c r="AJ100" s="17">
        <v>1.42045114932069E-2</v>
      </c>
      <c r="AK100" s="17">
        <v>2.2017839525711898E-2</v>
      </c>
      <c r="AL100" s="17">
        <v>0.28626710802371802</v>
      </c>
      <c r="AM100" s="17">
        <v>1.4102060060338199E-2</v>
      </c>
      <c r="AN100" s="17">
        <v>9.0131324041094099E-2</v>
      </c>
      <c r="AO100" s="17">
        <v>17.899999999999999</v>
      </c>
      <c r="AP100" s="17">
        <v>4.5</v>
      </c>
      <c r="AQ100" s="17">
        <v>11.2</v>
      </c>
      <c r="AR100" s="17">
        <v>25.1</v>
      </c>
      <c r="AS100" s="17">
        <v>6.95</v>
      </c>
      <c r="AT100" s="17">
        <v>-0.243523736742532</v>
      </c>
      <c r="AU100" s="17">
        <v>0.99730752675577605</v>
      </c>
      <c r="AV100" s="17">
        <v>-1.73706392452402</v>
      </c>
      <c r="AW100" s="17">
        <v>1.2878210542992301</v>
      </c>
      <c r="AX100" s="17">
        <v>1.51244248941163</v>
      </c>
    </row>
    <row r="101" spans="1:50" x14ac:dyDescent="0.2">
      <c r="A101" s="15" t="s">
        <v>148</v>
      </c>
      <c r="B101" s="17" t="s">
        <v>677</v>
      </c>
      <c r="C101" s="17" t="s">
        <v>172</v>
      </c>
      <c r="D101" s="17" t="s">
        <v>198</v>
      </c>
      <c r="E101" s="17" t="s">
        <v>218</v>
      </c>
      <c r="F101" s="17" t="s">
        <v>669</v>
      </c>
      <c r="G101" s="17" t="s">
        <v>652</v>
      </c>
      <c r="I101" s="18" t="s">
        <v>217</v>
      </c>
      <c r="J101" s="17">
        <v>31.7</v>
      </c>
      <c r="K101" s="17">
        <v>-85.1</v>
      </c>
      <c r="M101" s="17" t="s">
        <v>608</v>
      </c>
      <c r="N101" s="17" t="s">
        <v>614</v>
      </c>
      <c r="P101" s="19" t="s">
        <v>629</v>
      </c>
      <c r="AC101" s="17">
        <v>3</v>
      </c>
      <c r="AD101" s="17">
        <v>-0.95467272074022502</v>
      </c>
      <c r="AE101" s="17">
        <v>1.0359092559464799E-2</v>
      </c>
      <c r="AF101" s="17">
        <v>-0.83276258598521902</v>
      </c>
      <c r="AG101" s="17">
        <v>30.051496722482</v>
      </c>
      <c r="AH101" s="17">
        <v>5.5796033007112597E-2</v>
      </c>
      <c r="AI101" s="17">
        <v>0.61337024715321797</v>
      </c>
      <c r="AJ101" s="17">
        <v>5.5797546114723798E-3</v>
      </c>
      <c r="AK101" s="17">
        <v>2.2017839525711898E-2</v>
      </c>
      <c r="AL101" s="17">
        <v>0.276559350283202</v>
      </c>
      <c r="AM101" s="17">
        <v>1.9317453855970199E-2</v>
      </c>
      <c r="AN101" s="17">
        <v>9.0131324041094099E-2</v>
      </c>
      <c r="AO101" s="17">
        <v>18.600000000000001</v>
      </c>
      <c r="AP101" s="17">
        <v>1.8</v>
      </c>
      <c r="AQ101" s="17">
        <v>11.8</v>
      </c>
      <c r="AR101" s="17">
        <v>25.9</v>
      </c>
      <c r="AS101" s="17">
        <v>7.05</v>
      </c>
      <c r="AT101" s="17">
        <v>-0.53640531721339402</v>
      </c>
      <c r="AU101" s="17">
        <v>0.43205982193290998</v>
      </c>
      <c r="AV101" s="17">
        <v>-2.0511159360190701</v>
      </c>
      <c r="AW101" s="17">
        <v>1.0141455509464099</v>
      </c>
      <c r="AX101" s="17">
        <v>1.53263074348274</v>
      </c>
    </row>
    <row r="102" spans="1:50" x14ac:dyDescent="0.2">
      <c r="A102" s="15" t="s">
        <v>149</v>
      </c>
      <c r="B102" s="17" t="s">
        <v>677</v>
      </c>
      <c r="C102" s="17" t="s">
        <v>172</v>
      </c>
      <c r="D102" s="17" t="s">
        <v>198</v>
      </c>
      <c r="E102" s="17" t="s">
        <v>218</v>
      </c>
      <c r="F102" s="17" t="s">
        <v>669</v>
      </c>
      <c r="G102" s="17" t="s">
        <v>652</v>
      </c>
      <c r="H102" s="17"/>
      <c r="I102" s="18" t="s">
        <v>217</v>
      </c>
      <c r="J102" s="17">
        <v>31.7</v>
      </c>
      <c r="K102" s="17">
        <v>-85.1</v>
      </c>
      <c r="M102" s="17" t="s">
        <v>608</v>
      </c>
      <c r="N102" s="17" t="s">
        <v>614</v>
      </c>
      <c r="P102" s="19" t="s">
        <v>629</v>
      </c>
      <c r="V102" s="19">
        <v>2.6259999999999999</v>
      </c>
      <c r="W102" s="19">
        <v>0.14199999999999999</v>
      </c>
      <c r="X102" s="19">
        <v>18.998000000000001</v>
      </c>
      <c r="Y102" s="19">
        <v>16.417999999999999</v>
      </c>
      <c r="Z102" s="19">
        <v>222.166</v>
      </c>
      <c r="AC102" s="17">
        <v>3</v>
      </c>
      <c r="AD102" s="17">
        <v>-1.1191254927638099</v>
      </c>
      <c r="AE102" s="17">
        <v>0.102812975520841</v>
      </c>
      <c r="AF102" s="17">
        <v>-0.79777977205986095</v>
      </c>
      <c r="AG102" s="17">
        <v>30.087560855185799</v>
      </c>
      <c r="AH102" s="17">
        <v>4.6161276733904501E-2</v>
      </c>
      <c r="AI102" s="17">
        <v>0.60513677428431001</v>
      </c>
      <c r="AJ102" s="17">
        <v>1.2228343401456799E-2</v>
      </c>
      <c r="AK102" s="17">
        <v>2.2017839525711898E-2</v>
      </c>
      <c r="AL102" s="17">
        <v>0.28821650545459598</v>
      </c>
      <c r="AM102" s="17">
        <v>4.4698818366791598E-2</v>
      </c>
      <c r="AN102" s="17">
        <v>9.0131324041094099E-2</v>
      </c>
      <c r="AO102" s="17">
        <v>21.2</v>
      </c>
      <c r="AP102" s="17">
        <v>4</v>
      </c>
      <c r="AQ102" s="17">
        <v>14.3</v>
      </c>
      <c r="AR102" s="17">
        <v>28.7</v>
      </c>
      <c r="AS102" s="17">
        <v>7.2</v>
      </c>
      <c r="AT102" s="17">
        <v>3.9797728939106498E-2</v>
      </c>
      <c r="AU102" s="17">
        <v>0.870456861370144</v>
      </c>
      <c r="AV102" s="17">
        <v>-1.4620570605712799</v>
      </c>
      <c r="AW102" s="17">
        <v>1.5951728326318699</v>
      </c>
      <c r="AX102" s="17">
        <v>1.5286149466015799</v>
      </c>
    </row>
    <row r="103" spans="1:50" x14ac:dyDescent="0.2">
      <c r="A103" s="15" t="s">
        <v>150</v>
      </c>
      <c r="B103" s="17" t="s">
        <v>677</v>
      </c>
      <c r="C103" s="17" t="s">
        <v>172</v>
      </c>
      <c r="D103" s="17" t="s">
        <v>198</v>
      </c>
      <c r="E103" s="17" t="s">
        <v>218</v>
      </c>
      <c r="F103" s="17" t="s">
        <v>669</v>
      </c>
      <c r="G103" s="17" t="s">
        <v>652</v>
      </c>
      <c r="I103" s="18" t="s">
        <v>219</v>
      </c>
      <c r="M103" s="17" t="s">
        <v>608</v>
      </c>
      <c r="N103" s="17" t="s">
        <v>614</v>
      </c>
      <c r="P103" s="19" t="s">
        <v>629</v>
      </c>
      <c r="AC103" s="17">
        <v>3</v>
      </c>
      <c r="AD103" s="17">
        <v>1.4417546910104899</v>
      </c>
      <c r="AE103" s="17">
        <v>8.7071421744640706E-2</v>
      </c>
      <c r="AF103" s="17">
        <v>-1.2056630078961099</v>
      </c>
      <c r="AG103" s="17">
        <v>29.6670699485298</v>
      </c>
      <c r="AH103" s="17">
        <v>8.8065252217422105E-2</v>
      </c>
      <c r="AI103" s="17">
        <v>0.59530755238048205</v>
      </c>
      <c r="AJ103" s="17">
        <v>4.7014610605319402E-3</v>
      </c>
      <c r="AK103" s="17">
        <v>2.2017839525711898E-2</v>
      </c>
      <c r="AL103" s="17">
        <v>0.227419324904336</v>
      </c>
      <c r="AM103" s="17">
        <v>7.9598026819314108E-3</v>
      </c>
      <c r="AN103" s="17">
        <v>9.0131324041094099E-2</v>
      </c>
      <c r="AO103" s="17">
        <v>24.5</v>
      </c>
      <c r="AP103" s="17">
        <v>1.6</v>
      </c>
      <c r="AQ103" s="17">
        <v>17.3</v>
      </c>
      <c r="AR103" s="17">
        <v>32.200000000000003</v>
      </c>
      <c r="AS103" s="17">
        <v>7.45</v>
      </c>
      <c r="AT103" s="17">
        <v>0.30501077460621701</v>
      </c>
      <c r="AU103" s="17">
        <v>0.40856681035444398</v>
      </c>
      <c r="AV103" s="17">
        <v>-1.2688577564219901</v>
      </c>
      <c r="AW103" s="17">
        <v>1.9071016832699601</v>
      </c>
      <c r="AX103" s="17">
        <v>1.58797971984598</v>
      </c>
    </row>
    <row r="104" spans="1:50" x14ac:dyDescent="0.2">
      <c r="A104" s="15" t="s">
        <v>133</v>
      </c>
      <c r="B104" s="17" t="s">
        <v>677</v>
      </c>
      <c r="C104" s="17" t="s">
        <v>172</v>
      </c>
      <c r="D104" s="17" t="s">
        <v>198</v>
      </c>
      <c r="E104" s="17" t="s">
        <v>220</v>
      </c>
      <c r="F104" s="17" t="s">
        <v>669</v>
      </c>
      <c r="G104" s="17" t="s">
        <v>650</v>
      </c>
      <c r="H104" s="17"/>
      <c r="I104" s="18" t="s">
        <v>219</v>
      </c>
      <c r="J104" s="17">
        <v>31.7</v>
      </c>
      <c r="K104" s="17">
        <v>-85.1</v>
      </c>
      <c r="M104" s="17" t="s">
        <v>608</v>
      </c>
      <c r="N104" s="17" t="s">
        <v>614</v>
      </c>
      <c r="P104" s="19" t="s">
        <v>629</v>
      </c>
      <c r="V104" s="19">
        <v>4.0670000000000002</v>
      </c>
      <c r="W104" s="19">
        <v>0.189</v>
      </c>
      <c r="X104" s="19">
        <v>29.998000000000001</v>
      </c>
      <c r="Y104" s="19">
        <v>4.7370000000000001</v>
      </c>
      <c r="Z104" s="19">
        <v>193.023</v>
      </c>
      <c r="AC104" s="17">
        <v>3</v>
      </c>
      <c r="AD104" s="17">
        <v>-0.56109051887253403</v>
      </c>
      <c r="AE104" s="17">
        <v>8.5179072714929392E-3</v>
      </c>
      <c r="AF104" s="17">
        <v>-1.1809559842609501</v>
      </c>
      <c r="AG104" s="17">
        <v>29.692540666265501</v>
      </c>
      <c r="AH104" s="17">
        <v>2.49934449184359E-2</v>
      </c>
      <c r="AI104" s="17">
        <v>0.58730537265077998</v>
      </c>
      <c r="AJ104" s="17">
        <v>8.0632184797497196E-3</v>
      </c>
      <c r="AK104" s="17">
        <v>2.2017839525711898E-2</v>
      </c>
      <c r="AL104" s="17">
        <v>0.237064053642003</v>
      </c>
      <c r="AM104" s="17">
        <v>4.3419900011066499E-2</v>
      </c>
      <c r="AN104" s="17">
        <v>9.0131324041094099E-2</v>
      </c>
      <c r="AO104" s="17">
        <v>27.2</v>
      </c>
      <c r="AP104" s="17">
        <v>2.8</v>
      </c>
      <c r="AQ104" s="17">
        <v>19.899999999999999</v>
      </c>
      <c r="AR104" s="17">
        <v>35.200000000000003</v>
      </c>
      <c r="AS104" s="17">
        <v>7.65</v>
      </c>
      <c r="AT104" s="17">
        <v>0.87008408216320299</v>
      </c>
      <c r="AU104" s="17">
        <v>0.57979300576306503</v>
      </c>
      <c r="AV104" s="17">
        <v>-0.63729531734566103</v>
      </c>
      <c r="AW104" s="17">
        <v>2.4414465850745701</v>
      </c>
      <c r="AX104" s="17">
        <v>1.5393709512101199</v>
      </c>
    </row>
    <row r="105" spans="1:50" x14ac:dyDescent="0.2">
      <c r="A105" s="15" t="s">
        <v>135</v>
      </c>
      <c r="B105" s="17" t="s">
        <v>677</v>
      </c>
      <c r="C105" s="17" t="s">
        <v>172</v>
      </c>
      <c r="D105" s="17" t="s">
        <v>198</v>
      </c>
      <c r="E105" s="17" t="s">
        <v>222</v>
      </c>
      <c r="F105" s="17" t="s">
        <v>669</v>
      </c>
      <c r="G105" s="17" t="s">
        <v>650</v>
      </c>
      <c r="I105" s="18" t="s">
        <v>217</v>
      </c>
      <c r="J105" s="17">
        <v>31.7</v>
      </c>
      <c r="K105" s="17">
        <v>-85.1</v>
      </c>
      <c r="M105" s="17" t="s">
        <v>608</v>
      </c>
      <c r="N105" s="17" t="s">
        <v>614</v>
      </c>
      <c r="P105" s="19" t="s">
        <v>629</v>
      </c>
      <c r="V105" s="19">
        <v>3.7770000000000001</v>
      </c>
      <c r="W105" s="19">
        <v>0.19600000000000001</v>
      </c>
      <c r="X105" s="19">
        <v>55.036999999999999</v>
      </c>
      <c r="Y105" s="19">
        <v>14.994</v>
      </c>
      <c r="Z105" s="19">
        <v>146.14099999999999</v>
      </c>
      <c r="AC105" s="17">
        <v>3</v>
      </c>
      <c r="AD105" s="17">
        <v>-1.41905026079829</v>
      </c>
      <c r="AE105" s="17">
        <v>4.6137099698871798E-3</v>
      </c>
      <c r="AF105" s="17">
        <v>-0.59016355626508199</v>
      </c>
      <c r="AG105" s="17">
        <v>30.301594488210799</v>
      </c>
      <c r="AH105" s="17">
        <v>2.19965885402102E-2</v>
      </c>
      <c r="AI105" s="17">
        <v>0.59391014925107599</v>
      </c>
      <c r="AJ105" s="17">
        <v>3.3105185885159002E-3</v>
      </c>
      <c r="AK105" s="17">
        <v>2.2017839525711898E-2</v>
      </c>
      <c r="AL105" s="17">
        <v>0.22129073398197999</v>
      </c>
      <c r="AM105" s="17">
        <v>3.8012420689808403E-2</v>
      </c>
      <c r="AN105" s="17">
        <v>9.0131324041094099E-2</v>
      </c>
      <c r="AO105" s="17">
        <v>25</v>
      </c>
      <c r="AP105" s="17">
        <v>1.1000000000000001</v>
      </c>
      <c r="AQ105" s="17">
        <v>17.8</v>
      </c>
      <c r="AR105" s="17">
        <v>32.700000000000003</v>
      </c>
      <c r="AS105" s="17">
        <v>7.45</v>
      </c>
      <c r="AT105" s="17">
        <v>1.02227788184587</v>
      </c>
      <c r="AU105" s="17">
        <v>0.242854202108504</v>
      </c>
      <c r="AV105" s="17">
        <v>-0.483521440999994</v>
      </c>
      <c r="AW105" s="17">
        <v>2.55615096676991</v>
      </c>
      <c r="AX105" s="17">
        <v>1.51983620388495</v>
      </c>
    </row>
    <row r="106" spans="1:50" x14ac:dyDescent="0.2">
      <c r="A106" s="15" t="s">
        <v>136</v>
      </c>
      <c r="B106" s="17" t="s">
        <v>677</v>
      </c>
      <c r="C106" s="17" t="s">
        <v>172</v>
      </c>
      <c r="D106" s="17" t="s">
        <v>198</v>
      </c>
      <c r="E106" s="17" t="s">
        <v>223</v>
      </c>
      <c r="F106" s="17" t="s">
        <v>669</v>
      </c>
      <c r="G106" s="17" t="s">
        <v>650</v>
      </c>
      <c r="H106" s="17"/>
      <c r="I106" s="18" t="s">
        <v>219</v>
      </c>
      <c r="J106" s="17">
        <v>31.7</v>
      </c>
      <c r="K106" s="17">
        <v>-85.1</v>
      </c>
      <c r="M106" s="17" t="s">
        <v>608</v>
      </c>
      <c r="N106" s="17" t="s">
        <v>614</v>
      </c>
      <c r="P106" s="19" t="s">
        <v>629</v>
      </c>
      <c r="V106" s="19">
        <v>2.6829999999999998</v>
      </c>
      <c r="W106" s="19">
        <v>0.56000000000000005</v>
      </c>
      <c r="X106" s="19">
        <v>14.071999999999999</v>
      </c>
      <c r="Y106" s="19">
        <v>4.649</v>
      </c>
      <c r="Z106" s="19">
        <v>0.115</v>
      </c>
      <c r="AC106" s="17">
        <v>3</v>
      </c>
      <c r="AD106" s="17">
        <v>-1.2693710335686901</v>
      </c>
      <c r="AE106" s="17">
        <v>0.16835234269610899</v>
      </c>
      <c r="AF106" s="17">
        <v>-1.0318161081535</v>
      </c>
      <c r="AG106" s="17">
        <v>29.8462904559435</v>
      </c>
      <c r="AH106" s="17">
        <v>4.0532077566662703E-2</v>
      </c>
      <c r="AI106" s="17">
        <v>0.57724759526205405</v>
      </c>
      <c r="AJ106" s="17">
        <v>1.5925060837659599E-2</v>
      </c>
      <c r="AK106" s="17">
        <v>2.2017839525711898E-2</v>
      </c>
      <c r="AL106" s="17">
        <v>0.21329029733036101</v>
      </c>
      <c r="AM106" s="17">
        <v>5.7895272499210601E-2</v>
      </c>
      <c r="AN106" s="17">
        <v>9.0131324041094099E-2</v>
      </c>
      <c r="AO106" s="17">
        <v>30.8</v>
      </c>
      <c r="AP106" s="17">
        <v>5.75</v>
      </c>
      <c r="AQ106" s="17">
        <v>23.2</v>
      </c>
      <c r="AR106" s="17">
        <v>39</v>
      </c>
      <c r="AS106" s="17">
        <v>7.9</v>
      </c>
      <c r="AT106" s="17">
        <v>1.7255809278899501</v>
      </c>
      <c r="AU106" s="17">
        <v>1.1545563700942101</v>
      </c>
      <c r="AV106" s="17">
        <v>0.17615142068564199</v>
      </c>
      <c r="AW106" s="17">
        <v>3.3142413898487999</v>
      </c>
      <c r="AX106" s="17">
        <v>1.5690449845815799</v>
      </c>
    </row>
    <row r="107" spans="1:50" x14ac:dyDescent="0.2">
      <c r="A107" s="15" t="s">
        <v>137</v>
      </c>
      <c r="B107" s="17" t="s">
        <v>677</v>
      </c>
      <c r="C107" s="17" t="s">
        <v>172</v>
      </c>
      <c r="D107" s="17" t="s">
        <v>198</v>
      </c>
      <c r="E107" s="17" t="s">
        <v>224</v>
      </c>
      <c r="F107" s="17" t="s">
        <v>669</v>
      </c>
      <c r="G107" s="17" t="s">
        <v>650</v>
      </c>
      <c r="H107" s="17"/>
      <c r="I107" s="18" t="s">
        <v>217</v>
      </c>
      <c r="J107" s="17">
        <v>31.7</v>
      </c>
      <c r="K107" s="17">
        <v>-85.1</v>
      </c>
      <c r="M107" s="17" t="s">
        <v>608</v>
      </c>
      <c r="N107" s="17" t="s">
        <v>614</v>
      </c>
      <c r="P107" s="19" t="s">
        <v>629</v>
      </c>
      <c r="V107" s="19">
        <v>2.7410000000000001</v>
      </c>
      <c r="W107" s="19">
        <v>0.126</v>
      </c>
      <c r="X107" s="19">
        <v>11.162000000000001</v>
      </c>
      <c r="Y107" s="19">
        <v>4.1710000000000003</v>
      </c>
      <c r="Z107" s="19">
        <v>94.98</v>
      </c>
      <c r="AC107" s="17">
        <v>3</v>
      </c>
      <c r="AD107" s="17">
        <v>2.19893528402089</v>
      </c>
      <c r="AE107" s="17">
        <v>2.1721185203066502E-2</v>
      </c>
      <c r="AF107" s="17">
        <v>-0.34536745877629399</v>
      </c>
      <c r="AG107" s="17">
        <v>30.5539572330729</v>
      </c>
      <c r="AH107" s="17">
        <v>6.1990731384974899E-2</v>
      </c>
      <c r="AI107" s="17">
        <v>0.60894768554910805</v>
      </c>
      <c r="AJ107" s="17">
        <v>1.12467766332524E-2</v>
      </c>
      <c r="AK107" s="17">
        <v>2.2017839525711898E-2</v>
      </c>
      <c r="AL107" s="17">
        <v>0.294272270349971</v>
      </c>
      <c r="AM107" s="17">
        <v>4.9864019311525398E-2</v>
      </c>
      <c r="AN107" s="17">
        <v>9.0131324041094099E-2</v>
      </c>
      <c r="AO107" s="17">
        <v>20</v>
      </c>
      <c r="AP107" s="17">
        <v>3.6</v>
      </c>
      <c r="AQ107" s="17">
        <v>13.2</v>
      </c>
      <c r="AR107" s="17">
        <v>27.4</v>
      </c>
      <c r="AS107" s="17">
        <v>7.1</v>
      </c>
      <c r="AT107" s="17">
        <v>0.243844077629888</v>
      </c>
      <c r="AU107" s="17">
        <v>0.80947026545379697</v>
      </c>
      <c r="AV107" s="17">
        <v>-1.2639435825143399</v>
      </c>
      <c r="AW107" s="17">
        <v>1.80732920393268</v>
      </c>
      <c r="AX107" s="17">
        <v>1.53563639322351</v>
      </c>
    </row>
    <row r="108" spans="1:50" x14ac:dyDescent="0.2">
      <c r="A108" s="15" t="s">
        <v>139</v>
      </c>
      <c r="B108" s="17" t="s">
        <v>677</v>
      </c>
      <c r="C108" s="17" t="s">
        <v>172</v>
      </c>
      <c r="D108" s="17" t="s">
        <v>198</v>
      </c>
      <c r="E108" s="17" t="s">
        <v>226</v>
      </c>
      <c r="F108" s="17" t="s">
        <v>669</v>
      </c>
      <c r="G108" s="17" t="s">
        <v>652</v>
      </c>
      <c r="I108" s="18" t="s">
        <v>217</v>
      </c>
      <c r="J108" s="17">
        <v>31.7</v>
      </c>
      <c r="K108" s="17">
        <v>-85.1</v>
      </c>
      <c r="M108" s="17" t="s">
        <v>608</v>
      </c>
      <c r="N108" s="17" t="s">
        <v>614</v>
      </c>
      <c r="P108" s="19" t="s">
        <v>629</v>
      </c>
      <c r="V108" s="19">
        <v>3.3809999999999998</v>
      </c>
      <c r="W108" s="19">
        <v>0.189</v>
      </c>
      <c r="X108" s="19">
        <v>28.402999999999999</v>
      </c>
      <c r="Y108" s="19">
        <v>3.7250000000000001</v>
      </c>
      <c r="Z108" s="19">
        <v>231.16800000000001</v>
      </c>
      <c r="AC108" s="17">
        <v>3</v>
      </c>
      <c r="AD108" s="17">
        <v>-0.41794765196996297</v>
      </c>
      <c r="AE108" s="17">
        <v>3.0669232048677601E-2</v>
      </c>
      <c r="AF108" s="17">
        <v>-1.05003679554285</v>
      </c>
      <c r="AG108" s="17">
        <v>29.827506567106902</v>
      </c>
      <c r="AH108" s="17">
        <v>4.1900997511143297E-2</v>
      </c>
      <c r="AI108" s="17">
        <v>0.59291005967093202</v>
      </c>
      <c r="AJ108" s="17">
        <v>1.18826055990737E-2</v>
      </c>
      <c r="AK108" s="17">
        <v>2.2017839525711898E-2</v>
      </c>
      <c r="AL108" s="17">
        <v>0.23863842018852199</v>
      </c>
      <c r="AM108" s="17">
        <v>2.01469581676205E-2</v>
      </c>
      <c r="AN108" s="17">
        <v>9.0131324041094099E-2</v>
      </c>
      <c r="AO108" s="17">
        <v>25.3</v>
      </c>
      <c r="AP108" s="17">
        <v>4</v>
      </c>
      <c r="AQ108" s="17">
        <v>18.100000000000001</v>
      </c>
      <c r="AR108" s="17">
        <v>33.1</v>
      </c>
      <c r="AS108" s="17">
        <v>7.5</v>
      </c>
      <c r="AT108" s="17">
        <v>0.62197962880111402</v>
      </c>
      <c r="AU108" s="17">
        <v>0.84428977700292795</v>
      </c>
      <c r="AV108" s="17">
        <v>-0.89952248387794498</v>
      </c>
      <c r="AW108" s="17">
        <v>2.19072810748776</v>
      </c>
      <c r="AX108" s="17">
        <v>1.5451252956828501</v>
      </c>
    </row>
    <row r="109" spans="1:50" x14ac:dyDescent="0.2">
      <c r="A109" s="15" t="s">
        <v>140</v>
      </c>
      <c r="B109" s="17" t="s">
        <v>677</v>
      </c>
      <c r="C109" s="17" t="s">
        <v>172</v>
      </c>
      <c r="D109" s="17" t="s">
        <v>198</v>
      </c>
      <c r="F109" s="17" t="s">
        <v>670</v>
      </c>
      <c r="G109" s="17" t="s">
        <v>652</v>
      </c>
      <c r="I109" s="18"/>
      <c r="J109" s="17">
        <v>31.7</v>
      </c>
      <c r="K109" s="17">
        <v>-85.1</v>
      </c>
      <c r="M109" s="17" t="s">
        <v>608</v>
      </c>
      <c r="N109" s="17" t="s">
        <v>614</v>
      </c>
      <c r="AC109" s="17">
        <v>3</v>
      </c>
      <c r="AD109" s="17">
        <v>-0.21678904895116299</v>
      </c>
      <c r="AE109" s="17">
        <v>2.60220128381436E-2</v>
      </c>
      <c r="AF109" s="17">
        <v>-0.62125179332040503</v>
      </c>
      <c r="AG109" s="17">
        <v>30.2695453137481</v>
      </c>
      <c r="AH109" s="17">
        <v>5.8410042262630503E-2</v>
      </c>
      <c r="AI109" s="17">
        <v>0.60115287289731001</v>
      </c>
      <c r="AJ109" s="17">
        <v>1.5967194856679402E-2</v>
      </c>
      <c r="AK109" s="17">
        <v>2.2017839525711898E-2</v>
      </c>
      <c r="AL109" s="17">
        <v>0.314769794638042</v>
      </c>
      <c r="AM109" s="17">
        <v>3.1931598726456199E-2</v>
      </c>
      <c r="AN109" s="17">
        <v>9.0131324041094099E-2</v>
      </c>
      <c r="AO109" s="17">
        <v>22.6</v>
      </c>
      <c r="AP109" s="17">
        <v>5.3</v>
      </c>
      <c r="AQ109" s="17">
        <v>15.5</v>
      </c>
      <c r="AR109" s="17">
        <v>30.1</v>
      </c>
      <c r="AS109" s="17">
        <v>7.3</v>
      </c>
      <c r="AT109" s="17">
        <v>0.50412290183157904</v>
      </c>
      <c r="AU109" s="17">
        <v>1.1410075904799999</v>
      </c>
      <c r="AV109" s="17">
        <v>-1.0392229250501299</v>
      </c>
      <c r="AW109" s="17">
        <v>2.0580165437332898</v>
      </c>
      <c r="AX109" s="17">
        <v>1.5486197343917101</v>
      </c>
    </row>
    <row r="110" spans="1:50" x14ac:dyDescent="0.2">
      <c r="A110" s="15" t="s">
        <v>134</v>
      </c>
      <c r="B110" s="17" t="s">
        <v>677</v>
      </c>
      <c r="C110" s="17" t="s">
        <v>172</v>
      </c>
      <c r="D110" s="17" t="s">
        <v>198</v>
      </c>
      <c r="E110" s="17" t="s">
        <v>221</v>
      </c>
      <c r="F110" s="17" t="s">
        <v>669</v>
      </c>
      <c r="G110" s="17" t="s">
        <v>650</v>
      </c>
      <c r="I110" s="18" t="s">
        <v>219</v>
      </c>
      <c r="J110" s="17">
        <v>31.7</v>
      </c>
      <c r="K110" s="17">
        <v>-85.1</v>
      </c>
      <c r="M110" s="17" t="s">
        <v>608</v>
      </c>
      <c r="N110" s="17" t="s">
        <v>614</v>
      </c>
      <c r="P110" s="19" t="s">
        <v>629</v>
      </c>
      <c r="V110" s="19">
        <v>3.0529999999999999</v>
      </c>
      <c r="W110" s="19">
        <v>0.159</v>
      </c>
      <c r="X110" s="19">
        <v>19.597999999999999</v>
      </c>
      <c r="Y110" s="19">
        <v>8.1519999999999992</v>
      </c>
      <c r="Z110" s="19">
        <v>39.713000000000001</v>
      </c>
      <c r="AC110" s="17">
        <v>3</v>
      </c>
      <c r="AD110" s="17">
        <v>-1.0839450483798501</v>
      </c>
      <c r="AE110" s="17">
        <v>1.11852744003633E-2</v>
      </c>
      <c r="AF110" s="17">
        <v>-1.06808125589412</v>
      </c>
      <c r="AG110" s="17">
        <v>29.808904352486199</v>
      </c>
      <c r="AH110" s="17">
        <v>9.2606292524365103E-3</v>
      </c>
      <c r="AI110" s="17">
        <v>0.59771165838636497</v>
      </c>
      <c r="AJ110" s="17">
        <v>7.42196591486677E-3</v>
      </c>
      <c r="AK110" s="17">
        <v>2.2017839525711898E-2</v>
      </c>
      <c r="AL110" s="17">
        <v>0.201662954709181</v>
      </c>
      <c r="AM110" s="17">
        <v>3.5533991411800601E-2</v>
      </c>
      <c r="AN110" s="17">
        <v>9.0131324041094099E-2</v>
      </c>
      <c r="AO110" s="17">
        <v>23.7</v>
      </c>
      <c r="AP110" s="17">
        <v>2.5</v>
      </c>
      <c r="AQ110" s="17">
        <v>16.600000000000001</v>
      </c>
      <c r="AR110" s="17">
        <v>31.4</v>
      </c>
      <c r="AS110" s="17">
        <v>7.4</v>
      </c>
      <c r="AT110" s="17">
        <v>0.280854079447522</v>
      </c>
      <c r="AU110" s="17">
        <v>0.51643464006224304</v>
      </c>
      <c r="AV110" s="17">
        <v>-1.2033819754744901</v>
      </c>
      <c r="AW110" s="17">
        <v>1.8143201959372799</v>
      </c>
      <c r="AX110" s="17">
        <v>1.5088510857058799</v>
      </c>
    </row>
    <row r="111" spans="1:50" x14ac:dyDescent="0.2">
      <c r="A111" s="15" t="s">
        <v>132</v>
      </c>
      <c r="B111" s="17" t="s">
        <v>677</v>
      </c>
      <c r="C111" s="17" t="s">
        <v>172</v>
      </c>
      <c r="D111" s="17" t="s">
        <v>198</v>
      </c>
      <c r="E111" s="17" t="s">
        <v>220</v>
      </c>
      <c r="F111" s="17" t="s">
        <v>669</v>
      </c>
      <c r="G111" s="17" t="s">
        <v>650</v>
      </c>
      <c r="I111" s="18" t="s">
        <v>219</v>
      </c>
      <c r="J111" s="17">
        <v>31.7</v>
      </c>
      <c r="K111" s="17">
        <v>-85.1</v>
      </c>
      <c r="M111" s="17" t="s">
        <v>608</v>
      </c>
      <c r="N111" s="17" t="s">
        <v>614</v>
      </c>
      <c r="P111" s="19" t="s">
        <v>629</v>
      </c>
      <c r="V111" s="19">
        <v>4.0759999999999996</v>
      </c>
      <c r="W111" s="19">
        <v>0.214</v>
      </c>
      <c r="X111" s="19">
        <v>30.010999999999999</v>
      </c>
      <c r="Y111" s="19">
        <v>5.3360000000000003</v>
      </c>
      <c r="Z111" s="19">
        <v>135.196</v>
      </c>
      <c r="AC111" s="17">
        <v>3</v>
      </c>
      <c r="AD111" s="17">
        <v>-0.24929108829441901</v>
      </c>
      <c r="AE111" s="17">
        <v>7.1204720574840298E-3</v>
      </c>
      <c r="AF111" s="17">
        <v>-0.72491680577526696</v>
      </c>
      <c r="AG111" s="17">
        <v>30.162676015758201</v>
      </c>
      <c r="AH111" s="17">
        <v>1.7396082059593299E-2</v>
      </c>
      <c r="AI111" s="17">
        <v>0.59707981086597794</v>
      </c>
      <c r="AJ111" s="17">
        <v>6.6459759971025803E-3</v>
      </c>
      <c r="AK111" s="17">
        <v>2.2017839525711898E-2</v>
      </c>
      <c r="AL111" s="17">
        <v>0.18924137961556001</v>
      </c>
      <c r="AM111" s="17">
        <v>3.3068094539118201E-2</v>
      </c>
      <c r="AN111" s="17">
        <v>9.0131324041094099E-2</v>
      </c>
      <c r="AO111" s="17">
        <v>23.9</v>
      </c>
      <c r="AP111" s="17">
        <v>2.25</v>
      </c>
      <c r="AQ111" s="17">
        <v>16.8</v>
      </c>
      <c r="AR111" s="17">
        <v>31.6</v>
      </c>
      <c r="AS111" s="17">
        <v>7.4</v>
      </c>
      <c r="AT111" s="17">
        <v>0.66506181792397001</v>
      </c>
      <c r="AU111" s="17">
        <v>0.47314812871945799</v>
      </c>
      <c r="AV111" s="17">
        <v>-0.82562266048000799</v>
      </c>
      <c r="AW111" s="17">
        <v>2.2049998473747801</v>
      </c>
      <c r="AX111" s="17">
        <v>1.5153112539273901</v>
      </c>
    </row>
    <row r="112" spans="1:50" x14ac:dyDescent="0.2">
      <c r="A112" s="15" t="s">
        <v>131</v>
      </c>
      <c r="B112" s="17" t="s">
        <v>677</v>
      </c>
      <c r="C112" s="17" t="s">
        <v>172</v>
      </c>
      <c r="D112" s="17" t="s">
        <v>198</v>
      </c>
      <c r="E112" s="17" t="s">
        <v>220</v>
      </c>
      <c r="F112" s="17" t="s">
        <v>669</v>
      </c>
      <c r="G112" s="17" t="s">
        <v>650</v>
      </c>
      <c r="I112" s="18" t="s">
        <v>219</v>
      </c>
      <c r="J112" s="17">
        <v>31.7</v>
      </c>
      <c r="K112" s="17">
        <v>-85.1</v>
      </c>
      <c r="M112" s="17" t="s">
        <v>608</v>
      </c>
      <c r="N112" s="17" t="s">
        <v>614</v>
      </c>
      <c r="P112" s="19" t="s">
        <v>629</v>
      </c>
      <c r="V112" s="19">
        <v>3.8660000000000001</v>
      </c>
      <c r="W112" s="19">
        <v>0.14699999999999999</v>
      </c>
      <c r="X112" s="19">
        <v>44.542999999999999</v>
      </c>
      <c r="Y112" s="19">
        <v>2.75</v>
      </c>
      <c r="Z112" s="19" t="s">
        <v>198</v>
      </c>
      <c r="AC112" s="17">
        <v>3</v>
      </c>
      <c r="AD112" s="17">
        <v>1.5759963090070299</v>
      </c>
      <c r="AE112" s="17">
        <v>6.1723847817520099E-2</v>
      </c>
      <c r="AF112" s="17">
        <v>-0.51740191910522304</v>
      </c>
      <c r="AG112" s="17">
        <v>30.376605187575201</v>
      </c>
      <c r="AH112" s="17">
        <v>7.69146549100959E-2</v>
      </c>
      <c r="AI112" s="17">
        <v>0.57955278482697503</v>
      </c>
      <c r="AJ112" s="17">
        <v>1.08108838853708E-2</v>
      </c>
      <c r="AK112" s="17">
        <v>2.2017839525711898E-2</v>
      </c>
      <c r="AL112" s="17">
        <v>0.276149621366652</v>
      </c>
      <c r="AM112" s="17">
        <v>3.1234334832883601E-2</v>
      </c>
      <c r="AN112" s="17">
        <v>9.0131324041094099E-2</v>
      </c>
      <c r="AO112" s="17">
        <v>30</v>
      </c>
      <c r="AP112" s="17">
        <v>3.85</v>
      </c>
      <c r="AQ112" s="17">
        <v>22.4</v>
      </c>
      <c r="AR112" s="17">
        <v>38.1</v>
      </c>
      <c r="AS112" s="17">
        <v>7.85</v>
      </c>
      <c r="AT112" s="17">
        <v>2.8729834721705201</v>
      </c>
      <c r="AU112" s="17">
        <v>0.83248392628882995</v>
      </c>
      <c r="AV112" s="17">
        <v>1.2656157118032101</v>
      </c>
      <c r="AW112" s="17">
        <v>4.5014060436000101</v>
      </c>
      <c r="AX112" s="17">
        <v>1.6178951658984</v>
      </c>
    </row>
    <row r="113" spans="1:50" x14ac:dyDescent="0.2">
      <c r="A113" s="15" t="s">
        <v>138</v>
      </c>
      <c r="B113" s="17" t="s">
        <v>677</v>
      </c>
      <c r="C113" s="17" t="s">
        <v>172</v>
      </c>
      <c r="D113" s="17" t="s">
        <v>198</v>
      </c>
      <c r="E113" s="17" t="s">
        <v>225</v>
      </c>
      <c r="F113" s="17" t="s">
        <v>669</v>
      </c>
      <c r="G113" s="17" t="s">
        <v>652</v>
      </c>
      <c r="I113" s="18" t="s">
        <v>217</v>
      </c>
      <c r="J113" s="17">
        <v>31.7</v>
      </c>
      <c r="K113" s="17">
        <v>-85.1</v>
      </c>
      <c r="M113" s="17" t="s">
        <v>608</v>
      </c>
      <c r="N113" s="17" t="s">
        <v>614</v>
      </c>
      <c r="P113" s="19" t="s">
        <v>629</v>
      </c>
      <c r="AC113" s="17">
        <v>3</v>
      </c>
      <c r="AD113" s="17">
        <v>1.42459332326431</v>
      </c>
      <c r="AE113" s="17">
        <v>3.0723195034653799E-2</v>
      </c>
      <c r="AF113" s="17">
        <v>-0.86318083605860196</v>
      </c>
      <c r="AG113" s="17">
        <v>30.020138244298799</v>
      </c>
      <c r="AH113" s="17">
        <v>0.113576835989048</v>
      </c>
      <c r="AI113" s="17">
        <v>0.59304254392495903</v>
      </c>
      <c r="AJ113" s="17">
        <v>9.1914905467909008E-3</v>
      </c>
      <c r="AK113" s="17">
        <v>2.2017839525711898E-2</v>
      </c>
      <c r="AL113" s="17">
        <v>0.24564281030848301</v>
      </c>
      <c r="AM113" s="17">
        <v>2.3311617810618399E-2</v>
      </c>
      <c r="AN113" s="17">
        <v>9.0131324041094099E-2</v>
      </c>
      <c r="AO113" s="17">
        <v>25.3</v>
      </c>
      <c r="AP113" s="17">
        <v>3.1</v>
      </c>
      <c r="AQ113" s="17">
        <v>18.100000000000001</v>
      </c>
      <c r="AR113" s="17">
        <v>33.1</v>
      </c>
      <c r="AS113" s="17">
        <v>7.5</v>
      </c>
      <c r="AT113" s="17">
        <v>0.80914834292252602</v>
      </c>
      <c r="AU113" s="17">
        <v>0.73320216201938104</v>
      </c>
      <c r="AV113" s="17">
        <v>-0.78217083751212602</v>
      </c>
      <c r="AW113" s="17">
        <v>2.4479321176541999</v>
      </c>
      <c r="AX113" s="17">
        <v>1.6150514775831699</v>
      </c>
    </row>
    <row r="114" spans="1:50" x14ac:dyDescent="0.2">
      <c r="A114" s="15" t="s">
        <v>158</v>
      </c>
      <c r="B114" s="17" t="s">
        <v>677</v>
      </c>
      <c r="C114" s="17" t="s">
        <v>173</v>
      </c>
      <c r="D114" s="17" t="s">
        <v>666</v>
      </c>
      <c r="E114" s="17" t="s">
        <v>214</v>
      </c>
      <c r="F114" s="17" t="s">
        <v>500</v>
      </c>
      <c r="G114" s="17" t="s">
        <v>652</v>
      </c>
      <c r="H114" s="18">
        <v>1.45</v>
      </c>
      <c r="J114" s="17">
        <v>33.440736999999999</v>
      </c>
      <c r="K114" s="17">
        <v>-88.9084</v>
      </c>
      <c r="L114" s="17">
        <v>3944</v>
      </c>
      <c r="M114" s="17" t="s">
        <v>618</v>
      </c>
      <c r="N114" s="17" t="s">
        <v>619</v>
      </c>
      <c r="O114" s="19" t="s">
        <v>620</v>
      </c>
      <c r="Q114" s="17" t="s">
        <v>628</v>
      </c>
      <c r="V114" s="19">
        <v>1.0609999999999999</v>
      </c>
      <c r="W114" s="19">
        <v>2.1779999999999999</v>
      </c>
      <c r="X114" s="19">
        <v>4.9870000000000001</v>
      </c>
      <c r="Y114" s="19">
        <v>315.38</v>
      </c>
      <c r="Z114" s="19">
        <v>283.95</v>
      </c>
      <c r="AC114" s="17">
        <v>3</v>
      </c>
      <c r="AD114" s="17">
        <v>2.30446908677273</v>
      </c>
      <c r="AE114" s="17">
        <v>4.16490948547725E-2</v>
      </c>
      <c r="AF114" s="17">
        <v>-0.65430939416183098</v>
      </c>
      <c r="AG114" s="17">
        <v>30.2354659024646</v>
      </c>
      <c r="AH114" s="17">
        <v>0.121139091229826</v>
      </c>
      <c r="AI114" s="17">
        <v>0.60874436014218503</v>
      </c>
      <c r="AJ114" s="17">
        <v>1.10422559083115E-2</v>
      </c>
      <c r="AK114" s="17">
        <v>2.2017839525711898E-2</v>
      </c>
      <c r="AL114" s="17">
        <v>0.183905240691283</v>
      </c>
      <c r="AM114" s="17">
        <v>1.2787221135995E-2</v>
      </c>
      <c r="AN114" s="17">
        <v>9.0131324041094099E-2</v>
      </c>
      <c r="AO114" s="17">
        <v>20.100000000000001</v>
      </c>
      <c r="AP114" s="17">
        <v>3.55</v>
      </c>
      <c r="AQ114" s="17">
        <v>13.2</v>
      </c>
      <c r="AR114" s="17">
        <v>27.4</v>
      </c>
      <c r="AS114" s="17">
        <v>7.1</v>
      </c>
      <c r="AT114" s="17">
        <v>0.72426998494029204</v>
      </c>
      <c r="AU114" s="17">
        <v>0.86260965593038497</v>
      </c>
      <c r="AV114" s="17">
        <v>-0.874727307491867</v>
      </c>
      <c r="AW114" s="17">
        <v>2.3376705635242798</v>
      </c>
      <c r="AX114" s="17">
        <v>1.6061989355080799</v>
      </c>
    </row>
    <row r="115" spans="1:50" x14ac:dyDescent="0.2">
      <c r="A115" s="15" t="s">
        <v>152</v>
      </c>
      <c r="B115" s="17" t="s">
        <v>677</v>
      </c>
      <c r="C115" s="17" t="s">
        <v>173</v>
      </c>
      <c r="D115" s="17" t="s">
        <v>666</v>
      </c>
      <c r="E115" s="17" t="s">
        <v>203</v>
      </c>
      <c r="F115" s="17" t="s">
        <v>500</v>
      </c>
      <c r="G115" s="17" t="s">
        <v>652</v>
      </c>
      <c r="H115" s="18">
        <v>0.5</v>
      </c>
      <c r="J115" s="17">
        <v>33.440736999999999</v>
      </c>
      <c r="K115" s="17">
        <v>-88.9084</v>
      </c>
      <c r="L115" s="17">
        <v>3944</v>
      </c>
      <c r="M115" s="17" t="s">
        <v>618</v>
      </c>
      <c r="N115" s="17" t="s">
        <v>619</v>
      </c>
      <c r="O115" s="19" t="s">
        <v>620</v>
      </c>
      <c r="Q115" s="17" t="s">
        <v>627</v>
      </c>
      <c r="V115" s="19">
        <v>1.0609999999999999</v>
      </c>
      <c r="W115" s="19">
        <v>3.7370000000000001</v>
      </c>
      <c r="X115" s="19">
        <v>4.9870000000000001</v>
      </c>
      <c r="Y115" s="19">
        <v>480.37700000000001</v>
      </c>
      <c r="Z115" s="19">
        <v>2305.1149999999998</v>
      </c>
      <c r="AC115" s="17">
        <v>3</v>
      </c>
      <c r="AD115" s="17">
        <v>-0.67213826367037999</v>
      </c>
      <c r="AE115" s="17">
        <v>3.9187748467700297E-2</v>
      </c>
      <c r="AF115" s="17">
        <v>-1.8171809219606401</v>
      </c>
      <c r="AG115" s="17">
        <v>29.0366500157416</v>
      </c>
      <c r="AH115" s="17">
        <v>0.151811780490853</v>
      </c>
      <c r="AI115" s="17">
        <v>0.60601410298811598</v>
      </c>
      <c r="AJ115" s="17">
        <v>1.4999416414671901E-2</v>
      </c>
      <c r="AK115" s="17">
        <v>2.2017839525711898E-2</v>
      </c>
      <c r="AL115" s="17">
        <v>0.269548167219399</v>
      </c>
      <c r="AM115" s="17">
        <v>4.9072864495538999E-2</v>
      </c>
      <c r="AN115" s="17">
        <v>9.0131324041094099E-2</v>
      </c>
      <c r="AO115" s="17">
        <v>21</v>
      </c>
      <c r="AP115" s="17">
        <v>4.9000000000000004</v>
      </c>
      <c r="AQ115" s="17">
        <v>14.1</v>
      </c>
      <c r="AR115" s="17">
        <v>28.4</v>
      </c>
      <c r="AS115" s="17">
        <v>7.15</v>
      </c>
      <c r="AT115" s="17">
        <v>-0.25215238899352199</v>
      </c>
      <c r="AU115" s="17">
        <v>1.16856378904026</v>
      </c>
      <c r="AV115" s="17">
        <v>-1.8703383603785799</v>
      </c>
      <c r="AW115" s="17">
        <v>1.40049086525789</v>
      </c>
      <c r="AX115" s="17">
        <v>1.6354146128182401</v>
      </c>
    </row>
    <row r="116" spans="1:50" x14ac:dyDescent="0.2">
      <c r="A116" s="15" t="s">
        <v>154</v>
      </c>
      <c r="B116" s="17" t="s">
        <v>677</v>
      </c>
      <c r="C116" s="17" t="s">
        <v>173</v>
      </c>
      <c r="D116" s="17" t="s">
        <v>666</v>
      </c>
      <c r="E116" s="17" t="s">
        <v>203</v>
      </c>
      <c r="F116" s="17" t="s">
        <v>500</v>
      </c>
      <c r="G116" s="17" t="s">
        <v>652</v>
      </c>
      <c r="H116" s="18">
        <v>0.7</v>
      </c>
      <c r="J116" s="17">
        <v>33.440736999999999</v>
      </c>
      <c r="K116" s="17">
        <v>-88.9084</v>
      </c>
      <c r="L116" s="17">
        <v>3944</v>
      </c>
      <c r="M116" s="17" t="s">
        <v>618</v>
      </c>
      <c r="N116" s="17" t="s">
        <v>619</v>
      </c>
      <c r="O116" s="19" t="s">
        <v>620</v>
      </c>
      <c r="Q116" s="17" t="s">
        <v>627</v>
      </c>
      <c r="V116" s="19">
        <v>1.034</v>
      </c>
      <c r="W116" s="19">
        <v>1.8420000000000001</v>
      </c>
      <c r="X116" s="19">
        <v>3.8530000000000002</v>
      </c>
      <c r="Y116" s="19">
        <v>69.378</v>
      </c>
      <c r="Z116" s="19">
        <v>444.62400000000002</v>
      </c>
      <c r="AC116" s="17">
        <v>3</v>
      </c>
      <c r="AD116" s="17">
        <v>2.9548542320254398</v>
      </c>
      <c r="AE116" s="17">
        <v>4.0171935137129598E-2</v>
      </c>
      <c r="AF116" s="17">
        <v>-0.73306356362625602</v>
      </c>
      <c r="AG116" s="17">
        <v>30.154277441622099</v>
      </c>
      <c r="AH116" s="17">
        <v>0.17667519754080699</v>
      </c>
      <c r="AI116" s="17">
        <v>0.60196276963347095</v>
      </c>
      <c r="AJ116" s="17">
        <v>8.9352655114749904E-3</v>
      </c>
      <c r="AK116" s="17">
        <v>2.2017839525711898E-2</v>
      </c>
      <c r="AL116" s="17">
        <v>0.17265936460537001</v>
      </c>
      <c r="AM116" s="17">
        <v>5.1272377839160103E-2</v>
      </c>
      <c r="AN116" s="17">
        <v>9.0131324041094099E-2</v>
      </c>
      <c r="AO116" s="17">
        <v>22.3</v>
      </c>
      <c r="AP116" s="17">
        <v>2.95</v>
      </c>
      <c r="AQ116" s="17">
        <v>15.3</v>
      </c>
      <c r="AR116" s="17">
        <v>29.8</v>
      </c>
      <c r="AS116" s="17">
        <v>7.25</v>
      </c>
      <c r="AT116" s="17">
        <v>1.1036292607320799</v>
      </c>
      <c r="AU116" s="17">
        <v>0.78174757122110305</v>
      </c>
      <c r="AV116" s="17">
        <v>-0.54929273247603305</v>
      </c>
      <c r="AW116" s="17">
        <v>2.7891749898460598</v>
      </c>
      <c r="AX116" s="17">
        <v>1.66923386116105</v>
      </c>
    </row>
    <row r="117" spans="1:50" x14ac:dyDescent="0.2">
      <c r="A117" s="15" t="s">
        <v>155</v>
      </c>
      <c r="B117" s="17" t="s">
        <v>677</v>
      </c>
      <c r="C117" s="17" t="s">
        <v>173</v>
      </c>
      <c r="D117" s="17" t="s">
        <v>666</v>
      </c>
      <c r="E117" s="17" t="s">
        <v>203</v>
      </c>
      <c r="F117" s="17" t="s">
        <v>500</v>
      </c>
      <c r="G117" s="17" t="s">
        <v>652</v>
      </c>
      <c r="H117" s="18">
        <v>1.35</v>
      </c>
      <c r="J117" s="17">
        <v>33.440736999999999</v>
      </c>
      <c r="K117" s="17">
        <v>-88.9084</v>
      </c>
      <c r="L117" s="17">
        <v>3944</v>
      </c>
      <c r="M117" s="17" t="s">
        <v>618</v>
      </c>
      <c r="N117" s="17" t="s">
        <v>619</v>
      </c>
      <c r="O117" s="19" t="s">
        <v>620</v>
      </c>
      <c r="Q117" s="17" t="s">
        <v>628</v>
      </c>
      <c r="V117" s="19">
        <v>0.86299999999999999</v>
      </c>
      <c r="W117" s="19">
        <v>2.8929999999999998</v>
      </c>
      <c r="X117" s="19">
        <v>2.5830000000000002</v>
      </c>
      <c r="Y117" s="19">
        <v>404.15100000000001</v>
      </c>
      <c r="Z117" s="19">
        <v>611.63099999999997</v>
      </c>
      <c r="AC117" s="17">
        <v>3</v>
      </c>
      <c r="AD117" s="17">
        <v>0.93028703655665301</v>
      </c>
      <c r="AE117" s="17">
        <v>2.83176122826857E-2</v>
      </c>
      <c r="AF117" s="17">
        <v>-0.40038412093603498</v>
      </c>
      <c r="AG117" s="17">
        <v>30.4972400058858</v>
      </c>
      <c r="AH117" s="17">
        <v>0.128814929278044</v>
      </c>
      <c r="AI117" s="17">
        <v>0.57449701209590098</v>
      </c>
      <c r="AJ117" s="17">
        <v>1.4163906596464999E-2</v>
      </c>
      <c r="AK117" s="17">
        <v>2.2017839525711898E-2</v>
      </c>
      <c r="AL117" s="17">
        <v>0.119433730437247</v>
      </c>
      <c r="AM117" s="17">
        <v>4.4886157441087801E-2</v>
      </c>
      <c r="AN117" s="17">
        <v>9.0131324041094099E-2</v>
      </c>
      <c r="AO117" s="17">
        <v>31.8</v>
      </c>
      <c r="AP117" s="17">
        <v>5.15</v>
      </c>
      <c r="AQ117" s="17">
        <v>24.1</v>
      </c>
      <c r="AR117" s="17">
        <v>40.1</v>
      </c>
      <c r="AS117" s="17">
        <v>8</v>
      </c>
      <c r="AT117" s="17">
        <v>3.3425703793046799</v>
      </c>
      <c r="AU117" s="17">
        <v>1.1275195881544799</v>
      </c>
      <c r="AV117" s="17">
        <v>1.6818317719875</v>
      </c>
      <c r="AW117" s="17">
        <v>5.0412412972126504</v>
      </c>
      <c r="AX117" s="17">
        <v>1.6797047626125701</v>
      </c>
    </row>
    <row r="118" spans="1:50" x14ac:dyDescent="0.2">
      <c r="A118" s="15" t="s">
        <v>151</v>
      </c>
      <c r="B118" s="17" t="s">
        <v>677</v>
      </c>
      <c r="C118" s="17" t="s">
        <v>173</v>
      </c>
      <c r="D118" s="17" t="s">
        <v>666</v>
      </c>
      <c r="E118" s="17" t="s">
        <v>203</v>
      </c>
      <c r="F118" s="17" t="s">
        <v>500</v>
      </c>
      <c r="G118" s="17" t="s">
        <v>652</v>
      </c>
      <c r="H118" s="18">
        <v>-0.2</v>
      </c>
      <c r="J118" s="17">
        <v>33.440736999999999</v>
      </c>
      <c r="K118" s="17">
        <v>-88.9084</v>
      </c>
      <c r="L118" s="17">
        <v>3944</v>
      </c>
      <c r="M118" s="17" t="s">
        <v>608</v>
      </c>
      <c r="N118" s="17" t="s">
        <v>614</v>
      </c>
      <c r="O118" s="19" t="s">
        <v>625</v>
      </c>
      <c r="P118" s="19" t="s">
        <v>612</v>
      </c>
      <c r="Q118" s="17" t="s">
        <v>613</v>
      </c>
      <c r="R118" s="17" t="s">
        <v>622</v>
      </c>
      <c r="V118" s="19">
        <v>1.6220000000000001</v>
      </c>
      <c r="W118" s="19">
        <v>2.6560000000000001</v>
      </c>
      <c r="X118" s="19">
        <v>7.9960000000000004</v>
      </c>
      <c r="Y118" s="19">
        <v>250.03800000000001</v>
      </c>
      <c r="Z118" s="19">
        <v>514.48500000000001</v>
      </c>
      <c r="AC118" s="17">
        <v>3</v>
      </c>
      <c r="AD118" s="17">
        <v>3.7804366226502801</v>
      </c>
      <c r="AE118" s="17">
        <v>5.0668588298946202E-2</v>
      </c>
      <c r="AF118" s="17">
        <v>-3.4226170623256298</v>
      </c>
      <c r="AG118" s="17">
        <v>27.381589844277901</v>
      </c>
      <c r="AH118" s="17">
        <v>5.8173049405419702E-2</v>
      </c>
      <c r="AI118" s="17">
        <v>0.57770444191806902</v>
      </c>
      <c r="AJ118" s="17">
        <v>9.0034144186494497E-3</v>
      </c>
      <c r="AK118" s="17">
        <v>2.2017839525711898E-2</v>
      </c>
      <c r="AL118" s="17">
        <v>0.15265599048855999</v>
      </c>
      <c r="AM118" s="17">
        <v>6.6538100755481597E-2</v>
      </c>
      <c r="AN118" s="17">
        <v>9.0131324041094099E-2</v>
      </c>
      <c r="AO118" s="17">
        <v>30.6</v>
      </c>
      <c r="AP118" s="17">
        <v>3.2</v>
      </c>
      <c r="AQ118" s="17">
        <v>23</v>
      </c>
      <c r="AR118" s="17">
        <v>38.799999999999997</v>
      </c>
      <c r="AS118" s="17">
        <v>7.9</v>
      </c>
      <c r="AT118" s="17">
        <v>7.5397870946972007E-2</v>
      </c>
      <c r="AU118" s="17">
        <v>0.682074592884646</v>
      </c>
      <c r="AV118" s="17">
        <v>-1.5033834469031699</v>
      </c>
      <c r="AW118" s="17">
        <v>1.69374953064732</v>
      </c>
      <c r="AX118" s="17">
        <v>1.59856648877525</v>
      </c>
    </row>
    <row r="119" spans="1:50" x14ac:dyDescent="0.2">
      <c r="A119" s="15" t="s">
        <v>153</v>
      </c>
      <c r="B119" s="17" t="s">
        <v>677</v>
      </c>
      <c r="C119" s="17" t="s">
        <v>173</v>
      </c>
      <c r="D119" s="17" t="s">
        <v>666</v>
      </c>
      <c r="E119" s="17" t="s">
        <v>214</v>
      </c>
      <c r="F119" s="17" t="s">
        <v>500</v>
      </c>
      <c r="G119" s="17" t="s">
        <v>652</v>
      </c>
      <c r="H119" s="18">
        <v>0.9</v>
      </c>
      <c r="J119" s="17">
        <v>33.440736999999999</v>
      </c>
      <c r="K119" s="17">
        <v>-88.9084</v>
      </c>
      <c r="L119" s="17">
        <v>3944</v>
      </c>
      <c r="M119" s="17" t="s">
        <v>618</v>
      </c>
      <c r="N119" s="17" t="s">
        <v>619</v>
      </c>
      <c r="O119" s="19" t="s">
        <v>620</v>
      </c>
      <c r="Q119" s="17" t="s">
        <v>627</v>
      </c>
      <c r="V119" s="19">
        <v>1.0680000000000001</v>
      </c>
      <c r="W119" s="19">
        <v>2.4750000000000001</v>
      </c>
      <c r="X119" s="19">
        <v>3.9750000000000001</v>
      </c>
      <c r="Y119" s="19">
        <v>127.682</v>
      </c>
      <c r="Z119" s="19">
        <v>388.80900000000003</v>
      </c>
      <c r="AC119" s="17">
        <v>3</v>
      </c>
      <c r="AD119" s="17">
        <v>2.7598248816405202</v>
      </c>
      <c r="AE119" s="17">
        <v>4.7139882182969002E-2</v>
      </c>
      <c r="AF119" s="17">
        <v>-0.98689266735453396</v>
      </c>
      <c r="AG119" s="17">
        <v>29.892602480297501</v>
      </c>
      <c r="AH119" s="17">
        <v>0.19903748620307399</v>
      </c>
      <c r="AI119" s="17">
        <v>0.58737303856873302</v>
      </c>
      <c r="AJ119" s="17">
        <v>1.1008757334727099E-2</v>
      </c>
      <c r="AK119" s="17">
        <v>2.2017839525711898E-2</v>
      </c>
      <c r="AL119" s="17">
        <v>0.211965028170575</v>
      </c>
      <c r="AM119" s="17">
        <v>3.6643536874231199E-2</v>
      </c>
      <c r="AN119" s="17">
        <v>9.0131324041094099E-2</v>
      </c>
      <c r="AO119" s="17">
        <v>27.2</v>
      </c>
      <c r="AP119" s="17">
        <v>3.8</v>
      </c>
      <c r="AQ119" s="17">
        <v>19.899999999999999</v>
      </c>
      <c r="AR119" s="17">
        <v>35.200000000000003</v>
      </c>
      <c r="AS119" s="17">
        <v>7.65</v>
      </c>
      <c r="AT119" s="17">
        <v>1.84626457928459</v>
      </c>
      <c r="AU119" s="17">
        <v>0.95462571740199598</v>
      </c>
      <c r="AV119" s="17">
        <v>0.155923443862207</v>
      </c>
      <c r="AW119" s="17">
        <v>3.6017248043162899</v>
      </c>
      <c r="AX119" s="17">
        <v>1.7229006802270399</v>
      </c>
    </row>
    <row r="120" spans="1:50" x14ac:dyDescent="0.2">
      <c r="A120" s="15" t="s">
        <v>156</v>
      </c>
      <c r="B120" s="17" t="s">
        <v>677</v>
      </c>
      <c r="C120" s="17" t="s">
        <v>173</v>
      </c>
      <c r="D120" s="17" t="s">
        <v>666</v>
      </c>
      <c r="E120" s="17" t="s">
        <v>214</v>
      </c>
      <c r="F120" s="17" t="s">
        <v>500</v>
      </c>
      <c r="G120" s="17" t="s">
        <v>652</v>
      </c>
      <c r="H120" s="18">
        <v>1.37</v>
      </c>
      <c r="J120" s="17">
        <v>33.440736999999999</v>
      </c>
      <c r="K120" s="17">
        <v>-88.9084</v>
      </c>
      <c r="L120" s="17">
        <v>3944</v>
      </c>
      <c r="M120" s="17" t="s">
        <v>618</v>
      </c>
      <c r="N120" s="17" t="s">
        <v>619</v>
      </c>
      <c r="O120" s="19" t="s">
        <v>620</v>
      </c>
      <c r="Q120" s="17" t="s">
        <v>628</v>
      </c>
      <c r="V120" s="19">
        <v>1.141</v>
      </c>
      <c r="W120" s="19">
        <v>2.1749999999999998</v>
      </c>
      <c r="X120" s="19">
        <v>3.4060000000000001</v>
      </c>
      <c r="Y120" s="19">
        <v>96.048000000000002</v>
      </c>
      <c r="Z120" s="19">
        <v>175.53399999999999</v>
      </c>
      <c r="AC120" s="17">
        <v>3</v>
      </c>
      <c r="AD120" s="17">
        <v>3.1565840797464002</v>
      </c>
      <c r="AE120" s="17">
        <v>4.4404989723140699E-2</v>
      </c>
      <c r="AF120" s="17">
        <v>-0.84014304769201098</v>
      </c>
      <c r="AG120" s="17">
        <v>30.043888130703799</v>
      </c>
      <c r="AH120" s="17">
        <v>0.23631534852504299</v>
      </c>
      <c r="AI120" s="17">
        <v>0.60755602309877399</v>
      </c>
      <c r="AJ120" s="17">
        <v>1.7442680519710901E-2</v>
      </c>
      <c r="AK120" s="17">
        <v>2.2017839525711898E-2</v>
      </c>
      <c r="AL120" s="17">
        <v>0.245865447418675</v>
      </c>
      <c r="AM120" s="17">
        <v>6.8611171332224302E-2</v>
      </c>
      <c r="AN120" s="17">
        <v>9.0131324041094099E-2</v>
      </c>
      <c r="AO120" s="17">
        <v>20.5</v>
      </c>
      <c r="AP120" s="17">
        <v>5.65</v>
      </c>
      <c r="AQ120" s="17">
        <v>13.6</v>
      </c>
      <c r="AR120" s="17">
        <v>27.9</v>
      </c>
      <c r="AS120" s="17">
        <v>7.15</v>
      </c>
      <c r="AT120" s="17">
        <v>0.62197911385351301</v>
      </c>
      <c r="AU120" s="17">
        <v>1.41207135938146</v>
      </c>
      <c r="AV120" s="17">
        <v>-1.08451985533804</v>
      </c>
      <c r="AW120" s="17">
        <v>2.3632117938576598</v>
      </c>
      <c r="AX120" s="17">
        <v>1.72386582459785</v>
      </c>
    </row>
    <row r="121" spans="1:50" x14ac:dyDescent="0.2">
      <c r="A121" s="15" t="s">
        <v>157</v>
      </c>
      <c r="B121" s="17" t="s">
        <v>677</v>
      </c>
      <c r="C121" s="17" t="s">
        <v>173</v>
      </c>
      <c r="D121" s="17" t="s">
        <v>666</v>
      </c>
      <c r="E121" s="17" t="s">
        <v>214</v>
      </c>
      <c r="F121" s="17" t="s">
        <v>500</v>
      </c>
      <c r="G121" s="17" t="s">
        <v>652</v>
      </c>
      <c r="H121" s="18">
        <v>1.4</v>
      </c>
      <c r="J121" s="17">
        <v>33.440736999999999</v>
      </c>
      <c r="K121" s="17">
        <v>-88.9084</v>
      </c>
      <c r="L121" s="17">
        <v>3944</v>
      </c>
      <c r="M121" s="17" t="s">
        <v>618</v>
      </c>
      <c r="N121" s="17" t="s">
        <v>619</v>
      </c>
      <c r="O121" s="19" t="s">
        <v>620</v>
      </c>
      <c r="Q121" s="17" t="s">
        <v>628</v>
      </c>
      <c r="S121" s="19">
        <v>0</v>
      </c>
      <c r="T121" s="19">
        <v>0</v>
      </c>
      <c r="U121" s="19" t="s">
        <v>637</v>
      </c>
      <c r="V121" s="19">
        <v>1.0469999999999999</v>
      </c>
      <c r="W121" s="19">
        <v>1.909</v>
      </c>
      <c r="X121" s="19">
        <v>5.444</v>
      </c>
      <c r="Y121" s="19">
        <v>66.733000000000004</v>
      </c>
      <c r="Z121" s="19">
        <v>50.548999999999999</v>
      </c>
      <c r="AC121" s="17">
        <v>3</v>
      </c>
      <c r="AD121" s="17">
        <v>0.42380916621545101</v>
      </c>
      <c r="AE121" s="17">
        <v>2.7512785671473E-2</v>
      </c>
      <c r="AF121" s="17">
        <v>-0.60255892128200805</v>
      </c>
      <c r="AG121" s="17">
        <v>30.288815982461202</v>
      </c>
      <c r="AH121" s="17">
        <v>0.10478338543601499</v>
      </c>
      <c r="AI121" s="17">
        <v>0.62905917163958003</v>
      </c>
      <c r="AJ121" s="17">
        <v>5.0941978730985604E-3</v>
      </c>
      <c r="AK121" s="17">
        <v>2.2017839525711898E-2</v>
      </c>
      <c r="AL121" s="17">
        <v>0.27398360441848801</v>
      </c>
      <c r="AM121" s="17">
        <v>6.8880643018103704E-2</v>
      </c>
      <c r="AN121" s="17">
        <v>9.0131324041094099E-2</v>
      </c>
      <c r="AO121" s="17">
        <v>13.7</v>
      </c>
      <c r="AP121" s="17">
        <v>1.55</v>
      </c>
      <c r="AQ121" s="17">
        <v>7.3</v>
      </c>
      <c r="AR121" s="17">
        <v>20.6</v>
      </c>
      <c r="AS121" s="17">
        <v>6.65</v>
      </c>
      <c r="AT121" s="17">
        <v>-1.35214760952636</v>
      </c>
      <c r="AU121" s="17">
        <v>0.43793253240704599</v>
      </c>
      <c r="AV121" s="17">
        <v>-2.8730860386008299</v>
      </c>
      <c r="AW121" s="17">
        <v>0.21280208785049101</v>
      </c>
      <c r="AX121" s="17">
        <v>1.5429440632256599</v>
      </c>
    </row>
  </sheetData>
  <autoFilter ref="A1:AX121" xr:uid="{1B782C52-131C-42C7-BAE7-5E72546CE056}"/>
  <sortState xmlns:xlrd2="http://schemas.microsoft.com/office/spreadsheetml/2017/richdata2" ref="A2:AX121">
    <sortCondition ref="C4:C121"/>
  </sortState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C114-8325-414A-B161-45452AF6BB22}">
  <dimension ref="A1:AX112"/>
  <sheetViews>
    <sheetView workbookViewId="0">
      <selection activeCell="C14" sqref="C14"/>
    </sheetView>
  </sheetViews>
  <sheetFormatPr baseColWidth="10" defaultColWidth="8.83203125" defaultRowHeight="15" x14ac:dyDescent="0.2"/>
  <sheetData>
    <row r="1" spans="1:50" s="15" customFormat="1" x14ac:dyDescent="0.2">
      <c r="A1" s="15" t="s">
        <v>607</v>
      </c>
      <c r="B1" s="15" t="s">
        <v>588</v>
      </c>
      <c r="C1" s="15" t="s">
        <v>201</v>
      </c>
      <c r="D1" s="15" t="s">
        <v>665</v>
      </c>
      <c r="E1" s="15" t="s">
        <v>202</v>
      </c>
      <c r="F1" s="15" t="s">
        <v>667</v>
      </c>
      <c r="G1" s="15" t="s">
        <v>649</v>
      </c>
      <c r="H1" s="16" t="s">
        <v>616</v>
      </c>
      <c r="I1" s="15" t="s">
        <v>664</v>
      </c>
      <c r="J1" s="15" t="s">
        <v>243</v>
      </c>
      <c r="K1" s="15" t="s">
        <v>244</v>
      </c>
      <c r="L1" s="15" t="s">
        <v>245</v>
      </c>
      <c r="M1" s="15" t="s">
        <v>246</v>
      </c>
      <c r="N1" s="15" t="s">
        <v>247</v>
      </c>
      <c r="O1" s="15" t="s">
        <v>609</v>
      </c>
      <c r="P1" s="15" t="s">
        <v>610</v>
      </c>
      <c r="Q1" s="15" t="s">
        <v>610</v>
      </c>
      <c r="R1" s="15" t="s">
        <v>610</v>
      </c>
      <c r="S1" s="15" t="s">
        <v>634</v>
      </c>
      <c r="T1" s="15" t="s">
        <v>635</v>
      </c>
      <c r="U1" s="15" t="s">
        <v>636</v>
      </c>
      <c r="V1" s="15" t="s">
        <v>641</v>
      </c>
      <c r="W1" s="15" t="s">
        <v>642</v>
      </c>
      <c r="X1" s="15" t="s">
        <v>643</v>
      </c>
      <c r="Y1" s="15" t="s">
        <v>644</v>
      </c>
      <c r="Z1" s="15" t="s">
        <v>645</v>
      </c>
      <c r="AA1" s="15" t="s">
        <v>640</v>
      </c>
      <c r="AB1" s="15" t="s">
        <v>588</v>
      </c>
      <c r="AC1" s="15" t="s">
        <v>174</v>
      </c>
      <c r="AD1" s="15" t="s">
        <v>175</v>
      </c>
      <c r="AE1" s="15" t="s">
        <v>176</v>
      </c>
      <c r="AF1" s="15" t="s">
        <v>177</v>
      </c>
      <c r="AG1" s="15" t="s">
        <v>178</v>
      </c>
      <c r="AH1" s="15" t="s">
        <v>179</v>
      </c>
      <c r="AI1" s="15" t="s">
        <v>181</v>
      </c>
      <c r="AJ1" s="15" t="s">
        <v>182</v>
      </c>
      <c r="AK1" s="15" t="s">
        <v>183</v>
      </c>
      <c r="AL1" s="15" t="s">
        <v>185</v>
      </c>
      <c r="AM1" s="15" t="s">
        <v>186</v>
      </c>
      <c r="AN1" s="15" t="s">
        <v>187</v>
      </c>
      <c r="AO1" s="15" t="s">
        <v>188</v>
      </c>
      <c r="AP1" s="15" t="s">
        <v>189</v>
      </c>
      <c r="AQ1" s="15" t="s">
        <v>190</v>
      </c>
      <c r="AR1" s="15" t="s">
        <v>191</v>
      </c>
      <c r="AS1" s="15" t="s">
        <v>192</v>
      </c>
      <c r="AT1" s="15" t="s">
        <v>193</v>
      </c>
      <c r="AU1" s="15" t="s">
        <v>194</v>
      </c>
      <c r="AV1" s="15" t="s">
        <v>195</v>
      </c>
      <c r="AW1" s="15" t="s">
        <v>196</v>
      </c>
      <c r="AX1" s="15" t="s">
        <v>197</v>
      </c>
    </row>
    <row r="2" spans="1:50" s="17" customFormat="1" x14ac:dyDescent="0.2">
      <c r="A2" s="15" t="s">
        <v>136</v>
      </c>
      <c r="B2" s="17" t="s">
        <v>677</v>
      </c>
      <c r="C2" s="17" t="s">
        <v>172</v>
      </c>
      <c r="D2" s="17" t="s">
        <v>198</v>
      </c>
      <c r="E2" s="17" t="s">
        <v>223</v>
      </c>
      <c r="F2" s="17" t="s">
        <v>669</v>
      </c>
      <c r="I2" s="18" t="s">
        <v>219</v>
      </c>
      <c r="J2" s="17">
        <v>31.7</v>
      </c>
      <c r="K2" s="17">
        <v>-85.1</v>
      </c>
      <c r="M2" s="17" t="s">
        <v>608</v>
      </c>
      <c r="N2" s="17" t="s">
        <v>614</v>
      </c>
      <c r="O2" s="19"/>
      <c r="P2" s="19" t="s">
        <v>629</v>
      </c>
      <c r="Q2" s="19"/>
      <c r="S2" s="19"/>
      <c r="T2" s="19"/>
      <c r="U2" s="19"/>
      <c r="V2" s="19">
        <v>2.6829999999999998</v>
      </c>
      <c r="W2" s="19">
        <v>0.56000000000000005</v>
      </c>
      <c r="X2" s="19">
        <v>14.071999999999999</v>
      </c>
      <c r="Y2" s="19">
        <v>4.649</v>
      </c>
      <c r="Z2" s="19">
        <v>0.115</v>
      </c>
      <c r="AA2" s="19"/>
      <c r="AC2" s="17">
        <v>3</v>
      </c>
      <c r="AD2" s="17">
        <v>-1.2693710335686901</v>
      </c>
      <c r="AE2" s="17">
        <v>0.16835234269610899</v>
      </c>
      <c r="AF2" s="17">
        <v>-1.0318161081535</v>
      </c>
      <c r="AG2" s="17">
        <v>29.8462904559435</v>
      </c>
      <c r="AH2" s="17">
        <v>4.0532077566662703E-2</v>
      </c>
      <c r="AI2" s="17">
        <v>0.57724759526205405</v>
      </c>
      <c r="AJ2" s="17">
        <v>1.5925060837659599E-2</v>
      </c>
      <c r="AK2" s="17">
        <v>2.2017839525711898E-2</v>
      </c>
      <c r="AL2" s="17">
        <v>0.21329029733036101</v>
      </c>
      <c r="AM2" s="17">
        <v>5.7895272499210601E-2</v>
      </c>
      <c r="AN2" s="17">
        <v>9.0131324041094099E-2</v>
      </c>
      <c r="AO2" s="17">
        <v>30.8</v>
      </c>
      <c r="AP2" s="17">
        <v>5.75</v>
      </c>
      <c r="AQ2" s="17">
        <v>23.2</v>
      </c>
      <c r="AR2" s="17">
        <v>39</v>
      </c>
      <c r="AS2" s="17">
        <v>7.9</v>
      </c>
      <c r="AT2" s="17">
        <v>1.7255809278899501</v>
      </c>
      <c r="AU2" s="17">
        <v>1.1545563700942101</v>
      </c>
      <c r="AV2" s="17">
        <v>0.17615142068564199</v>
      </c>
      <c r="AW2" s="17">
        <v>3.3142413898487999</v>
      </c>
      <c r="AX2" s="17">
        <v>1.5690449845815799</v>
      </c>
    </row>
    <row r="3" spans="1:50" s="17" customFormat="1" x14ac:dyDescent="0.2">
      <c r="A3" s="15" t="s">
        <v>134</v>
      </c>
      <c r="B3" s="17" t="s">
        <v>677</v>
      </c>
      <c r="C3" s="17" t="s">
        <v>172</v>
      </c>
      <c r="D3" s="17" t="s">
        <v>198</v>
      </c>
      <c r="E3" s="17" t="s">
        <v>221</v>
      </c>
      <c r="F3" s="17" t="s">
        <v>669</v>
      </c>
      <c r="H3" s="18"/>
      <c r="I3" s="18" t="s">
        <v>219</v>
      </c>
      <c r="J3" s="17">
        <v>31.7</v>
      </c>
      <c r="K3" s="17">
        <v>-85.1</v>
      </c>
      <c r="M3" s="17" t="s">
        <v>608</v>
      </c>
      <c r="N3" s="17" t="s">
        <v>614</v>
      </c>
      <c r="O3" s="19"/>
      <c r="P3" s="19" t="s">
        <v>629</v>
      </c>
      <c r="Q3" s="19"/>
      <c r="S3" s="19"/>
      <c r="T3" s="19"/>
      <c r="U3" s="19"/>
      <c r="V3" s="19">
        <v>3.0529999999999999</v>
      </c>
      <c r="W3" s="19">
        <v>0.159</v>
      </c>
      <c r="X3" s="19">
        <v>19.597999999999999</v>
      </c>
      <c r="Y3" s="19">
        <v>8.1519999999999992</v>
      </c>
      <c r="Z3" s="19">
        <v>39.713000000000001</v>
      </c>
      <c r="AA3" s="19"/>
      <c r="AC3" s="17">
        <v>3</v>
      </c>
      <c r="AD3" s="17">
        <v>-1.0839450483798501</v>
      </c>
      <c r="AE3" s="17">
        <v>1.11852744003633E-2</v>
      </c>
      <c r="AF3" s="17">
        <v>-1.06808125589412</v>
      </c>
      <c r="AG3" s="17">
        <v>29.808904352486199</v>
      </c>
      <c r="AH3" s="17">
        <v>9.2606292524365103E-3</v>
      </c>
      <c r="AI3" s="17">
        <v>0.59771165838636497</v>
      </c>
      <c r="AJ3" s="17">
        <v>7.42196591486677E-3</v>
      </c>
      <c r="AK3" s="17">
        <v>2.2017839525711898E-2</v>
      </c>
      <c r="AL3" s="17">
        <v>0.201662954709181</v>
      </c>
      <c r="AM3" s="17">
        <v>3.5533991411800601E-2</v>
      </c>
      <c r="AN3" s="17">
        <v>9.0131324041094099E-2</v>
      </c>
      <c r="AO3" s="17">
        <v>23.7</v>
      </c>
      <c r="AP3" s="17">
        <v>2.5</v>
      </c>
      <c r="AQ3" s="17">
        <v>16.600000000000001</v>
      </c>
      <c r="AR3" s="17">
        <v>31.4</v>
      </c>
      <c r="AS3" s="17">
        <v>7.4</v>
      </c>
      <c r="AT3" s="17">
        <v>0.280854079447522</v>
      </c>
      <c r="AU3" s="17">
        <v>0.51643464006224304</v>
      </c>
      <c r="AV3" s="17">
        <v>-1.2033819754744901</v>
      </c>
      <c r="AW3" s="17">
        <v>1.8143201959372799</v>
      </c>
      <c r="AX3" s="17">
        <v>1.5088510857058799</v>
      </c>
    </row>
    <row r="4" spans="1:50" s="17" customFormat="1" x14ac:dyDescent="0.2">
      <c r="A4" s="15" t="s">
        <v>61</v>
      </c>
      <c r="B4" s="17" t="s">
        <v>677</v>
      </c>
      <c r="C4" s="17" t="s">
        <v>169</v>
      </c>
      <c r="D4" s="17" t="s">
        <v>169</v>
      </c>
      <c r="E4" s="17" t="s">
        <v>207</v>
      </c>
      <c r="F4" s="17" t="s">
        <v>669</v>
      </c>
      <c r="H4" s="18">
        <v>3.5</v>
      </c>
      <c r="I4" s="26"/>
      <c r="J4" s="17">
        <v>34.376944000000002</v>
      </c>
      <c r="K4" s="17">
        <v>-91.851667000000006</v>
      </c>
      <c r="L4" s="17">
        <v>3596</v>
      </c>
      <c r="M4" s="17" t="s">
        <v>618</v>
      </c>
      <c r="N4" s="17" t="s">
        <v>619</v>
      </c>
      <c r="O4" s="19" t="s">
        <v>620</v>
      </c>
      <c r="P4" s="19"/>
      <c r="Q4" s="19"/>
      <c r="S4" s="19">
        <v>0</v>
      </c>
      <c r="T4" s="19">
        <v>0</v>
      </c>
      <c r="U4" s="19" t="s">
        <v>637</v>
      </c>
      <c r="V4" s="19">
        <v>4.9000000000000004</v>
      </c>
      <c r="W4" s="19">
        <v>0.2</v>
      </c>
      <c r="X4" s="19">
        <v>85.117999999999995</v>
      </c>
      <c r="Y4" s="19">
        <v>6.6790000000000003</v>
      </c>
      <c r="Z4" s="19">
        <v>47.152999999999999</v>
      </c>
      <c r="AA4" s="19"/>
      <c r="AC4" s="17">
        <v>3</v>
      </c>
      <c r="AD4" s="17">
        <v>2.1783684395612499</v>
      </c>
      <c r="AE4" s="17">
        <v>1.94044452439588E-2</v>
      </c>
      <c r="AF4" s="17">
        <v>-1.3164610110464601</v>
      </c>
      <c r="AG4" s="17">
        <v>29.552847179102098</v>
      </c>
      <c r="AH4" s="17">
        <v>0.10213954701125801</v>
      </c>
      <c r="AI4" s="17">
        <v>0.58954393252764004</v>
      </c>
      <c r="AJ4" s="17">
        <v>1.1490737407687001E-3</v>
      </c>
      <c r="AK4" s="17">
        <v>2.2017839525711898E-2</v>
      </c>
      <c r="AL4" s="17">
        <v>0.20564164276119001</v>
      </c>
      <c r="AM4" s="17">
        <v>3.0941763674450701E-2</v>
      </c>
      <c r="AN4" s="17">
        <v>9.0131324041094099E-2</v>
      </c>
      <c r="AO4" s="17">
        <v>26.5</v>
      </c>
      <c r="AP4" s="17">
        <v>0.39999999999999902</v>
      </c>
      <c r="AQ4" s="17">
        <v>19.2</v>
      </c>
      <c r="AR4" s="17">
        <v>34.299999999999997</v>
      </c>
      <c r="AS4" s="17">
        <v>7.55</v>
      </c>
      <c r="AT4" s="17">
        <v>1.37532535662842</v>
      </c>
      <c r="AU4" s="17">
        <v>0.17977535080638099</v>
      </c>
      <c r="AV4" s="17">
        <v>-0.227260385946465</v>
      </c>
      <c r="AW4" s="17">
        <v>3.0046046888707001</v>
      </c>
      <c r="AX4" s="17">
        <v>1.61593253740858</v>
      </c>
    </row>
    <row r="5" spans="1:50" s="17" customFormat="1" x14ac:dyDescent="0.2">
      <c r="A5" s="15" t="s">
        <v>157</v>
      </c>
      <c r="B5" s="17" t="s">
        <v>677</v>
      </c>
      <c r="C5" s="17" t="s">
        <v>173</v>
      </c>
      <c r="D5" s="17" t="s">
        <v>666</v>
      </c>
      <c r="E5" s="17" t="s">
        <v>214</v>
      </c>
      <c r="F5" s="17" t="s">
        <v>500</v>
      </c>
      <c r="H5" s="18">
        <v>1.4</v>
      </c>
      <c r="I5" s="26"/>
      <c r="J5" s="17">
        <v>33.440736999999999</v>
      </c>
      <c r="K5" s="17">
        <v>-88.9084</v>
      </c>
      <c r="L5" s="17">
        <v>3944</v>
      </c>
      <c r="M5" s="17" t="s">
        <v>618</v>
      </c>
      <c r="N5" s="17" t="s">
        <v>619</v>
      </c>
      <c r="O5" s="19" t="s">
        <v>620</v>
      </c>
      <c r="P5" s="19"/>
      <c r="Q5" s="17" t="s">
        <v>628</v>
      </c>
      <c r="S5" s="19">
        <v>0</v>
      </c>
      <c r="T5" s="19">
        <v>0</v>
      </c>
      <c r="U5" s="19" t="s">
        <v>637</v>
      </c>
      <c r="V5" s="19">
        <v>1.0469999999999999</v>
      </c>
      <c r="W5" s="19">
        <v>1.909</v>
      </c>
      <c r="X5" s="19">
        <v>5.444</v>
      </c>
      <c r="Y5" s="19">
        <v>66.733000000000004</v>
      </c>
      <c r="Z5" s="19">
        <v>50.548999999999999</v>
      </c>
      <c r="AA5" s="19"/>
      <c r="AC5" s="17">
        <v>3</v>
      </c>
      <c r="AD5" s="17">
        <v>0.42380916621545101</v>
      </c>
      <c r="AE5" s="17">
        <v>2.7512785671473E-2</v>
      </c>
      <c r="AF5" s="17">
        <v>-0.60255892128200805</v>
      </c>
      <c r="AG5" s="17">
        <v>30.288815982461202</v>
      </c>
      <c r="AH5" s="17">
        <v>0.10478338543601499</v>
      </c>
      <c r="AI5" s="17">
        <v>0.62905917163958003</v>
      </c>
      <c r="AJ5" s="17">
        <v>5.0941978730985604E-3</v>
      </c>
      <c r="AK5" s="17">
        <v>2.2017839525711898E-2</v>
      </c>
      <c r="AL5" s="17">
        <v>0.27398360441848801</v>
      </c>
      <c r="AM5" s="17">
        <v>6.8880643018103704E-2</v>
      </c>
      <c r="AN5" s="17">
        <v>9.0131324041094099E-2</v>
      </c>
      <c r="AO5" s="17">
        <v>13.7</v>
      </c>
      <c r="AP5" s="17">
        <v>1.55</v>
      </c>
      <c r="AQ5" s="17">
        <v>7.3</v>
      </c>
      <c r="AR5" s="17">
        <v>20.6</v>
      </c>
      <c r="AS5" s="17">
        <v>6.65</v>
      </c>
      <c r="AT5" s="17">
        <v>-1.35214760952636</v>
      </c>
      <c r="AU5" s="17">
        <v>0.43793253240704599</v>
      </c>
      <c r="AV5" s="17">
        <v>-2.8730860386008299</v>
      </c>
      <c r="AW5" s="17">
        <v>0.21280208785049101</v>
      </c>
      <c r="AX5" s="17">
        <v>1.5429440632256599</v>
      </c>
    </row>
    <row r="6" spans="1:50" s="17" customFormat="1" x14ac:dyDescent="0.2">
      <c r="A6" s="15" t="s">
        <v>101</v>
      </c>
      <c r="B6" s="17" t="s">
        <v>677</v>
      </c>
      <c r="C6" s="17" t="s">
        <v>170</v>
      </c>
      <c r="D6" s="17" t="s">
        <v>170</v>
      </c>
      <c r="E6" s="17" t="s">
        <v>239</v>
      </c>
      <c r="F6" s="17" t="s">
        <v>669</v>
      </c>
      <c r="H6" s="18">
        <v>1.5</v>
      </c>
      <c r="I6" s="26"/>
      <c r="J6" s="17">
        <v>34.748610999999997</v>
      </c>
      <c r="K6" s="17">
        <v>-88.911666999999994</v>
      </c>
      <c r="L6" s="17">
        <v>3460</v>
      </c>
      <c r="M6" s="17" t="s">
        <v>608</v>
      </c>
      <c r="N6" s="17" t="s">
        <v>614</v>
      </c>
      <c r="O6" s="19" t="s">
        <v>621</v>
      </c>
      <c r="P6" s="19" t="s">
        <v>612</v>
      </c>
      <c r="Q6" s="19" t="s">
        <v>613</v>
      </c>
      <c r="R6" s="17" t="s">
        <v>623</v>
      </c>
      <c r="S6" s="19"/>
      <c r="T6" s="19"/>
      <c r="U6" s="19" t="s">
        <v>637</v>
      </c>
      <c r="V6" s="25">
        <v>2.2330000000000001</v>
      </c>
      <c r="W6" s="25">
        <v>0.17100000000000001</v>
      </c>
      <c r="X6" s="25">
        <v>6.891</v>
      </c>
      <c r="Y6" s="25">
        <v>2.8580000000000001</v>
      </c>
      <c r="Z6" s="25">
        <v>51.225999999999999</v>
      </c>
      <c r="AA6" s="19"/>
      <c r="AC6" s="17">
        <v>3</v>
      </c>
      <c r="AD6" s="17">
        <v>2.13271568850916</v>
      </c>
      <c r="AE6" s="17">
        <v>6.0234209415212701E-2</v>
      </c>
      <c r="AF6" s="17">
        <v>-0.281033942491075</v>
      </c>
      <c r="AG6" s="17">
        <v>30.6202792983465</v>
      </c>
      <c r="AH6" s="17">
        <v>4.7378812432738698E-2</v>
      </c>
      <c r="AI6" s="17">
        <v>0.59972104538858995</v>
      </c>
      <c r="AJ6" s="17">
        <v>4.1974056389664297E-3</v>
      </c>
      <c r="AK6" s="17">
        <v>2.2017839525711898E-2</v>
      </c>
      <c r="AL6" s="17">
        <v>0.19588495839872599</v>
      </c>
      <c r="AM6" s="17">
        <v>2.22983733493652E-2</v>
      </c>
      <c r="AN6" s="17">
        <v>9.0131324041094099E-2</v>
      </c>
      <c r="AO6" s="17">
        <v>23</v>
      </c>
      <c r="AP6" s="17">
        <v>1.4</v>
      </c>
      <c r="AQ6" s="17">
        <v>16</v>
      </c>
      <c r="AR6" s="17">
        <v>30.6</v>
      </c>
      <c r="AS6" s="17">
        <v>7.3</v>
      </c>
      <c r="AT6" s="17">
        <v>0.92645272511106203</v>
      </c>
      <c r="AU6" s="17">
        <v>0.33169601556005501</v>
      </c>
      <c r="AV6" s="17">
        <v>-0.58138633815644902</v>
      </c>
      <c r="AW6" s="17">
        <v>2.4856906894365198</v>
      </c>
      <c r="AX6" s="17">
        <v>1.5335385137964901</v>
      </c>
    </row>
    <row r="7" spans="1:50" s="17" customFormat="1" x14ac:dyDescent="0.2">
      <c r="A7" s="15" t="s">
        <v>63</v>
      </c>
      <c r="B7" s="17" t="s">
        <v>677</v>
      </c>
      <c r="C7" s="17" t="s">
        <v>169</v>
      </c>
      <c r="D7" s="17" t="s">
        <v>169</v>
      </c>
      <c r="E7" s="17" t="s">
        <v>213</v>
      </c>
      <c r="F7" s="17" t="s">
        <v>669</v>
      </c>
      <c r="H7" s="18">
        <v>4</v>
      </c>
      <c r="I7" s="26"/>
      <c r="J7" s="17">
        <v>34.376944000000002</v>
      </c>
      <c r="K7" s="17">
        <v>-91.851667000000006</v>
      </c>
      <c r="L7" s="17">
        <v>3596</v>
      </c>
      <c r="M7" s="17" t="s">
        <v>618</v>
      </c>
      <c r="N7" s="17" t="s">
        <v>619</v>
      </c>
      <c r="O7" s="19" t="s">
        <v>620</v>
      </c>
      <c r="P7" s="19"/>
      <c r="Q7" s="19"/>
      <c r="S7" s="19"/>
      <c r="T7" s="19"/>
      <c r="U7" s="19"/>
      <c r="V7" s="19">
        <v>2.6520000000000001</v>
      </c>
      <c r="W7" s="19">
        <v>0.161</v>
      </c>
      <c r="X7" s="19">
        <v>53.893000000000001</v>
      </c>
      <c r="Y7" s="19">
        <v>55.087000000000003</v>
      </c>
      <c r="Z7" s="19">
        <v>52.631999999999998</v>
      </c>
      <c r="AA7" s="19"/>
      <c r="AC7" s="17">
        <v>5</v>
      </c>
      <c r="AD7" s="17">
        <v>0.38724396391308702</v>
      </c>
      <c r="AE7" s="17">
        <v>0.12937105543548699</v>
      </c>
      <c r="AF7" s="17">
        <v>-1.4780645832386199</v>
      </c>
      <c r="AG7" s="17">
        <v>29.3862484404935</v>
      </c>
      <c r="AH7" s="17">
        <v>7.1290399285561301E-2</v>
      </c>
      <c r="AI7" s="17">
        <v>0.59276535575849298</v>
      </c>
      <c r="AJ7" s="17">
        <v>5.8296754097783097E-3</v>
      </c>
      <c r="AK7" s="17">
        <v>1.7054945160509899E-2</v>
      </c>
      <c r="AL7" s="17">
        <v>0.22809686197586801</v>
      </c>
      <c r="AM7" s="17">
        <v>1.2055975198338301E-2</v>
      </c>
      <c r="AN7" s="17">
        <v>6.9815423396556303E-2</v>
      </c>
      <c r="AO7" s="17">
        <v>25.4</v>
      </c>
      <c r="AP7" s="17">
        <v>2</v>
      </c>
      <c r="AQ7" s="17">
        <v>19.7</v>
      </c>
      <c r="AR7" s="17">
        <v>31.3</v>
      </c>
      <c r="AS7" s="17">
        <v>5.8</v>
      </c>
      <c r="AT7" s="17">
        <v>0.99134624089776902</v>
      </c>
      <c r="AU7" s="17">
        <v>0.474309916086327</v>
      </c>
      <c r="AV7" s="17">
        <v>-0.253831389535776</v>
      </c>
      <c r="AW7" s="17">
        <v>2.2329444495715101</v>
      </c>
      <c r="AX7" s="17">
        <v>1.2433879195536399</v>
      </c>
    </row>
    <row r="8" spans="1:50" s="17" customFormat="1" x14ac:dyDescent="0.2">
      <c r="A8" s="15" t="s">
        <v>23</v>
      </c>
      <c r="B8" s="17" t="s">
        <v>677</v>
      </c>
      <c r="C8" s="17" t="s">
        <v>167</v>
      </c>
      <c r="D8" s="17" t="s">
        <v>167</v>
      </c>
      <c r="E8" s="17" t="s">
        <v>203</v>
      </c>
      <c r="F8" s="17" t="s">
        <v>500</v>
      </c>
      <c r="H8" s="18">
        <v>-1.1000000000000001</v>
      </c>
      <c r="I8" s="26"/>
      <c r="J8" s="17">
        <v>31.115717</v>
      </c>
      <c r="K8" s="17">
        <v>-96.832696999999996</v>
      </c>
      <c r="L8" s="17">
        <v>3621</v>
      </c>
      <c r="M8" s="17" t="s">
        <v>608</v>
      </c>
      <c r="N8" s="17" t="s">
        <v>614</v>
      </c>
      <c r="O8" s="19" t="s">
        <v>615</v>
      </c>
      <c r="P8" s="19" t="s">
        <v>612</v>
      </c>
      <c r="Q8" s="19" t="s">
        <v>613</v>
      </c>
      <c r="R8" s="17" t="s">
        <v>611</v>
      </c>
      <c r="S8" s="19">
        <v>0</v>
      </c>
      <c r="T8" s="19">
        <v>0</v>
      </c>
      <c r="U8" s="19" t="s">
        <v>637</v>
      </c>
      <c r="V8" s="19">
        <v>2.3490000000000002</v>
      </c>
      <c r="W8" s="19">
        <v>0.13500000000000001</v>
      </c>
      <c r="X8" s="19">
        <v>19.309000000000001</v>
      </c>
      <c r="Y8" s="19">
        <v>2.552</v>
      </c>
      <c r="Z8" s="19">
        <v>64.343000000000004</v>
      </c>
      <c r="AA8" s="19"/>
      <c r="AC8" s="17">
        <v>3</v>
      </c>
      <c r="AD8" s="17">
        <v>0.39212383038695697</v>
      </c>
      <c r="AE8" s="17">
        <v>1.11370537035635E-2</v>
      </c>
      <c r="AF8" s="17">
        <v>-2.3664966439163999</v>
      </c>
      <c r="AG8" s="17">
        <v>28.470354944820102</v>
      </c>
      <c r="AH8" s="17">
        <v>8.2686685367801105E-2</v>
      </c>
      <c r="AI8" s="17">
        <v>0.60533565605934903</v>
      </c>
      <c r="AJ8" s="17">
        <v>8.2183856231822505E-3</v>
      </c>
      <c r="AK8" s="17">
        <v>2.2017839525711898E-2</v>
      </c>
      <c r="AL8" s="17">
        <v>0.24333510595533001</v>
      </c>
      <c r="AM8" s="17">
        <v>2.3269601058546301E-2</v>
      </c>
      <c r="AN8" s="17">
        <v>9.0131324041094099E-2</v>
      </c>
      <c r="AO8" s="17">
        <v>21.2</v>
      </c>
      <c r="AP8" s="17">
        <v>2.7</v>
      </c>
      <c r="AQ8" s="17">
        <v>14.3</v>
      </c>
      <c r="AR8" s="17">
        <v>28.6</v>
      </c>
      <c r="AS8" s="17">
        <v>7.15</v>
      </c>
      <c r="AT8" s="17">
        <v>-0.76071404622098304</v>
      </c>
      <c r="AU8" s="17">
        <v>0.64181739649967495</v>
      </c>
      <c r="AV8" s="17">
        <v>-2.30907681581539</v>
      </c>
      <c r="AW8" s="17">
        <v>0.82188830356119502</v>
      </c>
      <c r="AX8" s="17">
        <v>1.56548255968829</v>
      </c>
    </row>
    <row r="9" spans="1:50" s="17" customFormat="1" x14ac:dyDescent="0.2">
      <c r="A9" s="15" t="s">
        <v>52</v>
      </c>
      <c r="B9" s="17" t="s">
        <v>677</v>
      </c>
      <c r="C9" s="17" t="s">
        <v>169</v>
      </c>
      <c r="D9" s="17" t="s">
        <v>169</v>
      </c>
      <c r="E9" s="17" t="s">
        <v>207</v>
      </c>
      <c r="F9" s="17" t="s">
        <v>669</v>
      </c>
      <c r="H9" s="18">
        <v>-1</v>
      </c>
      <c r="I9" s="26"/>
      <c r="J9" s="17">
        <v>34.376944000000002</v>
      </c>
      <c r="K9" s="17">
        <v>-91.851667000000006</v>
      </c>
      <c r="L9" s="17">
        <v>3596</v>
      </c>
      <c r="M9" s="17" t="s">
        <v>608</v>
      </c>
      <c r="N9" s="17" t="s">
        <v>614</v>
      </c>
      <c r="O9" s="19" t="s">
        <v>617</v>
      </c>
      <c r="P9" s="19" t="s">
        <v>612</v>
      </c>
      <c r="Q9" s="19"/>
      <c r="S9" s="19">
        <v>1</v>
      </c>
      <c r="T9" s="19">
        <v>1</v>
      </c>
      <c r="U9" s="19" t="s">
        <v>638</v>
      </c>
      <c r="V9" s="25">
        <v>2.5910000000000002</v>
      </c>
      <c r="W9" s="25">
        <v>0.183</v>
      </c>
      <c r="X9" s="25">
        <v>49.866</v>
      </c>
      <c r="Y9" s="25">
        <v>12.597</v>
      </c>
      <c r="Z9" s="25">
        <v>76.75</v>
      </c>
      <c r="AA9" s="19"/>
      <c r="AC9" s="17">
        <v>3</v>
      </c>
      <c r="AD9" s="17">
        <v>2.3593141319167201</v>
      </c>
      <c r="AE9" s="17">
        <v>2.5653008016425199E-2</v>
      </c>
      <c r="AF9" s="17">
        <v>-1.3085431223585</v>
      </c>
      <c r="AG9" s="17">
        <v>29.561009809729399</v>
      </c>
      <c r="AH9" s="17">
        <v>7.2867849215262806E-2</v>
      </c>
      <c r="AI9" s="17">
        <v>0.60094488193193196</v>
      </c>
      <c r="AJ9" s="17">
        <v>3.8717186397610598E-3</v>
      </c>
      <c r="AK9" s="17">
        <v>2.2017839525711898E-2</v>
      </c>
      <c r="AL9" s="17">
        <v>0.27827480962597101</v>
      </c>
      <c r="AM9" s="17">
        <v>1.8077258200111999E-2</v>
      </c>
      <c r="AN9" s="17">
        <v>9.0131324041094099E-2</v>
      </c>
      <c r="AO9" s="17">
        <v>22.6</v>
      </c>
      <c r="AP9" s="17">
        <v>1.25</v>
      </c>
      <c r="AQ9" s="17">
        <v>15.6</v>
      </c>
      <c r="AR9" s="17">
        <v>30.2</v>
      </c>
      <c r="AS9" s="17">
        <v>7.3</v>
      </c>
      <c r="AT9" s="17">
        <v>0.58902899915801799</v>
      </c>
      <c r="AU9" s="17">
        <v>0.32863884030393797</v>
      </c>
      <c r="AV9" s="17">
        <v>-0.959368784491062</v>
      </c>
      <c r="AW9" s="17">
        <v>2.1893789562020598</v>
      </c>
      <c r="AX9" s="17">
        <v>1.57437387034656</v>
      </c>
    </row>
    <row r="10" spans="1:50" s="17" customFormat="1" x14ac:dyDescent="0.2">
      <c r="A10" s="15" t="s">
        <v>137</v>
      </c>
      <c r="B10" s="17" t="s">
        <v>677</v>
      </c>
      <c r="C10" s="17" t="s">
        <v>172</v>
      </c>
      <c r="D10" s="17" t="s">
        <v>198</v>
      </c>
      <c r="E10" s="17" t="s">
        <v>224</v>
      </c>
      <c r="F10" s="17" t="s">
        <v>669</v>
      </c>
      <c r="I10" s="18" t="s">
        <v>217</v>
      </c>
      <c r="J10" s="17">
        <v>31.7</v>
      </c>
      <c r="K10" s="17">
        <v>-85.1</v>
      </c>
      <c r="M10" s="17" t="s">
        <v>608</v>
      </c>
      <c r="N10" s="17" t="s">
        <v>614</v>
      </c>
      <c r="O10" s="19"/>
      <c r="P10" s="19" t="s">
        <v>629</v>
      </c>
      <c r="Q10" s="19"/>
      <c r="S10" s="19"/>
      <c r="T10" s="19"/>
      <c r="U10" s="19"/>
      <c r="V10" s="19">
        <v>2.7410000000000001</v>
      </c>
      <c r="W10" s="19">
        <v>0.126</v>
      </c>
      <c r="X10" s="19">
        <v>11.162000000000001</v>
      </c>
      <c r="Y10" s="19">
        <v>4.1710000000000003</v>
      </c>
      <c r="Z10" s="19">
        <v>94.98</v>
      </c>
      <c r="AA10" s="19"/>
      <c r="AC10" s="17">
        <v>3</v>
      </c>
      <c r="AD10" s="17">
        <v>2.19893528402089</v>
      </c>
      <c r="AE10" s="17">
        <v>2.1721185203066502E-2</v>
      </c>
      <c r="AF10" s="17">
        <v>-0.34536745877629399</v>
      </c>
      <c r="AG10" s="17">
        <v>30.5539572330729</v>
      </c>
      <c r="AH10" s="17">
        <v>6.1990731384974899E-2</v>
      </c>
      <c r="AI10" s="17">
        <v>0.60894768554910805</v>
      </c>
      <c r="AJ10" s="17">
        <v>1.12467766332524E-2</v>
      </c>
      <c r="AK10" s="17">
        <v>2.2017839525711898E-2</v>
      </c>
      <c r="AL10" s="17">
        <v>0.294272270349971</v>
      </c>
      <c r="AM10" s="17">
        <v>4.9864019311525398E-2</v>
      </c>
      <c r="AN10" s="17">
        <v>9.0131324041094099E-2</v>
      </c>
      <c r="AO10" s="17">
        <v>20</v>
      </c>
      <c r="AP10" s="17">
        <v>3.6</v>
      </c>
      <c r="AQ10" s="17">
        <v>13.2</v>
      </c>
      <c r="AR10" s="17">
        <v>27.4</v>
      </c>
      <c r="AS10" s="17">
        <v>7.1</v>
      </c>
      <c r="AT10" s="17">
        <v>0.243844077629888</v>
      </c>
      <c r="AU10" s="17">
        <v>0.80947026545379697</v>
      </c>
      <c r="AV10" s="17">
        <v>-1.2639435825143399</v>
      </c>
      <c r="AW10" s="17">
        <v>1.80732920393268</v>
      </c>
      <c r="AX10" s="17">
        <v>1.53563639322351</v>
      </c>
    </row>
    <row r="11" spans="1:50" s="17" customFormat="1" x14ac:dyDescent="0.2">
      <c r="A11" s="15" t="s">
        <v>46</v>
      </c>
      <c r="B11" s="17" t="s">
        <v>677</v>
      </c>
      <c r="C11" s="17" t="s">
        <v>168</v>
      </c>
      <c r="D11" s="17" t="s">
        <v>168</v>
      </c>
      <c r="E11" s="17" t="s">
        <v>203</v>
      </c>
      <c r="F11" s="17" t="s">
        <v>500</v>
      </c>
      <c r="H11" s="18">
        <v>0</v>
      </c>
      <c r="I11" s="26"/>
      <c r="J11" s="17">
        <v>34.55245</v>
      </c>
      <c r="K11" s="17">
        <v>-88.986997000000002</v>
      </c>
      <c r="L11" s="17">
        <v>3461</v>
      </c>
      <c r="O11" s="19"/>
      <c r="P11" s="19"/>
      <c r="Q11" s="19"/>
      <c r="S11" s="19">
        <v>0</v>
      </c>
      <c r="T11" s="19">
        <v>1</v>
      </c>
      <c r="U11" s="19" t="s">
        <v>637</v>
      </c>
      <c r="V11" s="19">
        <v>1.34</v>
      </c>
      <c r="W11" s="19">
        <v>1.0289999999999999</v>
      </c>
      <c r="X11" s="19">
        <v>5.8959999999999999</v>
      </c>
      <c r="Y11" s="19">
        <v>23.475000000000001</v>
      </c>
      <c r="Z11" s="19">
        <v>95.423000000000002</v>
      </c>
      <c r="AA11" s="19"/>
      <c r="AC11" s="17">
        <v>3</v>
      </c>
      <c r="AD11" s="17">
        <v>2.16274076657563</v>
      </c>
      <c r="AE11" s="17">
        <v>1.7756784940755201E-2</v>
      </c>
      <c r="AF11" s="17">
        <v>-0.94589247377694896</v>
      </c>
      <c r="AG11" s="17">
        <v>29.934869989858601</v>
      </c>
      <c r="AH11" s="17">
        <v>1.38816855274571E-2</v>
      </c>
      <c r="AI11" s="17">
        <v>0.59709498565698604</v>
      </c>
      <c r="AJ11" s="17">
        <v>8.3772418221846404E-3</v>
      </c>
      <c r="AK11" s="17">
        <v>2.2017839525711898E-2</v>
      </c>
      <c r="AL11" s="17">
        <v>0.20894714149157201</v>
      </c>
      <c r="AM11" s="17">
        <v>1.28473220871254E-2</v>
      </c>
      <c r="AN11" s="17">
        <v>9.0131324041094099E-2</v>
      </c>
      <c r="AO11" s="17">
        <v>23.9</v>
      </c>
      <c r="AP11" s="17">
        <v>2.85</v>
      </c>
      <c r="AQ11" s="17">
        <v>16.8</v>
      </c>
      <c r="AR11" s="17">
        <v>31.6</v>
      </c>
      <c r="AS11" s="17">
        <v>7.4</v>
      </c>
      <c r="AT11" s="17">
        <v>1.21945777565361</v>
      </c>
      <c r="AU11" s="17">
        <v>0.59660168260501201</v>
      </c>
      <c r="AV11" s="17">
        <v>-0.28100661851408398</v>
      </c>
      <c r="AW11" s="17">
        <v>2.7696251289155498</v>
      </c>
      <c r="AX11" s="17">
        <v>1.52531587371482</v>
      </c>
    </row>
    <row r="12" spans="1:50" s="17" customFormat="1" ht="13.5" customHeight="1" x14ac:dyDescent="0.2">
      <c r="A12" s="15" t="s">
        <v>51</v>
      </c>
      <c r="B12" s="17" t="s">
        <v>677</v>
      </c>
      <c r="C12" s="17" t="s">
        <v>169</v>
      </c>
      <c r="D12" s="17" t="s">
        <v>169</v>
      </c>
      <c r="E12" s="17" t="s">
        <v>211</v>
      </c>
      <c r="F12" s="17" t="s">
        <v>670</v>
      </c>
      <c r="H12" s="18">
        <v>-0.5</v>
      </c>
      <c r="I12" s="26"/>
      <c r="J12" s="17">
        <v>34.376944000000002</v>
      </c>
      <c r="K12" s="17">
        <v>-91.851667000000006</v>
      </c>
      <c r="L12" s="17">
        <v>3596</v>
      </c>
      <c r="M12" s="17" t="s">
        <v>608</v>
      </c>
      <c r="N12" s="17" t="s">
        <v>614</v>
      </c>
      <c r="O12" s="19" t="s">
        <v>617</v>
      </c>
      <c r="P12" s="19" t="s">
        <v>612</v>
      </c>
      <c r="Q12" s="19"/>
      <c r="S12" s="19">
        <v>0</v>
      </c>
      <c r="T12" s="19">
        <v>0</v>
      </c>
      <c r="U12" s="19" t="s">
        <v>637</v>
      </c>
      <c r="V12" s="19">
        <v>3.9780000000000002</v>
      </c>
      <c r="W12" s="19">
        <v>0.245</v>
      </c>
      <c r="X12" s="19">
        <v>19.827000000000002</v>
      </c>
      <c r="Y12" s="19">
        <v>67.908000000000001</v>
      </c>
      <c r="Z12" s="19">
        <v>103.798</v>
      </c>
      <c r="AA12" s="19"/>
      <c r="AC12" s="17">
        <v>3</v>
      </c>
      <c r="AD12" s="17">
        <v>3.0266151578746898</v>
      </c>
      <c r="AE12" s="17">
        <v>2.86655987255152E-2</v>
      </c>
      <c r="AF12" s="17">
        <v>-1.7210740934737701</v>
      </c>
      <c r="AG12" s="17">
        <v>29.135727506296998</v>
      </c>
      <c r="AH12" s="17">
        <v>2.48497139086192E-2</v>
      </c>
      <c r="AI12" s="17">
        <v>0.59374203914203205</v>
      </c>
      <c r="AJ12" s="17">
        <v>3.9235218019100897E-3</v>
      </c>
      <c r="AK12" s="17">
        <v>2.2017839525711898E-2</v>
      </c>
      <c r="AL12" s="17">
        <v>0.29501175350973102</v>
      </c>
      <c r="AM12" s="17">
        <v>8.9973820440451806E-3</v>
      </c>
      <c r="AN12" s="17">
        <v>9.0131324041094099E-2</v>
      </c>
      <c r="AO12" s="17">
        <v>25</v>
      </c>
      <c r="AP12" s="17">
        <v>1.35</v>
      </c>
      <c r="AQ12" s="17">
        <v>17.8</v>
      </c>
      <c r="AR12" s="17">
        <v>32.799999999999997</v>
      </c>
      <c r="AS12" s="17">
        <v>7.5</v>
      </c>
      <c r="AT12" s="17">
        <v>0.66665629134888604</v>
      </c>
      <c r="AU12" s="17">
        <v>0.29816674752049699</v>
      </c>
      <c r="AV12" s="17">
        <v>-0.85384181746167098</v>
      </c>
      <c r="AW12" s="17">
        <v>2.2347919225606998</v>
      </c>
      <c r="AX12" s="17">
        <v>1.54431687001119</v>
      </c>
    </row>
    <row r="13" spans="1:50" s="17" customFormat="1" x14ac:dyDescent="0.2">
      <c r="A13" s="15" t="s">
        <v>98</v>
      </c>
      <c r="B13" s="17" t="s">
        <v>677</v>
      </c>
      <c r="C13" s="17" t="s">
        <v>170</v>
      </c>
      <c r="D13" s="17" t="s">
        <v>170</v>
      </c>
      <c r="E13" s="17" t="s">
        <v>238</v>
      </c>
      <c r="F13" s="17" t="s">
        <v>669</v>
      </c>
      <c r="H13" s="18">
        <v>-0.1</v>
      </c>
      <c r="I13" s="26"/>
      <c r="J13" s="17">
        <v>34.748610999999997</v>
      </c>
      <c r="K13" s="17">
        <v>-88.911666999999994</v>
      </c>
      <c r="L13" s="17">
        <v>3460</v>
      </c>
      <c r="M13" s="17" t="s">
        <v>608</v>
      </c>
      <c r="N13" s="17" t="s">
        <v>614</v>
      </c>
      <c r="O13" s="19" t="s">
        <v>621</v>
      </c>
      <c r="P13" s="19" t="s">
        <v>612</v>
      </c>
      <c r="Q13" s="19" t="s">
        <v>613</v>
      </c>
      <c r="R13" s="17" t="s">
        <v>623</v>
      </c>
      <c r="S13" s="19"/>
      <c r="T13" s="19"/>
      <c r="U13" s="19" t="s">
        <v>637</v>
      </c>
      <c r="V13" s="25">
        <v>2.262</v>
      </c>
      <c r="W13" s="25">
        <v>0.20699999999999999</v>
      </c>
      <c r="X13" s="25">
        <v>4.9489999999999998</v>
      </c>
      <c r="Y13" s="25">
        <v>14.595000000000001</v>
      </c>
      <c r="Z13" s="25">
        <v>109.357</v>
      </c>
      <c r="AA13" s="19"/>
      <c r="AC13" s="17">
        <v>3</v>
      </c>
      <c r="AD13" s="17">
        <v>-3.5300435896436402</v>
      </c>
      <c r="AE13" s="17">
        <v>3.7826236169406398E-2</v>
      </c>
      <c r="AF13" s="17">
        <v>-1.3871718874593899</v>
      </c>
      <c r="AG13" s="17">
        <v>29.4799506294992</v>
      </c>
      <c r="AH13" s="17">
        <v>0.155583063260292</v>
      </c>
      <c r="AI13" s="17">
        <v>0.60624431988599303</v>
      </c>
      <c r="AJ13" s="17">
        <v>5.1389214390551103E-3</v>
      </c>
      <c r="AK13" s="17">
        <v>2.2017839525711898E-2</v>
      </c>
      <c r="AL13" s="17">
        <v>0.32364636764355498</v>
      </c>
      <c r="AM13" s="17">
        <v>6.9423441476904602E-3</v>
      </c>
      <c r="AN13" s="17">
        <v>9.0131324041094099E-2</v>
      </c>
      <c r="AO13" s="17">
        <v>20.9</v>
      </c>
      <c r="AP13" s="17">
        <v>1.7</v>
      </c>
      <c r="AQ13" s="17">
        <v>14</v>
      </c>
      <c r="AR13" s="17">
        <v>28.3</v>
      </c>
      <c r="AS13" s="17">
        <v>7.15</v>
      </c>
      <c r="AT13" s="17">
        <v>-0.61202557853096096</v>
      </c>
      <c r="AU13" s="17">
        <v>0.50237036534690604</v>
      </c>
      <c r="AV13" s="17">
        <v>-2.2220022827919998</v>
      </c>
      <c r="AW13" s="17">
        <v>1.03210213069724</v>
      </c>
      <c r="AX13" s="17">
        <v>1.62705220674462</v>
      </c>
    </row>
    <row r="14" spans="1:50" s="17" customFormat="1" x14ac:dyDescent="0.2">
      <c r="A14" s="15" t="s">
        <v>30</v>
      </c>
      <c r="B14" s="17" t="s">
        <v>677</v>
      </c>
      <c r="C14" s="17" t="s">
        <v>168</v>
      </c>
      <c r="D14" s="17" t="s">
        <v>168</v>
      </c>
      <c r="E14" s="17" t="s">
        <v>206</v>
      </c>
      <c r="F14" s="17" t="s">
        <v>500</v>
      </c>
      <c r="H14" s="18">
        <v>-1</v>
      </c>
      <c r="I14" s="26"/>
      <c r="J14" s="17">
        <v>34.55245</v>
      </c>
      <c r="K14" s="17">
        <v>-88.986997000000002</v>
      </c>
      <c r="L14" s="17">
        <v>3461</v>
      </c>
      <c r="M14" s="17" t="s">
        <v>608</v>
      </c>
      <c r="N14" s="17" t="s">
        <v>614</v>
      </c>
      <c r="O14" s="19" t="s">
        <v>621</v>
      </c>
      <c r="P14" s="19"/>
      <c r="Q14" s="19"/>
      <c r="S14" s="19">
        <v>0</v>
      </c>
      <c r="T14" s="19">
        <v>0</v>
      </c>
      <c r="U14" s="19" t="s">
        <v>637</v>
      </c>
      <c r="V14" s="19">
        <v>1.2250000000000001</v>
      </c>
      <c r="W14" s="19">
        <v>1.2190000000000001</v>
      </c>
      <c r="X14" s="19">
        <v>3.6110000000000002</v>
      </c>
      <c r="Y14" s="19">
        <v>57.484000000000002</v>
      </c>
      <c r="Z14" s="19">
        <v>124.675</v>
      </c>
      <c r="AA14" s="19"/>
      <c r="AC14" s="17">
        <v>3</v>
      </c>
      <c r="AD14" s="17">
        <v>2.9311165344051302</v>
      </c>
      <c r="AE14" s="17">
        <v>2.9138250525554601E-2</v>
      </c>
      <c r="AF14" s="17">
        <v>-0.713356520355235</v>
      </c>
      <c r="AG14" s="17">
        <v>30.174593629600601</v>
      </c>
      <c r="AH14" s="17">
        <v>7.5364311196604902E-2</v>
      </c>
      <c r="AI14" s="17">
        <v>0.59311155722224596</v>
      </c>
      <c r="AJ14" s="17">
        <v>7.0758549097293998E-3</v>
      </c>
      <c r="AK14" s="17">
        <v>2.2017839525711898E-2</v>
      </c>
      <c r="AL14" s="17">
        <v>0.20514221279181</v>
      </c>
      <c r="AM14" s="17">
        <v>4.0231264005306203E-2</v>
      </c>
      <c r="AN14" s="17">
        <v>9.0131324041094099E-2</v>
      </c>
      <c r="AO14" s="17">
        <v>25.3</v>
      </c>
      <c r="AP14" s="17">
        <v>2.4</v>
      </c>
      <c r="AQ14" s="17">
        <v>18</v>
      </c>
      <c r="AR14" s="17">
        <v>33</v>
      </c>
      <c r="AS14" s="17">
        <v>7.5</v>
      </c>
      <c r="AT14" s="17">
        <v>1.73767493035871</v>
      </c>
      <c r="AU14" s="17">
        <v>0.55996448082078099</v>
      </c>
      <c r="AV14" s="17">
        <v>0.148305907436452</v>
      </c>
      <c r="AW14" s="17">
        <v>3.33429719882042</v>
      </c>
      <c r="AX14" s="17">
        <v>1.59299564569199</v>
      </c>
    </row>
    <row r="15" spans="1:50" s="17" customFormat="1" x14ac:dyDescent="0.2">
      <c r="A15" s="15" t="s">
        <v>28</v>
      </c>
      <c r="B15" s="17" t="s">
        <v>677</v>
      </c>
      <c r="C15" s="17" t="s">
        <v>168</v>
      </c>
      <c r="D15" s="17" t="s">
        <v>168</v>
      </c>
      <c r="E15" s="17" t="s">
        <v>203</v>
      </c>
      <c r="F15" s="17" t="s">
        <v>500</v>
      </c>
      <c r="H15" s="18">
        <v>0.55000000000000004</v>
      </c>
      <c r="I15" s="26"/>
      <c r="J15" s="17">
        <v>34.55245</v>
      </c>
      <c r="K15" s="17">
        <v>-88.986997000000002</v>
      </c>
      <c r="L15" s="17">
        <v>3461</v>
      </c>
      <c r="M15" s="17" t="s">
        <v>618</v>
      </c>
      <c r="N15" s="17" t="s">
        <v>619</v>
      </c>
      <c r="O15" s="19" t="s">
        <v>620</v>
      </c>
      <c r="P15" s="19"/>
      <c r="Q15" s="19"/>
      <c r="R15" s="17" t="s">
        <v>624</v>
      </c>
      <c r="S15" s="19"/>
      <c r="T15" s="19"/>
      <c r="U15" s="19"/>
      <c r="V15" s="19">
        <v>1.3009999999999999</v>
      </c>
      <c r="W15" s="19">
        <v>1.36</v>
      </c>
      <c r="X15" s="19">
        <v>4.7619999999999996</v>
      </c>
      <c r="Y15" s="19">
        <v>20.821000000000002</v>
      </c>
      <c r="Z15" s="19">
        <v>127.9</v>
      </c>
      <c r="AA15" s="19"/>
      <c r="AC15" s="17">
        <v>4</v>
      </c>
      <c r="AD15" s="17">
        <v>2.2517532637220898</v>
      </c>
      <c r="AE15" s="17">
        <v>8.3491481593705397E-2</v>
      </c>
      <c r="AF15" s="17">
        <v>-1.44123975338452</v>
      </c>
      <c r="AG15" s="17">
        <v>29.424211525838398</v>
      </c>
      <c r="AH15" s="17">
        <v>4.2307851804741801E-2</v>
      </c>
      <c r="AI15" s="17">
        <v>0.57765256920217001</v>
      </c>
      <c r="AJ15" s="17">
        <v>3.6306795535985502E-3</v>
      </c>
      <c r="AK15" s="17">
        <v>1.9068008365715601E-2</v>
      </c>
      <c r="AL15" s="17">
        <v>0.13620766177468199</v>
      </c>
      <c r="AM15" s="17">
        <v>2.8880335165061301E-2</v>
      </c>
      <c r="AN15" s="17">
        <v>7.8056016296314604E-2</v>
      </c>
      <c r="AO15" s="17">
        <v>30.6</v>
      </c>
      <c r="AP15" s="17">
        <v>1.3</v>
      </c>
      <c r="AQ15" s="17">
        <v>24</v>
      </c>
      <c r="AR15" s="17">
        <v>37.700000000000003</v>
      </c>
      <c r="AS15" s="17">
        <v>6.85</v>
      </c>
      <c r="AT15" s="17">
        <v>2.0637298705462399</v>
      </c>
      <c r="AU15" s="17">
        <v>0.29575457097610103</v>
      </c>
      <c r="AV15" s="17">
        <v>0.70234907724079698</v>
      </c>
      <c r="AW15" s="17">
        <v>3.4644612423323902</v>
      </c>
      <c r="AX15" s="17">
        <v>1.3810560825458</v>
      </c>
    </row>
    <row r="16" spans="1:50" s="17" customFormat="1" x14ac:dyDescent="0.2">
      <c r="A16" s="15" t="s">
        <v>132</v>
      </c>
      <c r="B16" s="17" t="s">
        <v>677</v>
      </c>
      <c r="C16" s="17" t="s">
        <v>172</v>
      </c>
      <c r="D16" s="17" t="s">
        <v>198</v>
      </c>
      <c r="E16" s="17" t="s">
        <v>220</v>
      </c>
      <c r="F16" s="17" t="s">
        <v>669</v>
      </c>
      <c r="H16" s="18"/>
      <c r="I16" s="18" t="s">
        <v>219</v>
      </c>
      <c r="J16" s="17">
        <v>31.7</v>
      </c>
      <c r="K16" s="17">
        <v>-85.1</v>
      </c>
      <c r="M16" s="17" t="s">
        <v>608</v>
      </c>
      <c r="N16" s="17" t="s">
        <v>614</v>
      </c>
      <c r="O16" s="19"/>
      <c r="P16" s="19" t="s">
        <v>629</v>
      </c>
      <c r="Q16" s="19"/>
      <c r="S16" s="19"/>
      <c r="T16" s="19"/>
      <c r="U16" s="19"/>
      <c r="V16" s="19">
        <v>4.0759999999999996</v>
      </c>
      <c r="W16" s="19">
        <v>0.214</v>
      </c>
      <c r="X16" s="19">
        <v>30.010999999999999</v>
      </c>
      <c r="Y16" s="19">
        <v>5.3360000000000003</v>
      </c>
      <c r="Z16" s="19">
        <v>135.196</v>
      </c>
      <c r="AA16" s="19"/>
      <c r="AC16" s="17">
        <v>3</v>
      </c>
      <c r="AD16" s="17">
        <v>-0.24929108829441901</v>
      </c>
      <c r="AE16" s="17">
        <v>7.1204720574840298E-3</v>
      </c>
      <c r="AF16" s="17">
        <v>-0.72491680577526696</v>
      </c>
      <c r="AG16" s="17">
        <v>30.162676015758201</v>
      </c>
      <c r="AH16" s="17">
        <v>1.7396082059593299E-2</v>
      </c>
      <c r="AI16" s="17">
        <v>0.59707981086597794</v>
      </c>
      <c r="AJ16" s="17">
        <v>6.6459759971025803E-3</v>
      </c>
      <c r="AK16" s="17">
        <v>2.2017839525711898E-2</v>
      </c>
      <c r="AL16" s="17">
        <v>0.18924137961556001</v>
      </c>
      <c r="AM16" s="17">
        <v>3.3068094539118201E-2</v>
      </c>
      <c r="AN16" s="17">
        <v>9.0131324041094099E-2</v>
      </c>
      <c r="AO16" s="17">
        <v>23.9</v>
      </c>
      <c r="AP16" s="17">
        <v>2.25</v>
      </c>
      <c r="AQ16" s="17">
        <v>16.8</v>
      </c>
      <c r="AR16" s="17">
        <v>31.6</v>
      </c>
      <c r="AS16" s="17">
        <v>7.4</v>
      </c>
      <c r="AT16" s="17">
        <v>0.66506181792397001</v>
      </c>
      <c r="AU16" s="17">
        <v>0.47314812871945799</v>
      </c>
      <c r="AV16" s="17">
        <v>-0.82562266048000799</v>
      </c>
      <c r="AW16" s="17">
        <v>2.2049998473747801</v>
      </c>
      <c r="AX16" s="17">
        <v>1.5153112539273901</v>
      </c>
    </row>
    <row r="17" spans="1:50" s="17" customFormat="1" x14ac:dyDescent="0.2">
      <c r="A17" s="15" t="s">
        <v>17</v>
      </c>
      <c r="B17" s="17" t="s">
        <v>677</v>
      </c>
      <c r="C17" s="17" t="s">
        <v>167</v>
      </c>
      <c r="D17" s="17" t="s">
        <v>167</v>
      </c>
      <c r="E17" s="17" t="s">
        <v>203</v>
      </c>
      <c r="F17" s="17" t="s">
        <v>500</v>
      </c>
      <c r="H17" s="18">
        <v>-0.2</v>
      </c>
      <c r="I17" s="26"/>
      <c r="J17" s="17">
        <v>31.115717</v>
      </c>
      <c r="K17" s="17">
        <v>-96.832696999999996</v>
      </c>
      <c r="L17" s="17">
        <v>3621</v>
      </c>
      <c r="M17" s="17" t="s">
        <v>608</v>
      </c>
      <c r="N17" s="17" t="s">
        <v>614</v>
      </c>
      <c r="O17" s="19" t="s">
        <v>615</v>
      </c>
      <c r="P17" s="19" t="s">
        <v>612</v>
      </c>
      <c r="Q17" s="19" t="s">
        <v>613</v>
      </c>
      <c r="R17" s="17" t="s">
        <v>611</v>
      </c>
      <c r="S17" s="19">
        <v>0</v>
      </c>
      <c r="T17" s="19">
        <v>0</v>
      </c>
      <c r="U17" s="19" t="s">
        <v>637</v>
      </c>
      <c r="V17" s="19">
        <v>1.3220000000000001</v>
      </c>
      <c r="W17" s="19">
        <v>1.0249999999999999</v>
      </c>
      <c r="X17" s="19">
        <v>17.693000000000001</v>
      </c>
      <c r="Y17" s="19">
        <v>64.201999999999998</v>
      </c>
      <c r="Z17" s="19">
        <v>138.30000000000001</v>
      </c>
      <c r="AA17" s="19"/>
      <c r="AC17" s="17">
        <v>4</v>
      </c>
      <c r="AD17" s="17">
        <v>0.71929248068128704</v>
      </c>
      <c r="AE17" s="17">
        <v>1.92862558671698E-2</v>
      </c>
      <c r="AF17" s="17">
        <v>-1.9556009065381601</v>
      </c>
      <c r="AG17" s="17">
        <v>28.893951469440701</v>
      </c>
      <c r="AH17" s="17">
        <v>1.4152513551501E-2</v>
      </c>
      <c r="AI17" s="17">
        <v>0.59677256664184797</v>
      </c>
      <c r="AJ17" s="17">
        <v>1.08907764290624E-2</v>
      </c>
      <c r="AK17" s="17">
        <v>1.9068008365715601E-2</v>
      </c>
      <c r="AL17" s="17">
        <v>0.23653036544273501</v>
      </c>
      <c r="AM17" s="17">
        <v>2.5956431449616301E-2</v>
      </c>
      <c r="AN17" s="17">
        <v>7.8056016296314604E-2</v>
      </c>
      <c r="AO17" s="17">
        <v>24</v>
      </c>
      <c r="AP17" s="17">
        <v>3.65</v>
      </c>
      <c r="AQ17" s="17">
        <v>17.8</v>
      </c>
      <c r="AR17" s="17">
        <v>30.6</v>
      </c>
      <c r="AS17" s="17">
        <v>6.4</v>
      </c>
      <c r="AT17" s="17">
        <v>0.22799168312826601</v>
      </c>
      <c r="AU17" s="17">
        <v>0.75934404950726297</v>
      </c>
      <c r="AV17" s="17">
        <v>-1.0781923094324399</v>
      </c>
      <c r="AW17" s="17">
        <v>1.5613396570575999</v>
      </c>
      <c r="AX17" s="17">
        <v>1.3197659832450199</v>
      </c>
    </row>
    <row r="18" spans="1:50" s="17" customFormat="1" x14ac:dyDescent="0.2">
      <c r="A18" s="15" t="s">
        <v>10</v>
      </c>
      <c r="B18" s="17" t="s">
        <v>677</v>
      </c>
      <c r="C18" s="17" t="s">
        <v>165</v>
      </c>
      <c r="D18" s="17" t="s">
        <v>666</v>
      </c>
      <c r="E18" s="17" t="s">
        <v>215</v>
      </c>
      <c r="F18" s="17" t="s">
        <v>500</v>
      </c>
      <c r="H18" s="18" t="s">
        <v>198</v>
      </c>
      <c r="I18" s="26"/>
      <c r="J18" s="17">
        <v>33.455112999999997</v>
      </c>
      <c r="K18" s="17">
        <v>-88.849669000000006</v>
      </c>
      <c r="L18" s="17">
        <v>3525</v>
      </c>
      <c r="O18" s="19"/>
      <c r="P18" s="19"/>
      <c r="Q18" s="19"/>
      <c r="S18" s="19">
        <v>0</v>
      </c>
      <c r="T18" s="19">
        <v>0</v>
      </c>
      <c r="U18" s="19" t="s">
        <v>637</v>
      </c>
      <c r="V18" s="19">
        <v>1.052</v>
      </c>
      <c r="W18" s="19">
        <v>1.712</v>
      </c>
      <c r="X18" s="19">
        <v>3.6269999999999998</v>
      </c>
      <c r="Y18" s="19">
        <v>98.343000000000004</v>
      </c>
      <c r="Z18" s="19">
        <v>145.99</v>
      </c>
      <c r="AA18" s="19"/>
      <c r="AC18" s="17">
        <v>3</v>
      </c>
      <c r="AD18" s="17">
        <v>1.9246073059107101</v>
      </c>
      <c r="AE18" s="17">
        <v>8.8955460137847796E-3</v>
      </c>
      <c r="AF18" s="17">
        <v>-1.0371327876004901</v>
      </c>
      <c r="AG18" s="17">
        <v>29.840809437934801</v>
      </c>
      <c r="AH18" s="17">
        <v>3.4278462418025603E-2</v>
      </c>
      <c r="AI18" s="17">
        <v>0.60192276649777798</v>
      </c>
      <c r="AJ18" s="17">
        <v>1.1273961000936099E-2</v>
      </c>
      <c r="AK18" s="17">
        <v>2.2017839525711898E-2</v>
      </c>
      <c r="AL18" s="17">
        <v>0.18461504437043</v>
      </c>
      <c r="AM18" s="17">
        <v>2.2344542991075401E-2</v>
      </c>
      <c r="AN18" s="17">
        <v>9.0131324041094099E-2</v>
      </c>
      <c r="AO18" s="17">
        <v>22.3</v>
      </c>
      <c r="AP18" s="17">
        <v>3.7</v>
      </c>
      <c r="AQ18" s="17">
        <v>15.3</v>
      </c>
      <c r="AR18" s="17">
        <v>29.8</v>
      </c>
      <c r="AS18" s="17">
        <v>7.25</v>
      </c>
      <c r="AT18" s="17">
        <v>0.79900114529300503</v>
      </c>
      <c r="AU18" s="17">
        <v>0.79827431050875897</v>
      </c>
      <c r="AV18" s="17">
        <v>-0.71529372122313395</v>
      </c>
      <c r="AW18" s="17">
        <v>2.3454959717913701</v>
      </c>
      <c r="AX18" s="17">
        <v>1.5303948465072501</v>
      </c>
    </row>
    <row r="19" spans="1:50" s="17" customFormat="1" x14ac:dyDescent="0.2">
      <c r="A19" s="15" t="s">
        <v>135</v>
      </c>
      <c r="B19" s="17" t="s">
        <v>677</v>
      </c>
      <c r="C19" s="17" t="s">
        <v>172</v>
      </c>
      <c r="D19" s="17" t="s">
        <v>198</v>
      </c>
      <c r="E19" s="17" t="s">
        <v>222</v>
      </c>
      <c r="F19" s="17" t="s">
        <v>669</v>
      </c>
      <c r="H19" s="18"/>
      <c r="I19" s="18" t="s">
        <v>217</v>
      </c>
      <c r="J19" s="17">
        <v>31.7</v>
      </c>
      <c r="K19" s="17">
        <v>-85.1</v>
      </c>
      <c r="M19" s="17" t="s">
        <v>608</v>
      </c>
      <c r="N19" s="17" t="s">
        <v>614</v>
      </c>
      <c r="O19" s="19"/>
      <c r="P19" s="19" t="s">
        <v>629</v>
      </c>
      <c r="Q19" s="19"/>
      <c r="S19" s="19"/>
      <c r="T19" s="19"/>
      <c r="U19" s="19"/>
      <c r="V19" s="19">
        <v>3.7770000000000001</v>
      </c>
      <c r="W19" s="19">
        <v>0.19600000000000001</v>
      </c>
      <c r="X19" s="19">
        <v>55.036999999999999</v>
      </c>
      <c r="Y19" s="19">
        <v>14.994</v>
      </c>
      <c r="Z19" s="19">
        <v>146.14099999999999</v>
      </c>
      <c r="AA19" s="19"/>
      <c r="AC19" s="17">
        <v>3</v>
      </c>
      <c r="AD19" s="17">
        <v>-1.41905026079829</v>
      </c>
      <c r="AE19" s="17">
        <v>4.6137099698871798E-3</v>
      </c>
      <c r="AF19" s="17">
        <v>-0.59016355626508199</v>
      </c>
      <c r="AG19" s="17">
        <v>30.301594488210799</v>
      </c>
      <c r="AH19" s="17">
        <v>2.19965885402102E-2</v>
      </c>
      <c r="AI19" s="17">
        <v>0.59391014925107599</v>
      </c>
      <c r="AJ19" s="17">
        <v>3.3105185885159002E-3</v>
      </c>
      <c r="AK19" s="17">
        <v>2.2017839525711898E-2</v>
      </c>
      <c r="AL19" s="17">
        <v>0.22129073398197999</v>
      </c>
      <c r="AM19" s="17">
        <v>3.8012420689808403E-2</v>
      </c>
      <c r="AN19" s="17">
        <v>9.0131324041094099E-2</v>
      </c>
      <c r="AO19" s="17">
        <v>25</v>
      </c>
      <c r="AP19" s="17">
        <v>1.1000000000000001</v>
      </c>
      <c r="AQ19" s="17">
        <v>17.8</v>
      </c>
      <c r="AR19" s="17">
        <v>32.700000000000003</v>
      </c>
      <c r="AS19" s="17">
        <v>7.45</v>
      </c>
      <c r="AT19" s="17">
        <v>1.02227788184587</v>
      </c>
      <c r="AU19" s="17">
        <v>0.242854202108504</v>
      </c>
      <c r="AV19" s="17">
        <v>-0.483521440999994</v>
      </c>
      <c r="AW19" s="17">
        <v>2.55615096676991</v>
      </c>
      <c r="AX19" s="17">
        <v>1.51983620388495</v>
      </c>
    </row>
    <row r="20" spans="1:50" s="17" customFormat="1" x14ac:dyDescent="0.2">
      <c r="A20" s="15" t="s">
        <v>25</v>
      </c>
      <c r="B20" s="17" t="s">
        <v>677</v>
      </c>
      <c r="C20" s="17" t="s">
        <v>168</v>
      </c>
      <c r="D20" s="17" t="s">
        <v>168</v>
      </c>
      <c r="E20" s="17" t="s">
        <v>203</v>
      </c>
      <c r="F20" s="17" t="s">
        <v>500</v>
      </c>
      <c r="H20" s="18">
        <v>0.85</v>
      </c>
      <c r="I20" s="26"/>
      <c r="J20" s="17">
        <v>34.55245</v>
      </c>
      <c r="K20" s="17">
        <v>-88.986997000000002</v>
      </c>
      <c r="L20" s="17">
        <v>3461</v>
      </c>
      <c r="M20" s="17" t="s">
        <v>618</v>
      </c>
      <c r="N20" s="17" t="s">
        <v>619</v>
      </c>
      <c r="O20" s="19" t="s">
        <v>620</v>
      </c>
      <c r="P20" s="19"/>
      <c r="Q20" s="19"/>
      <c r="R20" s="17" t="s">
        <v>624</v>
      </c>
      <c r="S20" s="19"/>
      <c r="T20" s="19"/>
      <c r="U20" s="19"/>
      <c r="V20" s="19">
        <v>1.1180000000000001</v>
      </c>
      <c r="W20" s="19">
        <v>1.5249999999999999</v>
      </c>
      <c r="X20" s="19">
        <v>3.9140000000000001</v>
      </c>
      <c r="Y20" s="19">
        <v>23.321000000000002</v>
      </c>
      <c r="Z20" s="19">
        <v>155.99299999999999</v>
      </c>
      <c r="AA20" s="19"/>
      <c r="AC20" s="17">
        <v>3</v>
      </c>
      <c r="AD20" s="17">
        <v>2.2896037903192901</v>
      </c>
      <c r="AE20" s="17">
        <v>3.3466776920073202E-2</v>
      </c>
      <c r="AF20" s="17">
        <v>-1.83008298654487</v>
      </c>
      <c r="AG20" s="17">
        <v>29.023349148341001</v>
      </c>
      <c r="AH20" s="17">
        <v>1.2521940641207501E-2</v>
      </c>
      <c r="AI20" s="17">
        <v>0.58216752172403097</v>
      </c>
      <c r="AJ20" s="17">
        <v>1.28013126043157E-2</v>
      </c>
      <c r="AK20" s="17">
        <v>2.2017839525711898E-2</v>
      </c>
      <c r="AL20" s="17">
        <v>0.21793537703945401</v>
      </c>
      <c r="AM20" s="17">
        <v>5.0699068281181002E-2</v>
      </c>
      <c r="AN20" s="17">
        <v>9.0131324041094099E-2</v>
      </c>
      <c r="AO20" s="17">
        <v>29</v>
      </c>
      <c r="AP20" s="17">
        <v>4.55</v>
      </c>
      <c r="AQ20" s="17">
        <v>21.6</v>
      </c>
      <c r="AR20" s="17">
        <v>37.1</v>
      </c>
      <c r="AS20" s="17">
        <v>7.75</v>
      </c>
      <c r="AT20" s="17">
        <v>1.3587217564281699</v>
      </c>
      <c r="AU20" s="17">
        <v>0.91218881753923098</v>
      </c>
      <c r="AV20" s="17">
        <v>-0.15249296803347101</v>
      </c>
      <c r="AW20" s="17">
        <v>2.93218300103513</v>
      </c>
      <c r="AX20" s="17">
        <v>1.5423379845342999</v>
      </c>
    </row>
    <row r="21" spans="1:50" s="17" customFormat="1" x14ac:dyDescent="0.2">
      <c r="A21" s="15" t="s">
        <v>156</v>
      </c>
      <c r="B21" s="17" t="s">
        <v>677</v>
      </c>
      <c r="C21" s="17" t="s">
        <v>173</v>
      </c>
      <c r="D21" s="17" t="s">
        <v>666</v>
      </c>
      <c r="E21" s="17" t="s">
        <v>214</v>
      </c>
      <c r="F21" s="17" t="s">
        <v>500</v>
      </c>
      <c r="H21" s="18">
        <v>1.37</v>
      </c>
      <c r="I21" s="26"/>
      <c r="J21" s="17">
        <v>33.440736999999999</v>
      </c>
      <c r="K21" s="17">
        <v>-88.9084</v>
      </c>
      <c r="L21" s="17">
        <v>3944</v>
      </c>
      <c r="M21" s="17" t="s">
        <v>618</v>
      </c>
      <c r="N21" s="17" t="s">
        <v>619</v>
      </c>
      <c r="O21" s="19" t="s">
        <v>620</v>
      </c>
      <c r="P21" s="19"/>
      <c r="Q21" s="17" t="s">
        <v>628</v>
      </c>
      <c r="S21" s="19"/>
      <c r="T21" s="19"/>
      <c r="U21" s="19"/>
      <c r="V21" s="19">
        <v>1.141</v>
      </c>
      <c r="W21" s="19">
        <v>2.1749999999999998</v>
      </c>
      <c r="X21" s="19">
        <v>3.4060000000000001</v>
      </c>
      <c r="Y21" s="19">
        <v>96.048000000000002</v>
      </c>
      <c r="Z21" s="19">
        <v>175.53399999999999</v>
      </c>
      <c r="AA21" s="19"/>
      <c r="AC21" s="17">
        <v>3</v>
      </c>
      <c r="AD21" s="17">
        <v>3.1565840797464002</v>
      </c>
      <c r="AE21" s="17">
        <v>4.4404989723140699E-2</v>
      </c>
      <c r="AF21" s="17">
        <v>-0.84014304769201098</v>
      </c>
      <c r="AG21" s="17">
        <v>30.043888130703799</v>
      </c>
      <c r="AH21" s="17">
        <v>0.23631534852504299</v>
      </c>
      <c r="AI21" s="17">
        <v>0.60755602309877399</v>
      </c>
      <c r="AJ21" s="17">
        <v>1.7442680519710901E-2</v>
      </c>
      <c r="AK21" s="17">
        <v>2.2017839525711898E-2</v>
      </c>
      <c r="AL21" s="17">
        <v>0.245865447418675</v>
      </c>
      <c r="AM21" s="17">
        <v>6.8611171332224302E-2</v>
      </c>
      <c r="AN21" s="17">
        <v>9.0131324041094099E-2</v>
      </c>
      <c r="AO21" s="17">
        <v>20.5</v>
      </c>
      <c r="AP21" s="17">
        <v>5.65</v>
      </c>
      <c r="AQ21" s="17">
        <v>13.6</v>
      </c>
      <c r="AR21" s="17">
        <v>27.9</v>
      </c>
      <c r="AS21" s="17">
        <v>7.15</v>
      </c>
      <c r="AT21" s="17">
        <v>0.62197911385351301</v>
      </c>
      <c r="AU21" s="17">
        <v>1.41207135938146</v>
      </c>
      <c r="AV21" s="17">
        <v>-1.08451985533804</v>
      </c>
      <c r="AW21" s="17">
        <v>2.3632117938576598</v>
      </c>
      <c r="AX21" s="17">
        <v>1.72386582459785</v>
      </c>
    </row>
    <row r="22" spans="1:50" s="17" customFormat="1" x14ac:dyDescent="0.2">
      <c r="A22" s="15" t="s">
        <v>100</v>
      </c>
      <c r="B22" s="17" t="s">
        <v>677</v>
      </c>
      <c r="C22" s="17" t="s">
        <v>170</v>
      </c>
      <c r="D22" s="17" t="s">
        <v>170</v>
      </c>
      <c r="E22" s="17" t="s">
        <v>238</v>
      </c>
      <c r="F22" s="17" t="s">
        <v>669</v>
      </c>
      <c r="H22" s="18">
        <v>1.4</v>
      </c>
      <c r="I22" s="26"/>
      <c r="J22" s="17">
        <v>34.748610999999997</v>
      </c>
      <c r="K22" s="17">
        <v>-88.911666999999994</v>
      </c>
      <c r="L22" s="17">
        <v>3460</v>
      </c>
      <c r="M22" s="17" t="s">
        <v>608</v>
      </c>
      <c r="N22" s="17" t="s">
        <v>614</v>
      </c>
      <c r="O22" s="19" t="s">
        <v>621</v>
      </c>
      <c r="P22" s="19" t="s">
        <v>612</v>
      </c>
      <c r="Q22" s="19" t="s">
        <v>613</v>
      </c>
      <c r="R22" s="17" t="s">
        <v>623</v>
      </c>
      <c r="S22" s="19"/>
      <c r="T22" s="19"/>
      <c r="U22" s="19" t="s">
        <v>637</v>
      </c>
      <c r="V22" s="25">
        <v>2.4119999999999999</v>
      </c>
      <c r="W22" s="25">
        <v>0.19400000000000001</v>
      </c>
      <c r="X22" s="25">
        <v>7.4749999999999996</v>
      </c>
      <c r="Y22" s="25">
        <v>17.879000000000001</v>
      </c>
      <c r="Z22" s="25">
        <v>176.40600000000001</v>
      </c>
      <c r="AA22" s="19"/>
      <c r="AC22" s="17">
        <v>3</v>
      </c>
      <c r="AD22" s="17">
        <v>1.4766117875887499</v>
      </c>
      <c r="AE22" s="17">
        <v>3.5574806860189698E-2</v>
      </c>
      <c r="AF22" s="17">
        <v>-0.81224918342159402</v>
      </c>
      <c r="AG22" s="17">
        <v>30.072644194318801</v>
      </c>
      <c r="AH22" s="17">
        <v>2.7579058990674001E-2</v>
      </c>
      <c r="AI22" s="17">
        <v>0.60972970732437004</v>
      </c>
      <c r="AJ22" s="17">
        <v>3.3014623495154602E-3</v>
      </c>
      <c r="AK22" s="17">
        <v>2.2017839525711898E-2</v>
      </c>
      <c r="AL22" s="17">
        <v>0.167010404905061</v>
      </c>
      <c r="AM22" s="17">
        <v>2.3891634980874599E-2</v>
      </c>
      <c r="AN22" s="17">
        <v>9.0131324041094099E-2</v>
      </c>
      <c r="AO22" s="17">
        <v>19.8</v>
      </c>
      <c r="AP22" s="17">
        <v>1.05</v>
      </c>
      <c r="AQ22" s="17">
        <v>12.9</v>
      </c>
      <c r="AR22" s="17">
        <v>27.1</v>
      </c>
      <c r="AS22" s="17">
        <v>7.1</v>
      </c>
      <c r="AT22" s="17">
        <v>-0.26494299346450101</v>
      </c>
      <c r="AU22" s="17">
        <v>0.24547241803480799</v>
      </c>
      <c r="AV22" s="17">
        <v>-1.7624460198641101</v>
      </c>
      <c r="AW22" s="17">
        <v>1.2465031895816301</v>
      </c>
      <c r="AX22" s="17">
        <v>1.5044746047228701</v>
      </c>
    </row>
    <row r="23" spans="1:50" s="17" customFormat="1" x14ac:dyDescent="0.2">
      <c r="A23" s="15" t="s">
        <v>49</v>
      </c>
      <c r="B23" s="17" t="s">
        <v>677</v>
      </c>
      <c r="C23" s="17" t="s">
        <v>169</v>
      </c>
      <c r="D23" s="17" t="s">
        <v>169</v>
      </c>
      <c r="E23" s="17" t="s">
        <v>212</v>
      </c>
      <c r="F23" s="17" t="s">
        <v>669</v>
      </c>
      <c r="H23" s="18">
        <v>-0.05</v>
      </c>
      <c r="I23" s="26"/>
      <c r="J23" s="17">
        <v>34.376944000000002</v>
      </c>
      <c r="K23" s="17">
        <v>-91.851667000000006</v>
      </c>
      <c r="L23" s="17">
        <v>3596</v>
      </c>
      <c r="M23" s="17" t="s">
        <v>608</v>
      </c>
      <c r="N23" s="17" t="s">
        <v>614</v>
      </c>
      <c r="O23" s="19" t="s">
        <v>617</v>
      </c>
      <c r="P23" s="19" t="s">
        <v>612</v>
      </c>
      <c r="S23" s="19"/>
      <c r="T23" s="19"/>
      <c r="U23" s="19"/>
      <c r="V23" s="19">
        <v>1.304</v>
      </c>
      <c r="W23" s="19">
        <v>1.343</v>
      </c>
      <c r="X23" s="19">
        <v>67.597999999999999</v>
      </c>
      <c r="Y23" s="19">
        <v>957.61500000000001</v>
      </c>
      <c r="Z23" s="19">
        <v>182.25800000000001</v>
      </c>
      <c r="AA23" s="19"/>
      <c r="AC23" s="17">
        <v>3</v>
      </c>
      <c r="AD23" s="17">
        <v>1.54667430413139</v>
      </c>
      <c r="AE23" s="17">
        <v>1.0664903764792E-2</v>
      </c>
      <c r="AF23" s="17">
        <v>-1.7202656287807701</v>
      </c>
      <c r="AG23" s="17">
        <v>29.136560960633599</v>
      </c>
      <c r="AH23" s="17">
        <v>8.16885384052288E-2</v>
      </c>
      <c r="AI23" s="17">
        <v>0.59959168404496799</v>
      </c>
      <c r="AJ23" s="17">
        <v>4.5333504693671998E-3</v>
      </c>
      <c r="AK23" s="17">
        <v>2.2017839525711898E-2</v>
      </c>
      <c r="AL23" s="17">
        <v>0.103547769606417</v>
      </c>
      <c r="AM23" s="17">
        <v>3.5272986144303499E-2</v>
      </c>
      <c r="AN23" s="17">
        <v>9.0131324041094099E-2</v>
      </c>
      <c r="AO23" s="17">
        <v>23.1</v>
      </c>
      <c r="AP23" s="17">
        <v>1.5</v>
      </c>
      <c r="AQ23" s="17">
        <v>16</v>
      </c>
      <c r="AR23" s="17">
        <v>30.7</v>
      </c>
      <c r="AS23" s="17">
        <v>7.35</v>
      </c>
      <c r="AT23" s="17">
        <v>0.27943989262052998</v>
      </c>
      <c r="AU23" s="17">
        <v>0.38764714296604602</v>
      </c>
      <c r="AV23" s="17">
        <v>-1.2935602023908399</v>
      </c>
      <c r="AW23" s="17">
        <v>1.8828138868400399</v>
      </c>
      <c r="AX23" s="17">
        <v>1.58818704461544</v>
      </c>
    </row>
    <row r="24" spans="1:50" s="17" customFormat="1" x14ac:dyDescent="0.2">
      <c r="A24" s="15" t="s">
        <v>39</v>
      </c>
      <c r="B24" s="17" t="s">
        <v>677</v>
      </c>
      <c r="C24" s="17" t="s">
        <v>168</v>
      </c>
      <c r="D24" s="17" t="s">
        <v>168</v>
      </c>
      <c r="E24" s="17" t="s">
        <v>206</v>
      </c>
      <c r="F24" s="17" t="s">
        <v>500</v>
      </c>
      <c r="H24" s="18">
        <v>-0.4</v>
      </c>
      <c r="I24" s="26"/>
      <c r="J24" s="17">
        <v>34.55245</v>
      </c>
      <c r="K24" s="17">
        <v>-88.986997000000002</v>
      </c>
      <c r="L24" s="17">
        <v>3461</v>
      </c>
      <c r="M24" s="17" t="s">
        <v>608</v>
      </c>
      <c r="N24" s="17" t="s">
        <v>614</v>
      </c>
      <c r="O24" s="19" t="s">
        <v>621</v>
      </c>
      <c r="P24" s="19"/>
      <c r="Q24" s="19"/>
      <c r="S24" s="19">
        <v>0</v>
      </c>
      <c r="T24" s="19">
        <v>0</v>
      </c>
      <c r="U24" s="19" t="s">
        <v>637</v>
      </c>
      <c r="V24" s="19">
        <v>1.2969999999999999</v>
      </c>
      <c r="W24" s="19">
        <v>0.99099999999999999</v>
      </c>
      <c r="X24" s="19">
        <v>3.423</v>
      </c>
      <c r="Y24" s="19">
        <v>19.456</v>
      </c>
      <c r="Z24" s="19">
        <v>189.934</v>
      </c>
      <c r="AA24" s="19"/>
      <c r="AC24" s="17">
        <v>3</v>
      </c>
      <c r="AD24" s="17">
        <v>2.6902420426993201</v>
      </c>
      <c r="AE24" s="17">
        <v>2.5162183492125401E-2</v>
      </c>
      <c r="AF24" s="17">
        <v>-0.52347844577921299</v>
      </c>
      <c r="AG24" s="17">
        <v>30.3703408354618</v>
      </c>
      <c r="AH24" s="17">
        <v>3.5729098183484097E-2</v>
      </c>
      <c r="AI24" s="17">
        <v>0.57987325581361404</v>
      </c>
      <c r="AJ24" s="17">
        <v>1.64018585393352E-2</v>
      </c>
      <c r="AK24" s="17">
        <v>2.2017839525711898E-2</v>
      </c>
      <c r="AL24" s="17">
        <v>0.211500749098712</v>
      </c>
      <c r="AM24" s="17">
        <v>3.38506778611323E-2</v>
      </c>
      <c r="AN24" s="17">
        <v>9.0131324041094099E-2</v>
      </c>
      <c r="AO24" s="17">
        <v>29.9</v>
      </c>
      <c r="AP24" s="17">
        <v>5.85</v>
      </c>
      <c r="AQ24" s="17">
        <v>22.3</v>
      </c>
      <c r="AR24" s="17">
        <v>38</v>
      </c>
      <c r="AS24" s="17">
        <v>7.85</v>
      </c>
      <c r="AT24" s="17">
        <v>2.84720462001314</v>
      </c>
      <c r="AU24" s="17">
        <v>1.1869268424944199</v>
      </c>
      <c r="AV24" s="17">
        <v>1.2788780771616099</v>
      </c>
      <c r="AW24" s="17">
        <v>4.4364511042805397</v>
      </c>
      <c r="AX24" s="17">
        <v>1.5787865135594601</v>
      </c>
    </row>
    <row r="25" spans="1:50" s="17" customFormat="1" x14ac:dyDescent="0.2">
      <c r="A25" s="15" t="s">
        <v>133</v>
      </c>
      <c r="B25" s="17" t="s">
        <v>677</v>
      </c>
      <c r="C25" s="17" t="s">
        <v>172</v>
      </c>
      <c r="D25" s="17" t="s">
        <v>198</v>
      </c>
      <c r="E25" s="17" t="s">
        <v>220</v>
      </c>
      <c r="F25" s="17" t="s">
        <v>669</v>
      </c>
      <c r="I25" s="18" t="s">
        <v>219</v>
      </c>
      <c r="J25" s="17">
        <v>31.7</v>
      </c>
      <c r="K25" s="17">
        <v>-85.1</v>
      </c>
      <c r="M25" s="17" t="s">
        <v>608</v>
      </c>
      <c r="N25" s="17" t="s">
        <v>614</v>
      </c>
      <c r="O25" s="19"/>
      <c r="P25" s="19" t="s">
        <v>629</v>
      </c>
      <c r="Q25" s="19"/>
      <c r="S25" s="19"/>
      <c r="T25" s="19"/>
      <c r="U25" s="19"/>
      <c r="V25" s="19">
        <v>4.0670000000000002</v>
      </c>
      <c r="W25" s="19">
        <v>0.189</v>
      </c>
      <c r="X25" s="19">
        <v>29.998000000000001</v>
      </c>
      <c r="Y25" s="19">
        <v>4.7370000000000001</v>
      </c>
      <c r="Z25" s="19">
        <v>193.023</v>
      </c>
      <c r="AA25" s="19"/>
      <c r="AC25" s="17">
        <v>3</v>
      </c>
      <c r="AD25" s="17">
        <v>-0.56109051887253403</v>
      </c>
      <c r="AE25" s="17">
        <v>8.5179072714929392E-3</v>
      </c>
      <c r="AF25" s="17">
        <v>-1.1809559842609501</v>
      </c>
      <c r="AG25" s="17">
        <v>29.692540666265501</v>
      </c>
      <c r="AH25" s="17">
        <v>2.49934449184359E-2</v>
      </c>
      <c r="AI25" s="17">
        <v>0.58730537265077998</v>
      </c>
      <c r="AJ25" s="17">
        <v>8.0632184797497196E-3</v>
      </c>
      <c r="AK25" s="17">
        <v>2.2017839525711898E-2</v>
      </c>
      <c r="AL25" s="17">
        <v>0.237064053642003</v>
      </c>
      <c r="AM25" s="17">
        <v>4.3419900011066499E-2</v>
      </c>
      <c r="AN25" s="17">
        <v>9.0131324041094099E-2</v>
      </c>
      <c r="AO25" s="17">
        <v>27.2</v>
      </c>
      <c r="AP25" s="17">
        <v>2.8</v>
      </c>
      <c r="AQ25" s="17">
        <v>19.899999999999999</v>
      </c>
      <c r="AR25" s="17">
        <v>35.200000000000003</v>
      </c>
      <c r="AS25" s="17">
        <v>7.65</v>
      </c>
      <c r="AT25" s="17">
        <v>0.87008408216320299</v>
      </c>
      <c r="AU25" s="17">
        <v>0.57979300576306503</v>
      </c>
      <c r="AV25" s="17">
        <v>-0.63729531734566103</v>
      </c>
      <c r="AW25" s="17">
        <v>2.4414465850745701</v>
      </c>
      <c r="AX25" s="17">
        <v>1.5393709512101199</v>
      </c>
    </row>
    <row r="26" spans="1:50" s="17" customFormat="1" x14ac:dyDescent="0.2">
      <c r="A26" s="15" t="s">
        <v>8</v>
      </c>
      <c r="B26" s="17" t="s">
        <v>677</v>
      </c>
      <c r="C26" s="17" t="s">
        <v>165</v>
      </c>
      <c r="D26" s="17" t="s">
        <v>666</v>
      </c>
      <c r="E26" s="17" t="s">
        <v>203</v>
      </c>
      <c r="F26" s="17" t="s">
        <v>500</v>
      </c>
      <c r="H26" s="18">
        <v>-3.9</v>
      </c>
      <c r="I26" s="26"/>
      <c r="J26" s="17">
        <v>33.455112999999997</v>
      </c>
      <c r="K26" s="17">
        <v>-88.849669000000006</v>
      </c>
      <c r="L26" s="17">
        <v>3525</v>
      </c>
      <c r="M26" s="17" t="s">
        <v>608</v>
      </c>
      <c r="N26" s="17" t="s">
        <v>614</v>
      </c>
      <c r="O26" s="19" t="s">
        <v>625</v>
      </c>
      <c r="P26" s="19"/>
      <c r="Q26" s="19"/>
      <c r="S26" s="19"/>
      <c r="T26" s="19"/>
      <c r="U26" s="19"/>
      <c r="V26" s="19">
        <v>0.81569333077722372</v>
      </c>
      <c r="W26" s="19">
        <v>1.2821443258583205</v>
      </c>
      <c r="X26" s="19">
        <v>19.628186308683453</v>
      </c>
      <c r="Y26" s="19">
        <v>591.41009127264135</v>
      </c>
      <c r="Z26" s="19">
        <v>204.37777838962052</v>
      </c>
      <c r="AA26" s="19"/>
      <c r="AC26" s="17">
        <v>3</v>
      </c>
      <c r="AD26" s="17">
        <v>2.10929402384944</v>
      </c>
      <c r="AE26" s="17">
        <v>8.2689365179702407E-3</v>
      </c>
      <c r="AF26" s="17">
        <v>-2.4894344493482201</v>
      </c>
      <c r="AG26" s="17">
        <v>28.343617131822398</v>
      </c>
      <c r="AH26" s="17">
        <v>2.38856932872256E-2</v>
      </c>
      <c r="AI26" s="17">
        <v>0.56417694238157801</v>
      </c>
      <c r="AJ26" s="17">
        <v>5.8622278316219798E-3</v>
      </c>
      <c r="AK26" s="17">
        <v>2.2017839525711898E-2</v>
      </c>
      <c r="AL26" s="17">
        <v>0.20229684561111899</v>
      </c>
      <c r="AM26" s="17">
        <v>3.7446470665255797E-2</v>
      </c>
      <c r="AN26" s="17">
        <v>9.0131324041094099E-2</v>
      </c>
      <c r="AO26" s="17">
        <v>35.6</v>
      </c>
      <c r="AP26" s="17">
        <v>2.2000000000000002</v>
      </c>
      <c r="AQ26" s="17">
        <v>27.6</v>
      </c>
      <c r="AR26" s="17">
        <v>44.2</v>
      </c>
      <c r="AS26" s="17">
        <v>8.3000000000000007</v>
      </c>
      <c r="AT26" s="17">
        <v>1.97455482897874</v>
      </c>
      <c r="AU26" s="17">
        <v>0.440221189526596</v>
      </c>
      <c r="AV26" s="17">
        <v>0.39609521226111599</v>
      </c>
      <c r="AW26" s="17">
        <v>3.5847631679642999</v>
      </c>
      <c r="AX26" s="17">
        <v>1.5943339778515899</v>
      </c>
    </row>
    <row r="27" spans="1:50" s="17" customFormat="1" x14ac:dyDescent="0.2">
      <c r="A27" s="15" t="s">
        <v>7</v>
      </c>
      <c r="B27" s="17" t="s">
        <v>677</v>
      </c>
      <c r="C27" s="17" t="s">
        <v>165</v>
      </c>
      <c r="D27" s="17" t="s">
        <v>666</v>
      </c>
      <c r="E27" s="17" t="s">
        <v>204</v>
      </c>
      <c r="F27" s="17" t="s">
        <v>500</v>
      </c>
      <c r="H27" s="18">
        <v>-1.2</v>
      </c>
      <c r="I27" s="26"/>
      <c r="J27" s="17">
        <v>33.455112999999997</v>
      </c>
      <c r="K27" s="17">
        <v>-88.849669000000006</v>
      </c>
      <c r="L27" s="17">
        <v>3525</v>
      </c>
      <c r="M27" s="17" t="s">
        <v>608</v>
      </c>
      <c r="N27" s="17" t="s">
        <v>614</v>
      </c>
      <c r="O27" s="19" t="s">
        <v>625</v>
      </c>
      <c r="P27" s="19" t="s">
        <v>612</v>
      </c>
      <c r="Q27" s="17" t="s">
        <v>613</v>
      </c>
      <c r="R27" s="17" t="s">
        <v>622</v>
      </c>
      <c r="S27" s="19"/>
      <c r="T27" s="19"/>
      <c r="U27" s="19"/>
      <c r="V27" s="19">
        <v>1.813720509448647</v>
      </c>
      <c r="W27" s="19">
        <v>0.14088224989348455</v>
      </c>
      <c r="X27" s="19">
        <v>30.557080387587167</v>
      </c>
      <c r="Y27" s="19">
        <v>10.828225999792881</v>
      </c>
      <c r="Z27" s="19">
        <v>204.44891315144434</v>
      </c>
      <c r="AA27" s="19"/>
      <c r="AC27" s="17">
        <v>4</v>
      </c>
      <c r="AD27" s="17">
        <v>2.1134026745730599</v>
      </c>
      <c r="AE27" s="17">
        <v>4.9505130911336397E-2</v>
      </c>
      <c r="AF27" s="17">
        <v>-1.97422684874063</v>
      </c>
      <c r="AG27" s="17">
        <v>28.8747497993648</v>
      </c>
      <c r="AH27" s="17">
        <v>3.7723970559654797E-2</v>
      </c>
      <c r="AI27" s="17">
        <v>0.57451323261586196</v>
      </c>
      <c r="AJ27" s="17">
        <v>1.2072782602946299E-2</v>
      </c>
      <c r="AK27" s="17">
        <v>1.9068008365715601E-2</v>
      </c>
      <c r="AL27" s="17">
        <v>0.200645066405756</v>
      </c>
      <c r="AM27" s="17">
        <v>3.3790610692456903E-2</v>
      </c>
      <c r="AN27" s="17">
        <v>7.8056016296314604E-2</v>
      </c>
      <c r="AO27" s="17">
        <v>31.8</v>
      </c>
      <c r="AP27" s="17">
        <v>4.4000000000000004</v>
      </c>
      <c r="AQ27" s="17">
        <v>25.1</v>
      </c>
      <c r="AR27" s="17">
        <v>38.9</v>
      </c>
      <c r="AS27" s="17">
        <v>6.9</v>
      </c>
      <c r="AT27" s="17">
        <v>1.7628344702429799</v>
      </c>
      <c r="AU27" s="17">
        <v>0.89148352493185701</v>
      </c>
      <c r="AV27" s="17">
        <v>0.39650137309774902</v>
      </c>
      <c r="AW27" s="17">
        <v>3.1481366853896602</v>
      </c>
      <c r="AX27" s="17">
        <v>1.3758176561459501</v>
      </c>
    </row>
    <row r="28" spans="1:50" s="17" customFormat="1" x14ac:dyDescent="0.2">
      <c r="A28" s="15" t="s">
        <v>160</v>
      </c>
      <c r="B28" s="17" t="s">
        <v>677</v>
      </c>
      <c r="C28" s="17" t="s">
        <v>173</v>
      </c>
      <c r="D28" s="17" t="s">
        <v>666</v>
      </c>
      <c r="E28" s="17" t="s">
        <v>673</v>
      </c>
      <c r="F28" s="17" t="s">
        <v>500</v>
      </c>
      <c r="H28" s="18"/>
      <c r="I28" s="26"/>
      <c r="J28" s="17">
        <v>33.440736999999999</v>
      </c>
      <c r="K28" s="17">
        <v>-88.9084</v>
      </c>
      <c r="L28" s="17">
        <v>3944</v>
      </c>
      <c r="M28" s="17" t="s">
        <v>618</v>
      </c>
      <c r="N28" s="17" t="s">
        <v>619</v>
      </c>
      <c r="O28" s="19" t="s">
        <v>620</v>
      </c>
      <c r="P28" s="19"/>
      <c r="Q28" s="19"/>
      <c r="S28" s="19">
        <v>0</v>
      </c>
      <c r="T28" s="19">
        <v>0</v>
      </c>
      <c r="U28" s="19" t="s">
        <v>637</v>
      </c>
      <c r="V28" s="19">
        <v>0.31314606242204285</v>
      </c>
      <c r="W28" s="19">
        <v>0.88241282631310636</v>
      </c>
      <c r="X28" s="19">
        <v>229.83281340236485</v>
      </c>
      <c r="Y28" s="19">
        <v>226.31967930642821</v>
      </c>
      <c r="Z28" s="19">
        <v>207.34253208212348</v>
      </c>
      <c r="AA28" s="19"/>
      <c r="AC28" s="17">
        <v>3</v>
      </c>
      <c r="AD28" s="17">
        <v>2.6182411974245299</v>
      </c>
      <c r="AE28" s="17">
        <v>1.947525655642E-2</v>
      </c>
      <c r="AF28" s="17">
        <v>-1.3363368620007201</v>
      </c>
      <c r="AG28" s="17">
        <v>29.532356965594801</v>
      </c>
      <c r="AH28" s="17">
        <v>4.18443629075919E-2</v>
      </c>
      <c r="AI28" s="17">
        <v>0.559143515300637</v>
      </c>
      <c r="AJ28" s="17">
        <v>5.1038405457674799E-3</v>
      </c>
      <c r="AK28" s="17">
        <v>2.2017839525711898E-2</v>
      </c>
      <c r="AL28" s="17">
        <v>0.19980342219977201</v>
      </c>
      <c r="AM28" s="17">
        <v>8.9535830600944895E-3</v>
      </c>
      <c r="AN28" s="17">
        <v>9.0131324041094099E-2</v>
      </c>
      <c r="AO28" s="17">
        <v>37.5</v>
      </c>
      <c r="AP28" s="17">
        <v>1.95</v>
      </c>
      <c r="AQ28" s="17">
        <v>29.4</v>
      </c>
      <c r="AR28" s="17">
        <v>46.3</v>
      </c>
      <c r="AS28" s="17">
        <v>8.4499999999999993</v>
      </c>
      <c r="AT28" s="17">
        <v>3.4911623404420902</v>
      </c>
      <c r="AU28" s="17">
        <v>0.406395210843982</v>
      </c>
      <c r="AV28" s="17">
        <v>1.8923645432632801</v>
      </c>
      <c r="AW28" s="17">
        <v>5.1377154774441998</v>
      </c>
      <c r="AX28" s="17">
        <v>1.62267546709046</v>
      </c>
    </row>
    <row r="29" spans="1:50" s="17" customFormat="1" x14ac:dyDescent="0.2">
      <c r="A29" s="15" t="s">
        <v>35</v>
      </c>
      <c r="B29" s="17" t="s">
        <v>677</v>
      </c>
      <c r="C29" s="17" t="s">
        <v>168</v>
      </c>
      <c r="D29" s="17" t="s">
        <v>168</v>
      </c>
      <c r="E29" s="17" t="s">
        <v>206</v>
      </c>
      <c r="F29" s="17" t="s">
        <v>500</v>
      </c>
      <c r="H29" s="18">
        <v>-0.5</v>
      </c>
      <c r="I29" s="26"/>
      <c r="J29" s="17">
        <v>34.55245</v>
      </c>
      <c r="K29" s="17">
        <v>-88.986997000000002</v>
      </c>
      <c r="L29" s="17">
        <v>3461</v>
      </c>
      <c r="M29" s="17" t="s">
        <v>608</v>
      </c>
      <c r="N29" s="17" t="s">
        <v>614</v>
      </c>
      <c r="O29" s="19" t="s">
        <v>621</v>
      </c>
      <c r="P29" s="19"/>
      <c r="Q29" s="19"/>
      <c r="S29" s="19">
        <v>0</v>
      </c>
      <c r="T29" s="19">
        <v>0</v>
      </c>
      <c r="U29" s="19" t="s">
        <v>637</v>
      </c>
      <c r="V29" s="25">
        <v>1.2989999999999999</v>
      </c>
      <c r="W29" s="25">
        <v>1.46</v>
      </c>
      <c r="X29" s="25">
        <v>3.077</v>
      </c>
      <c r="Y29" s="25">
        <v>17.489999999999998</v>
      </c>
      <c r="Z29" s="25">
        <v>215.02699999999999</v>
      </c>
      <c r="AA29" s="19"/>
      <c r="AC29" s="17">
        <v>3</v>
      </c>
      <c r="AD29" s="17">
        <v>-4.1849916273951501E-2</v>
      </c>
      <c r="AE29" s="17">
        <v>6.0987204725448399E-2</v>
      </c>
      <c r="AF29" s="17">
        <v>-0.67188436119955197</v>
      </c>
      <c r="AG29" s="17">
        <v>30.217347693195801</v>
      </c>
      <c r="AH29" s="17">
        <v>0.107336902991597</v>
      </c>
      <c r="AI29" s="17">
        <v>0.58425818266289398</v>
      </c>
      <c r="AJ29" s="17">
        <v>1.05481717356842E-2</v>
      </c>
      <c r="AK29" s="17">
        <v>2.2017839525711898E-2</v>
      </c>
      <c r="AL29" s="17">
        <v>0.27718972306536199</v>
      </c>
      <c r="AM29" s="17">
        <v>5.2700813107695997E-2</v>
      </c>
      <c r="AN29" s="17">
        <v>9.0131324041094099E-2</v>
      </c>
      <c r="AO29" s="17">
        <v>28.3</v>
      </c>
      <c r="AP29" s="17">
        <v>3.7</v>
      </c>
      <c r="AQ29" s="17">
        <v>20.9</v>
      </c>
      <c r="AR29" s="17">
        <v>36.299999999999997</v>
      </c>
      <c r="AS29" s="17">
        <v>7.7</v>
      </c>
      <c r="AT29" s="17">
        <v>1.5977532498043301</v>
      </c>
      <c r="AU29" s="17">
        <v>0.83363296921873997</v>
      </c>
      <c r="AV29" s="17">
        <v>-3.8224600609737498E-4</v>
      </c>
      <c r="AW29" s="17">
        <v>3.2392833692776999</v>
      </c>
      <c r="AX29" s="17">
        <v>1.6198328076419</v>
      </c>
    </row>
    <row r="30" spans="1:50" s="17" customFormat="1" x14ac:dyDescent="0.2">
      <c r="A30" s="15" t="s">
        <v>149</v>
      </c>
      <c r="B30" s="17" t="s">
        <v>677</v>
      </c>
      <c r="C30" s="17" t="s">
        <v>172</v>
      </c>
      <c r="D30" s="17" t="s">
        <v>198</v>
      </c>
      <c r="E30" s="17" t="s">
        <v>218</v>
      </c>
      <c r="F30" s="17" t="s">
        <v>669</v>
      </c>
      <c r="I30" s="18" t="s">
        <v>217</v>
      </c>
      <c r="J30" s="17">
        <v>31.7</v>
      </c>
      <c r="K30" s="17">
        <v>-85.1</v>
      </c>
      <c r="M30" s="17" t="s">
        <v>608</v>
      </c>
      <c r="N30" s="17" t="s">
        <v>614</v>
      </c>
      <c r="O30" s="19"/>
      <c r="P30" s="19" t="s">
        <v>629</v>
      </c>
      <c r="Q30" s="19"/>
      <c r="S30" s="19"/>
      <c r="T30" s="19"/>
      <c r="U30" s="19"/>
      <c r="V30" s="19">
        <v>2.6259999999999999</v>
      </c>
      <c r="W30" s="19">
        <v>0.14199999999999999</v>
      </c>
      <c r="X30" s="19">
        <v>18.998000000000001</v>
      </c>
      <c r="Y30" s="19">
        <v>16.417999999999999</v>
      </c>
      <c r="Z30" s="19">
        <v>222.166</v>
      </c>
      <c r="AA30" s="19"/>
      <c r="AC30" s="17">
        <v>3</v>
      </c>
      <c r="AD30" s="17">
        <v>-1.1191254927638099</v>
      </c>
      <c r="AE30" s="17">
        <v>0.102812975520841</v>
      </c>
      <c r="AF30" s="17">
        <v>-0.79777977205986095</v>
      </c>
      <c r="AG30" s="17">
        <v>30.087560855185799</v>
      </c>
      <c r="AH30" s="17">
        <v>4.6161276733904501E-2</v>
      </c>
      <c r="AI30" s="17">
        <v>0.60513677428431001</v>
      </c>
      <c r="AJ30" s="17">
        <v>1.2228343401456799E-2</v>
      </c>
      <c r="AK30" s="17">
        <v>2.2017839525711898E-2</v>
      </c>
      <c r="AL30" s="17">
        <v>0.28821650545459598</v>
      </c>
      <c r="AM30" s="17">
        <v>4.4698818366791598E-2</v>
      </c>
      <c r="AN30" s="17">
        <v>9.0131324041094099E-2</v>
      </c>
      <c r="AO30" s="17">
        <v>21.2</v>
      </c>
      <c r="AP30" s="17">
        <v>4</v>
      </c>
      <c r="AQ30" s="17">
        <v>14.3</v>
      </c>
      <c r="AR30" s="17">
        <v>28.7</v>
      </c>
      <c r="AS30" s="17">
        <v>7.2</v>
      </c>
      <c r="AT30" s="17">
        <v>3.9797728939106498E-2</v>
      </c>
      <c r="AU30" s="17">
        <v>0.870456861370144</v>
      </c>
      <c r="AV30" s="17">
        <v>-1.4620570605712799</v>
      </c>
      <c r="AW30" s="17">
        <v>1.5951728326318699</v>
      </c>
      <c r="AX30" s="17">
        <v>1.5286149466015799</v>
      </c>
    </row>
    <row r="31" spans="1:50" s="17" customFormat="1" x14ac:dyDescent="0.2">
      <c r="A31" s="15" t="s">
        <v>661</v>
      </c>
      <c r="B31" s="17" t="s">
        <v>677</v>
      </c>
      <c r="C31" s="17" t="s">
        <v>165</v>
      </c>
      <c r="D31" s="17" t="s">
        <v>666</v>
      </c>
      <c r="E31" s="17" t="s">
        <v>203</v>
      </c>
      <c r="F31" s="17" t="s">
        <v>500</v>
      </c>
      <c r="H31" s="18">
        <v>-1.4</v>
      </c>
      <c r="I31" s="26"/>
      <c r="J31" s="17">
        <v>33.455112999999997</v>
      </c>
      <c r="K31" s="17">
        <v>-88.849669000000006</v>
      </c>
      <c r="L31" s="17">
        <v>3525</v>
      </c>
      <c r="M31" s="17" t="s">
        <v>608</v>
      </c>
      <c r="N31" s="17" t="s">
        <v>614</v>
      </c>
      <c r="O31" s="19" t="s">
        <v>625</v>
      </c>
      <c r="P31" s="19" t="s">
        <v>612</v>
      </c>
      <c r="Q31" s="17" t="s">
        <v>613</v>
      </c>
      <c r="R31" s="17" t="s">
        <v>622</v>
      </c>
      <c r="S31" s="19">
        <v>0</v>
      </c>
      <c r="T31" s="19">
        <v>0</v>
      </c>
      <c r="U31" s="19" t="s">
        <v>637</v>
      </c>
      <c r="V31" s="25">
        <v>3.8682783505934037</v>
      </c>
      <c r="W31" s="25">
        <v>0.21240242860964803</v>
      </c>
      <c r="X31" s="25">
        <v>39.100415293375484</v>
      </c>
      <c r="Y31" s="25">
        <v>8.4011566564375997</v>
      </c>
      <c r="Z31" s="25">
        <v>222.3672828769221</v>
      </c>
      <c r="AA31" s="19"/>
      <c r="AC31" s="17">
        <v>3</v>
      </c>
      <c r="AD31" s="17">
        <v>0.99156078098559997</v>
      </c>
      <c r="AE31" s="17">
        <v>1.9188184042907501E-2</v>
      </c>
      <c r="AF31" s="17">
        <v>-1.4605393251567</v>
      </c>
      <c r="AG31" s="17">
        <v>29.4043154043027</v>
      </c>
      <c r="AH31" s="17">
        <v>5.6146241266053797E-2</v>
      </c>
      <c r="AI31" s="17">
        <v>0.59733244860164902</v>
      </c>
      <c r="AJ31" s="17">
        <v>1.6445076893968898E-2</v>
      </c>
      <c r="AK31" s="17">
        <v>2.2017839525711898E-2</v>
      </c>
      <c r="AL31" s="17">
        <v>0.15959592745083501</v>
      </c>
      <c r="AM31" s="17">
        <v>1.6823767040726599E-2</v>
      </c>
      <c r="AN31" s="17">
        <v>9.0131324041094099E-2</v>
      </c>
      <c r="AO31" s="17">
        <v>23.8</v>
      </c>
      <c r="AP31" s="17">
        <v>5.5</v>
      </c>
      <c r="AQ31" s="17">
        <v>16.7</v>
      </c>
      <c r="AR31" s="17">
        <v>31.5</v>
      </c>
      <c r="AS31" s="17">
        <v>7.4</v>
      </c>
      <c r="AT31" s="17">
        <v>0.68324121221178302</v>
      </c>
      <c r="AU31" s="17">
        <v>1.1802935785211199</v>
      </c>
      <c r="AV31" s="17">
        <v>-0.85846345198615404</v>
      </c>
      <c r="AW31" s="17">
        <v>2.2747560574460999</v>
      </c>
      <c r="AX31" s="17">
        <v>1.56660975471613</v>
      </c>
    </row>
    <row r="32" spans="1:50" s="17" customFormat="1" x14ac:dyDescent="0.2">
      <c r="A32" s="15" t="s">
        <v>50</v>
      </c>
      <c r="B32" s="17" t="s">
        <v>677</v>
      </c>
      <c r="C32" s="17" t="s">
        <v>169</v>
      </c>
      <c r="D32" s="17" t="s">
        <v>169</v>
      </c>
      <c r="E32" s="17" t="s">
        <v>203</v>
      </c>
      <c r="F32" s="17" t="s">
        <v>500</v>
      </c>
      <c r="H32" s="18">
        <v>-0.05</v>
      </c>
      <c r="I32" s="26"/>
      <c r="J32" s="17">
        <v>34.376944000000002</v>
      </c>
      <c r="K32" s="17">
        <v>-91.851667000000006</v>
      </c>
      <c r="L32" s="17">
        <v>3596</v>
      </c>
      <c r="M32" s="17" t="s">
        <v>608</v>
      </c>
      <c r="N32" s="17" t="s">
        <v>614</v>
      </c>
      <c r="O32" s="19" t="s">
        <v>617</v>
      </c>
      <c r="P32" s="19" t="s">
        <v>612</v>
      </c>
      <c r="Q32" s="19"/>
      <c r="S32" s="19"/>
      <c r="T32" s="19"/>
      <c r="U32" s="19"/>
      <c r="V32" s="19">
        <v>1.345</v>
      </c>
      <c r="W32" s="19">
        <v>0.96799999999999997</v>
      </c>
      <c r="X32" s="19">
        <v>17.579999999999998</v>
      </c>
      <c r="Y32" s="19">
        <v>280.20800000000003</v>
      </c>
      <c r="Z32" s="19">
        <v>224.91800000000001</v>
      </c>
      <c r="AA32" s="19"/>
      <c r="AC32" s="17">
        <v>4</v>
      </c>
      <c r="AD32" s="17">
        <v>0.63681179988699899</v>
      </c>
      <c r="AE32" s="17">
        <v>0.123013127161717</v>
      </c>
      <c r="AF32" s="17">
        <v>-2.98004128483946</v>
      </c>
      <c r="AG32" s="17">
        <v>27.837845639046201</v>
      </c>
      <c r="AH32" s="17">
        <v>0.10775211266863501</v>
      </c>
      <c r="AI32" s="17">
        <v>0.59541506819716805</v>
      </c>
      <c r="AJ32" s="17">
        <v>4.7287277016758401E-3</v>
      </c>
      <c r="AK32" s="17">
        <v>1.9068008365715601E-2</v>
      </c>
      <c r="AL32" s="17">
        <v>0.26487714980291999</v>
      </c>
      <c r="AM32" s="17">
        <v>2.1392113692151399E-2</v>
      </c>
      <c r="AN32" s="17">
        <v>7.8056016296314604E-2</v>
      </c>
      <c r="AO32" s="17">
        <v>24.5</v>
      </c>
      <c r="AP32" s="17">
        <v>1.6</v>
      </c>
      <c r="AQ32" s="17">
        <v>18.2</v>
      </c>
      <c r="AR32" s="17">
        <v>31.1</v>
      </c>
      <c r="AS32" s="17">
        <v>6.45</v>
      </c>
      <c r="AT32" s="17">
        <v>-0.69684045994426902</v>
      </c>
      <c r="AU32" s="17">
        <v>0.43015712285705399</v>
      </c>
      <c r="AV32" s="17">
        <v>-2.1095257524091302</v>
      </c>
      <c r="AW32" s="17">
        <v>0.72202911350893795</v>
      </c>
      <c r="AX32" s="17">
        <v>1.41577743295903</v>
      </c>
    </row>
    <row r="33" spans="1:50" s="17" customFormat="1" x14ac:dyDescent="0.2">
      <c r="A33" s="15" t="s">
        <v>9</v>
      </c>
      <c r="B33" s="17" t="s">
        <v>677</v>
      </c>
      <c r="C33" s="17" t="s">
        <v>165</v>
      </c>
      <c r="D33" s="17" t="s">
        <v>666</v>
      </c>
      <c r="E33" s="17" t="s">
        <v>204</v>
      </c>
      <c r="F33" s="17" t="s">
        <v>500</v>
      </c>
      <c r="H33" s="18">
        <v>0.04</v>
      </c>
      <c r="I33" s="26"/>
      <c r="J33" s="17">
        <v>33.455112999999997</v>
      </c>
      <c r="K33" s="17">
        <v>-88.849669000000006</v>
      </c>
      <c r="L33" s="17">
        <v>3525</v>
      </c>
      <c r="M33" s="17" t="s">
        <v>618</v>
      </c>
      <c r="N33" s="17" t="s">
        <v>619</v>
      </c>
      <c r="O33" s="19" t="s">
        <v>620</v>
      </c>
      <c r="P33" s="19"/>
      <c r="R33" s="17" t="s">
        <v>626</v>
      </c>
      <c r="S33" s="19"/>
      <c r="T33" s="19"/>
      <c r="U33" s="19"/>
      <c r="V33" s="19">
        <v>0.49942091310007036</v>
      </c>
      <c r="W33" s="19">
        <v>1.1599385765791395</v>
      </c>
      <c r="X33" s="19">
        <v>4.5691746163832958</v>
      </c>
      <c r="Y33" s="19">
        <v>105.69647910236763</v>
      </c>
      <c r="Z33" s="19">
        <v>226.29492718959932</v>
      </c>
      <c r="AA33" s="19"/>
      <c r="AC33" s="17">
        <v>3</v>
      </c>
      <c r="AD33" s="17">
        <v>1.7181959837880401</v>
      </c>
      <c r="AE33" s="17">
        <v>0.28288182272284901</v>
      </c>
      <c r="AF33" s="17">
        <v>-2.6689456598279802</v>
      </c>
      <c r="AG33" s="17">
        <v>28.158557229826702</v>
      </c>
      <c r="AH33" s="17">
        <v>7.3636668337014599E-2</v>
      </c>
      <c r="AI33" s="17">
        <v>0.55866775539924196</v>
      </c>
      <c r="AJ33" s="17">
        <v>2.9902475047618401E-3</v>
      </c>
      <c r="AK33" s="17">
        <v>2.2017839525711898E-2</v>
      </c>
      <c r="AL33" s="17">
        <v>0.244116881075058</v>
      </c>
      <c r="AM33" s="17">
        <v>9.5002411059057906E-3</v>
      </c>
      <c r="AN33" s="17">
        <v>9.0131324041094099E-2</v>
      </c>
      <c r="AO33" s="17">
        <v>37.700000000000003</v>
      </c>
      <c r="AP33" s="17">
        <v>1.1499999999999999</v>
      </c>
      <c r="AQ33" s="17">
        <v>29.6</v>
      </c>
      <c r="AR33" s="17">
        <v>46.5</v>
      </c>
      <c r="AS33" s="17">
        <v>8.4499999999999993</v>
      </c>
      <c r="AT33" s="17">
        <v>2.1895353391787502</v>
      </c>
      <c r="AU33" s="17">
        <v>0.28683059651660903</v>
      </c>
      <c r="AV33" s="17">
        <v>0.56384253975670595</v>
      </c>
      <c r="AW33" s="17">
        <v>3.8630098877503101</v>
      </c>
      <c r="AX33" s="17">
        <v>1.6495836739967999</v>
      </c>
    </row>
    <row r="34" spans="1:50" s="17" customFormat="1" x14ac:dyDescent="0.2">
      <c r="A34" s="15" t="s">
        <v>139</v>
      </c>
      <c r="B34" s="17" t="s">
        <v>677</v>
      </c>
      <c r="C34" s="17" t="s">
        <v>172</v>
      </c>
      <c r="D34" s="17" t="s">
        <v>198</v>
      </c>
      <c r="E34" s="17" t="s">
        <v>226</v>
      </c>
      <c r="F34" s="17" t="s">
        <v>669</v>
      </c>
      <c r="H34" s="18"/>
      <c r="I34" s="18" t="s">
        <v>217</v>
      </c>
      <c r="J34" s="17">
        <v>31.7</v>
      </c>
      <c r="K34" s="17">
        <v>-85.1</v>
      </c>
      <c r="M34" s="17" t="s">
        <v>608</v>
      </c>
      <c r="N34" s="17" t="s">
        <v>614</v>
      </c>
      <c r="O34" s="19"/>
      <c r="P34" s="19" t="s">
        <v>629</v>
      </c>
      <c r="Q34" s="19"/>
      <c r="S34" s="19"/>
      <c r="T34" s="19"/>
      <c r="U34" s="19"/>
      <c r="V34" s="19">
        <v>3.3809999999999998</v>
      </c>
      <c r="W34" s="19">
        <v>0.189</v>
      </c>
      <c r="X34" s="19">
        <v>28.402999999999999</v>
      </c>
      <c r="Y34" s="19">
        <v>3.7250000000000001</v>
      </c>
      <c r="Z34" s="19">
        <v>231.16800000000001</v>
      </c>
      <c r="AA34" s="19"/>
      <c r="AC34" s="17">
        <v>3</v>
      </c>
      <c r="AD34" s="17">
        <v>-0.41794765196996297</v>
      </c>
      <c r="AE34" s="17">
        <v>3.0669232048677601E-2</v>
      </c>
      <c r="AF34" s="17">
        <v>-1.05003679554285</v>
      </c>
      <c r="AG34" s="17">
        <v>29.827506567106902</v>
      </c>
      <c r="AH34" s="17">
        <v>4.1900997511143297E-2</v>
      </c>
      <c r="AI34" s="17">
        <v>0.59291005967093202</v>
      </c>
      <c r="AJ34" s="17">
        <v>1.18826055990737E-2</v>
      </c>
      <c r="AK34" s="17">
        <v>2.2017839525711898E-2</v>
      </c>
      <c r="AL34" s="17">
        <v>0.23863842018852199</v>
      </c>
      <c r="AM34" s="17">
        <v>2.01469581676205E-2</v>
      </c>
      <c r="AN34" s="17">
        <v>9.0131324041094099E-2</v>
      </c>
      <c r="AO34" s="17">
        <v>25.3</v>
      </c>
      <c r="AP34" s="17">
        <v>4</v>
      </c>
      <c r="AQ34" s="17">
        <v>18.100000000000001</v>
      </c>
      <c r="AR34" s="17">
        <v>33.1</v>
      </c>
      <c r="AS34" s="17">
        <v>7.5</v>
      </c>
      <c r="AT34" s="17">
        <v>0.62197962880111402</v>
      </c>
      <c r="AU34" s="17">
        <v>0.84428977700292795</v>
      </c>
      <c r="AV34" s="17">
        <v>-0.89952248387794498</v>
      </c>
      <c r="AW34" s="17">
        <v>2.19072810748776</v>
      </c>
      <c r="AX34" s="17">
        <v>1.5451252956828501</v>
      </c>
    </row>
    <row r="35" spans="1:50" s="17" customFormat="1" x14ac:dyDescent="0.2">
      <c r="A35" s="15" t="s">
        <v>21</v>
      </c>
      <c r="B35" s="17" t="s">
        <v>677</v>
      </c>
      <c r="C35" s="17" t="s">
        <v>167</v>
      </c>
      <c r="D35" s="17" t="s">
        <v>167</v>
      </c>
      <c r="E35" s="17" t="s">
        <v>203</v>
      </c>
      <c r="F35" s="17" t="s">
        <v>500</v>
      </c>
      <c r="H35" s="18">
        <v>-0.8</v>
      </c>
      <c r="I35" s="26"/>
      <c r="J35" s="17">
        <v>31.115717</v>
      </c>
      <c r="K35" s="17">
        <v>-96.832696999999996</v>
      </c>
      <c r="L35" s="17">
        <v>3621</v>
      </c>
      <c r="M35" s="17" t="s">
        <v>608</v>
      </c>
      <c r="N35" s="17" t="s">
        <v>614</v>
      </c>
      <c r="O35" s="19" t="s">
        <v>615</v>
      </c>
      <c r="P35" s="19" t="s">
        <v>612</v>
      </c>
      <c r="Q35" s="19" t="s">
        <v>613</v>
      </c>
      <c r="R35" s="17" t="s">
        <v>611</v>
      </c>
      <c r="S35" s="19">
        <v>0</v>
      </c>
      <c r="T35" s="19">
        <v>0</v>
      </c>
      <c r="U35" s="19" t="s">
        <v>637</v>
      </c>
      <c r="V35" s="19">
        <v>3.1041310192426392</v>
      </c>
      <c r="W35" s="19">
        <v>0.21747761961515227</v>
      </c>
      <c r="X35" s="19">
        <v>27.336475003358103</v>
      </c>
      <c r="Y35" s="19">
        <v>73.123913216390363</v>
      </c>
      <c r="Z35" s="19">
        <v>246.67812031103927</v>
      </c>
      <c r="AA35" s="19"/>
      <c r="AC35" s="17">
        <v>3</v>
      </c>
      <c r="AD35" s="17">
        <v>1.37544869936181</v>
      </c>
      <c r="AE35" s="17">
        <v>3.7593987817432097E-2</v>
      </c>
      <c r="AF35" s="17">
        <v>-1.74807965653764</v>
      </c>
      <c r="AG35" s="17">
        <v>29.1078872012788</v>
      </c>
      <c r="AH35" s="17">
        <v>0.111487857975753</v>
      </c>
      <c r="AI35" s="17">
        <v>0.59006107066060798</v>
      </c>
      <c r="AJ35" s="17">
        <v>1.18841220656899E-2</v>
      </c>
      <c r="AK35" s="17">
        <v>2.2017839525711898E-2</v>
      </c>
      <c r="AL35" s="17">
        <v>0.18798168820769601</v>
      </c>
      <c r="AM35" s="17">
        <v>4.2010714119386498E-2</v>
      </c>
      <c r="AN35" s="17">
        <v>9.0131324041094099E-2</v>
      </c>
      <c r="AO35" s="17">
        <v>26.3</v>
      </c>
      <c r="AP35" s="17">
        <v>4.0999999999999996</v>
      </c>
      <c r="AQ35" s="17">
        <v>19</v>
      </c>
      <c r="AR35" s="17">
        <v>34.200000000000003</v>
      </c>
      <c r="AS35" s="17">
        <v>7.6</v>
      </c>
      <c r="AT35" s="17">
        <v>0.90231914242997402</v>
      </c>
      <c r="AU35" s="17">
        <v>0.933707030391417</v>
      </c>
      <c r="AV35" s="17">
        <v>-0.71066219160127297</v>
      </c>
      <c r="AW35" s="17">
        <v>2.5611384097934402</v>
      </c>
      <c r="AX35" s="17">
        <v>1.63590030069736</v>
      </c>
    </row>
    <row r="36" spans="1:50" s="17" customFormat="1" x14ac:dyDescent="0.2">
      <c r="A36" s="15" t="s">
        <v>24</v>
      </c>
      <c r="B36" s="17" t="s">
        <v>677</v>
      </c>
      <c r="C36" s="17" t="s">
        <v>168</v>
      </c>
      <c r="D36" s="17" t="s">
        <v>168</v>
      </c>
      <c r="E36" s="17" t="s">
        <v>203</v>
      </c>
      <c r="F36" s="17" t="s">
        <v>500</v>
      </c>
      <c r="H36" s="18">
        <v>0.85</v>
      </c>
      <c r="I36" s="26"/>
      <c r="J36" s="17">
        <v>34.55245</v>
      </c>
      <c r="K36" s="17">
        <v>-88.986997000000002</v>
      </c>
      <c r="L36" s="17">
        <v>3461</v>
      </c>
      <c r="M36" s="17" t="s">
        <v>618</v>
      </c>
      <c r="N36" s="17" t="s">
        <v>619</v>
      </c>
      <c r="O36" s="19" t="s">
        <v>620</v>
      </c>
      <c r="P36" s="19"/>
      <c r="Q36" s="19"/>
      <c r="R36" s="17" t="s">
        <v>624</v>
      </c>
      <c r="S36" s="19"/>
      <c r="T36" s="19"/>
      <c r="U36" s="19"/>
      <c r="V36" s="25">
        <v>1.18</v>
      </c>
      <c r="W36" s="25">
        <v>1.591</v>
      </c>
      <c r="X36" s="25">
        <v>6.484</v>
      </c>
      <c r="Y36" s="25">
        <v>39.383000000000003</v>
      </c>
      <c r="Z36" s="25">
        <v>256.17</v>
      </c>
      <c r="AA36" s="19"/>
      <c r="AC36" s="17">
        <v>3</v>
      </c>
      <c r="AD36" s="17">
        <v>2.5260080139963401</v>
      </c>
      <c r="AE36" s="17">
        <v>5.54546764744153E-2</v>
      </c>
      <c r="AF36" s="17">
        <v>-1.33531479315054</v>
      </c>
      <c r="AG36" s="17">
        <v>29.533410626593199</v>
      </c>
      <c r="AH36" s="17">
        <v>3.0900288584290399E-2</v>
      </c>
      <c r="AI36" s="17">
        <v>0.59225736892999203</v>
      </c>
      <c r="AJ36" s="17">
        <v>7.8528617711613492E-3</v>
      </c>
      <c r="AK36" s="17">
        <v>2.2017839525711898E-2</v>
      </c>
      <c r="AL36" s="17">
        <v>0.27698208371491401</v>
      </c>
      <c r="AM36" s="17">
        <v>3.4907125977790401E-2</v>
      </c>
      <c r="AN36" s="17">
        <v>9.0131324041094099E-2</v>
      </c>
      <c r="AO36" s="17">
        <v>25.5</v>
      </c>
      <c r="AP36" s="17">
        <v>2.7</v>
      </c>
      <c r="AQ36" s="17">
        <v>18.3</v>
      </c>
      <c r="AR36" s="17">
        <v>33.299999999999997</v>
      </c>
      <c r="AS36" s="17">
        <v>7.5</v>
      </c>
      <c r="AT36" s="17">
        <v>1.1546938344756701</v>
      </c>
      <c r="AU36" s="17">
        <v>0.57652177668757099</v>
      </c>
      <c r="AV36" s="17">
        <v>-0.36734492612617903</v>
      </c>
      <c r="AW36" s="17">
        <v>2.7243715139989</v>
      </c>
      <c r="AX36" s="17">
        <v>1.5458582200625399</v>
      </c>
    </row>
    <row r="37" spans="1:50" s="17" customFormat="1" x14ac:dyDescent="0.2">
      <c r="A37" s="15" t="s">
        <v>68</v>
      </c>
      <c r="B37" s="17" t="s">
        <v>677</v>
      </c>
      <c r="C37" s="17" t="s">
        <v>169</v>
      </c>
      <c r="D37" s="17" t="s">
        <v>169</v>
      </c>
      <c r="E37" s="17" t="s">
        <v>211</v>
      </c>
      <c r="F37" s="17" t="s">
        <v>670</v>
      </c>
      <c r="H37" s="18">
        <v>3</v>
      </c>
      <c r="I37" s="26"/>
      <c r="J37" s="17">
        <v>34.376944000000002</v>
      </c>
      <c r="K37" s="17">
        <v>-91.851667000000006</v>
      </c>
      <c r="L37" s="17">
        <v>3596</v>
      </c>
      <c r="M37" s="17" t="s">
        <v>618</v>
      </c>
      <c r="N37" s="17" t="s">
        <v>619</v>
      </c>
      <c r="O37" s="19" t="s">
        <v>620</v>
      </c>
      <c r="P37" s="19"/>
      <c r="Q37" s="19"/>
      <c r="S37" s="19"/>
      <c r="T37" s="19"/>
      <c r="U37" s="19"/>
      <c r="V37" s="19">
        <v>3.0859999999999999</v>
      </c>
      <c r="W37" s="19">
        <v>0.21199999999999999</v>
      </c>
      <c r="X37" s="19">
        <v>43.7</v>
      </c>
      <c r="Y37" s="19">
        <v>55.567999999999998</v>
      </c>
      <c r="Z37" s="19">
        <v>257.68400000000003</v>
      </c>
      <c r="AA37" s="19"/>
      <c r="AC37" s="17">
        <v>3</v>
      </c>
      <c r="AD37" s="17">
        <v>0.62568313550765597</v>
      </c>
      <c r="AE37" s="17">
        <v>2.3413413665568799E-2</v>
      </c>
      <c r="AF37" s="17">
        <v>-0.21606236028321901</v>
      </c>
      <c r="AG37" s="17">
        <v>30.687259152160401</v>
      </c>
      <c r="AH37" s="17">
        <v>5.9349252405753401E-2</v>
      </c>
      <c r="AI37" s="17">
        <v>0.58703288156909705</v>
      </c>
      <c r="AJ37" s="17">
        <v>1.07247270138089E-2</v>
      </c>
      <c r="AK37" s="17">
        <v>2.2017839525711898E-2</v>
      </c>
      <c r="AL37" s="17">
        <v>0.19858292625641399</v>
      </c>
      <c r="AM37" s="17">
        <v>1.45792816358073E-2</v>
      </c>
      <c r="AN37" s="17">
        <v>9.0131324041094099E-2</v>
      </c>
      <c r="AO37" s="17">
        <v>27.3</v>
      </c>
      <c r="AP37" s="17">
        <v>3.7</v>
      </c>
      <c r="AQ37" s="17">
        <v>20</v>
      </c>
      <c r="AR37" s="17">
        <v>35.299999999999997</v>
      </c>
      <c r="AS37" s="17">
        <v>7.65</v>
      </c>
      <c r="AT37" s="17">
        <v>1.8568094705320799</v>
      </c>
      <c r="AU37" s="17">
        <v>0.79202064184209997</v>
      </c>
      <c r="AV37" s="17">
        <v>0.31562168721791301</v>
      </c>
      <c r="AW37" s="17">
        <v>3.46212591231119</v>
      </c>
      <c r="AX37" s="17">
        <v>1.5732521125466401</v>
      </c>
    </row>
    <row r="38" spans="1:50" s="17" customFormat="1" x14ac:dyDescent="0.2">
      <c r="A38" s="15" t="s">
        <v>40</v>
      </c>
      <c r="B38" s="17" t="s">
        <v>677</v>
      </c>
      <c r="C38" s="17" t="s">
        <v>168</v>
      </c>
      <c r="D38" s="17" t="s">
        <v>168</v>
      </c>
      <c r="E38" s="17" t="s">
        <v>203</v>
      </c>
      <c r="F38" s="17" t="s">
        <v>500</v>
      </c>
      <c r="H38" s="18">
        <v>-0.37</v>
      </c>
      <c r="I38" s="26"/>
      <c r="J38" s="17">
        <v>34.55245</v>
      </c>
      <c r="K38" s="17">
        <v>-88.986997000000002</v>
      </c>
      <c r="L38" s="17">
        <v>3461</v>
      </c>
      <c r="M38" s="17" t="s">
        <v>608</v>
      </c>
      <c r="N38" s="17" t="s">
        <v>614</v>
      </c>
      <c r="O38" s="19" t="s">
        <v>621</v>
      </c>
      <c r="P38" s="19"/>
      <c r="Q38" s="19"/>
      <c r="S38" s="19">
        <v>0</v>
      </c>
      <c r="T38" s="19">
        <v>0</v>
      </c>
      <c r="U38" s="19" t="s">
        <v>637</v>
      </c>
      <c r="V38" s="19">
        <v>1.3080000000000001</v>
      </c>
      <c r="W38" s="19">
        <v>1.079</v>
      </c>
      <c r="X38" s="19">
        <v>4.1619999999999999</v>
      </c>
      <c r="Y38" s="19">
        <v>48.389000000000003</v>
      </c>
      <c r="Z38" s="19">
        <v>266.67599999999999</v>
      </c>
      <c r="AA38" s="19"/>
      <c r="AC38" s="17">
        <v>3</v>
      </c>
      <c r="AD38" s="17">
        <v>-5.6575822066887004E-3</v>
      </c>
      <c r="AE38" s="17">
        <v>3.9126861547246303E-2</v>
      </c>
      <c r="AF38" s="17">
        <v>-2.7108499626478801</v>
      </c>
      <c r="AG38" s="17">
        <v>28.115357665006702</v>
      </c>
      <c r="AH38" s="17">
        <v>1.9199959005480698E-2</v>
      </c>
      <c r="AI38" s="17">
        <v>0.59010427343484595</v>
      </c>
      <c r="AJ38" s="17">
        <v>1.02102818842902E-2</v>
      </c>
      <c r="AK38" s="17">
        <v>2.2017839525711898E-2</v>
      </c>
      <c r="AL38" s="17">
        <v>0.25828229383894602</v>
      </c>
      <c r="AM38" s="17">
        <v>2.9357671315907E-2</v>
      </c>
      <c r="AN38" s="17">
        <v>9.0131324041094099E-2</v>
      </c>
      <c r="AO38" s="17">
        <v>26.3</v>
      </c>
      <c r="AP38" s="17">
        <v>3.5</v>
      </c>
      <c r="AQ38" s="17">
        <v>19</v>
      </c>
      <c r="AR38" s="17">
        <v>34.1</v>
      </c>
      <c r="AS38" s="17">
        <v>7.55</v>
      </c>
      <c r="AT38" s="17">
        <v>-0.84173653299467299</v>
      </c>
      <c r="AU38" s="17">
        <v>0.71605115797433405</v>
      </c>
      <c r="AV38" s="17">
        <v>-2.34997081977588</v>
      </c>
      <c r="AW38" s="17">
        <v>0.69263748354921995</v>
      </c>
      <c r="AX38" s="17">
        <v>1.5213041516625501</v>
      </c>
    </row>
    <row r="39" spans="1:50" s="17" customFormat="1" x14ac:dyDescent="0.2">
      <c r="A39" s="15" t="s">
        <v>16</v>
      </c>
      <c r="B39" s="17" t="s">
        <v>677</v>
      </c>
      <c r="C39" s="17" t="s">
        <v>167</v>
      </c>
      <c r="D39" s="17" t="s">
        <v>167</v>
      </c>
      <c r="E39" s="17" t="s">
        <v>203</v>
      </c>
      <c r="F39" s="17" t="s">
        <v>500</v>
      </c>
      <c r="H39" s="18">
        <v>-0.1</v>
      </c>
      <c r="I39" s="26"/>
      <c r="J39" s="17">
        <v>31.115717</v>
      </c>
      <c r="K39" s="17">
        <v>-96.832696999999996</v>
      </c>
      <c r="L39" s="17">
        <v>3621</v>
      </c>
      <c r="M39" s="17" t="s">
        <v>608</v>
      </c>
      <c r="N39" s="17" t="s">
        <v>614</v>
      </c>
      <c r="O39" s="19" t="s">
        <v>615</v>
      </c>
      <c r="P39" s="19" t="s">
        <v>612</v>
      </c>
      <c r="Q39" s="19" t="s">
        <v>613</v>
      </c>
      <c r="R39" s="17" t="s">
        <v>611</v>
      </c>
      <c r="S39" s="19"/>
      <c r="T39" s="19"/>
      <c r="U39" s="19"/>
      <c r="V39" s="19">
        <v>1.1890000000000001</v>
      </c>
      <c r="W39" s="19">
        <v>1.9219999999999999</v>
      </c>
      <c r="X39" s="19">
        <v>16.776</v>
      </c>
      <c r="Y39" s="19">
        <v>251.16200000000001</v>
      </c>
      <c r="Z39" s="19">
        <v>270.75599999999997</v>
      </c>
      <c r="AA39" s="19"/>
      <c r="AC39" s="17">
        <v>3</v>
      </c>
      <c r="AD39" s="17">
        <v>0.82366123181847595</v>
      </c>
      <c r="AE39" s="17">
        <v>2.3143579608881901E-2</v>
      </c>
      <c r="AF39" s="17">
        <v>-1.4744275492236201</v>
      </c>
      <c r="AG39" s="17">
        <v>29.3899978952299</v>
      </c>
      <c r="AH39" s="17">
        <v>0.138941926386139</v>
      </c>
      <c r="AI39" s="17">
        <v>0.59934375534606199</v>
      </c>
      <c r="AJ39" s="17">
        <v>4.7437904750269903E-3</v>
      </c>
      <c r="AK39" s="17">
        <v>2.2017839525711898E-2</v>
      </c>
      <c r="AL39" s="17">
        <v>0.23394182785211301</v>
      </c>
      <c r="AM39" s="17">
        <v>3.78900746794383E-2</v>
      </c>
      <c r="AN39" s="17">
        <v>9.0131324041094099E-2</v>
      </c>
      <c r="AO39" s="17">
        <v>23.2</v>
      </c>
      <c r="AP39" s="17">
        <v>1.55</v>
      </c>
      <c r="AQ39" s="17">
        <v>16.100000000000001</v>
      </c>
      <c r="AR39" s="17">
        <v>30.8</v>
      </c>
      <c r="AS39" s="17">
        <v>7.35</v>
      </c>
      <c r="AT39" s="17">
        <v>0.54631821575185302</v>
      </c>
      <c r="AU39" s="17">
        <v>0.45344330235110403</v>
      </c>
      <c r="AV39" s="17">
        <v>-1.08162842569243</v>
      </c>
      <c r="AW39" s="17">
        <v>2.20481775922531</v>
      </c>
      <c r="AX39" s="17">
        <v>1.64322309245887</v>
      </c>
    </row>
    <row r="40" spans="1:50" s="17" customFormat="1" x14ac:dyDescent="0.2">
      <c r="A40" s="15" t="s">
        <v>57</v>
      </c>
      <c r="B40" s="17" t="s">
        <v>677</v>
      </c>
      <c r="C40" s="17" t="s">
        <v>169</v>
      </c>
      <c r="D40" s="17" t="s">
        <v>169</v>
      </c>
      <c r="E40" s="17" t="s">
        <v>209</v>
      </c>
      <c r="F40" s="17" t="s">
        <v>500</v>
      </c>
      <c r="H40" s="18">
        <v>0.5</v>
      </c>
      <c r="I40" s="26"/>
      <c r="J40" s="17">
        <v>34.376944000000002</v>
      </c>
      <c r="K40" s="17">
        <v>-91.851667000000006</v>
      </c>
      <c r="L40" s="17">
        <v>3596</v>
      </c>
      <c r="M40" s="17" t="s">
        <v>618</v>
      </c>
      <c r="N40" s="17" t="s">
        <v>619</v>
      </c>
      <c r="O40" s="19" t="s">
        <v>620</v>
      </c>
      <c r="P40" s="19"/>
      <c r="Q40" s="19"/>
      <c r="S40" s="19">
        <v>0</v>
      </c>
      <c r="T40" s="19">
        <v>0</v>
      </c>
      <c r="U40" s="19" t="s">
        <v>637</v>
      </c>
      <c r="V40" s="25">
        <v>1.133</v>
      </c>
      <c r="W40" s="25">
        <v>2.4630000000000001</v>
      </c>
      <c r="X40" s="25">
        <v>15.071999999999999</v>
      </c>
      <c r="Y40" s="25">
        <v>1664.7090000000001</v>
      </c>
      <c r="Z40" s="25">
        <v>276.70999999999998</v>
      </c>
      <c r="AA40" s="19"/>
      <c r="AC40" s="17">
        <v>4</v>
      </c>
      <c r="AD40" s="17">
        <v>0.91935256970783596</v>
      </c>
      <c r="AE40" s="17">
        <v>0.109513179153954</v>
      </c>
      <c r="AF40" s="17">
        <v>-3.1293772068521002</v>
      </c>
      <c r="AG40" s="17">
        <v>27.683893743684099</v>
      </c>
      <c r="AH40" s="17">
        <v>0.15213543285331199</v>
      </c>
      <c r="AI40" s="17">
        <v>0.58319669965301102</v>
      </c>
      <c r="AJ40" s="17">
        <v>5.2270733916771096E-3</v>
      </c>
      <c r="AK40" s="17">
        <v>1.9068008365715601E-2</v>
      </c>
      <c r="AL40" s="17">
        <v>0.29904632122395203</v>
      </c>
      <c r="AM40" s="17">
        <v>4.3584416654998903E-2</v>
      </c>
      <c r="AN40" s="17">
        <v>7.8056016296314604E-2</v>
      </c>
      <c r="AO40" s="17">
        <v>28.7</v>
      </c>
      <c r="AP40" s="17">
        <v>1.8</v>
      </c>
      <c r="AQ40" s="17">
        <v>22.2</v>
      </c>
      <c r="AR40" s="17">
        <v>35.6</v>
      </c>
      <c r="AS40" s="17">
        <v>6.7</v>
      </c>
      <c r="AT40" s="17">
        <v>-4.0313993117706603E-3</v>
      </c>
      <c r="AU40" s="17">
        <v>0.50424016964024099</v>
      </c>
      <c r="AV40" s="17">
        <v>-1.4655661187025499</v>
      </c>
      <c r="AW40" s="17">
        <v>1.47998257991708</v>
      </c>
      <c r="AX40" s="17">
        <v>1.47277434930982</v>
      </c>
    </row>
    <row r="41" spans="1:50" s="17" customFormat="1" x14ac:dyDescent="0.2">
      <c r="A41" s="15" t="s">
        <v>56</v>
      </c>
      <c r="B41" s="17" t="s">
        <v>677</v>
      </c>
      <c r="C41" s="17" t="s">
        <v>169</v>
      </c>
      <c r="D41" s="17" t="s">
        <v>169</v>
      </c>
      <c r="E41" s="17" t="s">
        <v>207</v>
      </c>
      <c r="F41" s="17" t="s">
        <v>669</v>
      </c>
      <c r="H41" s="18">
        <v>-7</v>
      </c>
      <c r="I41" s="26"/>
      <c r="J41" s="17">
        <v>34.376944000000002</v>
      </c>
      <c r="K41" s="17">
        <v>-91.851667000000006</v>
      </c>
      <c r="L41" s="17">
        <v>3596</v>
      </c>
      <c r="M41" s="17" t="s">
        <v>608</v>
      </c>
      <c r="N41" s="17" t="s">
        <v>614</v>
      </c>
      <c r="O41" s="19" t="s">
        <v>617</v>
      </c>
      <c r="P41" s="19" t="s">
        <v>612</v>
      </c>
      <c r="Q41" s="19"/>
      <c r="S41" s="19"/>
      <c r="T41" s="19"/>
      <c r="U41" s="19"/>
      <c r="V41" s="19">
        <v>2.956</v>
      </c>
      <c r="W41" s="19">
        <v>0.27400000000000002</v>
      </c>
      <c r="X41" s="19">
        <v>58.246000000000002</v>
      </c>
      <c r="Y41" s="19">
        <v>33.826999999999998</v>
      </c>
      <c r="Z41" s="19">
        <v>278.904</v>
      </c>
      <c r="AA41" s="19"/>
      <c r="AC41" s="17">
        <v>3</v>
      </c>
      <c r="AD41" s="17">
        <v>2.79555420769278</v>
      </c>
      <c r="AE41" s="17">
        <v>1.8350490918984001E-2</v>
      </c>
      <c r="AF41" s="17">
        <v>-0.51271720709680102</v>
      </c>
      <c r="AG41" s="17">
        <v>30.3814347040318</v>
      </c>
      <c r="AH41" s="17">
        <v>4.4733416378299501E-2</v>
      </c>
      <c r="AI41" s="17">
        <v>0.59466938969467098</v>
      </c>
      <c r="AJ41" s="17">
        <v>1.3741570971997E-2</v>
      </c>
      <c r="AK41" s="17">
        <v>2.2017839525711898E-2</v>
      </c>
      <c r="AL41" s="17">
        <v>0.23274145621664299</v>
      </c>
      <c r="AM41" s="17">
        <v>2.49328679678604E-2</v>
      </c>
      <c r="AN41" s="17">
        <v>9.0131324041094099E-2</v>
      </c>
      <c r="AO41" s="17">
        <v>24.7</v>
      </c>
      <c r="AP41" s="17">
        <v>4.6500000000000004</v>
      </c>
      <c r="AQ41" s="17">
        <v>17.5</v>
      </c>
      <c r="AR41" s="17">
        <v>32.5</v>
      </c>
      <c r="AS41" s="17">
        <v>7.5</v>
      </c>
      <c r="AT41" s="17">
        <v>1.8168814249019101</v>
      </c>
      <c r="AU41" s="17">
        <v>0.99047383367150099</v>
      </c>
      <c r="AV41" s="17">
        <v>0.27230687276369298</v>
      </c>
      <c r="AW41" s="17">
        <v>3.4092306257997498</v>
      </c>
      <c r="AX41" s="17">
        <v>1.56846187651803</v>
      </c>
    </row>
    <row r="42" spans="1:50" s="17" customFormat="1" x14ac:dyDescent="0.2">
      <c r="A42" s="15" t="s">
        <v>158</v>
      </c>
      <c r="B42" s="17" t="s">
        <v>677</v>
      </c>
      <c r="C42" s="17" t="s">
        <v>173</v>
      </c>
      <c r="D42" s="17" t="s">
        <v>666</v>
      </c>
      <c r="E42" s="17" t="s">
        <v>214</v>
      </c>
      <c r="F42" s="17" t="s">
        <v>500</v>
      </c>
      <c r="H42" s="18">
        <v>1.45</v>
      </c>
      <c r="I42" s="26"/>
      <c r="J42" s="17">
        <v>33.440736999999999</v>
      </c>
      <c r="K42" s="17">
        <v>-88.9084</v>
      </c>
      <c r="L42" s="17">
        <v>3944</v>
      </c>
      <c r="M42" s="17" t="s">
        <v>618</v>
      </c>
      <c r="N42" s="17" t="s">
        <v>619</v>
      </c>
      <c r="O42" s="19" t="s">
        <v>620</v>
      </c>
      <c r="P42" s="19"/>
      <c r="Q42" s="17" t="s">
        <v>628</v>
      </c>
      <c r="S42" s="19"/>
      <c r="T42" s="19"/>
      <c r="U42" s="19"/>
      <c r="V42" s="19">
        <v>1.0609999999999999</v>
      </c>
      <c r="W42" s="19">
        <v>2.1779999999999999</v>
      </c>
      <c r="X42" s="19">
        <v>4.9870000000000001</v>
      </c>
      <c r="Y42" s="19">
        <v>315.38</v>
      </c>
      <c r="Z42" s="19">
        <v>283.95</v>
      </c>
      <c r="AA42" s="19"/>
      <c r="AC42" s="17">
        <v>3</v>
      </c>
      <c r="AD42" s="17">
        <v>2.30446908677273</v>
      </c>
      <c r="AE42" s="17">
        <v>4.16490948547725E-2</v>
      </c>
      <c r="AF42" s="17">
        <v>-0.65430939416183098</v>
      </c>
      <c r="AG42" s="17">
        <v>30.2354659024646</v>
      </c>
      <c r="AH42" s="17">
        <v>0.121139091229826</v>
      </c>
      <c r="AI42" s="17">
        <v>0.60874436014218503</v>
      </c>
      <c r="AJ42" s="17">
        <v>1.10422559083115E-2</v>
      </c>
      <c r="AK42" s="17">
        <v>2.2017839525711898E-2</v>
      </c>
      <c r="AL42" s="17">
        <v>0.183905240691283</v>
      </c>
      <c r="AM42" s="17">
        <v>1.2787221135995E-2</v>
      </c>
      <c r="AN42" s="17">
        <v>9.0131324041094099E-2</v>
      </c>
      <c r="AO42" s="17">
        <v>20.100000000000001</v>
      </c>
      <c r="AP42" s="17">
        <v>3.55</v>
      </c>
      <c r="AQ42" s="17">
        <v>13.2</v>
      </c>
      <c r="AR42" s="17">
        <v>27.4</v>
      </c>
      <c r="AS42" s="17">
        <v>7.1</v>
      </c>
      <c r="AT42" s="17">
        <v>0.72426998494029204</v>
      </c>
      <c r="AU42" s="17">
        <v>0.86260965593038497</v>
      </c>
      <c r="AV42" s="17">
        <v>-0.874727307491867</v>
      </c>
      <c r="AW42" s="17">
        <v>2.3376705635242798</v>
      </c>
      <c r="AX42" s="17">
        <v>1.6061989355080799</v>
      </c>
    </row>
    <row r="43" spans="1:50" s="17" customFormat="1" x14ac:dyDescent="0.2">
      <c r="A43" s="15" t="s">
        <v>34</v>
      </c>
      <c r="B43" s="17" t="s">
        <v>677</v>
      </c>
      <c r="C43" s="17" t="s">
        <v>168</v>
      </c>
      <c r="D43" s="17" t="s">
        <v>168</v>
      </c>
      <c r="E43" s="17" t="s">
        <v>206</v>
      </c>
      <c r="F43" s="17" t="s">
        <v>500</v>
      </c>
      <c r="H43" s="18">
        <v>-0.5</v>
      </c>
      <c r="I43" s="26"/>
      <c r="J43" s="17">
        <v>34.55245</v>
      </c>
      <c r="K43" s="17">
        <v>-88.986997000000002</v>
      </c>
      <c r="L43" s="17">
        <v>3461</v>
      </c>
      <c r="M43" s="17" t="s">
        <v>608</v>
      </c>
      <c r="N43" s="17" t="s">
        <v>614</v>
      </c>
      <c r="O43" s="19" t="s">
        <v>621</v>
      </c>
      <c r="P43" s="19"/>
      <c r="Q43" s="19"/>
      <c r="S43" s="19">
        <v>0</v>
      </c>
      <c r="T43" s="19">
        <v>0</v>
      </c>
      <c r="U43" s="19" t="s">
        <v>637</v>
      </c>
      <c r="V43" s="25">
        <v>1.47</v>
      </c>
      <c r="W43" s="25">
        <v>2.0089999999999999</v>
      </c>
      <c r="X43" s="25">
        <v>3.6429999999999998</v>
      </c>
      <c r="Y43" s="25">
        <v>32.271999999999998</v>
      </c>
      <c r="Z43" s="25">
        <v>289.97000000000003</v>
      </c>
      <c r="AA43" s="19"/>
      <c r="AC43" s="17">
        <v>4</v>
      </c>
      <c r="AD43" s="17">
        <v>1.4870534032920599</v>
      </c>
      <c r="AE43" s="17">
        <v>3.37296915415361E-2</v>
      </c>
      <c r="AF43" s="17">
        <v>-0.74326535235960201</v>
      </c>
      <c r="AG43" s="17">
        <v>30.143760315599</v>
      </c>
      <c r="AH43" s="17">
        <v>0.10193533705094</v>
      </c>
      <c r="AI43" s="17">
        <v>0.58783361856286198</v>
      </c>
      <c r="AJ43" s="17">
        <v>9.0315828237526995E-3</v>
      </c>
      <c r="AK43" s="17">
        <v>1.9068008365715601E-2</v>
      </c>
      <c r="AL43" s="17">
        <v>0.30180280196131998</v>
      </c>
      <c r="AM43" s="17">
        <v>1.9969557981023501E-2</v>
      </c>
      <c r="AN43" s="17">
        <v>7.8056016296314604E-2</v>
      </c>
      <c r="AO43" s="17">
        <v>27.1</v>
      </c>
      <c r="AP43" s="17">
        <v>3.1</v>
      </c>
      <c r="AQ43" s="17">
        <v>20.7</v>
      </c>
      <c r="AR43" s="17">
        <v>33.9</v>
      </c>
      <c r="AS43" s="17">
        <v>6.6</v>
      </c>
      <c r="AT43" s="17">
        <v>2.0705478859686099</v>
      </c>
      <c r="AU43" s="17">
        <v>0.72050241254493097</v>
      </c>
      <c r="AV43" s="17">
        <v>0.66179144937189005</v>
      </c>
      <c r="AW43" s="17">
        <v>3.5033575627800202</v>
      </c>
      <c r="AX43" s="17">
        <v>1.42078305670407</v>
      </c>
    </row>
    <row r="44" spans="1:50" s="17" customFormat="1" x14ac:dyDescent="0.2">
      <c r="A44" s="15" t="s">
        <v>26</v>
      </c>
      <c r="B44" s="17" t="s">
        <v>677</v>
      </c>
      <c r="C44" s="17" t="s">
        <v>168</v>
      </c>
      <c r="D44" s="17" t="s">
        <v>168</v>
      </c>
      <c r="E44" s="17" t="s">
        <v>206</v>
      </c>
      <c r="F44" s="17" t="s">
        <v>500</v>
      </c>
      <c r="H44" s="18">
        <v>0.15</v>
      </c>
      <c r="I44" s="26"/>
      <c r="J44" s="17">
        <v>34.55245</v>
      </c>
      <c r="K44" s="17">
        <v>-88.986997000000002</v>
      </c>
      <c r="L44" s="17">
        <v>3461</v>
      </c>
      <c r="M44" s="17" t="s">
        <v>618</v>
      </c>
      <c r="N44" s="17" t="s">
        <v>619</v>
      </c>
      <c r="O44" s="19" t="s">
        <v>620</v>
      </c>
      <c r="P44" s="19"/>
      <c r="Q44" s="19"/>
      <c r="R44" s="17" t="s">
        <v>624</v>
      </c>
      <c r="S44" s="19"/>
      <c r="T44" s="19"/>
      <c r="U44" s="19"/>
      <c r="V44" s="19">
        <v>1.4279999999999999</v>
      </c>
      <c r="W44" s="19">
        <v>0.83299999999999996</v>
      </c>
      <c r="X44" s="19">
        <v>3.673</v>
      </c>
      <c r="Y44" s="19">
        <v>29.053000000000001</v>
      </c>
      <c r="Z44" s="19">
        <v>301.166</v>
      </c>
      <c r="AA44" s="19"/>
      <c r="AC44" s="17">
        <v>4</v>
      </c>
      <c r="AD44" s="17">
        <v>1.4156799395516499</v>
      </c>
      <c r="AE44" s="17">
        <v>1.3345635448807401E-2</v>
      </c>
      <c r="AF44" s="17">
        <v>-1.3587367560703201</v>
      </c>
      <c r="AG44" s="17">
        <v>29.509264690799501</v>
      </c>
      <c r="AH44" s="17">
        <v>1.6071728104409402E-2</v>
      </c>
      <c r="AI44" s="17">
        <v>0.58318361796628604</v>
      </c>
      <c r="AJ44" s="17">
        <v>2.12674680390008E-2</v>
      </c>
      <c r="AK44" s="17">
        <v>1.9068008365715601E-2</v>
      </c>
      <c r="AL44" s="17">
        <v>0.26805921585756998</v>
      </c>
      <c r="AM44" s="17">
        <v>4.7337310626064097E-2</v>
      </c>
      <c r="AN44" s="17">
        <v>7.8056016296314604E-2</v>
      </c>
      <c r="AO44" s="17">
        <v>28.7</v>
      </c>
      <c r="AP44" s="17">
        <v>7.5</v>
      </c>
      <c r="AQ44" s="17">
        <v>22.2</v>
      </c>
      <c r="AR44" s="17">
        <v>35.6</v>
      </c>
      <c r="AS44" s="17">
        <v>6.7</v>
      </c>
      <c r="AT44" s="17">
        <v>1.7721602870896001</v>
      </c>
      <c r="AU44" s="17">
        <v>1.5032715698808401</v>
      </c>
      <c r="AV44" s="17">
        <v>0.44051612532860002</v>
      </c>
      <c r="AW44" s="17">
        <v>3.1259721537720702</v>
      </c>
      <c r="AX44" s="17">
        <v>1.3427280142217299</v>
      </c>
    </row>
    <row r="45" spans="1:50" s="17" customFormat="1" x14ac:dyDescent="0.2">
      <c r="A45" s="15" t="s">
        <v>13</v>
      </c>
      <c r="B45" s="17" t="s">
        <v>677</v>
      </c>
      <c r="C45" s="17" t="s">
        <v>166</v>
      </c>
      <c r="D45" s="17" t="s">
        <v>198</v>
      </c>
      <c r="E45" s="17" t="s">
        <v>211</v>
      </c>
      <c r="F45" s="17" t="s">
        <v>670</v>
      </c>
      <c r="H45" s="18">
        <v>0</v>
      </c>
      <c r="I45" s="26"/>
      <c r="J45" s="17">
        <v>32.006</v>
      </c>
      <c r="K45" s="17">
        <v>-86.751000000000005</v>
      </c>
      <c r="O45" s="19"/>
      <c r="P45" s="19"/>
      <c r="Q45" s="19"/>
      <c r="S45" s="19">
        <v>0</v>
      </c>
      <c r="T45" s="19">
        <v>1</v>
      </c>
      <c r="U45" s="19" t="s">
        <v>637</v>
      </c>
      <c r="V45" s="19">
        <v>1.228</v>
      </c>
      <c r="W45" s="19">
        <v>1.514</v>
      </c>
      <c r="X45" s="19">
        <v>3.8639999999999999</v>
      </c>
      <c r="Y45" s="19">
        <v>10.215999999999999</v>
      </c>
      <c r="Z45" s="19">
        <v>302.09399999999999</v>
      </c>
      <c r="AA45" s="19"/>
      <c r="AC45" s="17">
        <v>4</v>
      </c>
      <c r="AD45" s="17">
        <v>1.6172013034463899</v>
      </c>
      <c r="AE45" s="17">
        <v>8.2464533125683592E-3</v>
      </c>
      <c r="AF45" s="17">
        <v>-3.0072336125805599</v>
      </c>
      <c r="AG45" s="17">
        <v>27.809812796454601</v>
      </c>
      <c r="AH45" s="17">
        <v>5.2447246502791603E-2</v>
      </c>
      <c r="AI45" s="17">
        <v>0.59161676780857797</v>
      </c>
      <c r="AJ45" s="17">
        <v>1.16793888226205E-2</v>
      </c>
      <c r="AK45" s="17">
        <v>1.9068008365715601E-2</v>
      </c>
      <c r="AL45" s="17">
        <v>0.21577059632238299</v>
      </c>
      <c r="AM45" s="17">
        <v>1.1459426338433699E-2</v>
      </c>
      <c r="AN45" s="17">
        <v>7.8056016296314604E-2</v>
      </c>
      <c r="AO45" s="17">
        <v>25.8</v>
      </c>
      <c r="AP45" s="17">
        <v>3.95</v>
      </c>
      <c r="AQ45" s="17">
        <v>19.5</v>
      </c>
      <c r="AR45" s="17">
        <v>32.5</v>
      </c>
      <c r="AS45" s="17">
        <v>6.5</v>
      </c>
      <c r="AT45" s="17">
        <v>-0.46083968187110702</v>
      </c>
      <c r="AU45" s="17">
        <v>0.84765276635215503</v>
      </c>
      <c r="AV45" s="17">
        <v>-1.8086799795236199</v>
      </c>
      <c r="AW45" s="17">
        <v>0.91254613642479399</v>
      </c>
      <c r="AX45" s="17">
        <v>1.3606130579742099</v>
      </c>
    </row>
    <row r="46" spans="1:50" s="17" customFormat="1" x14ac:dyDescent="0.2">
      <c r="A46" s="15" t="s">
        <v>44</v>
      </c>
      <c r="B46" s="17" t="s">
        <v>677</v>
      </c>
      <c r="C46" s="17" t="s">
        <v>168</v>
      </c>
      <c r="D46" s="17" t="s">
        <v>168</v>
      </c>
      <c r="E46" s="17" t="s">
        <v>206</v>
      </c>
      <c r="F46" s="17" t="s">
        <v>500</v>
      </c>
      <c r="H46" s="18">
        <v>-0.2</v>
      </c>
      <c r="I46" s="26"/>
      <c r="J46" s="17">
        <v>34.55245</v>
      </c>
      <c r="K46" s="17">
        <v>-88.986997000000002</v>
      </c>
      <c r="L46" s="17">
        <v>3461</v>
      </c>
      <c r="M46" s="17" t="s">
        <v>608</v>
      </c>
      <c r="N46" s="17" t="s">
        <v>614</v>
      </c>
      <c r="O46" s="19" t="s">
        <v>621</v>
      </c>
      <c r="P46" s="19"/>
      <c r="Q46" s="19"/>
      <c r="S46" s="19"/>
      <c r="T46" s="19"/>
      <c r="U46" s="19"/>
      <c r="V46" s="19">
        <v>1.2629999999999999</v>
      </c>
      <c r="W46" s="19">
        <v>1.917</v>
      </c>
      <c r="X46" s="19">
        <v>4.0259999999999998</v>
      </c>
      <c r="Y46" s="19">
        <v>41.091000000000001</v>
      </c>
      <c r="Z46" s="19">
        <v>305.47300000000001</v>
      </c>
      <c r="AA46" s="19"/>
      <c r="AC46" s="17">
        <v>3</v>
      </c>
      <c r="AD46" s="17">
        <v>2.8674144112842299</v>
      </c>
      <c r="AE46" s="17">
        <v>9.26216860808078E-2</v>
      </c>
      <c r="AF46" s="17">
        <v>-0.52543645934583105</v>
      </c>
      <c r="AG46" s="17">
        <v>30.368322299695802</v>
      </c>
      <c r="AH46" s="17">
        <v>0.123540911253364</v>
      </c>
      <c r="AI46" s="17">
        <v>0.60706890671612201</v>
      </c>
      <c r="AJ46" s="17">
        <v>3.1842769375523801E-3</v>
      </c>
      <c r="AK46" s="17">
        <v>2.2017839525711898E-2</v>
      </c>
      <c r="AL46" s="17">
        <v>0.24595228197086999</v>
      </c>
      <c r="AM46" s="17">
        <v>2.9113992963258499E-2</v>
      </c>
      <c r="AN46" s="17">
        <v>9.0131324041094099E-2</v>
      </c>
      <c r="AO46" s="17">
        <v>20.6</v>
      </c>
      <c r="AP46" s="17">
        <v>1.05</v>
      </c>
      <c r="AQ46" s="17">
        <v>13.7</v>
      </c>
      <c r="AR46" s="17">
        <v>28</v>
      </c>
      <c r="AS46" s="17">
        <v>7.15</v>
      </c>
      <c r="AT46" s="17">
        <v>0.95806803560617504</v>
      </c>
      <c r="AU46" s="17">
        <v>0.33962365761772201</v>
      </c>
      <c r="AV46" s="17">
        <v>-0.63852099405835405</v>
      </c>
      <c r="AW46" s="17">
        <v>2.5890748049100698</v>
      </c>
      <c r="AX46" s="17">
        <v>1.6137978994842099</v>
      </c>
    </row>
    <row r="47" spans="1:50" s="17" customFormat="1" x14ac:dyDescent="0.2">
      <c r="A47" s="15" t="s">
        <v>36</v>
      </c>
      <c r="B47" s="17" t="s">
        <v>677</v>
      </c>
      <c r="C47" s="17" t="s">
        <v>168</v>
      </c>
      <c r="D47" s="17" t="s">
        <v>168</v>
      </c>
      <c r="E47" s="17" t="s">
        <v>206</v>
      </c>
      <c r="F47" s="17" t="s">
        <v>500</v>
      </c>
      <c r="H47" s="18">
        <v>-0.25</v>
      </c>
      <c r="I47" s="26"/>
      <c r="J47" s="17">
        <v>34.55245</v>
      </c>
      <c r="K47" s="17">
        <v>-88.986997000000002</v>
      </c>
      <c r="L47" s="17">
        <v>3461</v>
      </c>
      <c r="M47" s="17" t="s">
        <v>608</v>
      </c>
      <c r="N47" s="17" t="s">
        <v>614</v>
      </c>
      <c r="O47" s="19" t="s">
        <v>621</v>
      </c>
      <c r="P47" s="19"/>
      <c r="Q47" s="19"/>
      <c r="S47" s="19">
        <v>0</v>
      </c>
      <c r="T47" s="19">
        <v>0</v>
      </c>
      <c r="U47" s="19" t="s">
        <v>637</v>
      </c>
      <c r="V47" s="19">
        <v>1.268</v>
      </c>
      <c r="W47" s="19">
        <v>1.196</v>
      </c>
      <c r="X47" s="19">
        <v>3.34</v>
      </c>
      <c r="Y47" s="19">
        <v>35.130000000000003</v>
      </c>
      <c r="Z47" s="19">
        <v>306.16899999999998</v>
      </c>
      <c r="AA47" s="19"/>
      <c r="AC47" s="17">
        <v>3</v>
      </c>
      <c r="AD47" s="17">
        <v>-3.6746182230997801</v>
      </c>
      <c r="AE47" s="17">
        <v>0.24734424788717299</v>
      </c>
      <c r="AF47" s="17">
        <v>-1.2709711794160099</v>
      </c>
      <c r="AG47" s="17">
        <v>29.599743101428199</v>
      </c>
      <c r="AH47" s="17">
        <v>5.4911309257912599E-2</v>
      </c>
      <c r="AI47" s="17">
        <v>0.57579643124965596</v>
      </c>
      <c r="AJ47" s="17">
        <v>7.4548198076230298E-3</v>
      </c>
      <c r="AK47" s="17">
        <v>2.2017839525711898E-2</v>
      </c>
      <c r="AL47" s="17">
        <v>0.23995612566532501</v>
      </c>
      <c r="AM47" s="17">
        <v>3.1486854450479003E-2</v>
      </c>
      <c r="AN47" s="17">
        <v>9.0131324041094099E-2</v>
      </c>
      <c r="AO47" s="17">
        <v>31.3</v>
      </c>
      <c r="AP47" s="17">
        <v>2.65</v>
      </c>
      <c r="AQ47" s="17">
        <v>23.7</v>
      </c>
      <c r="AR47" s="17">
        <v>39.6</v>
      </c>
      <c r="AS47" s="17">
        <v>7.95</v>
      </c>
      <c r="AT47" s="17">
        <v>2.3713880380525998</v>
      </c>
      <c r="AU47" s="17">
        <v>0.57019558383018398</v>
      </c>
      <c r="AV47" s="17">
        <v>0.79936667561480601</v>
      </c>
      <c r="AW47" s="17">
        <v>4.0015639068384399</v>
      </c>
      <c r="AX47" s="17">
        <v>1.6010986156118201</v>
      </c>
    </row>
    <row r="48" spans="1:50" s="17" customFormat="1" x14ac:dyDescent="0.2">
      <c r="A48" s="15" t="s">
        <v>103</v>
      </c>
      <c r="B48" s="17" t="s">
        <v>677</v>
      </c>
      <c r="C48" s="17" t="s">
        <v>170</v>
      </c>
      <c r="D48" s="17" t="s">
        <v>170</v>
      </c>
      <c r="E48" s="17" t="s">
        <v>238</v>
      </c>
      <c r="F48" s="17" t="s">
        <v>669</v>
      </c>
      <c r="H48" s="18">
        <v>4.4000000000000004</v>
      </c>
      <c r="I48" s="26"/>
      <c r="J48" s="17">
        <v>34.748610999999997</v>
      </c>
      <c r="K48" s="17">
        <v>-88.911666999999994</v>
      </c>
      <c r="L48" s="17">
        <v>3460</v>
      </c>
      <c r="M48" s="17" t="s">
        <v>608</v>
      </c>
      <c r="N48" s="17" t="s">
        <v>614</v>
      </c>
      <c r="O48" s="19" t="s">
        <v>621</v>
      </c>
      <c r="P48" s="19" t="s">
        <v>612</v>
      </c>
      <c r="Q48" s="19" t="s">
        <v>613</v>
      </c>
      <c r="R48" s="17" t="s">
        <v>623</v>
      </c>
      <c r="S48" s="19"/>
      <c r="T48" s="19"/>
      <c r="U48" s="19" t="s">
        <v>637</v>
      </c>
      <c r="V48" s="25">
        <v>4.5270000000000001</v>
      </c>
      <c r="W48" s="25">
        <v>0.22700000000000001</v>
      </c>
      <c r="X48" s="25">
        <v>11.926</v>
      </c>
      <c r="Y48" s="25">
        <v>27.236000000000001</v>
      </c>
      <c r="Z48" s="25">
        <v>307.98700000000002</v>
      </c>
      <c r="AA48" s="19"/>
      <c r="AC48" s="17">
        <v>3</v>
      </c>
      <c r="AD48" s="17">
        <v>3.92488017933323</v>
      </c>
      <c r="AE48" s="17">
        <v>1.45664652191357E-2</v>
      </c>
      <c r="AF48" s="17">
        <v>-0.416819896539534</v>
      </c>
      <c r="AG48" s="17">
        <v>30.480296200458401</v>
      </c>
      <c r="AH48" s="17">
        <v>4.8993833071264203E-2</v>
      </c>
      <c r="AI48" s="17">
        <v>0.59484616454483397</v>
      </c>
      <c r="AJ48" s="17">
        <v>7.1399912502681804E-3</v>
      </c>
      <c r="AK48" s="17">
        <v>2.2017839525711898E-2</v>
      </c>
      <c r="AL48" s="17">
        <v>0.25178271151339099</v>
      </c>
      <c r="AM48" s="17">
        <v>1.0416979415064099E-2</v>
      </c>
      <c r="AN48" s="17">
        <v>9.0131324041094099E-2</v>
      </c>
      <c r="AO48" s="17">
        <v>24.7</v>
      </c>
      <c r="AP48" s="17">
        <v>2.4</v>
      </c>
      <c r="AQ48" s="17">
        <v>17.5</v>
      </c>
      <c r="AR48" s="17">
        <v>32.4</v>
      </c>
      <c r="AS48" s="17">
        <v>7.45</v>
      </c>
      <c r="AT48" s="17">
        <v>1.13542810398144</v>
      </c>
      <c r="AU48" s="17">
        <v>0.53188556080561999</v>
      </c>
      <c r="AV48" s="17">
        <v>-0.39975415551509702</v>
      </c>
      <c r="AW48" s="17">
        <v>2.69875157433626</v>
      </c>
      <c r="AX48" s="17">
        <v>1.54925286492568</v>
      </c>
    </row>
    <row r="49" spans="1:50" s="17" customFormat="1" x14ac:dyDescent="0.2">
      <c r="A49" s="15" t="s">
        <v>38</v>
      </c>
      <c r="B49" s="17" t="s">
        <v>677</v>
      </c>
      <c r="C49" s="17" t="s">
        <v>168</v>
      </c>
      <c r="D49" s="17" t="s">
        <v>168</v>
      </c>
      <c r="E49" s="17" t="s">
        <v>206</v>
      </c>
      <c r="F49" s="17" t="s">
        <v>500</v>
      </c>
      <c r="H49" s="18">
        <v>-0.53</v>
      </c>
      <c r="I49" s="26"/>
      <c r="J49" s="17">
        <v>34.55245</v>
      </c>
      <c r="K49" s="17">
        <v>-88.986997000000002</v>
      </c>
      <c r="L49" s="17">
        <v>3461</v>
      </c>
      <c r="M49" s="17" t="s">
        <v>608</v>
      </c>
      <c r="N49" s="17" t="s">
        <v>614</v>
      </c>
      <c r="O49" s="19" t="s">
        <v>621</v>
      </c>
      <c r="P49" s="19"/>
      <c r="Q49" s="19"/>
      <c r="S49" s="19">
        <v>0</v>
      </c>
      <c r="T49" s="19">
        <v>1</v>
      </c>
      <c r="U49" s="19" t="s">
        <v>637</v>
      </c>
      <c r="V49" s="19">
        <v>1.3560000000000001</v>
      </c>
      <c r="W49" s="19">
        <v>1.101</v>
      </c>
      <c r="X49" s="19">
        <v>3.5659999999999998</v>
      </c>
      <c r="Y49" s="19">
        <v>27.875</v>
      </c>
      <c r="Z49" s="19">
        <v>309.13799999999998</v>
      </c>
      <c r="AA49" s="19"/>
      <c r="AC49" s="17">
        <v>3</v>
      </c>
      <c r="AD49" s="17">
        <v>1.0521728254559699</v>
      </c>
      <c r="AE49" s="17">
        <v>1.5775779213915101E-2</v>
      </c>
      <c r="AF49" s="17">
        <v>-0.12915069498414899</v>
      </c>
      <c r="AG49" s="17">
        <v>30.7768572570339</v>
      </c>
      <c r="AH49" s="17">
        <v>8.7048694781580602E-2</v>
      </c>
      <c r="AI49" s="17">
        <v>0.59324583346743398</v>
      </c>
      <c r="AJ49" s="17">
        <v>7.0870742650350604E-3</v>
      </c>
      <c r="AK49" s="17">
        <v>2.2017839525711898E-2</v>
      </c>
      <c r="AL49" s="17">
        <v>0.23808056691625901</v>
      </c>
      <c r="AM49" s="17">
        <v>1.39345448593885E-2</v>
      </c>
      <c r="AN49" s="17">
        <v>9.0131324041094099E-2</v>
      </c>
      <c r="AO49" s="17">
        <v>25.2</v>
      </c>
      <c r="AP49" s="17">
        <v>2.4</v>
      </c>
      <c r="AQ49" s="17">
        <v>18</v>
      </c>
      <c r="AR49" s="17">
        <v>33</v>
      </c>
      <c r="AS49" s="17">
        <v>7.5</v>
      </c>
      <c r="AT49" s="17">
        <v>1.5242959885413301</v>
      </c>
      <c r="AU49" s="17">
        <v>0.56743063545860695</v>
      </c>
      <c r="AV49" s="17">
        <v>-4.3347411326976698E-2</v>
      </c>
      <c r="AW49" s="17">
        <v>3.1393681089301699</v>
      </c>
      <c r="AX49" s="17">
        <v>1.59135776012857</v>
      </c>
    </row>
    <row r="50" spans="1:50" s="17" customFormat="1" x14ac:dyDescent="0.2">
      <c r="A50" s="15" t="s">
        <v>19</v>
      </c>
      <c r="B50" s="17" t="s">
        <v>677</v>
      </c>
      <c r="C50" s="17" t="s">
        <v>167</v>
      </c>
      <c r="D50" s="17" t="s">
        <v>167</v>
      </c>
      <c r="E50" s="17" t="s">
        <v>203</v>
      </c>
      <c r="F50" s="17" t="s">
        <v>500</v>
      </c>
      <c r="H50" s="18">
        <v>-0.45</v>
      </c>
      <c r="I50" s="26"/>
      <c r="J50" s="17">
        <v>31.115717</v>
      </c>
      <c r="K50" s="17">
        <v>-96.832696999999996</v>
      </c>
      <c r="L50" s="17">
        <v>3621</v>
      </c>
      <c r="M50" s="17" t="s">
        <v>608</v>
      </c>
      <c r="N50" s="17" t="s">
        <v>614</v>
      </c>
      <c r="O50" s="19" t="s">
        <v>615</v>
      </c>
      <c r="P50" s="19" t="s">
        <v>612</v>
      </c>
      <c r="Q50" s="19" t="s">
        <v>613</v>
      </c>
      <c r="R50" s="17" t="s">
        <v>611</v>
      </c>
      <c r="S50" s="19">
        <v>0</v>
      </c>
      <c r="T50" s="19">
        <v>0</v>
      </c>
      <c r="U50" s="19" t="s">
        <v>637</v>
      </c>
      <c r="V50" s="19">
        <v>1.395</v>
      </c>
      <c r="W50" s="19">
        <v>1.3959999999999999</v>
      </c>
      <c r="X50" s="19">
        <v>18.274000000000001</v>
      </c>
      <c r="Y50" s="19">
        <v>149.80500000000001</v>
      </c>
      <c r="Z50" s="19">
        <v>313.14600000000002</v>
      </c>
      <c r="AA50" s="19"/>
      <c r="AC50" s="17">
        <v>3</v>
      </c>
      <c r="AD50" s="17">
        <v>1.8470424163450301</v>
      </c>
      <c r="AE50" s="17">
        <v>1.5459646922882601E-2</v>
      </c>
      <c r="AF50" s="17">
        <v>-2.0058300985272801</v>
      </c>
      <c r="AG50" s="17">
        <v>28.8421696931272</v>
      </c>
      <c r="AH50" s="17">
        <v>3.75891625752304E-2</v>
      </c>
      <c r="AI50" s="17">
        <v>0.59577673318575897</v>
      </c>
      <c r="AJ50" s="17">
        <v>5.6239398522614902E-3</v>
      </c>
      <c r="AK50" s="17">
        <v>2.2017839525711898E-2</v>
      </c>
      <c r="AL50" s="17">
        <v>0.233527776615992</v>
      </c>
      <c r="AM50" s="17">
        <v>4.2433389103431897E-2</v>
      </c>
      <c r="AN50" s="17">
        <v>9.0131324041094099E-2</v>
      </c>
      <c r="AO50" s="17">
        <v>24.3</v>
      </c>
      <c r="AP50" s="17">
        <v>1.9</v>
      </c>
      <c r="AQ50" s="17">
        <v>17.2</v>
      </c>
      <c r="AR50" s="17">
        <v>32.1</v>
      </c>
      <c r="AS50" s="17">
        <v>7.45</v>
      </c>
      <c r="AT50" s="17">
        <v>0.23886193787700399</v>
      </c>
      <c r="AU50" s="17">
        <v>0.42383892741992202</v>
      </c>
      <c r="AV50" s="17">
        <v>-1.2791230008047001</v>
      </c>
      <c r="AW50" s="17">
        <v>1.8259235056872301</v>
      </c>
      <c r="AX50" s="17">
        <v>1.5525232532459701</v>
      </c>
    </row>
    <row r="51" spans="1:50" s="17" customFormat="1" x14ac:dyDescent="0.2">
      <c r="A51" s="15" t="s">
        <v>5</v>
      </c>
      <c r="B51" s="17" t="s">
        <v>677</v>
      </c>
      <c r="C51" s="17" t="s">
        <v>165</v>
      </c>
      <c r="D51" s="17" t="s">
        <v>666</v>
      </c>
      <c r="E51" s="17" t="s">
        <v>204</v>
      </c>
      <c r="F51" s="17" t="s">
        <v>500</v>
      </c>
      <c r="H51" s="18">
        <v>-0.85</v>
      </c>
      <c r="I51" s="26"/>
      <c r="J51" s="17">
        <v>33.455112999999997</v>
      </c>
      <c r="K51" s="17">
        <v>-88.849669000000006</v>
      </c>
      <c r="L51" s="17">
        <v>3525</v>
      </c>
      <c r="M51" s="17" t="s">
        <v>608</v>
      </c>
      <c r="N51" s="17" t="s">
        <v>614</v>
      </c>
      <c r="O51" s="19" t="s">
        <v>625</v>
      </c>
      <c r="P51" s="19" t="s">
        <v>612</v>
      </c>
      <c r="Q51" s="17" t="s">
        <v>613</v>
      </c>
      <c r="R51" s="17" t="s">
        <v>622</v>
      </c>
      <c r="S51" s="19"/>
      <c r="T51" s="19"/>
      <c r="U51" s="19"/>
      <c r="V51" s="19">
        <v>0.6660446729432169</v>
      </c>
      <c r="W51" s="19">
        <v>2.2862141783269778</v>
      </c>
      <c r="X51" s="19">
        <v>5.785864662576806</v>
      </c>
      <c r="Y51" s="19">
        <v>70.501905857321688</v>
      </c>
      <c r="Z51" s="19">
        <v>320.63851930429956</v>
      </c>
      <c r="AA51" s="19"/>
      <c r="AC51" s="17">
        <v>3</v>
      </c>
      <c r="AD51" s="17">
        <v>1.8276942301650601</v>
      </c>
      <c r="AE51" s="17">
        <v>1.6536533850576102E-2</v>
      </c>
      <c r="AF51" s="17">
        <v>-2.25506180965789</v>
      </c>
      <c r="AG51" s="17">
        <v>28.5852342298056</v>
      </c>
      <c r="AH51" s="17">
        <v>3.3019711073463101E-3</v>
      </c>
      <c r="AI51" s="17">
        <v>0.60522403826420101</v>
      </c>
      <c r="AJ51" s="17">
        <v>7.85477435606486E-3</v>
      </c>
      <c r="AK51" s="17">
        <v>2.2017839525711898E-2</v>
      </c>
      <c r="AL51" s="17">
        <v>0.20707867381120501</v>
      </c>
      <c r="AM51" s="17">
        <v>2.5154315884083799E-2</v>
      </c>
      <c r="AN51" s="17">
        <v>9.0131324041094099E-2</v>
      </c>
      <c r="AO51" s="17">
        <v>21.2</v>
      </c>
      <c r="AP51" s="17">
        <v>2.5499999999999998</v>
      </c>
      <c r="AQ51" s="17">
        <v>14.3</v>
      </c>
      <c r="AR51" s="17">
        <v>28.7</v>
      </c>
      <c r="AS51" s="17">
        <v>7.2</v>
      </c>
      <c r="AT51" s="17">
        <v>-0.64909984737926196</v>
      </c>
      <c r="AU51" s="17">
        <v>0.53355063567630601</v>
      </c>
      <c r="AV51" s="17">
        <v>-2.1206114785392201</v>
      </c>
      <c r="AW51" s="17">
        <v>0.87623812302013004</v>
      </c>
      <c r="AX51" s="17">
        <v>1.4984248007796701</v>
      </c>
    </row>
    <row r="52" spans="1:50" s="17" customFormat="1" x14ac:dyDescent="0.2">
      <c r="A52" s="15" t="s">
        <v>2</v>
      </c>
      <c r="B52" s="17" t="s">
        <v>677</v>
      </c>
      <c r="C52" s="17" t="s">
        <v>165</v>
      </c>
      <c r="D52" s="17" t="s">
        <v>666</v>
      </c>
      <c r="E52" s="17" t="s">
        <v>205</v>
      </c>
      <c r="F52" s="17" t="s">
        <v>500</v>
      </c>
      <c r="H52" s="18">
        <v>-0.65</v>
      </c>
      <c r="I52" s="26"/>
      <c r="J52" s="17">
        <v>33.455112999999997</v>
      </c>
      <c r="K52" s="17">
        <v>-88.849669000000006</v>
      </c>
      <c r="L52" s="17">
        <v>3525</v>
      </c>
      <c r="M52" s="17" t="s">
        <v>608</v>
      </c>
      <c r="N52" s="17" t="s">
        <v>614</v>
      </c>
      <c r="O52" s="19" t="s">
        <v>625</v>
      </c>
      <c r="P52" s="19" t="s">
        <v>612</v>
      </c>
      <c r="Q52" s="17" t="s">
        <v>613</v>
      </c>
      <c r="R52" s="17" t="s">
        <v>622</v>
      </c>
      <c r="S52" s="19">
        <v>0</v>
      </c>
      <c r="T52" s="19">
        <v>0</v>
      </c>
      <c r="U52" s="19" t="s">
        <v>637</v>
      </c>
      <c r="V52" s="25">
        <v>1.0409999999999999</v>
      </c>
      <c r="W52" s="25">
        <v>2.1789999999999998</v>
      </c>
      <c r="X52" s="25">
        <v>10.875999999999999</v>
      </c>
      <c r="Y52" s="25">
        <v>166.845</v>
      </c>
      <c r="Z52" s="25">
        <v>320.82600000000002</v>
      </c>
      <c r="AA52" s="19"/>
      <c r="AC52" s="17">
        <v>5</v>
      </c>
      <c r="AD52" s="17">
        <v>2.1551342996595499</v>
      </c>
      <c r="AE52" s="17">
        <v>7.5027097979900398E-2</v>
      </c>
      <c r="AF52" s="17">
        <v>-1.32195241027389</v>
      </c>
      <c r="AG52" s="17">
        <v>29.547186040724601</v>
      </c>
      <c r="AH52" s="17">
        <v>0.241169953536262</v>
      </c>
      <c r="AI52" s="17">
        <v>0.57198192713250096</v>
      </c>
      <c r="AJ52" s="17">
        <v>1.42951771952142E-2</v>
      </c>
      <c r="AK52" s="17">
        <v>1.7054945160509899E-2</v>
      </c>
      <c r="AL52" s="17">
        <v>0.121130950535113</v>
      </c>
      <c r="AM52" s="17">
        <v>4.0560418829941401E-2</v>
      </c>
      <c r="AN52" s="17">
        <v>6.9815423396556303E-2</v>
      </c>
      <c r="AO52" s="17">
        <v>32.700000000000003</v>
      </c>
      <c r="AP52" s="17">
        <v>5.25</v>
      </c>
      <c r="AQ52" s="17">
        <v>26.6</v>
      </c>
      <c r="AR52" s="17">
        <v>39.1</v>
      </c>
      <c r="AS52" s="17">
        <v>6.25</v>
      </c>
      <c r="AT52" s="17">
        <v>2.5919678155113401</v>
      </c>
      <c r="AU52" s="17">
        <v>1.2496572249920099</v>
      </c>
      <c r="AV52" s="17">
        <v>1.15534616136665</v>
      </c>
      <c r="AW52" s="17">
        <v>4.0392435988375199</v>
      </c>
      <c r="AX52" s="17">
        <v>1.4419487187354301</v>
      </c>
    </row>
    <row r="53" spans="1:50" s="17" customFormat="1" x14ac:dyDescent="0.2">
      <c r="A53" s="15" t="s">
        <v>64</v>
      </c>
      <c r="B53" s="17" t="s">
        <v>677</v>
      </c>
      <c r="C53" s="17" t="s">
        <v>169</v>
      </c>
      <c r="D53" s="17" t="s">
        <v>169</v>
      </c>
      <c r="E53" s="17" t="s">
        <v>203</v>
      </c>
      <c r="F53" s="17" t="s">
        <v>500</v>
      </c>
      <c r="H53" s="18">
        <v>-4</v>
      </c>
      <c r="I53" s="26"/>
      <c r="J53" s="17">
        <v>34.376944000000002</v>
      </c>
      <c r="K53" s="17">
        <v>-91.851667000000006</v>
      </c>
      <c r="L53" s="17">
        <v>3596</v>
      </c>
      <c r="M53" s="17" t="s">
        <v>608</v>
      </c>
      <c r="N53" s="17" t="s">
        <v>614</v>
      </c>
      <c r="O53" s="19" t="s">
        <v>617</v>
      </c>
      <c r="P53" s="19" t="s">
        <v>612</v>
      </c>
      <c r="Q53" s="19"/>
      <c r="S53" s="19"/>
      <c r="T53" s="19"/>
      <c r="U53" s="19"/>
      <c r="V53" s="19">
        <v>1.329</v>
      </c>
      <c r="W53" s="19">
        <v>1.008</v>
      </c>
      <c r="X53" s="19">
        <v>27.864999999999998</v>
      </c>
      <c r="Y53" s="19">
        <v>966.63599999999997</v>
      </c>
      <c r="Z53" s="19">
        <v>342.85399999999998</v>
      </c>
      <c r="AA53" s="19"/>
      <c r="AC53" s="17">
        <v>3</v>
      </c>
      <c r="AD53" s="17">
        <v>-0.81852863992098301</v>
      </c>
      <c r="AE53" s="17">
        <v>0.33539655718165801</v>
      </c>
      <c r="AF53" s="17">
        <v>-3.20080042412701</v>
      </c>
      <c r="AG53" s="17">
        <v>27.610262834763201</v>
      </c>
      <c r="AH53" s="17">
        <v>9.8851873393569503E-2</v>
      </c>
      <c r="AI53" s="17">
        <v>0.55610687229189804</v>
      </c>
      <c r="AJ53" s="17">
        <v>6.3050605987728303E-3</v>
      </c>
      <c r="AK53" s="17">
        <v>2.2017839525711898E-2</v>
      </c>
      <c r="AL53" s="17">
        <v>0.21232052003183099</v>
      </c>
      <c r="AM53" s="17">
        <v>1.7459864961787398E-2</v>
      </c>
      <c r="AN53" s="17">
        <v>9.0131324041094099E-2</v>
      </c>
      <c r="AO53" s="17">
        <v>38.700000000000003</v>
      </c>
      <c r="AP53" s="17">
        <v>2.4500000000000002</v>
      </c>
      <c r="AQ53" s="17">
        <v>30.5</v>
      </c>
      <c r="AR53" s="17">
        <v>47.6</v>
      </c>
      <c r="AS53" s="17">
        <v>8.5500000000000007</v>
      </c>
      <c r="AT53" s="17">
        <v>1.84140889077321</v>
      </c>
      <c r="AU53" s="17">
        <v>0.55145982269220895</v>
      </c>
      <c r="AV53" s="17">
        <v>0.182216621034854</v>
      </c>
      <c r="AW53" s="17">
        <v>3.5464353007578202</v>
      </c>
      <c r="AX53" s="17">
        <v>1.6821093398614799</v>
      </c>
    </row>
    <row r="54" spans="1:50" s="17" customFormat="1" x14ac:dyDescent="0.2">
      <c r="A54" s="15" t="s">
        <v>60</v>
      </c>
      <c r="B54" s="17" t="s">
        <v>677</v>
      </c>
      <c r="C54" s="17" t="s">
        <v>169</v>
      </c>
      <c r="D54" s="17" t="s">
        <v>169</v>
      </c>
      <c r="E54" s="17" t="s">
        <v>203</v>
      </c>
      <c r="F54" s="17" t="s">
        <v>500</v>
      </c>
      <c r="H54" s="18">
        <v>1.5</v>
      </c>
      <c r="I54" s="26"/>
      <c r="J54" s="17">
        <v>34.376944000000002</v>
      </c>
      <c r="K54" s="17">
        <v>-91.851667000000006</v>
      </c>
      <c r="L54" s="17">
        <v>3596</v>
      </c>
      <c r="M54" s="17" t="s">
        <v>618</v>
      </c>
      <c r="N54" s="17" t="s">
        <v>619</v>
      </c>
      <c r="O54" s="19" t="s">
        <v>620</v>
      </c>
      <c r="P54" s="19"/>
      <c r="Q54" s="19"/>
      <c r="S54" s="19"/>
      <c r="T54" s="19"/>
      <c r="U54" s="19"/>
      <c r="V54" s="25">
        <v>1.3580000000000001</v>
      </c>
      <c r="W54" s="25">
        <v>1.6080000000000001</v>
      </c>
      <c r="X54" s="25">
        <v>32.859000000000002</v>
      </c>
      <c r="Y54" s="25">
        <v>622.04300000000001</v>
      </c>
      <c r="Z54" s="25">
        <v>357.68799999999999</v>
      </c>
      <c r="AA54" s="19"/>
      <c r="AC54" s="17">
        <v>3</v>
      </c>
      <c r="AD54" s="17">
        <v>-0.43886841402962901</v>
      </c>
      <c r="AE54" s="17">
        <v>2.2207837636171599E-2</v>
      </c>
      <c r="AF54" s="17">
        <v>-0.79348059950504901</v>
      </c>
      <c r="AG54" s="17">
        <v>30.091992915164301</v>
      </c>
      <c r="AH54" s="17">
        <v>9.3885897416156605E-3</v>
      </c>
      <c r="AI54" s="17">
        <v>0.58201182090313497</v>
      </c>
      <c r="AJ54" s="17">
        <v>1.03922654924779E-2</v>
      </c>
      <c r="AK54" s="17">
        <v>2.2017839525711898E-2</v>
      </c>
      <c r="AL54" s="17">
        <v>0.272968927654899</v>
      </c>
      <c r="AM54" s="17">
        <v>3.8656334520744802E-2</v>
      </c>
      <c r="AN54" s="17">
        <v>9.0131324041094099E-2</v>
      </c>
      <c r="AO54" s="17">
        <v>29.1</v>
      </c>
      <c r="AP54" s="17">
        <v>3.65</v>
      </c>
      <c r="AQ54" s="17">
        <v>21.6</v>
      </c>
      <c r="AR54" s="17">
        <v>37.200000000000003</v>
      </c>
      <c r="AS54" s="17">
        <v>7.8</v>
      </c>
      <c r="AT54" s="17">
        <v>1.6331163041036201</v>
      </c>
      <c r="AU54" s="17">
        <v>0.724771529473628</v>
      </c>
      <c r="AV54" s="17">
        <v>0.117426685854639</v>
      </c>
      <c r="AW54" s="17">
        <v>3.1899299486735799</v>
      </c>
      <c r="AX54" s="17">
        <v>1.5362516314094701</v>
      </c>
    </row>
    <row r="55" spans="1:50" s="17" customFormat="1" x14ac:dyDescent="0.2">
      <c r="A55" s="15" t="s">
        <v>4</v>
      </c>
      <c r="B55" s="17" t="s">
        <v>677</v>
      </c>
      <c r="C55" s="17" t="s">
        <v>165</v>
      </c>
      <c r="D55" s="17" t="s">
        <v>666</v>
      </c>
      <c r="E55" s="17" t="s">
        <v>204</v>
      </c>
      <c r="F55" s="17" t="s">
        <v>500</v>
      </c>
      <c r="H55" s="18">
        <v>-0.7</v>
      </c>
      <c r="I55" s="26"/>
      <c r="J55" s="17">
        <v>33.455112999999997</v>
      </c>
      <c r="K55" s="17">
        <v>-88.849669000000006</v>
      </c>
      <c r="L55" s="17">
        <v>3525</v>
      </c>
      <c r="M55" s="17" t="s">
        <v>608</v>
      </c>
      <c r="N55" s="17" t="s">
        <v>614</v>
      </c>
      <c r="O55" s="19" t="s">
        <v>625</v>
      </c>
      <c r="P55" s="19" t="s">
        <v>612</v>
      </c>
      <c r="Q55" s="17" t="s">
        <v>613</v>
      </c>
      <c r="R55" s="17" t="s">
        <v>622</v>
      </c>
      <c r="S55" s="19"/>
      <c r="T55" s="19"/>
      <c r="U55" s="19"/>
      <c r="V55" s="19">
        <v>0.84232267713777931</v>
      </c>
      <c r="W55" s="19">
        <v>1.4794196963574557</v>
      </c>
      <c r="X55" s="19">
        <v>12.988001580327525</v>
      </c>
      <c r="Y55" s="19">
        <v>131.03850486670964</v>
      </c>
      <c r="Z55" s="19">
        <v>362.70193929122627</v>
      </c>
      <c r="AA55" s="19"/>
      <c r="AC55" s="17">
        <v>3</v>
      </c>
      <c r="AD55" s="17">
        <v>2.28020339871847</v>
      </c>
      <c r="AE55" s="17">
        <v>4.3198602510129698E-2</v>
      </c>
      <c r="AF55" s="17">
        <v>-2.0754000766994798</v>
      </c>
      <c r="AG55" s="17">
        <v>28.770449306929699</v>
      </c>
      <c r="AH55" s="17">
        <v>5.1782994246826398E-2</v>
      </c>
      <c r="AI55" s="17">
        <v>0.59214950114631404</v>
      </c>
      <c r="AJ55" s="17">
        <v>1.5803678863810101E-3</v>
      </c>
      <c r="AK55" s="17">
        <v>2.2017839525711898E-2</v>
      </c>
      <c r="AL55" s="17">
        <v>0.24817539056685001</v>
      </c>
      <c r="AM55" s="17">
        <v>2.61109711615823E-2</v>
      </c>
      <c r="AN55" s="17">
        <v>9.0131324041094099E-2</v>
      </c>
      <c r="AO55" s="17">
        <v>25.6</v>
      </c>
      <c r="AP55" s="17">
        <v>0.55000000000000104</v>
      </c>
      <c r="AQ55" s="17">
        <v>18.3</v>
      </c>
      <c r="AR55" s="17">
        <v>33.4</v>
      </c>
      <c r="AS55" s="17">
        <v>7.55</v>
      </c>
      <c r="AT55" s="17">
        <v>0.43297990480118598</v>
      </c>
      <c r="AU55" s="17">
        <v>0.161512382317198</v>
      </c>
      <c r="AV55" s="17">
        <v>-1.1284466003156699</v>
      </c>
      <c r="AW55" s="17">
        <v>2.0208695553519598</v>
      </c>
      <c r="AX55" s="17">
        <v>1.5746580778338199</v>
      </c>
    </row>
    <row r="56" spans="1:50" s="17" customFormat="1" x14ac:dyDescent="0.2">
      <c r="A56" s="15" t="s">
        <v>18</v>
      </c>
      <c r="B56" s="17" t="s">
        <v>677</v>
      </c>
      <c r="C56" s="17" t="s">
        <v>167</v>
      </c>
      <c r="D56" s="17" t="s">
        <v>167</v>
      </c>
      <c r="E56" s="17" t="s">
        <v>203</v>
      </c>
      <c r="F56" s="17" t="s">
        <v>500</v>
      </c>
      <c r="H56" s="18">
        <v>-0.33</v>
      </c>
      <c r="I56" s="26"/>
      <c r="J56" s="17">
        <v>31.115717</v>
      </c>
      <c r="K56" s="17">
        <v>-96.832696999999996</v>
      </c>
      <c r="L56" s="17">
        <v>3621</v>
      </c>
      <c r="M56" s="17" t="s">
        <v>608</v>
      </c>
      <c r="N56" s="17" t="s">
        <v>614</v>
      </c>
      <c r="O56" s="19" t="s">
        <v>615</v>
      </c>
      <c r="P56" s="19" t="s">
        <v>612</v>
      </c>
      <c r="Q56" s="19" t="s">
        <v>613</v>
      </c>
      <c r="R56" s="17" t="s">
        <v>611</v>
      </c>
      <c r="S56" s="19"/>
      <c r="T56" s="19"/>
      <c r="U56" s="19"/>
      <c r="V56" s="19">
        <v>1.2549999999999999</v>
      </c>
      <c r="W56" s="19">
        <v>1.712</v>
      </c>
      <c r="X56" s="19">
        <v>24.353000000000002</v>
      </c>
      <c r="Y56" s="19">
        <v>255.02600000000001</v>
      </c>
      <c r="Z56" s="19">
        <v>363.947</v>
      </c>
      <c r="AA56" s="19"/>
      <c r="AC56" s="17">
        <v>3</v>
      </c>
      <c r="AD56" s="17">
        <v>2.2130370333723399</v>
      </c>
      <c r="AE56" s="17">
        <v>4.0570426937193399E-2</v>
      </c>
      <c r="AF56" s="17">
        <v>-1.58600226619434</v>
      </c>
      <c r="AG56" s="17">
        <v>29.2749744037576</v>
      </c>
      <c r="AH56" s="17">
        <v>7.9062492599154502E-2</v>
      </c>
      <c r="AI56" s="17">
        <v>0.59101689097492804</v>
      </c>
      <c r="AJ56" s="17">
        <v>5.3877966491149096E-3</v>
      </c>
      <c r="AK56" s="17">
        <v>2.2017839525711898E-2</v>
      </c>
      <c r="AL56" s="17">
        <v>0.25783748370054599</v>
      </c>
      <c r="AM56" s="17">
        <v>8.66513771421463E-3</v>
      </c>
      <c r="AN56" s="17">
        <v>9.0131324041094099E-2</v>
      </c>
      <c r="AO56" s="17">
        <v>26</v>
      </c>
      <c r="AP56" s="17">
        <v>1.85</v>
      </c>
      <c r="AQ56" s="17">
        <v>18.7</v>
      </c>
      <c r="AR56" s="17">
        <v>33.799999999999997</v>
      </c>
      <c r="AS56" s="17">
        <v>7.55</v>
      </c>
      <c r="AT56" s="17">
        <v>1.00438291726005</v>
      </c>
      <c r="AU56" s="17">
        <v>0.45000431469770802</v>
      </c>
      <c r="AV56" s="17">
        <v>-0.58031301517325995</v>
      </c>
      <c r="AW56" s="17">
        <v>2.6156634111654302</v>
      </c>
      <c r="AX56" s="17">
        <v>1.5979882131693399</v>
      </c>
    </row>
    <row r="57" spans="1:50" s="17" customFormat="1" x14ac:dyDescent="0.2">
      <c r="A57" s="15" t="s">
        <v>55</v>
      </c>
      <c r="B57" s="17" t="s">
        <v>677</v>
      </c>
      <c r="C57" s="17" t="s">
        <v>169</v>
      </c>
      <c r="D57" s="17" t="s">
        <v>169</v>
      </c>
      <c r="E57" s="17" t="s">
        <v>208</v>
      </c>
      <c r="F57" s="17" t="s">
        <v>671</v>
      </c>
      <c r="H57" s="18">
        <v>-7</v>
      </c>
      <c r="I57" s="26"/>
      <c r="J57" s="17">
        <v>34.376944000000002</v>
      </c>
      <c r="K57" s="17">
        <v>-91.851667000000006</v>
      </c>
      <c r="L57" s="17">
        <v>3596</v>
      </c>
      <c r="M57" s="17" t="s">
        <v>608</v>
      </c>
      <c r="N57" s="17" t="s">
        <v>614</v>
      </c>
      <c r="O57" s="19" t="s">
        <v>617</v>
      </c>
      <c r="P57" s="19" t="s">
        <v>612</v>
      </c>
      <c r="Q57" s="19"/>
      <c r="S57" s="19">
        <v>0</v>
      </c>
      <c r="T57" s="19">
        <v>0</v>
      </c>
      <c r="U57" s="19" t="s">
        <v>637</v>
      </c>
      <c r="V57" s="19">
        <v>3.1589999999999998</v>
      </c>
      <c r="W57" s="19">
        <v>0.28100000000000003</v>
      </c>
      <c r="X57" s="19">
        <v>77.015000000000001</v>
      </c>
      <c r="Y57" s="19">
        <v>48.218000000000004</v>
      </c>
      <c r="Z57" s="19">
        <v>376.221</v>
      </c>
      <c r="AA57" s="19"/>
      <c r="AC57" s="17">
        <v>3</v>
      </c>
      <c r="AD57" s="17">
        <v>1.54231813230601</v>
      </c>
      <c r="AE57" s="17">
        <v>0.22422951313396</v>
      </c>
      <c r="AF57" s="17">
        <v>-1.38412744204334</v>
      </c>
      <c r="AG57" s="17">
        <v>29.483089178723102</v>
      </c>
      <c r="AH57" s="17">
        <v>0.133131281783086</v>
      </c>
      <c r="AI57" s="17">
        <v>0.60224738400882805</v>
      </c>
      <c r="AJ57" s="17">
        <v>1.1166191602130801E-2</v>
      </c>
      <c r="AK57" s="17">
        <v>2.2017839525711898E-2</v>
      </c>
      <c r="AL57" s="17">
        <v>0.27728941694773501</v>
      </c>
      <c r="AM57" s="17">
        <v>7.6131666078272202E-3</v>
      </c>
      <c r="AN57" s="17">
        <v>9.0131324041094099E-2</v>
      </c>
      <c r="AO57" s="17">
        <v>22.2</v>
      </c>
      <c r="AP57" s="17">
        <v>3.65</v>
      </c>
      <c r="AQ57" s="17">
        <v>15.2</v>
      </c>
      <c r="AR57" s="17">
        <v>29.7</v>
      </c>
      <c r="AS57" s="17">
        <v>7.25</v>
      </c>
      <c r="AT57" s="17">
        <v>0.430697473859254</v>
      </c>
      <c r="AU57" s="17">
        <v>0.88422886054769401</v>
      </c>
      <c r="AV57" s="17">
        <v>-1.1799866589793699</v>
      </c>
      <c r="AW57" s="17">
        <v>2.0738558024592102</v>
      </c>
      <c r="AX57" s="17">
        <v>1.62692123071929</v>
      </c>
    </row>
    <row r="58" spans="1:50" s="17" customFormat="1" x14ac:dyDescent="0.2">
      <c r="A58" s="15" t="s">
        <v>153</v>
      </c>
      <c r="B58" s="17" t="s">
        <v>677</v>
      </c>
      <c r="C58" s="17" t="s">
        <v>173</v>
      </c>
      <c r="D58" s="17" t="s">
        <v>666</v>
      </c>
      <c r="E58" s="17" t="s">
        <v>214</v>
      </c>
      <c r="F58" s="17" t="s">
        <v>500</v>
      </c>
      <c r="H58" s="18">
        <v>0.9</v>
      </c>
      <c r="I58" s="26"/>
      <c r="J58" s="17">
        <v>33.440736999999999</v>
      </c>
      <c r="K58" s="17">
        <v>-88.9084</v>
      </c>
      <c r="L58" s="17">
        <v>3944</v>
      </c>
      <c r="M58" s="17" t="s">
        <v>618</v>
      </c>
      <c r="N58" s="17" t="s">
        <v>619</v>
      </c>
      <c r="O58" s="19" t="s">
        <v>620</v>
      </c>
      <c r="P58" s="19"/>
      <c r="Q58" s="17" t="s">
        <v>627</v>
      </c>
      <c r="S58" s="19"/>
      <c r="T58" s="19"/>
      <c r="U58" s="19"/>
      <c r="V58" s="19">
        <v>1.0680000000000001</v>
      </c>
      <c r="W58" s="19">
        <v>2.4750000000000001</v>
      </c>
      <c r="X58" s="19">
        <v>3.9750000000000001</v>
      </c>
      <c r="Y58" s="19">
        <v>127.682</v>
      </c>
      <c r="Z58" s="19">
        <v>388.80900000000003</v>
      </c>
      <c r="AA58" s="19"/>
      <c r="AC58" s="17">
        <v>3</v>
      </c>
      <c r="AD58" s="17">
        <v>2.7598248816405202</v>
      </c>
      <c r="AE58" s="17">
        <v>4.7139882182969002E-2</v>
      </c>
      <c r="AF58" s="17">
        <v>-0.98689266735453396</v>
      </c>
      <c r="AG58" s="17">
        <v>29.892602480297501</v>
      </c>
      <c r="AH58" s="17">
        <v>0.19903748620307399</v>
      </c>
      <c r="AI58" s="17">
        <v>0.58737303856873302</v>
      </c>
      <c r="AJ58" s="17">
        <v>1.1008757334727099E-2</v>
      </c>
      <c r="AK58" s="17">
        <v>2.2017839525711898E-2</v>
      </c>
      <c r="AL58" s="17">
        <v>0.211965028170575</v>
      </c>
      <c r="AM58" s="17">
        <v>3.6643536874231199E-2</v>
      </c>
      <c r="AN58" s="17">
        <v>9.0131324041094099E-2</v>
      </c>
      <c r="AO58" s="17">
        <v>27.2</v>
      </c>
      <c r="AP58" s="17">
        <v>3.8</v>
      </c>
      <c r="AQ58" s="17">
        <v>19.899999999999999</v>
      </c>
      <c r="AR58" s="17">
        <v>35.200000000000003</v>
      </c>
      <c r="AS58" s="17">
        <v>7.65</v>
      </c>
      <c r="AT58" s="17">
        <v>1.84626457928459</v>
      </c>
      <c r="AU58" s="17">
        <v>0.95462571740199598</v>
      </c>
      <c r="AV58" s="17">
        <v>0.155923443862207</v>
      </c>
      <c r="AW58" s="17">
        <v>3.6017248043162899</v>
      </c>
      <c r="AX58" s="17">
        <v>1.7229006802270399</v>
      </c>
    </row>
    <row r="59" spans="1:50" s="17" customFormat="1" x14ac:dyDescent="0.2">
      <c r="A59" s="15" t="s">
        <v>162</v>
      </c>
      <c r="B59" s="17" t="s">
        <v>677</v>
      </c>
      <c r="C59" s="17" t="s">
        <v>173</v>
      </c>
      <c r="D59" s="17" t="s">
        <v>666</v>
      </c>
      <c r="E59" s="17" t="s">
        <v>674</v>
      </c>
      <c r="F59" s="17" t="s">
        <v>500</v>
      </c>
      <c r="H59" s="18"/>
      <c r="I59" s="26"/>
      <c r="J59" s="17">
        <v>33.440736999999999</v>
      </c>
      <c r="K59" s="17">
        <v>-88.9084</v>
      </c>
      <c r="L59" s="17">
        <v>3944</v>
      </c>
      <c r="M59" s="17" t="s">
        <v>618</v>
      </c>
      <c r="N59" s="17" t="s">
        <v>619</v>
      </c>
      <c r="O59" s="19" t="s">
        <v>620</v>
      </c>
      <c r="P59" s="19"/>
      <c r="Q59" s="19"/>
      <c r="S59" s="19">
        <v>0</v>
      </c>
      <c r="T59" s="19">
        <v>0</v>
      </c>
      <c r="U59" s="19" t="s">
        <v>637</v>
      </c>
      <c r="V59" s="19">
        <v>1.747381854214243</v>
      </c>
      <c r="W59" s="19">
        <v>2.147690047333596</v>
      </c>
      <c r="X59" s="19">
        <v>193.0534755101796</v>
      </c>
      <c r="Y59" s="19">
        <v>1940.5704624652012</v>
      </c>
      <c r="Z59" s="19">
        <v>389.26264657486388</v>
      </c>
      <c r="AA59" s="19"/>
      <c r="AC59" s="17">
        <v>3</v>
      </c>
      <c r="AD59" s="17">
        <v>3.0880776455377901</v>
      </c>
      <c r="AE59" s="17">
        <v>2.1798486680370301E-3</v>
      </c>
      <c r="AF59" s="17">
        <v>-0.55455468760816895</v>
      </c>
      <c r="AG59" s="17">
        <v>30.3383040269979</v>
      </c>
      <c r="AH59" s="17">
        <v>2.5257469233472302E-2</v>
      </c>
      <c r="AI59" s="17">
        <v>0.57717687081248603</v>
      </c>
      <c r="AJ59" s="17">
        <v>1.2995980175007299E-2</v>
      </c>
      <c r="AK59" s="17">
        <v>2.2017839525711898E-2</v>
      </c>
      <c r="AL59" s="17">
        <v>0.21681894205558</v>
      </c>
      <c r="AM59" s="17">
        <v>4.8643115524190303E-2</v>
      </c>
      <c r="AN59" s="17">
        <v>9.0131324041094099E-2</v>
      </c>
      <c r="AO59" s="17">
        <v>30.8</v>
      </c>
      <c r="AP59" s="17">
        <v>4.6500000000000004</v>
      </c>
      <c r="AQ59" s="17">
        <v>23.2</v>
      </c>
      <c r="AR59" s="17">
        <v>39</v>
      </c>
      <c r="AS59" s="17">
        <v>7.9</v>
      </c>
      <c r="AT59" s="17">
        <v>2.9927011052691301</v>
      </c>
      <c r="AU59" s="17">
        <v>0.93499851959756997</v>
      </c>
      <c r="AV59" s="17">
        <v>1.44350290058583</v>
      </c>
      <c r="AW59" s="17">
        <v>4.5814833624406202</v>
      </c>
      <c r="AX59" s="17">
        <v>1.5689902309274</v>
      </c>
    </row>
    <row r="60" spans="1:50" s="17" customFormat="1" x14ac:dyDescent="0.2">
      <c r="A60" s="15" t="s">
        <v>161</v>
      </c>
      <c r="B60" s="17" t="s">
        <v>677</v>
      </c>
      <c r="C60" s="17" t="s">
        <v>173</v>
      </c>
      <c r="D60" s="17" t="s">
        <v>666</v>
      </c>
      <c r="E60" s="17" t="s">
        <v>673</v>
      </c>
      <c r="F60" s="17" t="s">
        <v>500</v>
      </c>
      <c r="H60" s="18"/>
      <c r="I60" s="26"/>
      <c r="J60" s="17">
        <v>33.440736999999999</v>
      </c>
      <c r="K60" s="17">
        <v>-88.9084</v>
      </c>
      <c r="L60" s="17">
        <v>3944</v>
      </c>
      <c r="M60" s="17" t="s">
        <v>618</v>
      </c>
      <c r="N60" s="17" t="s">
        <v>619</v>
      </c>
      <c r="O60" s="19" t="s">
        <v>620</v>
      </c>
      <c r="P60" s="19"/>
      <c r="Q60" s="19"/>
      <c r="S60" s="19">
        <v>0</v>
      </c>
      <c r="T60" s="19">
        <v>1</v>
      </c>
      <c r="U60" s="19" t="s">
        <v>637</v>
      </c>
      <c r="V60" s="19">
        <v>0.37111485256672522</v>
      </c>
      <c r="W60" s="19">
        <v>0.71552370422970812</v>
      </c>
      <c r="X60" s="19">
        <v>99.608979194472326</v>
      </c>
      <c r="Y60" s="19">
        <v>451.97448184296837</v>
      </c>
      <c r="Z60" s="19">
        <v>414.42574698607319</v>
      </c>
      <c r="AA60" s="19"/>
      <c r="AC60" s="17">
        <v>3</v>
      </c>
      <c r="AD60" s="17">
        <v>3.26538127024526</v>
      </c>
      <c r="AE60" s="17">
        <v>3.4871782651749901E-2</v>
      </c>
      <c r="AF60" s="17">
        <v>-3.2941558629922398</v>
      </c>
      <c r="AG60" s="17">
        <v>27.5140217792827</v>
      </c>
      <c r="AH60" s="17">
        <v>2.8763944757802199E-2</v>
      </c>
      <c r="AI60" s="17">
        <v>0.574496141003632</v>
      </c>
      <c r="AJ60" s="17">
        <v>8.2375170577115905E-3</v>
      </c>
      <c r="AK60" s="17">
        <v>2.2017839525711898E-2</v>
      </c>
      <c r="AL60" s="17">
        <v>0.25288882922517197</v>
      </c>
      <c r="AM60" s="17">
        <v>5.7557568363219597E-2</v>
      </c>
      <c r="AN60" s="17">
        <v>9.0131324041094099E-2</v>
      </c>
      <c r="AO60" s="17">
        <v>31.8</v>
      </c>
      <c r="AP60" s="17">
        <v>3</v>
      </c>
      <c r="AQ60" s="17">
        <v>24.1</v>
      </c>
      <c r="AR60" s="17">
        <v>40.1</v>
      </c>
      <c r="AS60" s="17">
        <v>8</v>
      </c>
      <c r="AT60" s="17">
        <v>0.43796304288389398</v>
      </c>
      <c r="AU60" s="17">
        <v>0.60996087997961002</v>
      </c>
      <c r="AV60" s="17">
        <v>-1.12106491435054</v>
      </c>
      <c r="AW60" s="17">
        <v>2.03451281372213</v>
      </c>
      <c r="AX60" s="17">
        <v>1.57778886403634</v>
      </c>
    </row>
    <row r="61" spans="1:50" s="17" customFormat="1" x14ac:dyDescent="0.2">
      <c r="A61" s="15" t="s">
        <v>129</v>
      </c>
      <c r="B61" s="17" t="s">
        <v>677</v>
      </c>
      <c r="C61" s="17" t="s">
        <v>171</v>
      </c>
      <c r="D61" s="17" t="s">
        <v>198</v>
      </c>
      <c r="E61" s="17" t="s">
        <v>212</v>
      </c>
      <c r="F61" s="17" t="s">
        <v>669</v>
      </c>
      <c r="H61" s="18" t="s">
        <v>198</v>
      </c>
      <c r="I61" s="26"/>
      <c r="J61" s="17">
        <v>33.967222</v>
      </c>
      <c r="K61" s="17">
        <v>-89.000833</v>
      </c>
      <c r="L61" s="17">
        <v>3483</v>
      </c>
      <c r="M61" s="17" t="s">
        <v>608</v>
      </c>
      <c r="N61" s="17" t="s">
        <v>614</v>
      </c>
      <c r="O61" s="19" t="s">
        <v>625</v>
      </c>
      <c r="P61" s="19" t="s">
        <v>632</v>
      </c>
      <c r="Q61" s="17" t="s">
        <v>630</v>
      </c>
      <c r="R61" s="17" t="s">
        <v>631</v>
      </c>
      <c r="S61" s="19"/>
      <c r="T61" s="19"/>
      <c r="U61" s="19"/>
      <c r="V61" s="19">
        <v>0.64867758654548013</v>
      </c>
      <c r="W61" s="19">
        <v>1.2971159469598381</v>
      </c>
      <c r="X61" s="19">
        <v>13.77377446751608</v>
      </c>
      <c r="Y61" s="19">
        <v>194.10289380674004</v>
      </c>
      <c r="Z61" s="19">
        <v>418.8285126883041</v>
      </c>
      <c r="AA61" s="19"/>
      <c r="AC61" s="17">
        <v>4</v>
      </c>
      <c r="AD61" s="17">
        <v>2.2780224590008502</v>
      </c>
      <c r="AE61" s="17">
        <v>8.1995545925749494E-2</v>
      </c>
      <c r="AF61" s="17">
        <v>-3.8271674636576898</v>
      </c>
      <c r="AG61" s="17">
        <v>26.964534790040599</v>
      </c>
      <c r="AH61" s="17">
        <v>3.8914124643977102E-2</v>
      </c>
      <c r="AI61" s="17">
        <v>0.57290975278140899</v>
      </c>
      <c r="AJ61" s="17">
        <v>7.8025211972958704E-3</v>
      </c>
      <c r="AK61" s="17">
        <v>1.9068008365715601E-2</v>
      </c>
      <c r="AL61" s="17">
        <v>0.173040166145317</v>
      </c>
      <c r="AM61" s="17">
        <v>1.34429894416375E-2</v>
      </c>
      <c r="AN61" s="17">
        <v>7.8056016296314604E-2</v>
      </c>
      <c r="AO61" s="17">
        <v>32.4</v>
      </c>
      <c r="AP61" s="17">
        <v>2.8</v>
      </c>
      <c r="AQ61" s="17">
        <v>25.6</v>
      </c>
      <c r="AR61" s="17">
        <v>39.6</v>
      </c>
      <c r="AS61" s="17">
        <v>7</v>
      </c>
      <c r="AT61" s="17">
        <v>1.9052101635793399E-2</v>
      </c>
      <c r="AU61" s="17">
        <v>0.57868682944769001</v>
      </c>
      <c r="AV61" s="17">
        <v>-1.3610329544386599</v>
      </c>
      <c r="AW61" s="17">
        <v>1.41641125121589</v>
      </c>
      <c r="AX61" s="17">
        <v>1.38872210282727</v>
      </c>
    </row>
    <row r="62" spans="1:50" s="17" customFormat="1" x14ac:dyDescent="0.2">
      <c r="A62" s="15" t="s">
        <v>27</v>
      </c>
      <c r="B62" s="17" t="s">
        <v>677</v>
      </c>
      <c r="C62" s="17" t="s">
        <v>168</v>
      </c>
      <c r="D62" s="17" t="s">
        <v>168</v>
      </c>
      <c r="E62" s="17" t="s">
        <v>203</v>
      </c>
      <c r="F62" s="17" t="s">
        <v>500</v>
      </c>
      <c r="H62" s="18">
        <v>0.15</v>
      </c>
      <c r="I62" s="26"/>
      <c r="J62" s="17">
        <v>34.55245</v>
      </c>
      <c r="K62" s="17">
        <v>-88.986997000000002</v>
      </c>
      <c r="L62" s="17">
        <v>3461</v>
      </c>
      <c r="M62" s="17" t="s">
        <v>618</v>
      </c>
      <c r="N62" s="17" t="s">
        <v>619</v>
      </c>
      <c r="O62" s="19" t="s">
        <v>620</v>
      </c>
      <c r="P62" s="19"/>
      <c r="Q62" s="19"/>
      <c r="R62" s="17" t="s">
        <v>624</v>
      </c>
      <c r="S62" s="19"/>
      <c r="T62" s="19"/>
      <c r="U62" s="19"/>
      <c r="V62" s="19">
        <v>1.2709999999999999</v>
      </c>
      <c r="W62" s="19">
        <v>1.2969999999999999</v>
      </c>
      <c r="X62" s="19">
        <v>4.6660000000000004</v>
      </c>
      <c r="Y62" s="19">
        <v>53.423000000000002</v>
      </c>
      <c r="Z62" s="19">
        <v>427.38099999999997</v>
      </c>
      <c r="AA62" s="19"/>
      <c r="AC62" s="17">
        <v>3</v>
      </c>
      <c r="AD62" s="17">
        <v>2.7250703161067098</v>
      </c>
      <c r="AE62" s="17">
        <v>1.21753069075532E-2</v>
      </c>
      <c r="AF62" s="17">
        <v>-1.5002545390433299</v>
      </c>
      <c r="AG62" s="17">
        <v>29.3633725931548</v>
      </c>
      <c r="AH62" s="17">
        <v>3.6757605472636602E-2</v>
      </c>
      <c r="AI62" s="17">
        <v>0.60699596205989903</v>
      </c>
      <c r="AJ62" s="17">
        <v>1.36831832830116E-2</v>
      </c>
      <c r="AK62" s="17">
        <v>2.2017839525711898E-2</v>
      </c>
      <c r="AL62" s="17">
        <v>0.27201423929032598</v>
      </c>
      <c r="AM62" s="17">
        <v>6.0238250732172396E-3</v>
      </c>
      <c r="AN62" s="17">
        <v>9.0131324041094099E-2</v>
      </c>
      <c r="AO62" s="17">
        <v>20.6</v>
      </c>
      <c r="AP62" s="17">
        <v>4.45</v>
      </c>
      <c r="AQ62" s="17">
        <v>13.8</v>
      </c>
      <c r="AR62" s="17">
        <v>28.1</v>
      </c>
      <c r="AS62" s="17">
        <v>7.15</v>
      </c>
      <c r="AT62" s="17">
        <v>-1.8196951352251699E-2</v>
      </c>
      <c r="AU62" s="17">
        <v>0.96571383387623699</v>
      </c>
      <c r="AV62" s="17">
        <v>-1.5072925190774</v>
      </c>
      <c r="AW62" s="17">
        <v>1.5468073843165899</v>
      </c>
      <c r="AX62" s="17">
        <v>1.527049951697</v>
      </c>
    </row>
    <row r="63" spans="1:50" s="17" customFormat="1" x14ac:dyDescent="0.2">
      <c r="A63" s="15" t="s">
        <v>20</v>
      </c>
      <c r="B63" s="17" t="s">
        <v>677</v>
      </c>
      <c r="C63" s="17" t="s">
        <v>167</v>
      </c>
      <c r="D63" s="17" t="s">
        <v>167</v>
      </c>
      <c r="E63" s="17" t="s">
        <v>203</v>
      </c>
      <c r="F63" s="17" t="s">
        <v>500</v>
      </c>
      <c r="H63" s="18">
        <v>-0.63</v>
      </c>
      <c r="I63" s="26"/>
      <c r="J63" s="17">
        <v>31.115717</v>
      </c>
      <c r="K63" s="17">
        <v>-96.832696999999996</v>
      </c>
      <c r="L63" s="17">
        <v>3621</v>
      </c>
      <c r="M63" s="17" t="s">
        <v>608</v>
      </c>
      <c r="N63" s="17" t="s">
        <v>614</v>
      </c>
      <c r="O63" s="19" t="s">
        <v>615</v>
      </c>
      <c r="P63" s="19" t="s">
        <v>612</v>
      </c>
      <c r="Q63" s="19" t="s">
        <v>613</v>
      </c>
      <c r="R63" s="17" t="s">
        <v>611</v>
      </c>
      <c r="S63" s="19">
        <v>0</v>
      </c>
      <c r="T63" s="19">
        <v>0</v>
      </c>
      <c r="U63" s="19" t="s">
        <v>637</v>
      </c>
      <c r="V63" s="19">
        <v>1.34</v>
      </c>
      <c r="W63" s="19">
        <v>1.6839999999999999</v>
      </c>
      <c r="X63" s="19">
        <v>286.86500000000001</v>
      </c>
      <c r="Y63" s="19">
        <v>196.96799999999999</v>
      </c>
      <c r="Z63" s="19">
        <v>432.68799999999999</v>
      </c>
      <c r="AA63" s="19"/>
      <c r="AC63" s="17">
        <v>3</v>
      </c>
      <c r="AD63" s="17">
        <v>0.54226230067022696</v>
      </c>
      <c r="AE63" s="17">
        <v>5.3090356959164399E-2</v>
      </c>
      <c r="AF63" s="17">
        <v>-1.6164272478314601</v>
      </c>
      <c r="AG63" s="17">
        <v>29.243608985938099</v>
      </c>
      <c r="AH63" s="17">
        <v>5.8315193209553702E-2</v>
      </c>
      <c r="AI63" s="17">
        <v>0.593346616056871</v>
      </c>
      <c r="AJ63" s="17">
        <v>7.2163248145387798E-3</v>
      </c>
      <c r="AK63" s="17">
        <v>2.2017839525711898E-2</v>
      </c>
      <c r="AL63" s="17">
        <v>0.25875902969008802</v>
      </c>
      <c r="AM63" s="17">
        <v>5.6487336830489503E-2</v>
      </c>
      <c r="AN63" s="17">
        <v>9.0131324041094099E-2</v>
      </c>
      <c r="AO63" s="17">
        <v>25.2</v>
      </c>
      <c r="AP63" s="17">
        <v>2.4500000000000002</v>
      </c>
      <c r="AQ63" s="17">
        <v>18</v>
      </c>
      <c r="AR63" s="17">
        <v>32.9</v>
      </c>
      <c r="AS63" s="17">
        <v>7.45</v>
      </c>
      <c r="AT63" s="17">
        <v>0.81212377381711998</v>
      </c>
      <c r="AU63" s="17">
        <v>0.55339912542620995</v>
      </c>
      <c r="AV63" s="17">
        <v>-0.73905624340966403</v>
      </c>
      <c r="AW63" s="17">
        <v>2.3917421238977599</v>
      </c>
      <c r="AX63" s="17">
        <v>1.56539918365371</v>
      </c>
    </row>
    <row r="64" spans="1:50" s="17" customFormat="1" x14ac:dyDescent="0.2">
      <c r="A64" s="15" t="s">
        <v>154</v>
      </c>
      <c r="B64" s="17" t="s">
        <v>677</v>
      </c>
      <c r="C64" s="17" t="s">
        <v>173</v>
      </c>
      <c r="D64" s="17" t="s">
        <v>666</v>
      </c>
      <c r="E64" s="17" t="s">
        <v>203</v>
      </c>
      <c r="F64" s="17" t="s">
        <v>500</v>
      </c>
      <c r="H64" s="18">
        <v>0.7</v>
      </c>
      <c r="I64" s="26"/>
      <c r="J64" s="17">
        <v>33.440736999999999</v>
      </c>
      <c r="K64" s="17">
        <v>-88.9084</v>
      </c>
      <c r="L64" s="17">
        <v>3944</v>
      </c>
      <c r="M64" s="17" t="s">
        <v>618</v>
      </c>
      <c r="N64" s="17" t="s">
        <v>619</v>
      </c>
      <c r="O64" s="19" t="s">
        <v>620</v>
      </c>
      <c r="P64" s="19"/>
      <c r="Q64" s="17" t="s">
        <v>627</v>
      </c>
      <c r="S64" s="19"/>
      <c r="T64" s="19"/>
      <c r="U64" s="19"/>
      <c r="V64" s="19">
        <v>1.034</v>
      </c>
      <c r="W64" s="19">
        <v>1.8420000000000001</v>
      </c>
      <c r="X64" s="19">
        <v>3.8530000000000002</v>
      </c>
      <c r="Y64" s="19">
        <v>69.378</v>
      </c>
      <c r="Z64" s="19">
        <v>444.62400000000002</v>
      </c>
      <c r="AA64" s="19"/>
      <c r="AC64" s="17">
        <v>3</v>
      </c>
      <c r="AD64" s="17">
        <v>2.9548542320254398</v>
      </c>
      <c r="AE64" s="17">
        <v>4.0171935137129598E-2</v>
      </c>
      <c r="AF64" s="17">
        <v>-0.73306356362625602</v>
      </c>
      <c r="AG64" s="17">
        <v>30.154277441622099</v>
      </c>
      <c r="AH64" s="17">
        <v>0.17667519754080699</v>
      </c>
      <c r="AI64" s="17">
        <v>0.60196276963347095</v>
      </c>
      <c r="AJ64" s="17">
        <v>8.9352655114749904E-3</v>
      </c>
      <c r="AK64" s="17">
        <v>2.2017839525711898E-2</v>
      </c>
      <c r="AL64" s="17">
        <v>0.17265936460537001</v>
      </c>
      <c r="AM64" s="17">
        <v>5.1272377839160103E-2</v>
      </c>
      <c r="AN64" s="17">
        <v>9.0131324041094099E-2</v>
      </c>
      <c r="AO64" s="17">
        <v>22.3</v>
      </c>
      <c r="AP64" s="17">
        <v>2.95</v>
      </c>
      <c r="AQ64" s="17">
        <v>15.3</v>
      </c>
      <c r="AR64" s="17">
        <v>29.8</v>
      </c>
      <c r="AS64" s="17">
        <v>7.25</v>
      </c>
      <c r="AT64" s="17">
        <v>1.1036292607320799</v>
      </c>
      <c r="AU64" s="17">
        <v>0.78174757122110305</v>
      </c>
      <c r="AV64" s="17">
        <v>-0.54929273247603305</v>
      </c>
      <c r="AW64" s="17">
        <v>2.7891749898460598</v>
      </c>
      <c r="AX64" s="17">
        <v>1.66923386116105</v>
      </c>
    </row>
    <row r="65" spans="1:50" s="17" customFormat="1" x14ac:dyDescent="0.2">
      <c r="A65" s="15" t="s">
        <v>45</v>
      </c>
      <c r="B65" s="17" t="s">
        <v>677</v>
      </c>
      <c r="C65" s="17" t="s">
        <v>168</v>
      </c>
      <c r="D65" s="17" t="s">
        <v>168</v>
      </c>
      <c r="E65" s="17" t="s">
        <v>203</v>
      </c>
      <c r="F65" s="17" t="s">
        <v>500</v>
      </c>
      <c r="H65" s="18">
        <v>-0.06</v>
      </c>
      <c r="I65" s="26"/>
      <c r="J65" s="17">
        <v>34.55245</v>
      </c>
      <c r="K65" s="17">
        <v>-88.986997000000002</v>
      </c>
      <c r="L65" s="17">
        <v>3461</v>
      </c>
      <c r="M65" s="17" t="s">
        <v>608</v>
      </c>
      <c r="N65" s="17" t="s">
        <v>614</v>
      </c>
      <c r="O65" s="19" t="s">
        <v>621</v>
      </c>
      <c r="P65" s="19"/>
      <c r="Q65" s="19"/>
      <c r="S65" s="19">
        <v>0</v>
      </c>
      <c r="T65" s="19">
        <v>0</v>
      </c>
      <c r="U65" s="19" t="s">
        <v>637</v>
      </c>
      <c r="V65" s="19">
        <v>1.387</v>
      </c>
      <c r="W65" s="19">
        <v>1.395</v>
      </c>
      <c r="X65" s="19">
        <v>4.9089999999999998</v>
      </c>
      <c r="Y65" s="19">
        <v>60.789000000000001</v>
      </c>
      <c r="Z65" s="19">
        <v>468.73899999999998</v>
      </c>
      <c r="AA65" s="19"/>
      <c r="AC65" s="17">
        <v>3</v>
      </c>
      <c r="AD65" s="17">
        <v>0.61685716827623904</v>
      </c>
      <c r="AE65" s="17">
        <v>2.36568547913278E-2</v>
      </c>
      <c r="AF65" s="17">
        <v>-2.5154102816695199</v>
      </c>
      <c r="AG65" s="17">
        <v>28.3168383865241</v>
      </c>
      <c r="AH65" s="17">
        <v>3.6461732960854802E-2</v>
      </c>
      <c r="AI65" s="17">
        <v>0.57435731605429896</v>
      </c>
      <c r="AJ65" s="17">
        <v>1.12446262134062E-2</v>
      </c>
      <c r="AK65" s="17">
        <v>2.2017839525711898E-2</v>
      </c>
      <c r="AL65" s="17">
        <v>0.26192784223347498</v>
      </c>
      <c r="AM65" s="17">
        <v>7.7923029651770601E-2</v>
      </c>
      <c r="AN65" s="17">
        <v>9.0131324041094099E-2</v>
      </c>
      <c r="AO65" s="17">
        <v>31.8</v>
      </c>
      <c r="AP65" s="17">
        <v>4.0999999999999996</v>
      </c>
      <c r="AQ65" s="17">
        <v>24.1</v>
      </c>
      <c r="AR65" s="17">
        <v>40.200000000000003</v>
      </c>
      <c r="AS65" s="17">
        <v>8.0500000000000007</v>
      </c>
      <c r="AT65" s="17">
        <v>1.2196246009954199</v>
      </c>
      <c r="AU65" s="17">
        <v>0.83152348748672</v>
      </c>
      <c r="AV65" s="17">
        <v>-0.34808308013759898</v>
      </c>
      <c r="AW65" s="17">
        <v>2.8433271770750301</v>
      </c>
      <c r="AX65" s="17">
        <v>1.59570512860631</v>
      </c>
    </row>
    <row r="66" spans="1:50" s="17" customFormat="1" x14ac:dyDescent="0.2">
      <c r="A66" s="15" t="s">
        <v>663</v>
      </c>
      <c r="B66" s="17" t="s">
        <v>677</v>
      </c>
      <c r="C66" s="17" t="s">
        <v>169</v>
      </c>
      <c r="D66" s="17" t="s">
        <v>169</v>
      </c>
      <c r="E66" s="17" t="s">
        <v>203</v>
      </c>
      <c r="F66" s="17" t="s">
        <v>500</v>
      </c>
      <c r="H66" s="18">
        <v>-3.5</v>
      </c>
      <c r="I66" s="26"/>
      <c r="J66" s="17">
        <v>34.376944000000002</v>
      </c>
      <c r="K66" s="17">
        <v>-91.851667000000006</v>
      </c>
      <c r="L66" s="17">
        <v>3596</v>
      </c>
      <c r="M66" s="17" t="s">
        <v>608</v>
      </c>
      <c r="N66" s="17" t="s">
        <v>614</v>
      </c>
      <c r="O66" s="19" t="s">
        <v>617</v>
      </c>
      <c r="P66" s="19" t="s">
        <v>612</v>
      </c>
      <c r="Q66" s="19"/>
      <c r="S66" s="19"/>
      <c r="T66" s="19"/>
      <c r="U66" s="19"/>
      <c r="V66" s="19">
        <v>1.3009999999999999</v>
      </c>
      <c r="W66" s="19">
        <v>4.1289999999999996</v>
      </c>
      <c r="X66" s="19">
        <v>17.876000000000001</v>
      </c>
      <c r="Y66" s="19">
        <v>1302.2670000000001</v>
      </c>
      <c r="Z66" s="19">
        <v>477.32</v>
      </c>
      <c r="AA66" s="19"/>
      <c r="AC66" s="17">
        <v>3</v>
      </c>
      <c r="AD66" s="17">
        <v>1.6241864688504899</v>
      </c>
      <c r="AE66" s="17">
        <v>7.9573864499447297E-2</v>
      </c>
      <c r="AF66" s="17">
        <v>-2.2600064392481198</v>
      </c>
      <c r="AG66" s="17">
        <v>28.580136761714702</v>
      </c>
      <c r="AH66" s="17">
        <v>1.8081105500391399E-2</v>
      </c>
      <c r="AI66" s="17">
        <v>0.58047844470855003</v>
      </c>
      <c r="AJ66" s="17">
        <v>3.70445919011704E-3</v>
      </c>
      <c r="AK66" s="17">
        <v>2.2017839525711898E-2</v>
      </c>
      <c r="AL66" s="17">
        <v>0.29238612479801701</v>
      </c>
      <c r="AM66" s="17">
        <v>5.4953371370446901E-3</v>
      </c>
      <c r="AN66" s="17">
        <v>9.0131324041094099E-2</v>
      </c>
      <c r="AO66" s="17">
        <v>29.6</v>
      </c>
      <c r="AP66" s="17">
        <v>1.35</v>
      </c>
      <c r="AQ66" s="17">
        <v>22.1</v>
      </c>
      <c r="AR66" s="17">
        <v>37.799999999999997</v>
      </c>
      <c r="AS66" s="17">
        <v>7.85</v>
      </c>
      <c r="AT66" s="17">
        <v>1.0458021661215799</v>
      </c>
      <c r="AU66" s="17">
        <v>0.28343886604449198</v>
      </c>
      <c r="AV66" s="17">
        <v>-0.48501043968747098</v>
      </c>
      <c r="AW66" s="17">
        <v>2.63679336767348</v>
      </c>
      <c r="AX66" s="17">
        <v>1.5609019036804701</v>
      </c>
    </row>
    <row r="67" spans="1:50" s="17" customFormat="1" x14ac:dyDescent="0.2">
      <c r="A67" s="15" t="s">
        <v>151</v>
      </c>
      <c r="B67" s="17" t="s">
        <v>677</v>
      </c>
      <c r="C67" s="17" t="s">
        <v>173</v>
      </c>
      <c r="D67" s="17" t="s">
        <v>666</v>
      </c>
      <c r="E67" s="17" t="s">
        <v>203</v>
      </c>
      <c r="F67" s="17" t="s">
        <v>500</v>
      </c>
      <c r="H67" s="18">
        <v>-0.2</v>
      </c>
      <c r="I67" s="26"/>
      <c r="J67" s="17">
        <v>33.440736999999999</v>
      </c>
      <c r="K67" s="17">
        <v>-88.9084</v>
      </c>
      <c r="L67" s="17">
        <v>3944</v>
      </c>
      <c r="M67" s="17" t="s">
        <v>608</v>
      </c>
      <c r="N67" s="17" t="s">
        <v>614</v>
      </c>
      <c r="O67" s="19" t="s">
        <v>625</v>
      </c>
      <c r="P67" s="19" t="s">
        <v>612</v>
      </c>
      <c r="Q67" s="17" t="s">
        <v>613</v>
      </c>
      <c r="R67" s="17" t="s">
        <v>622</v>
      </c>
      <c r="S67" s="19"/>
      <c r="T67" s="19"/>
      <c r="U67" s="19"/>
      <c r="V67" s="19">
        <v>1.6220000000000001</v>
      </c>
      <c r="W67" s="19">
        <v>2.6560000000000001</v>
      </c>
      <c r="X67" s="19">
        <v>7.9960000000000004</v>
      </c>
      <c r="Y67" s="19">
        <v>250.03800000000001</v>
      </c>
      <c r="Z67" s="19">
        <v>514.48500000000001</v>
      </c>
      <c r="AA67" s="19"/>
      <c r="AC67" s="17">
        <v>3</v>
      </c>
      <c r="AD67" s="17">
        <v>3.7804366226502801</v>
      </c>
      <c r="AE67" s="17">
        <v>5.0668588298946202E-2</v>
      </c>
      <c r="AF67" s="17">
        <v>-3.4226170623256298</v>
      </c>
      <c r="AG67" s="17">
        <v>27.381589844277901</v>
      </c>
      <c r="AH67" s="17">
        <v>5.8173049405419702E-2</v>
      </c>
      <c r="AI67" s="17">
        <v>0.57770444191806902</v>
      </c>
      <c r="AJ67" s="17">
        <v>9.0034144186494497E-3</v>
      </c>
      <c r="AK67" s="17">
        <v>2.2017839525711898E-2</v>
      </c>
      <c r="AL67" s="17">
        <v>0.15265599048855999</v>
      </c>
      <c r="AM67" s="17">
        <v>6.6538100755481597E-2</v>
      </c>
      <c r="AN67" s="17">
        <v>9.0131324041094099E-2</v>
      </c>
      <c r="AO67" s="17">
        <v>30.6</v>
      </c>
      <c r="AP67" s="17">
        <v>3.2</v>
      </c>
      <c r="AQ67" s="17">
        <v>23</v>
      </c>
      <c r="AR67" s="17">
        <v>38.799999999999997</v>
      </c>
      <c r="AS67" s="17">
        <v>7.9</v>
      </c>
      <c r="AT67" s="17">
        <v>7.5397870946972007E-2</v>
      </c>
      <c r="AU67" s="17">
        <v>0.682074592884646</v>
      </c>
      <c r="AV67" s="17">
        <v>-1.5033834469031699</v>
      </c>
      <c r="AW67" s="17">
        <v>1.69374953064732</v>
      </c>
      <c r="AX67" s="17">
        <v>1.59856648877525</v>
      </c>
    </row>
    <row r="68" spans="1:50" s="17" customFormat="1" x14ac:dyDescent="0.2">
      <c r="A68" s="15" t="s">
        <v>54</v>
      </c>
      <c r="B68" s="17" t="s">
        <v>677</v>
      </c>
      <c r="C68" s="17" t="s">
        <v>169</v>
      </c>
      <c r="D68" s="17" t="s">
        <v>169</v>
      </c>
      <c r="E68" s="17" t="s">
        <v>211</v>
      </c>
      <c r="F68" s="17" t="s">
        <v>670</v>
      </c>
      <c r="H68" s="18">
        <v>-4</v>
      </c>
      <c r="I68" s="26"/>
      <c r="J68" s="17">
        <v>34.376944000000002</v>
      </c>
      <c r="K68" s="17">
        <v>-91.851667000000006</v>
      </c>
      <c r="L68" s="17">
        <v>3596</v>
      </c>
      <c r="M68" s="17" t="s">
        <v>608</v>
      </c>
      <c r="N68" s="17" t="s">
        <v>614</v>
      </c>
      <c r="O68" s="19" t="s">
        <v>617</v>
      </c>
      <c r="P68" s="19" t="s">
        <v>612</v>
      </c>
      <c r="Q68" s="19"/>
      <c r="S68" s="19">
        <v>0</v>
      </c>
      <c r="T68" s="19">
        <v>0</v>
      </c>
      <c r="U68" s="19" t="s">
        <v>637</v>
      </c>
      <c r="V68" s="19">
        <v>2.8780000000000001</v>
      </c>
      <c r="W68" s="19">
        <v>0.26400000000000001</v>
      </c>
      <c r="X68" s="19">
        <v>13.973000000000001</v>
      </c>
      <c r="Y68" s="19">
        <v>81.674999999999997</v>
      </c>
      <c r="Z68" s="19">
        <v>568.43499999999995</v>
      </c>
      <c r="AA68" s="19"/>
      <c r="AC68" s="17">
        <v>3</v>
      </c>
      <c r="AD68" s="17">
        <v>3.54207639892766</v>
      </c>
      <c r="AE68" s="17">
        <v>4.75554327771993E-2</v>
      </c>
      <c r="AF68" s="17">
        <v>-0.49993203428368199</v>
      </c>
      <c r="AG68" s="17">
        <v>30.394615066536598</v>
      </c>
      <c r="AH68" s="17">
        <v>9.8366351179536599E-2</v>
      </c>
      <c r="AI68" s="17">
        <v>0.58860738748576202</v>
      </c>
      <c r="AJ68" s="17">
        <v>5.7224541846149701E-3</v>
      </c>
      <c r="AK68" s="17">
        <v>2.2017839525711898E-2</v>
      </c>
      <c r="AL68" s="17">
        <v>0.254741210118623</v>
      </c>
      <c r="AM68" s="17">
        <v>3.1372734309832298E-2</v>
      </c>
      <c r="AN68" s="17">
        <v>9.0131324041094099E-2</v>
      </c>
      <c r="AO68" s="17">
        <v>26.8</v>
      </c>
      <c r="AP68" s="17">
        <v>2</v>
      </c>
      <c r="AQ68" s="17">
        <v>19.5</v>
      </c>
      <c r="AR68" s="17">
        <v>34.700000000000003</v>
      </c>
      <c r="AS68" s="17">
        <v>7.6</v>
      </c>
      <c r="AT68" s="17">
        <v>2.2543692344347601</v>
      </c>
      <c r="AU68" s="17">
        <v>0.49740030674394098</v>
      </c>
      <c r="AV68" s="17">
        <v>0.65716577668501897</v>
      </c>
      <c r="AW68" s="17">
        <v>3.89740150273474</v>
      </c>
      <c r="AX68" s="17">
        <v>1.62011786302486</v>
      </c>
    </row>
    <row r="69" spans="1:50" s="17" customFormat="1" x14ac:dyDescent="0.2">
      <c r="A69" s="15" t="s">
        <v>155</v>
      </c>
      <c r="B69" s="17" t="s">
        <v>677</v>
      </c>
      <c r="C69" s="17" t="s">
        <v>173</v>
      </c>
      <c r="D69" s="17" t="s">
        <v>666</v>
      </c>
      <c r="E69" s="17" t="s">
        <v>203</v>
      </c>
      <c r="F69" s="17" t="s">
        <v>500</v>
      </c>
      <c r="H69" s="18">
        <v>1.35</v>
      </c>
      <c r="I69" s="26"/>
      <c r="J69" s="17">
        <v>33.440736999999999</v>
      </c>
      <c r="K69" s="17">
        <v>-88.9084</v>
      </c>
      <c r="L69" s="17">
        <v>3944</v>
      </c>
      <c r="M69" s="17" t="s">
        <v>618</v>
      </c>
      <c r="N69" s="17" t="s">
        <v>619</v>
      </c>
      <c r="O69" s="19" t="s">
        <v>620</v>
      </c>
      <c r="P69" s="19"/>
      <c r="Q69" s="17" t="s">
        <v>628</v>
      </c>
      <c r="S69" s="19"/>
      <c r="T69" s="19"/>
      <c r="U69" s="19"/>
      <c r="V69" s="19">
        <v>0.86299999999999999</v>
      </c>
      <c r="W69" s="19">
        <v>2.8929999999999998</v>
      </c>
      <c r="X69" s="19">
        <v>2.5830000000000002</v>
      </c>
      <c r="Y69" s="19">
        <v>404.15100000000001</v>
      </c>
      <c r="Z69" s="19">
        <v>611.63099999999997</v>
      </c>
      <c r="AA69" s="19"/>
      <c r="AC69" s="17">
        <v>3</v>
      </c>
      <c r="AD69" s="17">
        <v>0.93028703655665301</v>
      </c>
      <c r="AE69" s="17">
        <v>2.83176122826857E-2</v>
      </c>
      <c r="AF69" s="17">
        <v>-0.40038412093603498</v>
      </c>
      <c r="AG69" s="17">
        <v>30.4972400058858</v>
      </c>
      <c r="AH69" s="17">
        <v>0.128814929278044</v>
      </c>
      <c r="AI69" s="17">
        <v>0.57449701209590098</v>
      </c>
      <c r="AJ69" s="17">
        <v>1.4163906596464999E-2</v>
      </c>
      <c r="AK69" s="17">
        <v>2.2017839525711898E-2</v>
      </c>
      <c r="AL69" s="17">
        <v>0.119433730437247</v>
      </c>
      <c r="AM69" s="17">
        <v>4.4886157441087801E-2</v>
      </c>
      <c r="AN69" s="17">
        <v>9.0131324041094099E-2</v>
      </c>
      <c r="AO69" s="17">
        <v>31.8</v>
      </c>
      <c r="AP69" s="17">
        <v>5.15</v>
      </c>
      <c r="AQ69" s="17">
        <v>24.1</v>
      </c>
      <c r="AR69" s="17">
        <v>40.1</v>
      </c>
      <c r="AS69" s="17">
        <v>8</v>
      </c>
      <c r="AT69" s="17">
        <v>3.3425703793046799</v>
      </c>
      <c r="AU69" s="17">
        <v>1.1275195881544799</v>
      </c>
      <c r="AV69" s="17">
        <v>1.6818317719875</v>
      </c>
      <c r="AW69" s="17">
        <v>5.0412412972126504</v>
      </c>
      <c r="AX69" s="17">
        <v>1.6797047626125701</v>
      </c>
    </row>
    <row r="70" spans="1:50" s="17" customFormat="1" x14ac:dyDescent="0.2">
      <c r="A70" s="15" t="s">
        <v>58</v>
      </c>
      <c r="B70" s="17" t="s">
        <v>677</v>
      </c>
      <c r="C70" s="17" t="s">
        <v>169</v>
      </c>
      <c r="D70" s="17" t="s">
        <v>169</v>
      </c>
      <c r="E70" s="17" t="s">
        <v>210</v>
      </c>
      <c r="F70" s="17" t="s">
        <v>669</v>
      </c>
      <c r="H70" s="18">
        <v>2.5</v>
      </c>
      <c r="I70" s="26"/>
      <c r="J70" s="17">
        <v>34.376944000000002</v>
      </c>
      <c r="K70" s="17">
        <v>-91.851667000000006</v>
      </c>
      <c r="L70" s="17">
        <v>3596</v>
      </c>
      <c r="M70" s="17" t="s">
        <v>618</v>
      </c>
      <c r="N70" s="17" t="s">
        <v>619</v>
      </c>
      <c r="O70" s="19" t="s">
        <v>620</v>
      </c>
      <c r="P70" s="19"/>
      <c r="Q70" s="19"/>
      <c r="S70" s="19"/>
      <c r="T70" s="19"/>
      <c r="U70" s="19"/>
      <c r="V70" s="19">
        <v>4.0679999999999996</v>
      </c>
      <c r="W70" s="19">
        <v>0.65200000000000002</v>
      </c>
      <c r="X70" s="19">
        <v>143.21700000000001</v>
      </c>
      <c r="Y70" s="19">
        <v>24.951000000000001</v>
      </c>
      <c r="Z70" s="19">
        <v>639.91999999999996</v>
      </c>
      <c r="AA70" s="19"/>
      <c r="AC70" s="17">
        <v>3</v>
      </c>
      <c r="AD70" s="17">
        <v>-0.12873541338119801</v>
      </c>
      <c r="AE70" s="17">
        <v>4.86646666372927E-2</v>
      </c>
      <c r="AF70" s="17">
        <v>-3.3655559822110099</v>
      </c>
      <c r="AG70" s="17">
        <v>27.440414682378801</v>
      </c>
      <c r="AH70" s="17">
        <v>4.1859170597510001E-2</v>
      </c>
      <c r="AI70" s="17">
        <v>0.569872069731302</v>
      </c>
      <c r="AJ70" s="17">
        <v>1.17044965018247E-2</v>
      </c>
      <c r="AK70" s="17">
        <v>2.2017839525711898E-2</v>
      </c>
      <c r="AL70" s="17">
        <v>0.28132030227361698</v>
      </c>
      <c r="AM70" s="17">
        <v>4.21490090114593E-2</v>
      </c>
      <c r="AN70" s="17">
        <v>9.0131324041094099E-2</v>
      </c>
      <c r="AO70" s="17">
        <v>33.5</v>
      </c>
      <c r="AP70" s="17">
        <v>4.3499999999999996</v>
      </c>
      <c r="AQ70" s="17">
        <v>25.7</v>
      </c>
      <c r="AR70" s="17">
        <v>41.9</v>
      </c>
      <c r="AS70" s="17">
        <v>8.1</v>
      </c>
      <c r="AT70" s="17">
        <v>0.69424227239505898</v>
      </c>
      <c r="AU70" s="17">
        <v>0.87556964389932501</v>
      </c>
      <c r="AV70" s="17">
        <v>-0.88094851937785301</v>
      </c>
      <c r="AW70" s="17">
        <v>2.3050568148182702</v>
      </c>
      <c r="AX70" s="17">
        <v>1.5930026670980599</v>
      </c>
    </row>
    <row r="71" spans="1:50" s="17" customFormat="1" x14ac:dyDescent="0.2">
      <c r="A71" s="15" t="s">
        <v>59</v>
      </c>
      <c r="B71" s="17" t="s">
        <v>677</v>
      </c>
      <c r="C71" s="17" t="s">
        <v>169</v>
      </c>
      <c r="D71" s="17" t="s">
        <v>169</v>
      </c>
      <c r="E71" s="17" t="s">
        <v>211</v>
      </c>
      <c r="F71" s="17" t="s">
        <v>670</v>
      </c>
      <c r="H71" s="18">
        <v>-0.5</v>
      </c>
      <c r="I71" s="26"/>
      <c r="J71" s="17">
        <v>34.376944000000002</v>
      </c>
      <c r="K71" s="17">
        <v>-91.851667000000006</v>
      </c>
      <c r="L71" s="17">
        <v>3596</v>
      </c>
      <c r="M71" s="17" t="s">
        <v>608</v>
      </c>
      <c r="N71" s="17" t="s">
        <v>614</v>
      </c>
      <c r="O71" s="19" t="s">
        <v>617</v>
      </c>
      <c r="P71" s="19" t="s">
        <v>612</v>
      </c>
      <c r="Q71" s="19"/>
      <c r="S71" s="19"/>
      <c r="T71" s="19"/>
      <c r="U71" s="19"/>
      <c r="V71" s="19">
        <v>1.2070000000000001</v>
      </c>
      <c r="W71" s="19">
        <v>1.8129999999999999</v>
      </c>
      <c r="X71" s="19">
        <v>21.794</v>
      </c>
      <c r="Y71" s="19">
        <v>1138.895</v>
      </c>
      <c r="Z71" s="19">
        <v>647.32500000000005</v>
      </c>
      <c r="AA71" s="19"/>
      <c r="AC71" s="17">
        <v>3</v>
      </c>
      <c r="AD71" s="17">
        <v>-0.13410276232465099</v>
      </c>
      <c r="AE71" s="17">
        <v>3.8581679537146002E-2</v>
      </c>
      <c r="AF71" s="17">
        <v>-0.28716064485394099</v>
      </c>
      <c r="AG71" s="17">
        <v>30.613963219613598</v>
      </c>
      <c r="AH71" s="17">
        <v>5.6954219531602297E-2</v>
      </c>
      <c r="AI71" s="17">
        <v>0.60053697563146902</v>
      </c>
      <c r="AJ71" s="17">
        <v>6.3241170242614398E-3</v>
      </c>
      <c r="AK71" s="17">
        <v>2.2017839525711898E-2</v>
      </c>
      <c r="AL71" s="17">
        <v>0.27974901183657602</v>
      </c>
      <c r="AM71" s="17">
        <v>2.1888758610410598E-2</v>
      </c>
      <c r="AN71" s="17">
        <v>9.0131324041094099E-2</v>
      </c>
      <c r="AO71" s="17">
        <v>22.8</v>
      </c>
      <c r="AP71" s="17">
        <v>2.1</v>
      </c>
      <c r="AQ71" s="17">
        <v>15.7</v>
      </c>
      <c r="AR71" s="17">
        <v>30.3</v>
      </c>
      <c r="AS71" s="17">
        <v>7.3</v>
      </c>
      <c r="AT71" s="17">
        <v>0.87948122364173298</v>
      </c>
      <c r="AU71" s="17">
        <v>0.48440488093234502</v>
      </c>
      <c r="AV71" s="17">
        <v>-0.66098042019848402</v>
      </c>
      <c r="AW71" s="17">
        <v>2.43052279947005</v>
      </c>
      <c r="AX71" s="17">
        <v>1.5457516098342701</v>
      </c>
    </row>
    <row r="72" spans="1:50" s="17" customFormat="1" x14ac:dyDescent="0.2">
      <c r="A72" s="15" t="s">
        <v>37</v>
      </c>
      <c r="B72" s="17" t="s">
        <v>677</v>
      </c>
      <c r="C72" s="17" t="s">
        <v>168</v>
      </c>
      <c r="D72" s="17" t="s">
        <v>168</v>
      </c>
      <c r="E72" s="17" t="s">
        <v>206</v>
      </c>
      <c r="F72" s="17" t="s">
        <v>500</v>
      </c>
      <c r="H72" s="18">
        <v>-0.25</v>
      </c>
      <c r="I72" s="26"/>
      <c r="J72" s="17">
        <v>34.55245</v>
      </c>
      <c r="K72" s="17">
        <v>-88.986997000000002</v>
      </c>
      <c r="L72" s="17">
        <v>3461</v>
      </c>
      <c r="M72" s="17" t="s">
        <v>608</v>
      </c>
      <c r="N72" s="17" t="s">
        <v>614</v>
      </c>
      <c r="O72" s="19" t="s">
        <v>621</v>
      </c>
      <c r="P72" s="19"/>
      <c r="Q72" s="19"/>
      <c r="S72" s="19">
        <v>0</v>
      </c>
      <c r="T72" s="19">
        <v>0</v>
      </c>
      <c r="U72" s="19" t="s">
        <v>637</v>
      </c>
      <c r="V72" s="19">
        <v>1.19</v>
      </c>
      <c r="W72" s="19">
        <v>1.466</v>
      </c>
      <c r="X72" s="19">
        <v>4.2770000000000001</v>
      </c>
      <c r="Y72" s="19">
        <v>65.094999999999999</v>
      </c>
      <c r="Z72" s="19">
        <v>655.04999999999995</v>
      </c>
      <c r="AA72" s="19"/>
      <c r="AC72" s="17">
        <v>3</v>
      </c>
      <c r="AD72" s="17">
        <v>1.56985534439227</v>
      </c>
      <c r="AE72" s="17">
        <v>3.83568421572461E-2</v>
      </c>
      <c r="AF72" s="17">
        <v>-1.7001362480580899</v>
      </c>
      <c r="AG72" s="17">
        <v>29.1573125405144</v>
      </c>
      <c r="AH72" s="17">
        <v>2.4345855048863899E-2</v>
      </c>
      <c r="AI72" s="17">
        <v>0.58164998534266599</v>
      </c>
      <c r="AJ72" s="17">
        <v>1.10662057869403E-2</v>
      </c>
      <c r="AK72" s="17">
        <v>2.2017839525711898E-2</v>
      </c>
      <c r="AL72" s="17">
        <v>0.18731717351076699</v>
      </c>
      <c r="AM72" s="17">
        <v>3.2177937900087002E-2</v>
      </c>
      <c r="AN72" s="17">
        <v>9.0131324041094099E-2</v>
      </c>
      <c r="AO72" s="17">
        <v>29.2</v>
      </c>
      <c r="AP72" s="17">
        <v>3.9</v>
      </c>
      <c r="AQ72" s="17">
        <v>21.7</v>
      </c>
      <c r="AR72" s="17">
        <v>37.299999999999997</v>
      </c>
      <c r="AS72" s="17">
        <v>7.8</v>
      </c>
      <c r="AT72" s="17">
        <v>1.5286155525318501</v>
      </c>
      <c r="AU72" s="17">
        <v>0.79419045276830502</v>
      </c>
      <c r="AV72" s="17">
        <v>-1.3069240227878301E-2</v>
      </c>
      <c r="AW72" s="17">
        <v>3.1118267320002801</v>
      </c>
      <c r="AX72" s="17">
        <v>1.5624479861140801</v>
      </c>
    </row>
    <row r="73" spans="1:50" s="17" customFormat="1" x14ac:dyDescent="0.2">
      <c r="A73" s="15" t="s">
        <v>15</v>
      </c>
      <c r="B73" s="17" t="s">
        <v>677</v>
      </c>
      <c r="C73" s="17" t="s">
        <v>166</v>
      </c>
      <c r="D73" s="17" t="s">
        <v>198</v>
      </c>
      <c r="E73" s="17" t="s">
        <v>242</v>
      </c>
      <c r="F73" s="17" t="s">
        <v>668</v>
      </c>
      <c r="H73" s="18">
        <v>0</v>
      </c>
      <c r="I73" s="26"/>
      <c r="J73" s="17">
        <v>32.006</v>
      </c>
      <c r="K73" s="17">
        <v>-86.751000000000005</v>
      </c>
      <c r="O73" s="19"/>
      <c r="P73" s="19"/>
      <c r="Q73" s="19"/>
      <c r="S73" s="19"/>
      <c r="T73" s="19"/>
      <c r="U73" s="19"/>
      <c r="V73" s="19">
        <v>0.75872515311915989</v>
      </c>
      <c r="W73" s="19">
        <v>1.2601348851893861</v>
      </c>
      <c r="X73" s="19">
        <v>7.215800599903722</v>
      </c>
      <c r="Y73" s="19">
        <v>51.286224296567823</v>
      </c>
      <c r="Z73" s="19">
        <v>687.2968518709846</v>
      </c>
      <c r="AA73" s="19"/>
      <c r="AC73" s="17">
        <v>4</v>
      </c>
      <c r="AD73" s="17">
        <v>1.25904822271026</v>
      </c>
      <c r="AE73" s="17">
        <v>5.2862569639966203E-2</v>
      </c>
      <c r="AF73" s="17">
        <v>-1.4833300134998499</v>
      </c>
      <c r="AG73" s="17">
        <v>29.380820255782901</v>
      </c>
      <c r="AH73" s="17">
        <v>2.2618745791057999E-2</v>
      </c>
      <c r="AI73" s="17">
        <v>0.607338884104486</v>
      </c>
      <c r="AJ73" s="17">
        <v>8.9875555731637902E-3</v>
      </c>
      <c r="AK73" s="17">
        <v>1.9068008365715601E-2</v>
      </c>
      <c r="AL73" s="17">
        <v>0.23283212502878001</v>
      </c>
      <c r="AM73" s="17">
        <v>1.11072979598367E-2</v>
      </c>
      <c r="AN73" s="17">
        <v>7.8056016296314604E-2</v>
      </c>
      <c r="AO73" s="17">
        <v>20.5</v>
      </c>
      <c r="AP73" s="17">
        <v>2.9</v>
      </c>
      <c r="AQ73" s="17">
        <v>14.5</v>
      </c>
      <c r="AR73" s="17">
        <v>26.9</v>
      </c>
      <c r="AS73" s="17">
        <v>6.2</v>
      </c>
      <c r="AT73" s="17">
        <v>-2.21490606209045E-2</v>
      </c>
      <c r="AU73" s="17">
        <v>0.62837908606781001</v>
      </c>
      <c r="AV73" s="17">
        <v>-1.3239607807584</v>
      </c>
      <c r="AW73" s="17">
        <v>1.3103217333460899</v>
      </c>
      <c r="AX73" s="17">
        <v>1.3171412570522401</v>
      </c>
    </row>
    <row r="74" spans="1:50" s="17" customFormat="1" x14ac:dyDescent="0.2">
      <c r="A74" s="15" t="s">
        <v>159</v>
      </c>
      <c r="B74" s="17" t="s">
        <v>677</v>
      </c>
      <c r="C74" s="17" t="s">
        <v>173</v>
      </c>
      <c r="D74" s="17" t="s">
        <v>666</v>
      </c>
      <c r="E74" s="17" t="s">
        <v>673</v>
      </c>
      <c r="F74" s="17" t="s">
        <v>500</v>
      </c>
      <c r="H74" s="18"/>
      <c r="I74" s="26"/>
      <c r="J74" s="17">
        <v>33.440736999999999</v>
      </c>
      <c r="K74" s="17">
        <v>-88.9084</v>
      </c>
      <c r="L74" s="17">
        <v>3944</v>
      </c>
      <c r="M74" s="17" t="s">
        <v>618</v>
      </c>
      <c r="N74" s="17" t="s">
        <v>619</v>
      </c>
      <c r="O74" s="19" t="s">
        <v>620</v>
      </c>
      <c r="P74" s="19"/>
      <c r="Q74" s="19"/>
      <c r="S74" s="19">
        <v>0</v>
      </c>
      <c r="T74" s="19">
        <v>1</v>
      </c>
      <c r="U74" s="19" t="s">
        <v>637</v>
      </c>
      <c r="V74" s="19">
        <v>2.2424583007939911</v>
      </c>
      <c r="W74" s="19">
        <v>2.4799964391353573</v>
      </c>
      <c r="X74" s="19">
        <v>246.7969820412122</v>
      </c>
      <c r="Y74" s="19">
        <v>1822.7135159585223</v>
      </c>
      <c r="Z74" s="19">
        <v>713.20539395831202</v>
      </c>
      <c r="AA74" s="19"/>
      <c r="AC74" s="17">
        <v>3</v>
      </c>
      <c r="AD74" s="17">
        <v>2.5922799811839798</v>
      </c>
      <c r="AE74" s="17">
        <v>1.3470601385155699E-2</v>
      </c>
      <c r="AF74" s="17">
        <v>-1.5443078717743399</v>
      </c>
      <c r="AG74" s="17">
        <v>29.317957571909101</v>
      </c>
      <c r="AH74" s="17">
        <v>2.0874006430666801E-2</v>
      </c>
      <c r="AI74" s="17">
        <v>0.57087395207369196</v>
      </c>
      <c r="AJ74" s="17">
        <v>1.66050955699205E-2</v>
      </c>
      <c r="AK74" s="17">
        <v>2.2017839525711898E-2</v>
      </c>
      <c r="AL74" s="17">
        <v>0.25645205437421698</v>
      </c>
      <c r="AM74" s="17">
        <v>3.5208206059625803E-2</v>
      </c>
      <c r="AN74" s="17">
        <v>9.0131324041094099E-2</v>
      </c>
      <c r="AO74" s="17">
        <v>33.1</v>
      </c>
      <c r="AP74" s="17">
        <v>6.1</v>
      </c>
      <c r="AQ74" s="17">
        <v>25.3</v>
      </c>
      <c r="AR74" s="17">
        <v>41.5</v>
      </c>
      <c r="AS74" s="17">
        <v>8.1</v>
      </c>
      <c r="AT74" s="17">
        <v>2.44592280354254</v>
      </c>
      <c r="AU74" s="17">
        <v>1.1962995874323501</v>
      </c>
      <c r="AV74" s="17">
        <v>0.88438763634314899</v>
      </c>
      <c r="AW74" s="17">
        <v>4.0430724287889497</v>
      </c>
      <c r="AX74" s="17">
        <v>1.5793423962229001</v>
      </c>
    </row>
    <row r="75" spans="1:50" s="17" customFormat="1" x14ac:dyDescent="0.2">
      <c r="A75" s="15" t="s">
        <v>14</v>
      </c>
      <c r="B75" s="17" t="s">
        <v>677</v>
      </c>
      <c r="C75" s="17" t="s">
        <v>166</v>
      </c>
      <c r="D75" s="17" t="s">
        <v>198</v>
      </c>
      <c r="E75" s="17" t="s">
        <v>212</v>
      </c>
      <c r="F75" s="17" t="s">
        <v>669</v>
      </c>
      <c r="H75" s="18">
        <v>0</v>
      </c>
      <c r="I75" s="26"/>
      <c r="J75" s="17">
        <v>32.006</v>
      </c>
      <c r="K75" s="17">
        <v>-86.751000000000005</v>
      </c>
      <c r="O75" s="19"/>
      <c r="P75" s="19"/>
      <c r="Q75" s="19"/>
      <c r="S75" s="19"/>
      <c r="T75" s="19"/>
      <c r="U75" s="19"/>
      <c r="V75" s="19">
        <v>0.48520821032584321</v>
      </c>
      <c r="W75" s="19">
        <v>1.4613743867977735</v>
      </c>
      <c r="X75" s="19">
        <v>5.4448076461186012</v>
      </c>
      <c r="Y75" s="19">
        <v>300.468984234223</v>
      </c>
      <c r="Z75" s="19">
        <v>724.63769438112558</v>
      </c>
      <c r="AA75" s="19"/>
      <c r="AC75" s="17">
        <v>5</v>
      </c>
      <c r="AD75" s="17">
        <v>0.64142303074904305</v>
      </c>
      <c r="AE75" s="17">
        <v>2.9394981339940299E-2</v>
      </c>
      <c r="AF75" s="17">
        <v>-1.8013690678528</v>
      </c>
      <c r="AG75" s="17">
        <v>29.052950614259899</v>
      </c>
      <c r="AH75" s="17">
        <v>2.81271491333938E-2</v>
      </c>
      <c r="AI75" s="17">
        <v>0.59585439539917096</v>
      </c>
      <c r="AJ75" s="17">
        <v>9.4593153695634105E-3</v>
      </c>
      <c r="AK75" s="17">
        <v>1.7054945160509899E-2</v>
      </c>
      <c r="AL75" s="17">
        <v>0.26359514222584801</v>
      </c>
      <c r="AM75" s="17">
        <v>2.3790737724433301E-2</v>
      </c>
      <c r="AN75" s="17">
        <v>6.9815423396556303E-2</v>
      </c>
      <c r="AO75" s="17">
        <v>24.3</v>
      </c>
      <c r="AP75" s="17">
        <v>3.2</v>
      </c>
      <c r="AQ75" s="17">
        <v>18.7</v>
      </c>
      <c r="AR75" s="17">
        <v>30.2</v>
      </c>
      <c r="AS75" s="17">
        <v>5.75</v>
      </c>
      <c r="AT75" s="17">
        <v>0.44378284302877102</v>
      </c>
      <c r="AU75" s="17">
        <v>0.67981070680644995</v>
      </c>
      <c r="AV75" s="17">
        <v>-0.74645160861416604</v>
      </c>
      <c r="AW75" s="17">
        <v>1.6513137312414301</v>
      </c>
      <c r="AX75" s="17">
        <v>1.1988826699277999</v>
      </c>
    </row>
    <row r="76" spans="1:50" s="17" customFormat="1" x14ac:dyDescent="0.2">
      <c r="A76" s="15" t="s">
        <v>6</v>
      </c>
      <c r="B76" s="17" t="s">
        <v>677</v>
      </c>
      <c r="C76" s="17" t="s">
        <v>165</v>
      </c>
      <c r="D76" s="17" t="s">
        <v>666</v>
      </c>
      <c r="E76" s="17" t="s">
        <v>204</v>
      </c>
      <c r="F76" s="17" t="s">
        <v>500</v>
      </c>
      <c r="H76" s="18">
        <v>-1.1000000000000001</v>
      </c>
      <c r="I76" s="26"/>
      <c r="J76" s="17">
        <v>33.455112999999997</v>
      </c>
      <c r="K76" s="17">
        <v>-88.849669000000006</v>
      </c>
      <c r="L76" s="17">
        <v>3525</v>
      </c>
      <c r="M76" s="17" t="s">
        <v>608</v>
      </c>
      <c r="N76" s="17" t="s">
        <v>614</v>
      </c>
      <c r="O76" s="19" t="s">
        <v>625</v>
      </c>
      <c r="P76" s="19" t="s">
        <v>612</v>
      </c>
      <c r="Q76" s="17" t="s">
        <v>613</v>
      </c>
      <c r="R76" s="17" t="s">
        <v>622</v>
      </c>
      <c r="S76" s="19"/>
      <c r="T76" s="19"/>
      <c r="U76" s="19"/>
      <c r="V76" s="19">
        <v>0.56675738542015486</v>
      </c>
      <c r="W76" s="19">
        <v>3.1444361605848594</v>
      </c>
      <c r="X76" s="19">
        <v>7.1620027090656837</v>
      </c>
      <c r="Y76" s="19">
        <v>440.81825928763476</v>
      </c>
      <c r="Z76" s="19">
        <v>784.0281946674545</v>
      </c>
      <c r="AA76" s="19"/>
      <c r="AC76" s="17">
        <v>4</v>
      </c>
      <c r="AD76" s="17">
        <v>1.4659408347735301</v>
      </c>
      <c r="AE76" s="17">
        <v>2.0050895442684399E-2</v>
      </c>
      <c r="AF76" s="17">
        <v>-2.13100027111471</v>
      </c>
      <c r="AG76" s="17">
        <v>28.713130510505099</v>
      </c>
      <c r="AH76" s="17">
        <v>2.9243055314475401E-2</v>
      </c>
      <c r="AI76" s="17">
        <v>0.58607290492334496</v>
      </c>
      <c r="AJ76" s="17">
        <v>1.22891705518297E-2</v>
      </c>
      <c r="AK76" s="17">
        <v>1.9068008365715601E-2</v>
      </c>
      <c r="AL76" s="17">
        <v>0.16677377223185799</v>
      </c>
      <c r="AM76" s="17">
        <v>4.9866473723818597E-2</v>
      </c>
      <c r="AN76" s="17">
        <v>7.8056016296314604E-2</v>
      </c>
      <c r="AO76" s="17">
        <v>27.7</v>
      </c>
      <c r="AP76" s="17">
        <v>4.25</v>
      </c>
      <c r="AQ76" s="17">
        <v>21.2</v>
      </c>
      <c r="AR76" s="17">
        <v>34.5</v>
      </c>
      <c r="AS76" s="17">
        <v>6.65</v>
      </c>
      <c r="AT76" s="17">
        <v>0.79875431344692105</v>
      </c>
      <c r="AU76" s="17">
        <v>0.875896927459621</v>
      </c>
      <c r="AV76" s="17">
        <v>-0.55325053289311699</v>
      </c>
      <c r="AW76" s="17">
        <v>2.1538175555799599</v>
      </c>
      <c r="AX76" s="17">
        <v>1.35353404423654</v>
      </c>
    </row>
    <row r="77" spans="1:50" s="17" customFormat="1" x14ac:dyDescent="0.2">
      <c r="A77" s="15" t="s">
        <v>33</v>
      </c>
      <c r="B77" s="17" t="s">
        <v>677</v>
      </c>
      <c r="C77" s="17" t="s">
        <v>168</v>
      </c>
      <c r="D77" s="17" t="s">
        <v>168</v>
      </c>
      <c r="E77" s="17" t="s">
        <v>203</v>
      </c>
      <c r="F77" s="17" t="s">
        <v>500</v>
      </c>
      <c r="H77" s="18">
        <v>-0.7</v>
      </c>
      <c r="I77" s="26"/>
      <c r="J77" s="17">
        <v>34.55245</v>
      </c>
      <c r="K77" s="17">
        <v>-88.986997000000002</v>
      </c>
      <c r="L77" s="17">
        <v>3461</v>
      </c>
      <c r="M77" s="17" t="s">
        <v>608</v>
      </c>
      <c r="N77" s="17" t="s">
        <v>614</v>
      </c>
      <c r="O77" s="19" t="s">
        <v>621</v>
      </c>
      <c r="P77" s="19"/>
      <c r="Q77" s="19"/>
      <c r="S77" s="19"/>
      <c r="T77" s="19"/>
      <c r="U77" s="19"/>
      <c r="V77" s="19">
        <v>1.4139999999999999</v>
      </c>
      <c r="W77" s="19">
        <v>0.91900000000000004</v>
      </c>
      <c r="X77" s="19">
        <v>8.7230000000000008</v>
      </c>
      <c r="Y77" s="19">
        <v>74.117999999999995</v>
      </c>
      <c r="Z77" s="19">
        <v>784.09699999999998</v>
      </c>
      <c r="AA77" s="19"/>
      <c r="AC77" s="17">
        <v>3</v>
      </c>
      <c r="AD77" s="17">
        <v>1.63604553283514</v>
      </c>
      <c r="AE77" s="17">
        <v>3.5955796145195701E-2</v>
      </c>
      <c r="AF77" s="17">
        <v>-1.3629095484509799</v>
      </c>
      <c r="AG77" s="17">
        <v>29.504962917406399</v>
      </c>
      <c r="AH77" s="17">
        <v>4.2389182960616202E-2</v>
      </c>
      <c r="AI77" s="17">
        <v>0.61460625600939001</v>
      </c>
      <c r="AJ77" s="17">
        <v>7.7250623339567897E-3</v>
      </c>
      <c r="AK77" s="17">
        <v>2.2017839525711898E-2</v>
      </c>
      <c r="AL77" s="17">
        <v>0.24984374061085801</v>
      </c>
      <c r="AM77" s="17">
        <v>6.6004435914896506E-2</v>
      </c>
      <c r="AN77" s="17">
        <v>9.0131324041094099E-2</v>
      </c>
      <c r="AO77" s="17">
        <v>18.2</v>
      </c>
      <c r="AP77" s="17">
        <v>2.4500000000000002</v>
      </c>
      <c r="AQ77" s="17">
        <v>11.5</v>
      </c>
      <c r="AR77" s="17">
        <v>25.4</v>
      </c>
      <c r="AS77" s="17">
        <v>6.95</v>
      </c>
      <c r="AT77" s="17">
        <v>-0.386188789234097</v>
      </c>
      <c r="AU77" s="17">
        <v>0.56138520762487998</v>
      </c>
      <c r="AV77" s="17">
        <v>-1.88227831103256</v>
      </c>
      <c r="AW77" s="17">
        <v>1.1480059686000501</v>
      </c>
      <c r="AX77" s="17">
        <v>1.5151421398163101</v>
      </c>
    </row>
    <row r="78" spans="1:50" s="17" customFormat="1" x14ac:dyDescent="0.2">
      <c r="A78" s="15" t="s">
        <v>67</v>
      </c>
      <c r="B78" s="17" t="s">
        <v>677</v>
      </c>
      <c r="C78" s="17" t="s">
        <v>169</v>
      </c>
      <c r="D78" s="17" t="s">
        <v>169</v>
      </c>
      <c r="E78" s="17" t="s">
        <v>207</v>
      </c>
      <c r="F78" s="17" t="s">
        <v>669</v>
      </c>
      <c r="H78" s="18">
        <v>-7.5</v>
      </c>
      <c r="I78" s="26"/>
      <c r="J78" s="17">
        <v>34.376944000000002</v>
      </c>
      <c r="K78" s="17">
        <v>-91.851667000000006</v>
      </c>
      <c r="L78" s="17">
        <v>3596</v>
      </c>
      <c r="M78" s="17" t="s">
        <v>608</v>
      </c>
      <c r="N78" s="17" t="s">
        <v>614</v>
      </c>
      <c r="O78" s="19" t="s">
        <v>617</v>
      </c>
      <c r="P78" s="19" t="s">
        <v>612</v>
      </c>
      <c r="Q78" s="19"/>
      <c r="S78" s="19"/>
      <c r="T78" s="19"/>
      <c r="U78" s="19"/>
      <c r="V78" s="25">
        <v>3.1120000000000001</v>
      </c>
      <c r="W78" s="25">
        <v>0.28999999999999998</v>
      </c>
      <c r="X78" s="25">
        <v>42.996000000000002</v>
      </c>
      <c r="Y78" s="25">
        <v>23.062000000000001</v>
      </c>
      <c r="Z78" s="25">
        <v>817.06399999999996</v>
      </c>
      <c r="AA78" s="19"/>
      <c r="AC78" s="17">
        <v>3</v>
      </c>
      <c r="AD78" s="17">
        <v>-1.6546680465568</v>
      </c>
      <c r="AE78" s="17">
        <v>0.23341179680594101</v>
      </c>
      <c r="AF78" s="17">
        <v>-3.6657235434250901</v>
      </c>
      <c r="AG78" s="17">
        <v>27.130968941847598</v>
      </c>
      <c r="AH78" s="17">
        <v>7.5228819210677797E-2</v>
      </c>
      <c r="AI78" s="17">
        <v>0.56914020844803703</v>
      </c>
      <c r="AJ78" s="17">
        <v>1.3020136425432699E-2</v>
      </c>
      <c r="AK78" s="17">
        <v>2.2017839525711898E-2</v>
      </c>
      <c r="AL78" s="17">
        <v>0.225932166761702</v>
      </c>
      <c r="AM78" s="17">
        <v>2.1834468713000699E-2</v>
      </c>
      <c r="AN78" s="17">
        <v>9.0131324041094099E-2</v>
      </c>
      <c r="AO78" s="17">
        <v>33.700000000000003</v>
      </c>
      <c r="AP78" s="17">
        <v>4.8499999999999996</v>
      </c>
      <c r="AQ78" s="17">
        <v>25.9</v>
      </c>
      <c r="AR78" s="17">
        <v>42.2</v>
      </c>
      <c r="AS78" s="17">
        <v>8.15</v>
      </c>
      <c r="AT78" s="17">
        <v>0.43119051248243101</v>
      </c>
      <c r="AU78" s="17">
        <v>1.0026122357268701</v>
      </c>
      <c r="AV78" s="17">
        <v>-1.1740273614369701</v>
      </c>
      <c r="AW78" s="17">
        <v>2.09030128092513</v>
      </c>
      <c r="AX78" s="17">
        <v>1.6321643211810499</v>
      </c>
    </row>
    <row r="79" spans="1:50" s="17" customFormat="1" x14ac:dyDescent="0.2">
      <c r="A79" s="15" t="s">
        <v>29</v>
      </c>
      <c r="B79" s="17" t="s">
        <v>677</v>
      </c>
      <c r="C79" s="17" t="s">
        <v>168</v>
      </c>
      <c r="D79" s="17" t="s">
        <v>168</v>
      </c>
      <c r="E79" s="17" t="s">
        <v>203</v>
      </c>
      <c r="F79" s="17" t="s">
        <v>500</v>
      </c>
      <c r="H79" s="18">
        <v>0.55000000000000004</v>
      </c>
      <c r="I79" s="26"/>
      <c r="J79" s="17">
        <v>34.55245</v>
      </c>
      <c r="K79" s="17">
        <v>-88.986997000000002</v>
      </c>
      <c r="L79" s="17">
        <v>3461</v>
      </c>
      <c r="M79" s="17" t="s">
        <v>618</v>
      </c>
      <c r="N79" s="17" t="s">
        <v>619</v>
      </c>
      <c r="O79" s="19" t="s">
        <v>620</v>
      </c>
      <c r="P79" s="19"/>
      <c r="Q79" s="19"/>
      <c r="R79" s="17" t="s">
        <v>624</v>
      </c>
      <c r="S79" s="19"/>
      <c r="T79" s="19"/>
      <c r="U79" s="19"/>
      <c r="V79" s="25">
        <v>1.0029999999999999</v>
      </c>
      <c r="W79" s="25">
        <v>2.33</v>
      </c>
      <c r="X79" s="25">
        <v>4.7300000000000004</v>
      </c>
      <c r="Y79" s="25">
        <v>97.804000000000002</v>
      </c>
      <c r="Z79" s="25">
        <v>869.68399999999997</v>
      </c>
      <c r="AA79" s="19"/>
      <c r="AC79" s="17">
        <v>4</v>
      </c>
      <c r="AD79" s="17">
        <v>2.3629969199823799</v>
      </c>
      <c r="AE79" s="17">
        <v>6.3451793676617602E-2</v>
      </c>
      <c r="AF79" s="17">
        <v>-1.20777100665472</v>
      </c>
      <c r="AG79" s="17">
        <v>29.6648967915296</v>
      </c>
      <c r="AH79" s="17">
        <v>2.4175890079107198E-2</v>
      </c>
      <c r="AI79" s="17">
        <v>0.59653126150832303</v>
      </c>
      <c r="AJ79" s="17">
        <v>1.09164606993255E-2</v>
      </c>
      <c r="AK79" s="17">
        <v>1.9068008365715601E-2</v>
      </c>
      <c r="AL79" s="17">
        <v>0.235612074989628</v>
      </c>
      <c r="AM79" s="17">
        <v>3.5423963622478002E-2</v>
      </c>
      <c r="AN79" s="17">
        <v>7.8056016296314604E-2</v>
      </c>
      <c r="AO79" s="17">
        <v>24.1</v>
      </c>
      <c r="AP79" s="17">
        <v>3.65</v>
      </c>
      <c r="AQ79" s="17">
        <v>17.899999999999999</v>
      </c>
      <c r="AR79" s="17">
        <v>30.7</v>
      </c>
      <c r="AS79" s="17">
        <v>6.4</v>
      </c>
      <c r="AT79" s="17">
        <v>0.99789049025798704</v>
      </c>
      <c r="AU79" s="17">
        <v>0.76916042720427003</v>
      </c>
      <c r="AV79" s="17">
        <v>-0.31814152939045898</v>
      </c>
      <c r="AW79" s="17">
        <v>2.34113228065576</v>
      </c>
      <c r="AX79" s="17">
        <v>1.32963690502311</v>
      </c>
    </row>
    <row r="80" spans="1:50" s="17" customFormat="1" x14ac:dyDescent="0.2">
      <c r="A80" s="15" t="s">
        <v>43</v>
      </c>
      <c r="B80" s="17" t="s">
        <v>677</v>
      </c>
      <c r="C80" s="17" t="s">
        <v>168</v>
      </c>
      <c r="D80" s="17" t="s">
        <v>168</v>
      </c>
      <c r="E80" s="17" t="s">
        <v>203</v>
      </c>
      <c r="F80" s="17" t="s">
        <v>500</v>
      </c>
      <c r="H80" s="18">
        <v>-0.22</v>
      </c>
      <c r="I80" s="26"/>
      <c r="J80" s="17">
        <v>34.55245</v>
      </c>
      <c r="K80" s="17">
        <v>-88.986997000000002</v>
      </c>
      <c r="L80" s="17">
        <v>3461</v>
      </c>
      <c r="M80" s="17" t="s">
        <v>608</v>
      </c>
      <c r="N80" s="17" t="s">
        <v>614</v>
      </c>
      <c r="O80" s="19" t="s">
        <v>621</v>
      </c>
      <c r="P80" s="19"/>
      <c r="Q80" s="19"/>
      <c r="S80" s="19"/>
      <c r="T80" s="19"/>
      <c r="U80" s="19"/>
      <c r="V80" s="19">
        <v>1.399</v>
      </c>
      <c r="W80" s="19">
        <v>1.22</v>
      </c>
      <c r="X80" s="19">
        <v>4.8319999999999999</v>
      </c>
      <c r="Y80" s="19">
        <v>48.844999999999999</v>
      </c>
      <c r="Z80" s="19">
        <v>994.99199999999996</v>
      </c>
      <c r="AA80" s="19"/>
      <c r="AC80" s="17">
        <v>3</v>
      </c>
      <c r="AD80" s="17">
        <v>1.81026214278813</v>
      </c>
      <c r="AE80" s="17">
        <v>1.1635648305866801E-2</v>
      </c>
      <c r="AF80" s="17">
        <v>-2.0212993714749201</v>
      </c>
      <c r="AG80" s="17">
        <v>28.826222264952801</v>
      </c>
      <c r="AH80" s="17">
        <v>4.5369583258343997E-2</v>
      </c>
      <c r="AI80" s="17">
        <v>0.59668172361905902</v>
      </c>
      <c r="AJ80" s="17">
        <v>1.90793736353763E-2</v>
      </c>
      <c r="AK80" s="17">
        <v>2.2017839525711898E-2</v>
      </c>
      <c r="AL80" s="17">
        <v>0.174154829000011</v>
      </c>
      <c r="AM80" s="17">
        <v>4.9086023360836097E-2</v>
      </c>
      <c r="AN80" s="17">
        <v>9.0131324041094099E-2</v>
      </c>
      <c r="AO80" s="17">
        <v>24</v>
      </c>
      <c r="AP80" s="17">
        <v>6.45</v>
      </c>
      <c r="AQ80" s="17">
        <v>16.899999999999999</v>
      </c>
      <c r="AR80" s="17">
        <v>31.7</v>
      </c>
      <c r="AS80" s="17">
        <v>7.4</v>
      </c>
      <c r="AT80" s="17">
        <v>0.16214947841263</v>
      </c>
      <c r="AU80" s="17">
        <v>1.3619566887976999</v>
      </c>
      <c r="AV80" s="17">
        <v>-1.36629900619641</v>
      </c>
      <c r="AW80" s="17">
        <v>1.74033119013893</v>
      </c>
      <c r="AX80" s="17">
        <v>1.55331509816767</v>
      </c>
    </row>
    <row r="81" spans="1:50" s="17" customFormat="1" x14ac:dyDescent="0.2">
      <c r="A81" s="15" t="s">
        <v>3</v>
      </c>
      <c r="B81" s="17" t="s">
        <v>677</v>
      </c>
      <c r="C81" s="17" t="s">
        <v>165</v>
      </c>
      <c r="D81" s="17" t="s">
        <v>666</v>
      </c>
      <c r="E81" s="17" t="s">
        <v>204</v>
      </c>
      <c r="F81" s="17" t="s">
        <v>500</v>
      </c>
      <c r="H81" s="18">
        <v>-2</v>
      </c>
      <c r="I81" s="26"/>
      <c r="J81" s="17">
        <v>33.455112999999997</v>
      </c>
      <c r="K81" s="17">
        <v>-88.849669000000006</v>
      </c>
      <c r="L81" s="17">
        <v>3525</v>
      </c>
      <c r="M81" s="17" t="s">
        <v>608</v>
      </c>
      <c r="N81" s="17" t="s">
        <v>614</v>
      </c>
      <c r="O81" s="19" t="s">
        <v>625</v>
      </c>
      <c r="P81" s="19" t="s">
        <v>612</v>
      </c>
      <c r="Q81" s="17" t="s">
        <v>613</v>
      </c>
      <c r="R81" s="17" t="s">
        <v>622</v>
      </c>
      <c r="S81" s="19"/>
      <c r="T81" s="19"/>
      <c r="U81" s="19"/>
      <c r="V81" s="19">
        <v>1.2569999999999999</v>
      </c>
      <c r="W81" s="19">
        <v>2.758</v>
      </c>
      <c r="X81" s="19">
        <v>6.2270000000000003</v>
      </c>
      <c r="Y81" s="19">
        <v>458.303</v>
      </c>
      <c r="Z81" s="19">
        <v>1030.0640000000001</v>
      </c>
      <c r="AA81" s="19"/>
      <c r="AC81" s="17">
        <v>3</v>
      </c>
      <c r="AD81" s="17">
        <v>1.25377056602223</v>
      </c>
      <c r="AE81" s="17">
        <v>5.8701774539523799E-3</v>
      </c>
      <c r="AF81" s="17">
        <v>-1.9449178172419599</v>
      </c>
      <c r="AG81" s="17">
        <v>28.9049647730271</v>
      </c>
      <c r="AH81" s="17">
        <v>0.22215786296947301</v>
      </c>
      <c r="AI81" s="17">
        <v>0.59112574835447196</v>
      </c>
      <c r="AJ81" s="17">
        <v>1.2520614531136901E-3</v>
      </c>
      <c r="AK81" s="17">
        <v>2.2017839525711898E-2</v>
      </c>
      <c r="AL81" s="17">
        <v>0.23330600767460699</v>
      </c>
      <c r="AM81" s="17">
        <v>2.5958462330926201E-2</v>
      </c>
      <c r="AN81" s="17">
        <v>9.0131324041094099E-2</v>
      </c>
      <c r="AO81" s="17">
        <v>25.9</v>
      </c>
      <c r="AP81" s="17">
        <v>0.44999999999999901</v>
      </c>
      <c r="AQ81" s="17">
        <v>18.7</v>
      </c>
      <c r="AR81" s="17">
        <v>33.799999999999997</v>
      </c>
      <c r="AS81" s="17">
        <v>7.55</v>
      </c>
      <c r="AT81" s="17">
        <v>0.62436929601472002</v>
      </c>
      <c r="AU81" s="17">
        <v>0.30683209068280298</v>
      </c>
      <c r="AV81" s="17">
        <v>-1.0785730972971801</v>
      </c>
      <c r="AW81" s="17">
        <v>2.3946434476411</v>
      </c>
      <c r="AX81" s="17">
        <v>1.7366082724691401</v>
      </c>
    </row>
    <row r="82" spans="1:50" s="17" customFormat="1" x14ac:dyDescent="0.2">
      <c r="A82" s="15" t="s">
        <v>11</v>
      </c>
      <c r="B82" s="17" t="s">
        <v>677</v>
      </c>
      <c r="C82" s="17" t="s">
        <v>165</v>
      </c>
      <c r="D82" s="17" t="s">
        <v>666</v>
      </c>
      <c r="E82" s="17" t="s">
        <v>203</v>
      </c>
      <c r="F82" s="17" t="s">
        <v>500</v>
      </c>
      <c r="H82" s="18" t="s">
        <v>198</v>
      </c>
      <c r="I82" s="26"/>
      <c r="J82" s="17">
        <v>33.455112999999997</v>
      </c>
      <c r="K82" s="17">
        <v>-88.849669000000006</v>
      </c>
      <c r="L82" s="17">
        <v>3525</v>
      </c>
      <c r="O82" s="19"/>
      <c r="P82" s="19"/>
      <c r="Q82" s="19"/>
      <c r="S82" s="19">
        <v>0</v>
      </c>
      <c r="T82" s="19">
        <v>0</v>
      </c>
      <c r="U82" s="19" t="s">
        <v>637</v>
      </c>
      <c r="V82" s="25">
        <v>1.2569999999999999</v>
      </c>
      <c r="W82" s="25">
        <v>2.758</v>
      </c>
      <c r="X82" s="25">
        <v>6.2270000000000003</v>
      </c>
      <c r="Y82" s="25">
        <v>458.303</v>
      </c>
      <c r="Z82" s="25">
        <v>1030.0640000000001</v>
      </c>
      <c r="AA82" s="19"/>
      <c r="AC82" s="17">
        <v>3</v>
      </c>
      <c r="AD82" s="17">
        <v>2.7240986641539502</v>
      </c>
      <c r="AE82" s="17">
        <v>2.8143435114922E-2</v>
      </c>
      <c r="AF82" s="17">
        <v>-1.4532615907400701</v>
      </c>
      <c r="AG82" s="17">
        <v>29.411818093490201</v>
      </c>
      <c r="AH82" s="17">
        <v>0.117919292132303</v>
      </c>
      <c r="AI82" s="17">
        <v>0.58761606289118895</v>
      </c>
      <c r="AJ82" s="17">
        <v>2.00280962171302E-3</v>
      </c>
      <c r="AK82" s="17">
        <v>2.2017839525711898E-2</v>
      </c>
      <c r="AL82" s="17">
        <v>0.25870874492382101</v>
      </c>
      <c r="AM82" s="17">
        <v>6.6904527065782801E-2</v>
      </c>
      <c r="AN82" s="17">
        <v>9.0131324041094099E-2</v>
      </c>
      <c r="AO82" s="17">
        <v>27.1</v>
      </c>
      <c r="AP82" s="17">
        <v>0.70000000000000095</v>
      </c>
      <c r="AQ82" s="17">
        <v>19.8</v>
      </c>
      <c r="AR82" s="17">
        <v>35.1</v>
      </c>
      <c r="AS82" s="17">
        <v>7.65</v>
      </c>
      <c r="AT82" s="17">
        <v>1.35855236477585</v>
      </c>
      <c r="AU82" s="17">
        <v>0.25489656646908498</v>
      </c>
      <c r="AV82" s="17">
        <v>-0.25327487562731199</v>
      </c>
      <c r="AW82" s="17">
        <v>3.0352452107373402</v>
      </c>
      <c r="AX82" s="17">
        <v>1.64426004318233</v>
      </c>
    </row>
    <row r="83" spans="1:50" s="17" customFormat="1" x14ac:dyDescent="0.2">
      <c r="A83" s="15" t="s">
        <v>128</v>
      </c>
      <c r="B83" s="17" t="s">
        <v>677</v>
      </c>
      <c r="C83" s="17" t="s">
        <v>171</v>
      </c>
      <c r="D83" s="17" t="s">
        <v>198</v>
      </c>
      <c r="E83" s="17" t="s">
        <v>203</v>
      </c>
      <c r="F83" s="17" t="s">
        <v>500</v>
      </c>
      <c r="H83" s="18" t="s">
        <v>198</v>
      </c>
      <c r="I83" s="26"/>
      <c r="J83" s="17">
        <v>33.967222</v>
      </c>
      <c r="K83" s="17">
        <v>-89.000833</v>
      </c>
      <c r="L83" s="17">
        <v>3483</v>
      </c>
      <c r="M83" s="17" t="s">
        <v>608</v>
      </c>
      <c r="N83" s="17" t="s">
        <v>614</v>
      </c>
      <c r="O83" s="19" t="s">
        <v>625</v>
      </c>
      <c r="P83" s="19" t="s">
        <v>633</v>
      </c>
      <c r="Q83" s="17" t="s">
        <v>630</v>
      </c>
      <c r="R83" s="17" t="s">
        <v>631</v>
      </c>
      <c r="S83" s="19"/>
      <c r="T83" s="19"/>
      <c r="U83" s="19"/>
      <c r="V83" s="25">
        <v>1.3640000000000001</v>
      </c>
      <c r="W83" s="25">
        <v>2.9910000000000001</v>
      </c>
      <c r="X83" s="25">
        <v>5.4180000000000001</v>
      </c>
      <c r="Y83" s="25">
        <v>261.93299999999999</v>
      </c>
      <c r="Z83" s="25">
        <v>2054.5360000000001</v>
      </c>
      <c r="AA83" s="19"/>
      <c r="AC83" s="17">
        <v>3</v>
      </c>
      <c r="AD83" s="17">
        <v>-3.9720632833551002</v>
      </c>
      <c r="AE83" s="17">
        <v>2.6069627666379401E-2</v>
      </c>
      <c r="AF83" s="17">
        <v>-1.04236565936186</v>
      </c>
      <c r="AG83" s="17">
        <v>29.835414818107299</v>
      </c>
      <c r="AH83" s="17">
        <v>3.5711248085504799E-2</v>
      </c>
      <c r="AI83" s="17">
        <v>0.60017241504652996</v>
      </c>
      <c r="AJ83" s="17">
        <v>6.2688924028261499E-3</v>
      </c>
      <c r="AK83" s="17">
        <v>2.2017839525711898E-2</v>
      </c>
      <c r="AL83" s="17">
        <v>0.214171895121406</v>
      </c>
      <c r="AM83" s="17">
        <v>3.1304146406183203E-2</v>
      </c>
      <c r="AN83" s="17">
        <v>9.0131324041094099E-2</v>
      </c>
      <c r="AO83" s="17">
        <v>22.9</v>
      </c>
      <c r="AP83" s="17">
        <v>2.1</v>
      </c>
      <c r="AQ83" s="17">
        <v>15.8</v>
      </c>
      <c r="AR83" s="17">
        <v>30.5</v>
      </c>
      <c r="AS83" s="17">
        <v>7.35</v>
      </c>
      <c r="AT83" s="17">
        <v>0.14380486080904101</v>
      </c>
      <c r="AU83" s="17">
        <v>0.46317053643241501</v>
      </c>
      <c r="AV83" s="17">
        <v>-1.37395234191911</v>
      </c>
      <c r="AW83" s="17">
        <v>1.69152002540307</v>
      </c>
      <c r="AX83" s="17">
        <v>1.53273618366109</v>
      </c>
    </row>
    <row r="84" spans="1:50" s="17" customFormat="1" x14ac:dyDescent="0.2">
      <c r="A84" s="15" t="s">
        <v>152</v>
      </c>
      <c r="B84" s="17" t="s">
        <v>677</v>
      </c>
      <c r="C84" s="17" t="s">
        <v>173</v>
      </c>
      <c r="D84" s="17" t="s">
        <v>666</v>
      </c>
      <c r="E84" s="17" t="s">
        <v>203</v>
      </c>
      <c r="F84" s="17" t="s">
        <v>500</v>
      </c>
      <c r="H84" s="18">
        <v>0.5</v>
      </c>
      <c r="I84" s="26"/>
      <c r="J84" s="17">
        <v>33.440736999999999</v>
      </c>
      <c r="K84" s="17">
        <v>-88.9084</v>
      </c>
      <c r="L84" s="17">
        <v>3944</v>
      </c>
      <c r="M84" s="17" t="s">
        <v>618</v>
      </c>
      <c r="N84" s="17" t="s">
        <v>619</v>
      </c>
      <c r="O84" s="19" t="s">
        <v>620</v>
      </c>
      <c r="P84" s="19"/>
      <c r="Q84" s="17" t="s">
        <v>627</v>
      </c>
      <c r="S84" s="19"/>
      <c r="T84" s="19"/>
      <c r="U84" s="19"/>
      <c r="V84" s="19">
        <v>1.0609999999999999</v>
      </c>
      <c r="W84" s="19">
        <v>3.7370000000000001</v>
      </c>
      <c r="X84" s="19">
        <v>4.9870000000000001</v>
      </c>
      <c r="Y84" s="19">
        <v>480.37700000000001</v>
      </c>
      <c r="Z84" s="19">
        <v>2305.1149999999998</v>
      </c>
      <c r="AA84" s="19"/>
      <c r="AC84" s="17">
        <v>3</v>
      </c>
      <c r="AD84" s="17">
        <v>-0.67213826367037999</v>
      </c>
      <c r="AE84" s="17">
        <v>3.9187748467700297E-2</v>
      </c>
      <c r="AF84" s="17">
        <v>-1.8171809219606401</v>
      </c>
      <c r="AG84" s="17">
        <v>29.0366500157416</v>
      </c>
      <c r="AH84" s="17">
        <v>0.151811780490853</v>
      </c>
      <c r="AI84" s="17">
        <v>0.60601410298811598</v>
      </c>
      <c r="AJ84" s="17">
        <v>1.4999416414671901E-2</v>
      </c>
      <c r="AK84" s="17">
        <v>2.2017839525711898E-2</v>
      </c>
      <c r="AL84" s="17">
        <v>0.269548167219399</v>
      </c>
      <c r="AM84" s="17">
        <v>4.9072864495538999E-2</v>
      </c>
      <c r="AN84" s="17">
        <v>9.0131324041094099E-2</v>
      </c>
      <c r="AO84" s="17">
        <v>21</v>
      </c>
      <c r="AP84" s="17">
        <v>4.9000000000000004</v>
      </c>
      <c r="AQ84" s="17">
        <v>14.1</v>
      </c>
      <c r="AR84" s="17">
        <v>28.4</v>
      </c>
      <c r="AS84" s="17">
        <v>7.15</v>
      </c>
      <c r="AT84" s="17">
        <v>-0.25215238899352199</v>
      </c>
      <c r="AU84" s="17">
        <v>1.16856378904026</v>
      </c>
      <c r="AV84" s="17">
        <v>-1.8703383603785799</v>
      </c>
      <c r="AW84" s="17">
        <v>1.40049086525789</v>
      </c>
      <c r="AX84" s="17">
        <v>1.6354146128182401</v>
      </c>
    </row>
    <row r="85" spans="1:50" s="17" customFormat="1" x14ac:dyDescent="0.2">
      <c r="A85" s="15" t="s">
        <v>131</v>
      </c>
      <c r="B85" s="17" t="s">
        <v>677</v>
      </c>
      <c r="C85" s="17" t="s">
        <v>172</v>
      </c>
      <c r="D85" s="17" t="s">
        <v>198</v>
      </c>
      <c r="E85" s="17" t="s">
        <v>220</v>
      </c>
      <c r="F85" s="17" t="s">
        <v>669</v>
      </c>
      <c r="H85" s="18"/>
      <c r="I85" s="18" t="s">
        <v>219</v>
      </c>
      <c r="J85" s="17">
        <v>31.7</v>
      </c>
      <c r="K85" s="17">
        <v>-85.1</v>
      </c>
      <c r="M85" s="17" t="s">
        <v>608</v>
      </c>
      <c r="N85" s="17" t="s">
        <v>614</v>
      </c>
      <c r="O85" s="19"/>
      <c r="P85" s="19" t="s">
        <v>629</v>
      </c>
      <c r="Q85" s="19"/>
      <c r="S85" s="19"/>
      <c r="T85" s="19"/>
      <c r="U85" s="19"/>
      <c r="V85" s="19">
        <v>3.8660000000000001</v>
      </c>
      <c r="W85" s="19">
        <v>0.14699999999999999</v>
      </c>
      <c r="X85" s="19">
        <v>44.542999999999999</v>
      </c>
      <c r="Y85" s="19">
        <v>2.75</v>
      </c>
      <c r="Z85" s="19" t="s">
        <v>198</v>
      </c>
      <c r="AA85" s="19"/>
      <c r="AC85" s="17">
        <v>3</v>
      </c>
      <c r="AD85" s="17">
        <v>1.5759963090070299</v>
      </c>
      <c r="AE85" s="17">
        <v>6.1723847817520099E-2</v>
      </c>
      <c r="AF85" s="17">
        <v>-0.51740191910522304</v>
      </c>
      <c r="AG85" s="17">
        <v>30.376605187575201</v>
      </c>
      <c r="AH85" s="17">
        <v>7.69146549100959E-2</v>
      </c>
      <c r="AI85" s="17">
        <v>0.57955278482697503</v>
      </c>
      <c r="AJ85" s="17">
        <v>1.08108838853708E-2</v>
      </c>
      <c r="AK85" s="17">
        <v>2.2017839525711898E-2</v>
      </c>
      <c r="AL85" s="17">
        <v>0.276149621366652</v>
      </c>
      <c r="AM85" s="17">
        <v>3.1234334832883601E-2</v>
      </c>
      <c r="AN85" s="17">
        <v>9.0131324041094099E-2</v>
      </c>
      <c r="AO85" s="17">
        <v>30</v>
      </c>
      <c r="AP85" s="17">
        <v>3.85</v>
      </c>
      <c r="AQ85" s="17">
        <v>22.4</v>
      </c>
      <c r="AR85" s="17">
        <v>38.1</v>
      </c>
      <c r="AS85" s="17">
        <v>7.85</v>
      </c>
      <c r="AT85" s="17">
        <v>2.8729834721705201</v>
      </c>
      <c r="AU85" s="17">
        <v>0.83248392628882995</v>
      </c>
      <c r="AV85" s="17">
        <v>1.2656157118032101</v>
      </c>
      <c r="AW85" s="17">
        <v>4.5014060436000101</v>
      </c>
      <c r="AX85" s="17">
        <v>1.6178951658984</v>
      </c>
    </row>
    <row r="86" spans="1:50" s="17" customFormat="1" x14ac:dyDescent="0.2">
      <c r="A86" s="15" t="s">
        <v>42</v>
      </c>
      <c r="B86" s="17" t="s">
        <v>677</v>
      </c>
      <c r="C86" s="17" t="s">
        <v>168</v>
      </c>
      <c r="D86" s="17" t="s">
        <v>168</v>
      </c>
      <c r="E86" s="17" t="s">
        <v>203</v>
      </c>
      <c r="F86" s="17" t="s">
        <v>500</v>
      </c>
      <c r="H86" s="18">
        <v>-0.24</v>
      </c>
      <c r="I86" s="26"/>
      <c r="J86" s="17">
        <v>34.55245</v>
      </c>
      <c r="K86" s="17">
        <v>-88.986997000000002</v>
      </c>
      <c r="L86" s="17">
        <v>3461</v>
      </c>
      <c r="M86" s="17" t="s">
        <v>608</v>
      </c>
      <c r="N86" s="17" t="s">
        <v>614</v>
      </c>
      <c r="O86" s="19" t="s">
        <v>621</v>
      </c>
      <c r="P86" s="19"/>
      <c r="Q86" s="19"/>
      <c r="S86" s="19">
        <v>0</v>
      </c>
      <c r="T86" s="19">
        <v>1</v>
      </c>
      <c r="U86" s="19" t="s">
        <v>637</v>
      </c>
      <c r="V86" s="19"/>
      <c r="W86" s="19"/>
      <c r="X86" s="19"/>
      <c r="Y86" s="19"/>
      <c r="Z86" s="19"/>
      <c r="AA86" s="19"/>
      <c r="AC86" s="17">
        <v>3</v>
      </c>
      <c r="AD86" s="17">
        <v>1.83234979818121</v>
      </c>
      <c r="AE86" s="17">
        <v>4.6465821678274698E-2</v>
      </c>
      <c r="AF86" s="17">
        <v>-2.9929574883279102</v>
      </c>
      <c r="AG86" s="17">
        <v>27.824530195707901</v>
      </c>
      <c r="AH86" s="17">
        <v>2.7895586864727501E-2</v>
      </c>
      <c r="AI86" s="17">
        <v>0.57760258018543598</v>
      </c>
      <c r="AJ86" s="17">
        <v>1.4714259511025399E-2</v>
      </c>
      <c r="AK86" s="17">
        <v>2.2017839525711898E-2</v>
      </c>
      <c r="AL86" s="17">
        <v>0.241882589172257</v>
      </c>
      <c r="AM86" s="17">
        <v>2.7573823603646901E-2</v>
      </c>
      <c r="AN86" s="17">
        <v>9.0131324041094099E-2</v>
      </c>
      <c r="AO86" s="17">
        <v>30.7</v>
      </c>
      <c r="AP86" s="17">
        <v>5.3</v>
      </c>
      <c r="AQ86" s="17">
        <v>23.1</v>
      </c>
      <c r="AR86" s="17">
        <v>38.9</v>
      </c>
      <c r="AS86" s="17">
        <v>7.9</v>
      </c>
      <c r="AT86" s="17">
        <v>0.52611095423151299</v>
      </c>
      <c r="AU86" s="17">
        <v>1.06302583270082</v>
      </c>
      <c r="AV86" s="17">
        <v>-1.0229147525350299</v>
      </c>
      <c r="AW86" s="17">
        <v>2.11463267954093</v>
      </c>
      <c r="AX86" s="17">
        <v>1.56877371603798</v>
      </c>
    </row>
    <row r="87" spans="1:50" s="17" customFormat="1" x14ac:dyDescent="0.2">
      <c r="A87" s="15" t="s">
        <v>62</v>
      </c>
      <c r="B87" s="17" t="s">
        <v>677</v>
      </c>
      <c r="C87" s="17" t="s">
        <v>169</v>
      </c>
      <c r="D87" s="17" t="s">
        <v>169</v>
      </c>
      <c r="E87" s="17" t="s">
        <v>203</v>
      </c>
      <c r="F87" s="17" t="s">
        <v>500</v>
      </c>
      <c r="H87" s="18">
        <v>-3.5</v>
      </c>
      <c r="I87" s="26"/>
      <c r="J87" s="17">
        <v>34.376944000000002</v>
      </c>
      <c r="K87" s="17">
        <v>-91.851667000000006</v>
      </c>
      <c r="L87" s="17">
        <v>3596</v>
      </c>
      <c r="M87" s="17" t="s">
        <v>608</v>
      </c>
      <c r="N87" s="17" t="s">
        <v>614</v>
      </c>
      <c r="O87" s="19" t="s">
        <v>617</v>
      </c>
      <c r="P87" s="19" t="s">
        <v>612</v>
      </c>
      <c r="Q87" s="19"/>
      <c r="S87" s="19"/>
      <c r="T87" s="19"/>
      <c r="U87" s="19"/>
      <c r="V87" s="19"/>
      <c r="W87" s="19"/>
      <c r="X87" s="19"/>
      <c r="Y87" s="19"/>
      <c r="Z87" s="19"/>
      <c r="AA87" s="19"/>
      <c r="AC87" s="17">
        <v>3</v>
      </c>
      <c r="AD87" s="17">
        <v>-0.27221062217375602</v>
      </c>
      <c r="AE87" s="17">
        <v>0.65148285870281297</v>
      </c>
      <c r="AF87" s="17">
        <v>-2.7072122236138001</v>
      </c>
      <c r="AG87" s="17">
        <v>28.1191078465543</v>
      </c>
      <c r="AH87" s="17">
        <v>9.4021343443979596E-2</v>
      </c>
      <c r="AI87" s="17">
        <v>0.59032223316955501</v>
      </c>
      <c r="AJ87" s="17">
        <v>5.5209817417977199E-3</v>
      </c>
      <c r="AK87" s="17">
        <v>2.2017839525711898E-2</v>
      </c>
      <c r="AL87" s="17">
        <v>0.19723977413701399</v>
      </c>
      <c r="AM87" s="17">
        <v>2.6167131882495701E-2</v>
      </c>
      <c r="AN87" s="17">
        <v>9.0131324041094099E-2</v>
      </c>
      <c r="AO87" s="17">
        <v>26.2</v>
      </c>
      <c r="AP87" s="17">
        <v>1.9</v>
      </c>
      <c r="AQ87" s="17">
        <v>18.899999999999999</v>
      </c>
      <c r="AR87" s="17">
        <v>34.1</v>
      </c>
      <c r="AS87" s="17">
        <v>7.6</v>
      </c>
      <c r="AT87" s="17">
        <v>-7.9472272051020795E-2</v>
      </c>
      <c r="AU87" s="17">
        <v>0.47371459321112802</v>
      </c>
      <c r="AV87" s="17">
        <v>-1.6750297296976</v>
      </c>
      <c r="AW87" s="17">
        <v>1.5618328848090599</v>
      </c>
      <c r="AX87" s="17">
        <v>1.6184313072533301</v>
      </c>
    </row>
    <row r="88" spans="1:50" s="17" customFormat="1" x14ac:dyDescent="0.2">
      <c r="A88" s="15" t="s">
        <v>65</v>
      </c>
      <c r="B88" s="17" t="s">
        <v>677</v>
      </c>
      <c r="C88" s="17" t="s">
        <v>169</v>
      </c>
      <c r="D88" s="17" t="s">
        <v>169</v>
      </c>
      <c r="E88" s="17" t="s">
        <v>203</v>
      </c>
      <c r="F88" s="17" t="s">
        <v>500</v>
      </c>
      <c r="H88" s="18">
        <v>-5.5</v>
      </c>
      <c r="I88" s="26"/>
      <c r="J88" s="17">
        <v>34.376944000000002</v>
      </c>
      <c r="K88" s="17">
        <v>-91.851667000000006</v>
      </c>
      <c r="L88" s="17">
        <v>3596</v>
      </c>
      <c r="M88" s="17" t="s">
        <v>608</v>
      </c>
      <c r="N88" s="17" t="s">
        <v>614</v>
      </c>
      <c r="O88" s="19" t="s">
        <v>617</v>
      </c>
      <c r="P88" s="19" t="s">
        <v>612</v>
      </c>
      <c r="Q88" s="19"/>
      <c r="S88" s="19"/>
      <c r="T88" s="19"/>
      <c r="U88" s="19"/>
      <c r="V88" s="19"/>
      <c r="W88" s="19"/>
      <c r="X88" s="19"/>
      <c r="Y88" s="19"/>
      <c r="Z88" s="19"/>
      <c r="AA88" s="19"/>
      <c r="AC88" s="17">
        <v>3</v>
      </c>
      <c r="AD88" s="17">
        <v>-1.2061820401276</v>
      </c>
      <c r="AE88" s="17">
        <v>2.5865372240034001E-2</v>
      </c>
      <c r="AF88" s="17">
        <v>-0.655695382683394</v>
      </c>
      <c r="AG88" s="17">
        <v>30.2340370730379</v>
      </c>
      <c r="AH88" s="17">
        <v>3.6331162553005697E-2</v>
      </c>
      <c r="AI88" s="17">
        <v>0.59032718357349701</v>
      </c>
      <c r="AJ88" s="17">
        <v>3.86204521440874E-3</v>
      </c>
      <c r="AK88" s="17">
        <v>2.2017839525711898E-2</v>
      </c>
      <c r="AL88" s="17">
        <v>0.243946729471752</v>
      </c>
      <c r="AM88" s="17">
        <v>1.90316908343298E-2</v>
      </c>
      <c r="AN88" s="17">
        <v>9.0131324041094099E-2</v>
      </c>
      <c r="AO88" s="17">
        <v>26.2</v>
      </c>
      <c r="AP88" s="17">
        <v>1.3</v>
      </c>
      <c r="AQ88" s="17">
        <v>18.899999999999999</v>
      </c>
      <c r="AR88" s="17">
        <v>34.1</v>
      </c>
      <c r="AS88" s="17">
        <v>7.6</v>
      </c>
      <c r="AT88" s="17">
        <v>1.19729935166015</v>
      </c>
      <c r="AU88" s="17">
        <v>0.29501178966137298</v>
      </c>
      <c r="AV88" s="17">
        <v>-0.33160712409255699</v>
      </c>
      <c r="AW88" s="17">
        <v>2.7714412142645402</v>
      </c>
      <c r="AX88" s="17">
        <v>1.55152416917855</v>
      </c>
    </row>
    <row r="89" spans="1:50" s="17" customFormat="1" x14ac:dyDescent="0.2">
      <c r="A89" s="15" t="s">
        <v>97</v>
      </c>
      <c r="B89" s="17" t="s">
        <v>677</v>
      </c>
      <c r="C89" s="17" t="s">
        <v>170</v>
      </c>
      <c r="D89" s="17" t="s">
        <v>170</v>
      </c>
      <c r="E89" s="17" t="s">
        <v>238</v>
      </c>
      <c r="F89" s="17" t="s">
        <v>669</v>
      </c>
      <c r="H89" s="18">
        <v>-1</v>
      </c>
      <c r="I89" s="26"/>
      <c r="J89" s="17">
        <v>34.748610999999997</v>
      </c>
      <c r="K89" s="17">
        <v>-88.911666999999994</v>
      </c>
      <c r="L89" s="17">
        <v>3460</v>
      </c>
      <c r="M89" s="17" t="s">
        <v>608</v>
      </c>
      <c r="N89" s="17" t="s">
        <v>614</v>
      </c>
      <c r="O89" s="19" t="s">
        <v>621</v>
      </c>
      <c r="P89" s="19" t="s">
        <v>612</v>
      </c>
      <c r="Q89" s="19" t="s">
        <v>613</v>
      </c>
      <c r="R89" s="17" t="s">
        <v>623</v>
      </c>
      <c r="S89" s="19"/>
      <c r="T89" s="19"/>
      <c r="U89" s="19" t="s">
        <v>637</v>
      </c>
      <c r="V89" s="19"/>
      <c r="W89" s="19"/>
      <c r="X89" s="19"/>
      <c r="Y89" s="19"/>
      <c r="Z89" s="19"/>
      <c r="AA89" s="19"/>
      <c r="AC89" s="17">
        <v>3</v>
      </c>
      <c r="AD89" s="17">
        <v>-4.62020426712703</v>
      </c>
      <c r="AE89" s="17">
        <v>7.8832677075261707E-3</v>
      </c>
      <c r="AF89" s="17">
        <v>-1.00913079146847</v>
      </c>
      <c r="AG89" s="17">
        <v>29.869676975767199</v>
      </c>
      <c r="AH89" s="17">
        <v>0.119905452481219</v>
      </c>
      <c r="AI89" s="17">
        <v>0.582404388780424</v>
      </c>
      <c r="AJ89" s="17">
        <v>9.6632316975886201E-3</v>
      </c>
      <c r="AK89" s="17">
        <v>2.2017839525711898E-2</v>
      </c>
      <c r="AL89" s="17">
        <v>0.19339237767450801</v>
      </c>
      <c r="AM89" s="17">
        <v>1.29359131081207E-2</v>
      </c>
      <c r="AN89" s="17">
        <v>9.0131324041094099E-2</v>
      </c>
      <c r="AO89" s="17">
        <v>29</v>
      </c>
      <c r="AP89" s="17">
        <v>3.4</v>
      </c>
      <c r="AQ89" s="17">
        <v>21.5</v>
      </c>
      <c r="AR89" s="17">
        <v>37</v>
      </c>
      <c r="AS89" s="17">
        <v>7.75</v>
      </c>
      <c r="AT89" s="17">
        <v>1.3973363873445801</v>
      </c>
      <c r="AU89" s="17">
        <v>0.783487669560884</v>
      </c>
      <c r="AV89" s="17">
        <v>-0.226307211378071</v>
      </c>
      <c r="AW89" s="17">
        <v>3.0437865592551798</v>
      </c>
      <c r="AX89" s="17">
        <v>1.63504688531663</v>
      </c>
    </row>
    <row r="90" spans="1:50" s="17" customFormat="1" x14ac:dyDescent="0.2">
      <c r="A90" s="15" t="s">
        <v>99</v>
      </c>
      <c r="B90" s="17" t="s">
        <v>677</v>
      </c>
      <c r="C90" s="17" t="s">
        <v>170</v>
      </c>
      <c r="D90" s="17" t="s">
        <v>170</v>
      </c>
      <c r="E90" s="17" t="s">
        <v>238</v>
      </c>
      <c r="F90" s="17" t="s">
        <v>669</v>
      </c>
      <c r="H90" s="18">
        <v>0.5</v>
      </c>
      <c r="I90" s="26"/>
      <c r="J90" s="17">
        <v>34.748610999999997</v>
      </c>
      <c r="K90" s="17">
        <v>-88.911666999999994</v>
      </c>
      <c r="L90" s="17">
        <v>3460</v>
      </c>
      <c r="M90" s="17" t="s">
        <v>608</v>
      </c>
      <c r="N90" s="17" t="s">
        <v>614</v>
      </c>
      <c r="O90" s="19" t="s">
        <v>621</v>
      </c>
      <c r="P90" s="19" t="s">
        <v>612</v>
      </c>
      <c r="Q90" s="19" t="s">
        <v>613</v>
      </c>
      <c r="R90" s="17" t="s">
        <v>623</v>
      </c>
      <c r="S90" s="19"/>
      <c r="T90" s="19"/>
      <c r="U90" s="19" t="s">
        <v>637</v>
      </c>
      <c r="V90" s="19"/>
      <c r="W90" s="19"/>
      <c r="X90" s="19"/>
      <c r="Y90" s="19"/>
      <c r="Z90" s="19"/>
      <c r="AA90" s="19"/>
      <c r="AC90" s="17">
        <v>3</v>
      </c>
      <c r="AD90" s="17">
        <v>2.3411492291088098</v>
      </c>
      <c r="AE90" s="17">
        <v>7.3328505666926502E-2</v>
      </c>
      <c r="AF90" s="17">
        <v>-3.5208902353293298E-2</v>
      </c>
      <c r="AG90" s="17">
        <v>30.873702790475001</v>
      </c>
      <c r="AH90" s="17">
        <v>0.16216561316689601</v>
      </c>
      <c r="AI90" s="17">
        <v>0.59512072489346801</v>
      </c>
      <c r="AJ90" s="17">
        <v>5.5654859691322504E-3</v>
      </c>
      <c r="AK90" s="17">
        <v>2.2017839525711898E-2</v>
      </c>
      <c r="AL90" s="17">
        <v>0.25478925369377298</v>
      </c>
      <c r="AM90" s="17">
        <v>3.02532301868433E-2</v>
      </c>
      <c r="AN90" s="17">
        <v>9.0131324041094099E-2</v>
      </c>
      <c r="AO90" s="17">
        <v>24.6</v>
      </c>
      <c r="AP90" s="17">
        <v>1.9</v>
      </c>
      <c r="AQ90" s="17">
        <v>17.399999999999999</v>
      </c>
      <c r="AR90" s="17">
        <v>32.299999999999997</v>
      </c>
      <c r="AS90" s="17">
        <v>7.45</v>
      </c>
      <c r="AT90" s="17">
        <v>1.4974400244263999</v>
      </c>
      <c r="AU90" s="17">
        <v>0.54132560587140699</v>
      </c>
      <c r="AV90" s="17">
        <v>-0.14907389212123701</v>
      </c>
      <c r="AW90" s="17">
        <v>3.17243052023343</v>
      </c>
      <c r="AX90" s="17">
        <v>1.6607522061773401</v>
      </c>
    </row>
    <row r="91" spans="1:50" s="17" customFormat="1" x14ac:dyDescent="0.2">
      <c r="A91" s="15" t="s">
        <v>104</v>
      </c>
      <c r="B91" s="17" t="s">
        <v>677</v>
      </c>
      <c r="C91" s="17" t="s">
        <v>170</v>
      </c>
      <c r="D91" s="17" t="s">
        <v>170</v>
      </c>
      <c r="E91" s="17" t="s">
        <v>238</v>
      </c>
      <c r="F91" s="17" t="s">
        <v>669</v>
      </c>
      <c r="H91" s="18">
        <v>4.5</v>
      </c>
      <c r="I91" s="26"/>
      <c r="J91" s="17">
        <v>34.748610999999997</v>
      </c>
      <c r="K91" s="17">
        <v>-88.911666999999994</v>
      </c>
      <c r="L91" s="17">
        <v>3460</v>
      </c>
      <c r="M91" s="17" t="s">
        <v>608</v>
      </c>
      <c r="N91" s="17" t="s">
        <v>614</v>
      </c>
      <c r="O91" s="19" t="s">
        <v>621</v>
      </c>
      <c r="P91" s="19" t="s">
        <v>612</v>
      </c>
      <c r="Q91" s="19" t="s">
        <v>613</v>
      </c>
      <c r="R91" s="17" t="s">
        <v>623</v>
      </c>
      <c r="S91" s="19"/>
      <c r="T91" s="19"/>
      <c r="U91" s="19" t="s">
        <v>637</v>
      </c>
      <c r="V91" s="19"/>
      <c r="W91" s="19"/>
      <c r="X91" s="19"/>
      <c r="Y91" s="19"/>
      <c r="Z91" s="19"/>
      <c r="AA91" s="19"/>
      <c r="AC91" s="17">
        <v>3</v>
      </c>
      <c r="AD91" s="17">
        <v>1.6952789841826901</v>
      </c>
      <c r="AE91" s="17">
        <v>2.1511046779307399E-2</v>
      </c>
      <c r="AF91" s="17">
        <v>-0.27264614619331201</v>
      </c>
      <c r="AG91" s="17">
        <v>30.628926361427901</v>
      </c>
      <c r="AH91" s="17">
        <v>8.4107474648837902E-2</v>
      </c>
      <c r="AI91" s="17">
        <v>0.59045607509431597</v>
      </c>
      <c r="AJ91" s="17">
        <v>7.1557745710923099E-3</v>
      </c>
      <c r="AK91" s="17">
        <v>2.2017839525711898E-2</v>
      </c>
      <c r="AL91" s="17">
        <v>0.23923832304919301</v>
      </c>
      <c r="AM91" s="17">
        <v>2.40854966992139E-2</v>
      </c>
      <c r="AN91" s="17">
        <v>9.0131324041094099E-2</v>
      </c>
      <c r="AO91" s="17">
        <v>26.2</v>
      </c>
      <c r="AP91" s="17">
        <v>2.4500000000000002</v>
      </c>
      <c r="AQ91" s="17">
        <v>18.899999999999999</v>
      </c>
      <c r="AR91" s="17">
        <v>34</v>
      </c>
      <c r="AS91" s="17">
        <v>7.55</v>
      </c>
      <c r="AT91" s="17">
        <v>1.58105884207862</v>
      </c>
      <c r="AU91" s="17">
        <v>0.571389766543689</v>
      </c>
      <c r="AV91" s="17">
        <v>5.2193599574366098E-3</v>
      </c>
      <c r="AW91" s="17">
        <v>3.1832848136591601</v>
      </c>
      <c r="AX91" s="17">
        <v>1.5890327268508599</v>
      </c>
    </row>
    <row r="92" spans="1:50" s="17" customFormat="1" x14ac:dyDescent="0.2">
      <c r="A92" s="15" t="s">
        <v>105</v>
      </c>
      <c r="B92" s="17" t="s">
        <v>677</v>
      </c>
      <c r="C92" s="17" t="s">
        <v>170</v>
      </c>
      <c r="D92" s="17" t="s">
        <v>170</v>
      </c>
      <c r="E92" s="17" t="s">
        <v>238</v>
      </c>
      <c r="F92" s="17" t="s">
        <v>669</v>
      </c>
      <c r="H92" s="18">
        <v>5.2</v>
      </c>
      <c r="I92" s="26"/>
      <c r="J92" s="17">
        <v>34.748610999999997</v>
      </c>
      <c r="K92" s="17">
        <v>-88.911666999999994</v>
      </c>
      <c r="L92" s="17">
        <v>3460</v>
      </c>
      <c r="M92" s="17" t="s">
        <v>608</v>
      </c>
      <c r="N92" s="17" t="s">
        <v>614</v>
      </c>
      <c r="O92" s="19" t="s">
        <v>621</v>
      </c>
      <c r="P92" s="19" t="s">
        <v>612</v>
      </c>
      <c r="Q92" s="19" t="s">
        <v>613</v>
      </c>
      <c r="R92" s="17" t="s">
        <v>623</v>
      </c>
      <c r="S92" s="19"/>
      <c r="T92" s="19"/>
      <c r="U92" s="19" t="s">
        <v>637</v>
      </c>
      <c r="V92" s="19"/>
      <c r="W92" s="19"/>
      <c r="X92" s="19"/>
      <c r="Y92" s="19"/>
      <c r="Z92" s="19"/>
      <c r="AA92" s="19"/>
      <c r="AC92" s="17">
        <v>3</v>
      </c>
      <c r="AD92" s="17">
        <v>2.9936476065154198</v>
      </c>
      <c r="AE92" s="17">
        <v>0.104565235319935</v>
      </c>
      <c r="AF92" s="17">
        <v>-0.11138839310170601</v>
      </c>
      <c r="AG92" s="17">
        <v>30.795168591667501</v>
      </c>
      <c r="AH92" s="17">
        <v>9.2021149929730706E-2</v>
      </c>
      <c r="AI92" s="17">
        <v>0.61362259291385202</v>
      </c>
      <c r="AJ92" s="17">
        <v>1.17616780579667E-2</v>
      </c>
      <c r="AK92" s="17">
        <v>2.2017839525711898E-2</v>
      </c>
      <c r="AL92" s="17">
        <v>0.33225099765176402</v>
      </c>
      <c r="AM92" s="17">
        <v>2.2066826383039001E-2</v>
      </c>
      <c r="AN92" s="17">
        <v>9.0131324041094099E-2</v>
      </c>
      <c r="AO92" s="17">
        <v>18.5</v>
      </c>
      <c r="AP92" s="17">
        <v>3.7</v>
      </c>
      <c r="AQ92" s="17">
        <v>11.8</v>
      </c>
      <c r="AR92" s="17">
        <v>25.8</v>
      </c>
      <c r="AS92" s="17">
        <v>7</v>
      </c>
      <c r="AT92" s="17">
        <v>0.16416584810122001</v>
      </c>
      <c r="AU92" s="17">
        <v>0.86729051961310699</v>
      </c>
      <c r="AV92" s="17">
        <v>-1.36568035945993</v>
      </c>
      <c r="AW92" s="17">
        <v>1.75198102107856</v>
      </c>
      <c r="AX92" s="17">
        <v>1.5588306902692499</v>
      </c>
    </row>
    <row r="93" spans="1:50" s="17" customFormat="1" x14ac:dyDescent="0.2">
      <c r="A93" s="15" t="s">
        <v>106</v>
      </c>
      <c r="B93" s="17" t="s">
        <v>677</v>
      </c>
      <c r="C93" s="17" t="s">
        <v>170</v>
      </c>
      <c r="D93" s="17" t="s">
        <v>170</v>
      </c>
      <c r="E93" s="17" t="s">
        <v>238</v>
      </c>
      <c r="F93" s="17" t="s">
        <v>669</v>
      </c>
      <c r="H93" s="18">
        <v>5.8</v>
      </c>
      <c r="I93" s="26"/>
      <c r="J93" s="17">
        <v>34.748610999999997</v>
      </c>
      <c r="K93" s="17">
        <v>-88.911666999999994</v>
      </c>
      <c r="L93" s="17">
        <v>3460</v>
      </c>
      <c r="M93" s="17" t="s">
        <v>608</v>
      </c>
      <c r="N93" s="17" t="s">
        <v>614</v>
      </c>
      <c r="O93" s="19" t="s">
        <v>621</v>
      </c>
      <c r="P93" s="19" t="s">
        <v>612</v>
      </c>
      <c r="Q93" s="19" t="s">
        <v>613</v>
      </c>
      <c r="R93" s="17" t="s">
        <v>623</v>
      </c>
      <c r="S93" s="19"/>
      <c r="T93" s="19"/>
      <c r="U93" s="19" t="s">
        <v>637</v>
      </c>
      <c r="V93" s="19"/>
      <c r="W93" s="19"/>
      <c r="X93" s="19"/>
      <c r="Y93" s="19"/>
      <c r="Z93" s="19"/>
      <c r="AA93" s="19"/>
      <c r="AC93" s="17">
        <v>3</v>
      </c>
      <c r="AD93" s="17">
        <v>1.77220453776856</v>
      </c>
      <c r="AE93" s="17">
        <v>5.7527038933565297E-2</v>
      </c>
      <c r="AF93" s="17">
        <v>-0.36431847207793899</v>
      </c>
      <c r="AG93" s="17">
        <v>30.534420443950101</v>
      </c>
      <c r="AH93" s="17">
        <v>0.110869770654937</v>
      </c>
      <c r="AI93" s="17">
        <v>0.59610861332494303</v>
      </c>
      <c r="AJ93" s="17">
        <v>1.93347393274336E-3</v>
      </c>
      <c r="AK93" s="17">
        <v>2.2017839525711898E-2</v>
      </c>
      <c r="AL93" s="17">
        <v>0.29866425648682798</v>
      </c>
      <c r="AM93" s="17">
        <v>2.1619014899003398E-2</v>
      </c>
      <c r="AN93" s="17">
        <v>9.0131324041094099E-2</v>
      </c>
      <c r="AO93" s="17">
        <v>24.2</v>
      </c>
      <c r="AP93" s="17">
        <v>0.64999999999999902</v>
      </c>
      <c r="AQ93" s="17">
        <v>17.100000000000001</v>
      </c>
      <c r="AR93" s="17">
        <v>31.9</v>
      </c>
      <c r="AS93" s="17">
        <v>7.4</v>
      </c>
      <c r="AT93" s="17">
        <v>1.0869542225636899</v>
      </c>
      <c r="AU93" s="17">
        <v>0.23929038604688899</v>
      </c>
      <c r="AV93" s="17">
        <v>-0.49201414273215999</v>
      </c>
      <c r="AW93" s="17">
        <v>2.7154394993747202</v>
      </c>
      <c r="AX93" s="17">
        <v>1.6037268210534401</v>
      </c>
    </row>
    <row r="94" spans="1:50" s="17" customFormat="1" x14ac:dyDescent="0.2">
      <c r="A94" s="15" t="s">
        <v>107</v>
      </c>
      <c r="B94" s="17" t="s">
        <v>677</v>
      </c>
      <c r="C94" s="17" t="s">
        <v>170</v>
      </c>
      <c r="D94" s="17" t="s">
        <v>170</v>
      </c>
      <c r="E94" s="17" t="s">
        <v>238</v>
      </c>
      <c r="F94" s="17" t="s">
        <v>669</v>
      </c>
      <c r="H94" s="18">
        <v>6.2</v>
      </c>
      <c r="I94" s="26"/>
      <c r="J94" s="17">
        <v>34.748610999999997</v>
      </c>
      <c r="K94" s="17">
        <v>-88.911666999999994</v>
      </c>
      <c r="L94" s="17">
        <v>3460</v>
      </c>
      <c r="M94" s="17" t="s">
        <v>608</v>
      </c>
      <c r="N94" s="17" t="s">
        <v>614</v>
      </c>
      <c r="O94" s="19" t="s">
        <v>621</v>
      </c>
      <c r="P94" s="19" t="s">
        <v>612</v>
      </c>
      <c r="Q94" s="19" t="s">
        <v>613</v>
      </c>
      <c r="R94" s="17" t="s">
        <v>623</v>
      </c>
      <c r="S94" s="19"/>
      <c r="T94" s="19"/>
      <c r="U94" s="19" t="s">
        <v>637</v>
      </c>
      <c r="V94" s="19"/>
      <c r="W94" s="19"/>
      <c r="X94" s="19"/>
      <c r="Y94" s="19"/>
      <c r="Z94" s="19"/>
      <c r="AA94" s="19"/>
      <c r="AC94" s="17">
        <v>3</v>
      </c>
      <c r="AD94" s="17">
        <v>3.02850652720526</v>
      </c>
      <c r="AE94" s="17">
        <v>3.1892326372898301E-2</v>
      </c>
      <c r="AF94" s="17">
        <v>-0.142882654938849</v>
      </c>
      <c r="AG94" s="17">
        <v>30.762700842196999</v>
      </c>
      <c r="AH94" s="17">
        <v>6.47924981868232E-2</v>
      </c>
      <c r="AI94" s="17">
        <v>0.58604686302620002</v>
      </c>
      <c r="AJ94" s="17">
        <v>1.08752638491684E-2</v>
      </c>
      <c r="AK94" s="17">
        <v>2.2017839525711898E-2</v>
      </c>
      <c r="AL94" s="17">
        <v>0.25691746734633097</v>
      </c>
      <c r="AM94" s="17">
        <v>1.2009441510743299E-2</v>
      </c>
      <c r="AN94" s="17">
        <v>9.0131324041094099E-2</v>
      </c>
      <c r="AO94" s="17">
        <v>27.7</v>
      </c>
      <c r="AP94" s="17">
        <v>3.75</v>
      </c>
      <c r="AQ94" s="17">
        <v>20.3</v>
      </c>
      <c r="AR94" s="17">
        <v>35.700000000000003</v>
      </c>
      <c r="AS94" s="17">
        <v>7.7</v>
      </c>
      <c r="AT94" s="17">
        <v>2.0094202186808201</v>
      </c>
      <c r="AU94" s="17">
        <v>0.80537787325437205</v>
      </c>
      <c r="AV94" s="17">
        <v>0.44594129821962297</v>
      </c>
      <c r="AW94" s="17">
        <v>3.6162133968597301</v>
      </c>
      <c r="AX94" s="17">
        <v>1.5851360493200599</v>
      </c>
    </row>
    <row r="95" spans="1:50" s="17" customFormat="1" x14ac:dyDescent="0.2">
      <c r="A95" s="15" t="s">
        <v>108</v>
      </c>
      <c r="B95" s="17" t="s">
        <v>677</v>
      </c>
      <c r="C95" s="17" t="s">
        <v>170</v>
      </c>
      <c r="D95" s="17" t="s">
        <v>170</v>
      </c>
      <c r="E95" s="17" t="s">
        <v>238</v>
      </c>
      <c r="F95" s="17" t="s">
        <v>669</v>
      </c>
      <c r="H95" s="18">
        <v>5.8</v>
      </c>
      <c r="I95" s="26"/>
      <c r="J95" s="17">
        <v>34.748610999999997</v>
      </c>
      <c r="K95" s="17">
        <v>-88.911666999999994</v>
      </c>
      <c r="L95" s="17">
        <v>3460</v>
      </c>
      <c r="M95" s="17" t="s">
        <v>608</v>
      </c>
      <c r="N95" s="17" t="s">
        <v>614</v>
      </c>
      <c r="O95" s="19" t="s">
        <v>621</v>
      </c>
      <c r="P95" s="19" t="s">
        <v>612</v>
      </c>
      <c r="Q95" s="19" t="s">
        <v>613</v>
      </c>
      <c r="R95" s="17" t="s">
        <v>623</v>
      </c>
      <c r="S95" s="19"/>
      <c r="T95" s="19"/>
      <c r="U95" s="19" t="s">
        <v>637</v>
      </c>
      <c r="V95" s="19"/>
      <c r="W95" s="19"/>
      <c r="X95" s="19"/>
      <c r="Y95" s="19"/>
      <c r="Z95" s="19"/>
      <c r="AA95" s="19"/>
      <c r="AC95" s="17">
        <v>3</v>
      </c>
      <c r="AD95" s="17">
        <v>3.0852273806834698</v>
      </c>
      <c r="AE95" s="17">
        <v>6.2368035876673097E-2</v>
      </c>
      <c r="AF95" s="17">
        <v>-0.20583730063491401</v>
      </c>
      <c r="AG95" s="17">
        <v>30.697800268402499</v>
      </c>
      <c r="AH95" s="17">
        <v>0.140134248262936</v>
      </c>
      <c r="AI95" s="17">
        <v>0.59908838719038904</v>
      </c>
      <c r="AJ95" s="17">
        <v>2.39935292045174E-3</v>
      </c>
      <c r="AK95" s="17">
        <v>2.2017839525711898E-2</v>
      </c>
      <c r="AL95" s="17">
        <v>0.270818842344209</v>
      </c>
      <c r="AM95" s="17">
        <v>2.5400041790116699E-2</v>
      </c>
      <c r="AN95" s="17">
        <v>9.0131324041094099E-2</v>
      </c>
      <c r="AO95" s="17">
        <v>23.2</v>
      </c>
      <c r="AP95" s="17">
        <v>0.80000000000000104</v>
      </c>
      <c r="AQ95" s="17">
        <v>16.2</v>
      </c>
      <c r="AR95" s="17">
        <v>30.9</v>
      </c>
      <c r="AS95" s="17">
        <v>7.35</v>
      </c>
      <c r="AT95" s="17">
        <v>1.0425274505466899</v>
      </c>
      <c r="AU95" s="17">
        <v>0.299145612359553</v>
      </c>
      <c r="AV95" s="17">
        <v>-0.55344322794508105</v>
      </c>
      <c r="AW95" s="17">
        <v>2.7095469534758601</v>
      </c>
      <c r="AX95" s="17">
        <v>1.6314950907104699</v>
      </c>
    </row>
    <row r="96" spans="1:50" s="17" customFormat="1" x14ac:dyDescent="0.2">
      <c r="A96" s="15" t="s">
        <v>111</v>
      </c>
      <c r="B96" s="17" t="s">
        <v>677</v>
      </c>
      <c r="C96" s="17" t="s">
        <v>170</v>
      </c>
      <c r="D96" s="17" t="s">
        <v>170</v>
      </c>
      <c r="E96" s="17" t="s">
        <v>241</v>
      </c>
      <c r="F96" s="17" t="s">
        <v>669</v>
      </c>
      <c r="H96" s="18">
        <v>0.2</v>
      </c>
      <c r="I96" s="26"/>
      <c r="J96" s="17">
        <v>34.748610999999997</v>
      </c>
      <c r="K96" s="17">
        <v>-88.911666999999994</v>
      </c>
      <c r="L96" s="17">
        <v>3460</v>
      </c>
      <c r="M96" s="17" t="s">
        <v>608</v>
      </c>
      <c r="N96" s="17" t="s">
        <v>614</v>
      </c>
      <c r="O96" s="19" t="s">
        <v>621</v>
      </c>
      <c r="P96" s="19" t="s">
        <v>612</v>
      </c>
      <c r="Q96" s="19" t="s">
        <v>613</v>
      </c>
      <c r="R96" s="17" t="s">
        <v>623</v>
      </c>
      <c r="S96" s="19"/>
      <c r="T96" s="19"/>
      <c r="U96" s="19" t="s">
        <v>637</v>
      </c>
      <c r="V96" s="19"/>
      <c r="W96" s="19"/>
      <c r="X96" s="19"/>
      <c r="Y96" s="19"/>
      <c r="Z96" s="19"/>
      <c r="AA96" s="19"/>
      <c r="AC96" s="17">
        <v>3</v>
      </c>
      <c r="AD96" s="17">
        <v>1.22350557500374</v>
      </c>
      <c r="AE96" s="17">
        <v>2.5789322660023698E-3</v>
      </c>
      <c r="AF96" s="17">
        <v>-0.493930716253838</v>
      </c>
      <c r="AG96" s="17">
        <v>30.400801885306802</v>
      </c>
      <c r="AH96" s="17">
        <v>3.4689558980918599E-2</v>
      </c>
      <c r="AI96" s="17">
        <v>0.60201677293311195</v>
      </c>
      <c r="AJ96" s="17">
        <v>2.0658907453802501E-3</v>
      </c>
      <c r="AK96" s="17">
        <v>2.2017839525711898E-2</v>
      </c>
      <c r="AL96" s="17">
        <v>0.21031438855514401</v>
      </c>
      <c r="AM96" s="17">
        <v>2.17311340834637E-2</v>
      </c>
      <c r="AN96" s="17">
        <v>9.0131324041094099E-2</v>
      </c>
      <c r="AO96" s="17">
        <v>22.3</v>
      </c>
      <c r="AP96" s="17">
        <v>0.69999999999999896</v>
      </c>
      <c r="AQ96" s="17">
        <v>15.3</v>
      </c>
      <c r="AR96" s="17">
        <v>29.8</v>
      </c>
      <c r="AS96" s="17">
        <v>7.25</v>
      </c>
      <c r="AT96" s="17">
        <v>0.57016295515654702</v>
      </c>
      <c r="AU96" s="17">
        <v>0.17715074382277901</v>
      </c>
      <c r="AV96" s="17">
        <v>-0.931857065391682</v>
      </c>
      <c r="AW96" s="17">
        <v>2.1040904045978599</v>
      </c>
      <c r="AX96" s="17">
        <v>1.51797373499477</v>
      </c>
    </row>
    <row r="97" spans="1:50" s="17" customFormat="1" x14ac:dyDescent="0.2">
      <c r="A97" s="15" t="s">
        <v>124</v>
      </c>
      <c r="B97" s="17" t="s">
        <v>677</v>
      </c>
      <c r="C97" s="17" t="s">
        <v>170</v>
      </c>
      <c r="D97" s="17" t="s">
        <v>170</v>
      </c>
      <c r="E97" s="17" t="s">
        <v>655</v>
      </c>
      <c r="F97" s="17" t="s">
        <v>672</v>
      </c>
      <c r="G97" s="17" t="s">
        <v>650</v>
      </c>
      <c r="H97" s="18">
        <v>-1.5</v>
      </c>
      <c r="I97" s="26"/>
      <c r="J97" s="17">
        <v>34.748610999999997</v>
      </c>
      <c r="K97" s="17">
        <v>-88.911666999999994</v>
      </c>
      <c r="L97" s="17">
        <v>3460</v>
      </c>
      <c r="M97" s="17" t="s">
        <v>608</v>
      </c>
      <c r="N97" s="17" t="s">
        <v>614</v>
      </c>
      <c r="O97" s="19" t="s">
        <v>621</v>
      </c>
      <c r="P97" s="19"/>
      <c r="Q97" s="19"/>
      <c r="S97" s="19"/>
      <c r="T97" s="19"/>
      <c r="U97" s="19"/>
      <c r="V97" s="19"/>
      <c r="W97" s="19"/>
      <c r="X97" s="19"/>
      <c r="Y97" s="19"/>
      <c r="Z97" s="19"/>
      <c r="AA97" s="19"/>
      <c r="AC97" s="17">
        <v>3</v>
      </c>
      <c r="AD97" s="17">
        <v>-2.3250206725372702</v>
      </c>
      <c r="AE97" s="17">
        <v>2.0503557643330301E-2</v>
      </c>
      <c r="AF97" s="17">
        <v>-0.81221173817454495</v>
      </c>
      <c r="AG97" s="17">
        <v>30.0726827969985</v>
      </c>
      <c r="AH97" s="17">
        <v>9.6059685187329699E-2</v>
      </c>
      <c r="AI97" s="17">
        <v>0.60527781894551103</v>
      </c>
      <c r="AJ97" s="17">
        <v>4.1756764274048898E-3</v>
      </c>
      <c r="AK97" s="17">
        <v>2.2017839525711898E-2</v>
      </c>
      <c r="AL97" s="17">
        <v>0.24588303668911701</v>
      </c>
      <c r="AM97" s="17">
        <v>2.4968979808999599E-2</v>
      </c>
      <c r="AN97" s="17">
        <v>9.0131324041094099E-2</v>
      </c>
      <c r="AO97" s="17">
        <v>21.2</v>
      </c>
      <c r="AP97" s="17">
        <v>1.4</v>
      </c>
      <c r="AQ97" s="17">
        <v>14.3</v>
      </c>
      <c r="AR97" s="17">
        <v>28.7</v>
      </c>
      <c r="AS97" s="17">
        <v>7.2</v>
      </c>
      <c r="AT97" s="17">
        <v>2.5353665282978E-2</v>
      </c>
      <c r="AU97" s="17">
        <v>0.38218421455008</v>
      </c>
      <c r="AV97" s="17">
        <v>-1.5248523615917999</v>
      </c>
      <c r="AW97" s="17">
        <v>1.62922298847445</v>
      </c>
      <c r="AX97" s="17">
        <v>1.5770376750331301</v>
      </c>
    </row>
    <row r="98" spans="1:50" s="17" customFormat="1" x14ac:dyDescent="0.2">
      <c r="A98" s="15" t="s">
        <v>125</v>
      </c>
      <c r="B98" s="17" t="s">
        <v>677</v>
      </c>
      <c r="C98" s="17" t="s">
        <v>170</v>
      </c>
      <c r="D98" s="17" t="s">
        <v>170</v>
      </c>
      <c r="E98" s="17" t="s">
        <v>655</v>
      </c>
      <c r="F98" s="17" t="s">
        <v>672</v>
      </c>
      <c r="G98" s="17" t="s">
        <v>650</v>
      </c>
      <c r="H98" s="18">
        <v>-1.5</v>
      </c>
      <c r="J98" s="17">
        <v>34.748610999999997</v>
      </c>
      <c r="K98" s="17">
        <v>-88.911666999999994</v>
      </c>
      <c r="L98" s="17">
        <v>3460</v>
      </c>
      <c r="M98" s="17" t="s">
        <v>608</v>
      </c>
      <c r="N98" s="17" t="s">
        <v>614</v>
      </c>
      <c r="O98" s="19" t="s">
        <v>621</v>
      </c>
      <c r="P98" s="19"/>
      <c r="Q98" s="19"/>
      <c r="S98" s="19"/>
      <c r="T98" s="19"/>
      <c r="U98" s="19"/>
      <c r="V98" s="19"/>
      <c r="W98" s="19"/>
      <c r="X98" s="19"/>
      <c r="Y98" s="19"/>
      <c r="Z98" s="19"/>
      <c r="AA98" s="19"/>
      <c r="AC98" s="17">
        <v>4</v>
      </c>
      <c r="AD98" s="17">
        <v>-1.82784053452914</v>
      </c>
      <c r="AE98" s="17">
        <v>5.6036458737351399E-2</v>
      </c>
      <c r="AF98" s="17">
        <v>-0.58256424201377</v>
      </c>
      <c r="AG98" s="17">
        <v>30.309428697265599</v>
      </c>
      <c r="AH98" s="17">
        <v>9.5197122016800501E-2</v>
      </c>
      <c r="AI98" s="17">
        <v>0.59691327257833304</v>
      </c>
      <c r="AJ98" s="17">
        <v>1.5968088295911301E-3</v>
      </c>
      <c r="AK98" s="17">
        <v>1.9068008365715601E-2</v>
      </c>
      <c r="AL98" s="17">
        <v>0.22094744765673999</v>
      </c>
      <c r="AM98" s="17">
        <v>7.1741170925765704E-3</v>
      </c>
      <c r="AN98" s="17">
        <v>7.8056016296314604E-2</v>
      </c>
      <c r="AO98" s="17">
        <v>24</v>
      </c>
      <c r="AP98" s="17">
        <v>0.55000000000000104</v>
      </c>
      <c r="AQ98" s="17">
        <v>17.8</v>
      </c>
      <c r="AR98" s="17">
        <v>30.6</v>
      </c>
      <c r="AS98" s="17">
        <v>6.4</v>
      </c>
      <c r="AT98" s="17">
        <v>0.82788535497093096</v>
      </c>
      <c r="AU98" s="17">
        <v>0.20393836765123299</v>
      </c>
      <c r="AV98" s="17">
        <v>-0.54693599228846801</v>
      </c>
      <c r="AW98" s="17">
        <v>2.22985059749226</v>
      </c>
      <c r="AX98" s="17">
        <v>1.3883932948903599</v>
      </c>
    </row>
    <row r="99" spans="1:50" s="17" customFormat="1" x14ac:dyDescent="0.2">
      <c r="A99" s="15" t="s">
        <v>115</v>
      </c>
      <c r="B99" s="17" t="s">
        <v>677</v>
      </c>
      <c r="C99" s="17" t="s">
        <v>170</v>
      </c>
      <c r="D99" s="17" t="s">
        <v>170</v>
      </c>
      <c r="E99" s="17" t="s">
        <v>648</v>
      </c>
      <c r="F99" s="17" t="s">
        <v>669</v>
      </c>
      <c r="G99" s="17" t="s">
        <v>650</v>
      </c>
      <c r="H99" s="17">
        <v>5.7</v>
      </c>
      <c r="J99" s="17">
        <v>34.748610999999997</v>
      </c>
      <c r="K99" s="17">
        <v>-88.911666999999994</v>
      </c>
      <c r="L99" s="17">
        <v>3460</v>
      </c>
      <c r="M99" s="17" t="s">
        <v>608</v>
      </c>
      <c r="N99" s="17" t="s">
        <v>614</v>
      </c>
      <c r="O99" s="19" t="s">
        <v>621</v>
      </c>
      <c r="P99" s="19"/>
      <c r="Q99" s="19"/>
      <c r="S99" s="19"/>
      <c r="T99" s="19"/>
      <c r="U99" s="19"/>
      <c r="V99" s="19"/>
      <c r="W99" s="19"/>
      <c r="X99" s="19"/>
      <c r="Y99" s="19"/>
      <c r="Z99" s="19"/>
      <c r="AA99" s="19"/>
      <c r="AC99" s="17">
        <v>3</v>
      </c>
      <c r="AD99" s="17">
        <v>-3.8394715897116898</v>
      </c>
      <c r="AE99" s="17">
        <v>3.9929333853288201E-2</v>
      </c>
      <c r="AF99" s="17">
        <v>-1.39011384399093</v>
      </c>
      <c r="AG99" s="17">
        <v>29.476917737091298</v>
      </c>
      <c r="AH99" s="17">
        <v>3.6012829073323101E-2</v>
      </c>
      <c r="AI99" s="17">
        <v>0.59879900055822</v>
      </c>
      <c r="AJ99" s="17">
        <v>1.1009076533804001E-2</v>
      </c>
      <c r="AK99" s="17">
        <v>2.2017839525711898E-2</v>
      </c>
      <c r="AL99" s="17">
        <v>0.237160821527066</v>
      </c>
      <c r="AM99" s="17">
        <v>9.3369483844757302E-3</v>
      </c>
      <c r="AN99" s="17">
        <v>9.0131324041094099E-2</v>
      </c>
      <c r="AO99" s="17">
        <v>23.3</v>
      </c>
      <c r="AP99" s="17">
        <v>3.7</v>
      </c>
      <c r="AQ99" s="17">
        <v>16.3</v>
      </c>
      <c r="AR99" s="17">
        <v>31</v>
      </c>
      <c r="AS99" s="17">
        <v>7.35</v>
      </c>
      <c r="AT99" s="17">
        <v>-0.12287832514402899</v>
      </c>
      <c r="AU99" s="17">
        <v>0.787771804238389</v>
      </c>
      <c r="AV99" s="17">
        <v>-1.6151769247009</v>
      </c>
      <c r="AW99" s="17">
        <v>1.4400605070086401</v>
      </c>
      <c r="AX99" s="17">
        <v>1.52761871585477</v>
      </c>
    </row>
    <row r="100" spans="1:50" s="17" customFormat="1" x14ac:dyDescent="0.2">
      <c r="A100" s="15" t="s">
        <v>117</v>
      </c>
      <c r="B100" s="17" t="s">
        <v>677</v>
      </c>
      <c r="C100" s="17" t="s">
        <v>170</v>
      </c>
      <c r="D100" s="17" t="s">
        <v>170</v>
      </c>
      <c r="E100" s="17" t="s">
        <v>648</v>
      </c>
      <c r="F100" s="17" t="s">
        <v>669</v>
      </c>
      <c r="H100" s="17">
        <v>5.4</v>
      </c>
      <c r="J100" s="17">
        <v>34.748610999999997</v>
      </c>
      <c r="K100" s="17">
        <v>-88.911666999999994</v>
      </c>
      <c r="L100" s="17">
        <v>3460</v>
      </c>
      <c r="M100" s="17" t="s">
        <v>608</v>
      </c>
      <c r="N100" s="17" t="s">
        <v>614</v>
      </c>
      <c r="O100" s="19" t="s">
        <v>621</v>
      </c>
      <c r="P100" s="19"/>
      <c r="Q100" s="19"/>
      <c r="S100" s="19">
        <v>0</v>
      </c>
      <c r="T100" s="19">
        <v>0</v>
      </c>
      <c r="U100" s="19" t="s">
        <v>637</v>
      </c>
      <c r="V100" s="19"/>
      <c r="W100" s="19"/>
      <c r="X100" s="19"/>
      <c r="Y100" s="19"/>
      <c r="Z100" s="19"/>
      <c r="AA100" s="19"/>
      <c r="AC100" s="17">
        <v>4</v>
      </c>
      <c r="AD100" s="17">
        <v>0.639862860200758</v>
      </c>
      <c r="AE100" s="17">
        <v>8.5551677413747904E-2</v>
      </c>
      <c r="AF100" s="17">
        <v>-0.42874672193998398</v>
      </c>
      <c r="AG100" s="17">
        <v>30.468000716884902</v>
      </c>
      <c r="AH100" s="17">
        <v>7.1138659025006504E-2</v>
      </c>
      <c r="AI100" s="17">
        <v>0.58206548175145301</v>
      </c>
      <c r="AJ100" s="17">
        <v>5.5047764480661999E-3</v>
      </c>
      <c r="AK100" s="17">
        <v>1.9068008365715601E-2</v>
      </c>
      <c r="AL100" s="17">
        <v>0.18730253980606501</v>
      </c>
      <c r="AM100" s="17">
        <v>9.5991600081634394E-3</v>
      </c>
      <c r="AN100" s="17">
        <v>7.8056016296314604E-2</v>
      </c>
      <c r="AO100" s="17">
        <v>29.1</v>
      </c>
      <c r="AP100" s="17">
        <v>1.9</v>
      </c>
      <c r="AQ100" s="17">
        <v>22.6</v>
      </c>
      <c r="AR100" s="17">
        <v>36</v>
      </c>
      <c r="AS100" s="17">
        <v>6.7</v>
      </c>
      <c r="AT100" s="17">
        <v>1.9987359466041399</v>
      </c>
      <c r="AU100" s="17">
        <v>0.44179797884470401</v>
      </c>
      <c r="AV100" s="17">
        <v>0.62776134963166896</v>
      </c>
      <c r="AW100" s="17">
        <v>3.39183895457086</v>
      </c>
      <c r="AX100" s="17">
        <v>1.38203880246959</v>
      </c>
    </row>
    <row r="101" spans="1:50" s="17" customFormat="1" x14ac:dyDescent="0.2">
      <c r="A101" s="15" t="s">
        <v>119</v>
      </c>
      <c r="B101" s="17" t="s">
        <v>677</v>
      </c>
      <c r="C101" s="17" t="s">
        <v>170</v>
      </c>
      <c r="D101" s="17" t="s">
        <v>170</v>
      </c>
      <c r="E101" s="17" t="s">
        <v>651</v>
      </c>
      <c r="F101" s="17" t="s">
        <v>500</v>
      </c>
      <c r="G101" s="17" t="s">
        <v>652</v>
      </c>
      <c r="H101" s="17">
        <v>5.4</v>
      </c>
      <c r="J101" s="17">
        <v>34.748610999999997</v>
      </c>
      <c r="K101" s="17">
        <v>-88.911666999999994</v>
      </c>
      <c r="L101" s="17">
        <v>3460</v>
      </c>
      <c r="M101" s="17" t="s">
        <v>608</v>
      </c>
      <c r="N101" s="17" t="s">
        <v>614</v>
      </c>
      <c r="O101" s="19" t="s">
        <v>621</v>
      </c>
      <c r="P101" s="19"/>
      <c r="Q101" s="19"/>
      <c r="S101" s="19"/>
      <c r="T101" s="19"/>
      <c r="U101" s="19"/>
      <c r="V101" s="19"/>
      <c r="W101" s="19"/>
      <c r="X101" s="19"/>
      <c r="Y101" s="19"/>
      <c r="Z101" s="19"/>
      <c r="AA101" s="19"/>
      <c r="AC101" s="17">
        <v>3</v>
      </c>
      <c r="AD101" s="17">
        <v>0.29046979264463402</v>
      </c>
      <c r="AE101" s="17">
        <v>0.107509410346948</v>
      </c>
      <c r="AF101" s="17">
        <v>-1.3998594729957801</v>
      </c>
      <c r="AG101" s="17">
        <v>29.466870870693899</v>
      </c>
      <c r="AH101" s="17">
        <v>4.2148309596593603E-2</v>
      </c>
      <c r="AI101" s="17">
        <v>0.60966872040720699</v>
      </c>
      <c r="AJ101" s="17">
        <v>1.2216494455420399E-3</v>
      </c>
      <c r="AK101" s="17">
        <v>2.2017839525711898E-2</v>
      </c>
      <c r="AL101" s="17">
        <v>0.23221901255367</v>
      </c>
      <c r="AM101" s="17">
        <v>4.2686649213032002E-2</v>
      </c>
      <c r="AN101" s="17">
        <v>9.0131324041094099E-2</v>
      </c>
      <c r="AO101" s="17">
        <v>19.8</v>
      </c>
      <c r="AP101" s="17">
        <v>0.4</v>
      </c>
      <c r="AQ101" s="17">
        <v>12.9</v>
      </c>
      <c r="AR101" s="17">
        <v>27.1</v>
      </c>
      <c r="AS101" s="17">
        <v>7.1</v>
      </c>
      <c r="AT101" s="17">
        <v>-0.85287514722153901</v>
      </c>
      <c r="AU101" s="17">
        <v>0.124173533365422</v>
      </c>
      <c r="AV101" s="17">
        <v>-2.3636325843068602</v>
      </c>
      <c r="AW101" s="17">
        <v>0.67185909435750102</v>
      </c>
      <c r="AX101" s="17">
        <v>1.5177458393321801</v>
      </c>
    </row>
    <row r="102" spans="1:50" s="17" customFormat="1" x14ac:dyDescent="0.2">
      <c r="A102" s="15" t="s">
        <v>120</v>
      </c>
      <c r="B102" s="17" t="s">
        <v>677</v>
      </c>
      <c r="C102" s="17" t="s">
        <v>170</v>
      </c>
      <c r="D102" s="17" t="s">
        <v>170</v>
      </c>
      <c r="E102" s="17" t="s">
        <v>648</v>
      </c>
      <c r="F102" s="17" t="s">
        <v>669</v>
      </c>
      <c r="H102" s="17">
        <v>4</v>
      </c>
      <c r="J102" s="17">
        <v>34.748610999999997</v>
      </c>
      <c r="K102" s="17">
        <v>-88.911666999999994</v>
      </c>
      <c r="L102" s="17">
        <v>3460</v>
      </c>
      <c r="M102" s="17" t="s">
        <v>608</v>
      </c>
      <c r="N102" s="17" t="s">
        <v>614</v>
      </c>
      <c r="O102" s="19" t="s">
        <v>621</v>
      </c>
      <c r="P102" s="19"/>
      <c r="Q102" s="19"/>
      <c r="S102" s="19"/>
      <c r="T102" s="19"/>
      <c r="U102" s="19"/>
      <c r="V102" s="19"/>
      <c r="W102" s="19"/>
      <c r="X102" s="19"/>
      <c r="Y102" s="19"/>
      <c r="Z102" s="19"/>
      <c r="AA102" s="19"/>
      <c r="AC102" s="17">
        <v>3</v>
      </c>
      <c r="AD102" s="17">
        <v>1.08144900065276</v>
      </c>
      <c r="AE102" s="17">
        <v>1.22621328867051E-2</v>
      </c>
      <c r="AF102" s="17">
        <v>-0.89336058904627502</v>
      </c>
      <c r="AG102" s="17">
        <v>29.989025635146302</v>
      </c>
      <c r="AH102" s="17">
        <v>3.3249342346941997E-2</v>
      </c>
      <c r="AI102" s="17">
        <v>0.59763111862090301</v>
      </c>
      <c r="AJ102" s="17">
        <v>5.2470771571594497E-3</v>
      </c>
      <c r="AK102" s="17">
        <v>2.2017839525711898E-2</v>
      </c>
      <c r="AL102" s="17">
        <v>0.22673952309158099</v>
      </c>
      <c r="AM102" s="17">
        <v>1.24134285589876E-2</v>
      </c>
      <c r="AN102" s="17">
        <v>9.0131324041094099E-2</v>
      </c>
      <c r="AO102" s="17">
        <v>23.7</v>
      </c>
      <c r="AP102" s="17">
        <v>1.75</v>
      </c>
      <c r="AQ102" s="17">
        <v>16.600000000000001</v>
      </c>
      <c r="AR102" s="17">
        <v>31.4</v>
      </c>
      <c r="AS102" s="17">
        <v>7.4</v>
      </c>
      <c r="AT102" s="17">
        <v>0.45581068517867601</v>
      </c>
      <c r="AU102" s="17">
        <v>0.38755365766854799</v>
      </c>
      <c r="AV102" s="17">
        <v>-1.0519499144943401</v>
      </c>
      <c r="AW102" s="17">
        <v>2.0128798286912102</v>
      </c>
      <c r="AX102" s="17">
        <v>1.5324148715927799</v>
      </c>
    </row>
    <row r="103" spans="1:50" s="17" customFormat="1" x14ac:dyDescent="0.2">
      <c r="A103" s="15" t="s">
        <v>141</v>
      </c>
      <c r="B103" s="17" t="s">
        <v>677</v>
      </c>
      <c r="C103" s="17" t="s">
        <v>172</v>
      </c>
      <c r="D103" s="17" t="s">
        <v>198</v>
      </c>
      <c r="E103" s="17" t="s">
        <v>216</v>
      </c>
      <c r="F103" s="17" t="s">
        <v>669</v>
      </c>
      <c r="H103" s="18"/>
      <c r="I103" s="18" t="s">
        <v>217</v>
      </c>
      <c r="J103" s="17">
        <v>31.7</v>
      </c>
      <c r="K103" s="17">
        <v>-85.1</v>
      </c>
      <c r="M103" s="17" t="s">
        <v>608</v>
      </c>
      <c r="N103" s="17" t="s">
        <v>614</v>
      </c>
      <c r="O103" s="19"/>
      <c r="P103" s="19" t="s">
        <v>629</v>
      </c>
      <c r="Q103" s="19"/>
      <c r="S103" s="19"/>
      <c r="T103" s="19"/>
      <c r="U103" s="19"/>
      <c r="V103" s="19"/>
      <c r="W103" s="19"/>
      <c r="X103" s="19"/>
      <c r="Y103" s="19"/>
      <c r="Z103" s="19"/>
      <c r="AA103" s="19"/>
      <c r="AC103" s="17">
        <v>3</v>
      </c>
      <c r="AD103" s="17">
        <v>1.2981838226278599</v>
      </c>
      <c r="AE103" s="17">
        <v>9.96159139714035E-2</v>
      </c>
      <c r="AF103" s="17">
        <v>-1.23710869240932</v>
      </c>
      <c r="AG103" s="17">
        <v>29.634652277908302</v>
      </c>
      <c r="AH103" s="17">
        <v>5.2787048810527801E-2</v>
      </c>
      <c r="AI103" s="17">
        <v>0.61453116246964501</v>
      </c>
      <c r="AJ103" s="17">
        <v>5.5318148276125103E-4</v>
      </c>
      <c r="AK103" s="17">
        <v>2.2017839525711898E-2</v>
      </c>
      <c r="AL103" s="17">
        <v>0.27871733311355201</v>
      </c>
      <c r="AM103" s="17">
        <v>8.8403129804031401E-3</v>
      </c>
      <c r="AN103" s="17">
        <v>9.0131324041094099E-2</v>
      </c>
      <c r="AO103" s="17">
        <v>18.2</v>
      </c>
      <c r="AP103" s="17">
        <v>0.149999999999999</v>
      </c>
      <c r="AQ103" s="17">
        <v>11.5</v>
      </c>
      <c r="AR103" s="17">
        <v>25.5</v>
      </c>
      <c r="AS103" s="17">
        <v>7</v>
      </c>
      <c r="AT103" s="17">
        <v>-1.02492848109819</v>
      </c>
      <c r="AU103" s="17">
        <v>8.2778579197452004E-2</v>
      </c>
      <c r="AV103" s="17">
        <v>-2.5180427508157699</v>
      </c>
      <c r="AW103" s="17">
        <v>0.526025171954416</v>
      </c>
      <c r="AX103" s="17">
        <v>1.52203396138509</v>
      </c>
    </row>
    <row r="104" spans="1:50" s="17" customFormat="1" x14ac:dyDescent="0.2">
      <c r="A104" s="15" t="s">
        <v>142</v>
      </c>
      <c r="B104" s="17" t="s">
        <v>677</v>
      </c>
      <c r="C104" s="17" t="s">
        <v>172</v>
      </c>
      <c r="D104" s="17" t="s">
        <v>198</v>
      </c>
      <c r="E104" s="17" t="s">
        <v>216</v>
      </c>
      <c r="F104" s="17" t="s">
        <v>669</v>
      </c>
      <c r="H104" s="18"/>
      <c r="I104" s="18" t="s">
        <v>217</v>
      </c>
      <c r="J104" s="17">
        <v>31.7</v>
      </c>
      <c r="K104" s="17">
        <v>-85.1</v>
      </c>
      <c r="M104" s="17" t="s">
        <v>608</v>
      </c>
      <c r="N104" s="17" t="s">
        <v>614</v>
      </c>
      <c r="O104" s="19"/>
      <c r="P104" s="19" t="s">
        <v>629</v>
      </c>
      <c r="Q104" s="19"/>
      <c r="S104" s="19"/>
      <c r="T104" s="19"/>
      <c r="U104" s="19"/>
      <c r="V104" s="19"/>
      <c r="W104" s="19"/>
      <c r="X104" s="19"/>
      <c r="Y104" s="19"/>
      <c r="Z104" s="19"/>
      <c r="AA104" s="19"/>
      <c r="AC104" s="17">
        <v>5</v>
      </c>
      <c r="AD104" s="17">
        <v>1.18385928864155</v>
      </c>
      <c r="AE104" s="17">
        <v>4.0231582267930298E-2</v>
      </c>
      <c r="AF104" s="17">
        <v>-0.94146878030077796</v>
      </c>
      <c r="AG104" s="17">
        <v>29.939430419700098</v>
      </c>
      <c r="AH104" s="17">
        <v>1.3858897433993701E-2</v>
      </c>
      <c r="AI104" s="17">
        <v>0.56670536961373097</v>
      </c>
      <c r="AJ104" s="17">
        <v>1.52251976427268E-2</v>
      </c>
      <c r="AK104" s="17">
        <v>1.7054945160509899E-2</v>
      </c>
      <c r="AL104" s="17">
        <v>0.16432126750994999</v>
      </c>
      <c r="AM104" s="17">
        <v>9.8735669630048803E-2</v>
      </c>
      <c r="AN104" s="17">
        <v>6.9815423396556303E-2</v>
      </c>
      <c r="AO104" s="17">
        <v>34.6</v>
      </c>
      <c r="AP104" s="17">
        <v>5.7</v>
      </c>
      <c r="AQ104" s="17">
        <v>28.5</v>
      </c>
      <c r="AR104" s="17">
        <v>41.2</v>
      </c>
      <c r="AS104" s="17">
        <v>6.35</v>
      </c>
      <c r="AT104" s="17">
        <v>3.3390422897180101</v>
      </c>
      <c r="AU104" s="17">
        <v>1.10258759786848</v>
      </c>
      <c r="AV104" s="17">
        <v>2.1375622277856801</v>
      </c>
      <c r="AW104" s="17">
        <v>4.5874916875054597</v>
      </c>
      <c r="AX104" s="17">
        <v>1.22496472985989</v>
      </c>
    </row>
    <row r="105" spans="1:50" s="17" customFormat="1" x14ac:dyDescent="0.2">
      <c r="A105" s="15" t="s">
        <v>145</v>
      </c>
      <c r="B105" s="17" t="s">
        <v>677</v>
      </c>
      <c r="C105" s="17" t="s">
        <v>172</v>
      </c>
      <c r="D105" s="17" t="s">
        <v>198</v>
      </c>
      <c r="E105" s="17" t="s">
        <v>216</v>
      </c>
      <c r="F105" s="17" t="s">
        <v>669</v>
      </c>
      <c r="H105" s="18"/>
      <c r="I105" s="18" t="s">
        <v>217</v>
      </c>
      <c r="J105" s="17">
        <v>31.7</v>
      </c>
      <c r="K105" s="17">
        <v>-85.1</v>
      </c>
      <c r="M105" s="17" t="s">
        <v>608</v>
      </c>
      <c r="N105" s="17" t="s">
        <v>614</v>
      </c>
      <c r="O105" s="19"/>
      <c r="P105" s="19" t="s">
        <v>629</v>
      </c>
      <c r="Q105" s="19"/>
      <c r="S105" s="19"/>
      <c r="T105" s="19"/>
      <c r="U105" s="19"/>
      <c r="V105" s="19"/>
      <c r="W105" s="19"/>
      <c r="X105" s="19"/>
      <c r="Y105" s="19"/>
      <c r="Z105" s="19"/>
      <c r="AA105" s="19"/>
      <c r="AC105" s="17">
        <v>3</v>
      </c>
      <c r="AD105" s="17">
        <v>1.0824512114909599</v>
      </c>
      <c r="AE105" s="17">
        <v>0.31419981949482201</v>
      </c>
      <c r="AF105" s="17">
        <v>-1.02635893749972</v>
      </c>
      <c r="AG105" s="17">
        <v>29.851916307742201</v>
      </c>
      <c r="AH105" s="17">
        <v>4.2478566587072102E-2</v>
      </c>
      <c r="AI105" s="17">
        <v>0.61533214287100002</v>
      </c>
      <c r="AJ105" s="17">
        <v>9.76729711145863E-3</v>
      </c>
      <c r="AK105" s="17">
        <v>2.2017839525711898E-2</v>
      </c>
      <c r="AL105" s="17">
        <v>0.25962564356561602</v>
      </c>
      <c r="AM105" s="17">
        <v>3.0178457183215199E-2</v>
      </c>
      <c r="AN105" s="17">
        <v>9.0131324041094099E-2</v>
      </c>
      <c r="AO105" s="17">
        <v>18</v>
      </c>
      <c r="AP105" s="17">
        <v>3.1</v>
      </c>
      <c r="AQ105" s="17">
        <v>11.3</v>
      </c>
      <c r="AR105" s="17">
        <v>25.2</v>
      </c>
      <c r="AS105" s="17">
        <v>6.95</v>
      </c>
      <c r="AT105" s="17">
        <v>-9.1816288175664298E-2</v>
      </c>
      <c r="AU105" s="17">
        <v>0.70061469337650795</v>
      </c>
      <c r="AV105" s="17">
        <v>-1.5904414347993501</v>
      </c>
      <c r="AW105" s="17">
        <v>1.4449325679609</v>
      </c>
      <c r="AX105" s="17">
        <v>1.51768700138012</v>
      </c>
    </row>
    <row r="106" spans="1:50" s="17" customFormat="1" x14ac:dyDescent="0.2">
      <c r="A106" s="15" t="s">
        <v>143</v>
      </c>
      <c r="B106" s="17" t="s">
        <v>677</v>
      </c>
      <c r="C106" s="17" t="s">
        <v>172</v>
      </c>
      <c r="D106" s="17" t="s">
        <v>198</v>
      </c>
      <c r="E106" s="17" t="s">
        <v>216</v>
      </c>
      <c r="F106" s="17" t="s">
        <v>669</v>
      </c>
      <c r="H106" s="18"/>
      <c r="I106" s="18" t="s">
        <v>217</v>
      </c>
      <c r="J106" s="17">
        <v>31.7</v>
      </c>
      <c r="K106" s="17">
        <v>-85.1</v>
      </c>
      <c r="M106" s="17" t="s">
        <v>608</v>
      </c>
      <c r="N106" s="17" t="s">
        <v>614</v>
      </c>
      <c r="O106" s="19"/>
      <c r="P106" s="19" t="s">
        <v>629</v>
      </c>
      <c r="Q106" s="19"/>
      <c r="S106" s="19"/>
      <c r="T106" s="19"/>
      <c r="U106" s="19"/>
      <c r="V106" s="19"/>
      <c r="W106" s="19"/>
      <c r="X106" s="19"/>
      <c r="Y106" s="19"/>
      <c r="Z106" s="19"/>
      <c r="AA106" s="19"/>
      <c r="AC106" s="17">
        <v>5</v>
      </c>
      <c r="AD106" s="17">
        <v>1.4911311059613901</v>
      </c>
      <c r="AE106" s="17">
        <v>8.7951408769628994E-2</v>
      </c>
      <c r="AF106" s="17">
        <v>-1.6795297851354301</v>
      </c>
      <c r="AG106" s="17">
        <v>29.178555949206</v>
      </c>
      <c r="AH106" s="17">
        <v>2.6377001612610099E-2</v>
      </c>
      <c r="AI106" s="17">
        <v>0.59853871787922597</v>
      </c>
      <c r="AJ106" s="17">
        <v>1.20897966331886E-2</v>
      </c>
      <c r="AK106" s="17">
        <v>1.7054945160509899E-2</v>
      </c>
      <c r="AL106" s="17">
        <v>6.6203433107269505E-2</v>
      </c>
      <c r="AM106" s="17">
        <v>8.1769238123413607E-2</v>
      </c>
      <c r="AN106" s="17">
        <v>6.9815423396556303E-2</v>
      </c>
      <c r="AO106" s="17">
        <v>23.4</v>
      </c>
      <c r="AP106" s="17">
        <v>4</v>
      </c>
      <c r="AQ106" s="17">
        <v>17.899999999999999</v>
      </c>
      <c r="AR106" s="17">
        <v>29.3</v>
      </c>
      <c r="AS106" s="17">
        <v>5.7</v>
      </c>
      <c r="AT106" s="17">
        <v>0.38184775089723599</v>
      </c>
      <c r="AU106" s="17">
        <v>0.84617901695992304</v>
      </c>
      <c r="AV106" s="17">
        <v>-0.79246865967832003</v>
      </c>
      <c r="AW106" s="17">
        <v>1.5947054019025</v>
      </c>
      <c r="AX106" s="17">
        <v>1.19358703079041</v>
      </c>
    </row>
    <row r="107" spans="1:50" s="17" customFormat="1" x14ac:dyDescent="0.2">
      <c r="A107" s="15" t="s">
        <v>146</v>
      </c>
      <c r="B107" s="17" t="s">
        <v>677</v>
      </c>
      <c r="C107" s="17" t="s">
        <v>172</v>
      </c>
      <c r="D107" s="17" t="s">
        <v>198</v>
      </c>
      <c r="E107" s="17" t="s">
        <v>218</v>
      </c>
      <c r="F107" s="17" t="s">
        <v>669</v>
      </c>
      <c r="H107" s="18"/>
      <c r="I107" s="18" t="s">
        <v>217</v>
      </c>
      <c r="J107" s="17">
        <v>31.7</v>
      </c>
      <c r="K107" s="17">
        <v>-85.1</v>
      </c>
      <c r="M107" s="17" t="s">
        <v>608</v>
      </c>
      <c r="N107" s="17" t="s">
        <v>614</v>
      </c>
      <c r="O107" s="19"/>
      <c r="P107" s="19" t="s">
        <v>629</v>
      </c>
      <c r="Q107" s="19"/>
      <c r="S107" s="19"/>
      <c r="T107" s="19"/>
      <c r="U107" s="19"/>
      <c r="V107" s="19"/>
      <c r="W107" s="19"/>
      <c r="X107" s="19"/>
      <c r="Y107" s="19"/>
      <c r="Z107" s="19"/>
      <c r="AA107" s="19"/>
      <c r="AC107" s="17">
        <v>4</v>
      </c>
      <c r="AD107" s="17">
        <v>1.3885332090331499</v>
      </c>
      <c r="AE107" s="17">
        <v>7.7606464876962697E-2</v>
      </c>
      <c r="AF107" s="17">
        <v>-0.99477523100399801</v>
      </c>
      <c r="AG107" s="17">
        <v>29.884476266605699</v>
      </c>
      <c r="AH107" s="17">
        <v>3.3058986191351399E-2</v>
      </c>
      <c r="AI107" s="17">
        <v>0.60402014383579195</v>
      </c>
      <c r="AJ107" s="17">
        <v>9.0815051023028E-3</v>
      </c>
      <c r="AK107" s="17">
        <v>1.9068008365715601E-2</v>
      </c>
      <c r="AL107" s="17">
        <v>0.25439692923714202</v>
      </c>
      <c r="AM107" s="17">
        <v>5.0577412911297102E-2</v>
      </c>
      <c r="AN107" s="17">
        <v>7.8056016296314604E-2</v>
      </c>
      <c r="AO107" s="17">
        <v>21.6</v>
      </c>
      <c r="AP107" s="17">
        <v>2.95</v>
      </c>
      <c r="AQ107" s="17">
        <v>15.6</v>
      </c>
      <c r="AR107" s="17">
        <v>28.1</v>
      </c>
      <c r="AS107" s="17">
        <v>6.25</v>
      </c>
      <c r="AT107" s="17">
        <v>0.69639589734242702</v>
      </c>
      <c r="AU107" s="17">
        <v>0.64482954361335498</v>
      </c>
      <c r="AV107" s="17">
        <v>-0.60683747295308899</v>
      </c>
      <c r="AW107" s="17">
        <v>2.0502125859732101</v>
      </c>
      <c r="AX107" s="17">
        <v>1.3285250294631501</v>
      </c>
    </row>
    <row r="108" spans="1:50" s="17" customFormat="1" x14ac:dyDescent="0.2">
      <c r="A108" s="15" t="s">
        <v>147</v>
      </c>
      <c r="B108" s="17" t="s">
        <v>677</v>
      </c>
      <c r="C108" s="17" t="s">
        <v>172</v>
      </c>
      <c r="D108" s="17" t="s">
        <v>198</v>
      </c>
      <c r="E108" s="17" t="s">
        <v>218</v>
      </c>
      <c r="F108" s="17" t="s">
        <v>669</v>
      </c>
      <c r="H108" s="18"/>
      <c r="I108" s="18" t="s">
        <v>217</v>
      </c>
      <c r="J108" s="17">
        <v>31.7</v>
      </c>
      <c r="K108" s="17">
        <v>-85.1</v>
      </c>
      <c r="M108" s="17" t="s">
        <v>608</v>
      </c>
      <c r="N108" s="17" t="s">
        <v>614</v>
      </c>
      <c r="O108" s="19"/>
      <c r="P108" s="19" t="s">
        <v>629</v>
      </c>
      <c r="Q108" s="19"/>
      <c r="S108" s="19"/>
      <c r="T108" s="19"/>
      <c r="U108" s="19"/>
      <c r="V108" s="19"/>
      <c r="W108" s="19"/>
      <c r="X108" s="19"/>
      <c r="Y108" s="19"/>
      <c r="Z108" s="19"/>
      <c r="AA108" s="19"/>
      <c r="AC108" s="17">
        <v>3</v>
      </c>
      <c r="AD108" s="17">
        <v>0.31067973607501498</v>
      </c>
      <c r="AE108" s="17">
        <v>9.4323905730956097E-3</v>
      </c>
      <c r="AF108" s="17">
        <v>-0.39264011035308199</v>
      </c>
      <c r="AG108" s="17">
        <v>30.505223383835901</v>
      </c>
      <c r="AH108" s="17">
        <v>4.8959460992154299E-2</v>
      </c>
      <c r="AI108" s="17">
        <v>0.61564156277811199</v>
      </c>
      <c r="AJ108" s="17">
        <v>1.42045114932069E-2</v>
      </c>
      <c r="AK108" s="17">
        <v>2.2017839525711898E-2</v>
      </c>
      <c r="AL108" s="17">
        <v>0.28626710802371802</v>
      </c>
      <c r="AM108" s="17">
        <v>1.4102060060338199E-2</v>
      </c>
      <c r="AN108" s="17">
        <v>9.0131324041094099E-2</v>
      </c>
      <c r="AO108" s="17">
        <v>17.899999999999999</v>
      </c>
      <c r="AP108" s="17">
        <v>4.5</v>
      </c>
      <c r="AQ108" s="17">
        <v>11.2</v>
      </c>
      <c r="AR108" s="17">
        <v>25.1</v>
      </c>
      <c r="AS108" s="17">
        <v>6.95</v>
      </c>
      <c r="AT108" s="17">
        <v>-0.243523736742532</v>
      </c>
      <c r="AU108" s="17">
        <v>0.99730752675577605</v>
      </c>
      <c r="AV108" s="17">
        <v>-1.73706392452402</v>
      </c>
      <c r="AW108" s="17">
        <v>1.2878210542992301</v>
      </c>
      <c r="AX108" s="17">
        <v>1.51244248941163</v>
      </c>
    </row>
    <row r="109" spans="1:50" s="17" customFormat="1" x14ac:dyDescent="0.2">
      <c r="A109" s="15" t="s">
        <v>148</v>
      </c>
      <c r="B109" s="17" t="s">
        <v>677</v>
      </c>
      <c r="C109" s="17" t="s">
        <v>172</v>
      </c>
      <c r="D109" s="17" t="s">
        <v>198</v>
      </c>
      <c r="E109" s="17" t="s">
        <v>218</v>
      </c>
      <c r="F109" s="17" t="s">
        <v>669</v>
      </c>
      <c r="H109" s="18"/>
      <c r="I109" s="18" t="s">
        <v>217</v>
      </c>
      <c r="J109" s="17">
        <v>31.7</v>
      </c>
      <c r="K109" s="17">
        <v>-85.1</v>
      </c>
      <c r="M109" s="17" t="s">
        <v>608</v>
      </c>
      <c r="N109" s="17" t="s">
        <v>614</v>
      </c>
      <c r="O109" s="19"/>
      <c r="P109" s="19" t="s">
        <v>629</v>
      </c>
      <c r="Q109" s="19"/>
      <c r="S109" s="19"/>
      <c r="T109" s="19"/>
      <c r="U109" s="19"/>
      <c r="V109" s="19"/>
      <c r="W109" s="19"/>
      <c r="X109" s="19"/>
      <c r="Y109" s="19"/>
      <c r="Z109" s="19"/>
      <c r="AA109" s="19"/>
      <c r="AC109" s="17">
        <v>3</v>
      </c>
      <c r="AD109" s="17">
        <v>-0.95467272074022502</v>
      </c>
      <c r="AE109" s="17">
        <v>1.0359092559464799E-2</v>
      </c>
      <c r="AF109" s="17">
        <v>-0.83276258598521902</v>
      </c>
      <c r="AG109" s="17">
        <v>30.051496722482</v>
      </c>
      <c r="AH109" s="17">
        <v>5.5796033007112597E-2</v>
      </c>
      <c r="AI109" s="17">
        <v>0.61337024715321797</v>
      </c>
      <c r="AJ109" s="17">
        <v>5.5797546114723798E-3</v>
      </c>
      <c r="AK109" s="17">
        <v>2.2017839525711898E-2</v>
      </c>
      <c r="AL109" s="17">
        <v>0.276559350283202</v>
      </c>
      <c r="AM109" s="17">
        <v>1.9317453855970199E-2</v>
      </c>
      <c r="AN109" s="17">
        <v>9.0131324041094099E-2</v>
      </c>
      <c r="AO109" s="17">
        <v>18.600000000000001</v>
      </c>
      <c r="AP109" s="17">
        <v>1.8</v>
      </c>
      <c r="AQ109" s="17">
        <v>11.8</v>
      </c>
      <c r="AR109" s="17">
        <v>25.9</v>
      </c>
      <c r="AS109" s="17">
        <v>7.05</v>
      </c>
      <c r="AT109" s="17">
        <v>-0.53640531721339402</v>
      </c>
      <c r="AU109" s="17">
        <v>0.43205982193290998</v>
      </c>
      <c r="AV109" s="17">
        <v>-2.0511159360190701</v>
      </c>
      <c r="AW109" s="17">
        <v>1.0141455509464099</v>
      </c>
      <c r="AX109" s="17">
        <v>1.53263074348274</v>
      </c>
    </row>
    <row r="110" spans="1:50" s="17" customFormat="1" x14ac:dyDescent="0.2">
      <c r="A110" s="15" t="s">
        <v>150</v>
      </c>
      <c r="B110" s="17" t="s">
        <v>677</v>
      </c>
      <c r="C110" s="17" t="s">
        <v>172</v>
      </c>
      <c r="D110" s="17" t="s">
        <v>198</v>
      </c>
      <c r="E110" s="17" t="s">
        <v>218</v>
      </c>
      <c r="F110" s="17" t="s">
        <v>669</v>
      </c>
      <c r="H110" s="18"/>
      <c r="I110" s="18" t="s">
        <v>219</v>
      </c>
      <c r="M110" s="17" t="s">
        <v>608</v>
      </c>
      <c r="N110" s="17" t="s">
        <v>614</v>
      </c>
      <c r="O110" s="19"/>
      <c r="P110" s="19" t="s">
        <v>629</v>
      </c>
      <c r="Q110" s="19"/>
      <c r="S110" s="19"/>
      <c r="T110" s="19"/>
      <c r="U110" s="19"/>
      <c r="V110" s="19"/>
      <c r="W110" s="19"/>
      <c r="X110" s="19"/>
      <c r="Y110" s="19"/>
      <c r="Z110" s="19"/>
      <c r="AA110" s="19"/>
      <c r="AC110" s="17">
        <v>3</v>
      </c>
      <c r="AD110" s="17">
        <v>1.4417546910104899</v>
      </c>
      <c r="AE110" s="17">
        <v>8.7071421744640706E-2</v>
      </c>
      <c r="AF110" s="17">
        <v>-1.2056630078961099</v>
      </c>
      <c r="AG110" s="17">
        <v>29.6670699485298</v>
      </c>
      <c r="AH110" s="17">
        <v>8.8065252217422105E-2</v>
      </c>
      <c r="AI110" s="17">
        <v>0.59530755238048205</v>
      </c>
      <c r="AJ110" s="17">
        <v>4.7014610605319402E-3</v>
      </c>
      <c r="AK110" s="17">
        <v>2.2017839525711898E-2</v>
      </c>
      <c r="AL110" s="17">
        <v>0.227419324904336</v>
      </c>
      <c r="AM110" s="17">
        <v>7.9598026819314108E-3</v>
      </c>
      <c r="AN110" s="17">
        <v>9.0131324041094099E-2</v>
      </c>
      <c r="AO110" s="17">
        <v>24.5</v>
      </c>
      <c r="AP110" s="17">
        <v>1.6</v>
      </c>
      <c r="AQ110" s="17">
        <v>17.3</v>
      </c>
      <c r="AR110" s="17">
        <v>32.200000000000003</v>
      </c>
      <c r="AS110" s="17">
        <v>7.45</v>
      </c>
      <c r="AT110" s="17">
        <v>0.30501077460621701</v>
      </c>
      <c r="AU110" s="17">
        <v>0.40856681035444398</v>
      </c>
      <c r="AV110" s="17">
        <v>-1.2688577564219901</v>
      </c>
      <c r="AW110" s="17">
        <v>1.9071016832699601</v>
      </c>
      <c r="AX110" s="17">
        <v>1.58797971984598</v>
      </c>
    </row>
    <row r="111" spans="1:50" s="17" customFormat="1" x14ac:dyDescent="0.2">
      <c r="A111" s="15" t="s">
        <v>140</v>
      </c>
      <c r="B111" s="17" t="s">
        <v>677</v>
      </c>
      <c r="C111" s="17" t="s">
        <v>172</v>
      </c>
      <c r="D111" s="17" t="s">
        <v>198</v>
      </c>
      <c r="F111" s="17" t="s">
        <v>670</v>
      </c>
      <c r="H111" s="18"/>
      <c r="I111" s="18"/>
      <c r="J111" s="17">
        <v>31.7</v>
      </c>
      <c r="K111" s="17">
        <v>-85.1</v>
      </c>
      <c r="M111" s="17" t="s">
        <v>608</v>
      </c>
      <c r="N111" s="17" t="s">
        <v>614</v>
      </c>
      <c r="O111" s="19"/>
      <c r="P111" s="19"/>
      <c r="Q111" s="19"/>
      <c r="S111" s="19"/>
      <c r="T111" s="19"/>
      <c r="U111" s="19"/>
      <c r="V111" s="19"/>
      <c r="W111" s="19"/>
      <c r="X111" s="19"/>
      <c r="Y111" s="19"/>
      <c r="Z111" s="19"/>
      <c r="AA111" s="19"/>
      <c r="AC111" s="17">
        <v>3</v>
      </c>
      <c r="AD111" s="17">
        <v>-0.21678904895116299</v>
      </c>
      <c r="AE111" s="17">
        <v>2.60220128381436E-2</v>
      </c>
      <c r="AF111" s="17">
        <v>-0.62125179332040503</v>
      </c>
      <c r="AG111" s="17">
        <v>30.2695453137481</v>
      </c>
      <c r="AH111" s="17">
        <v>5.8410042262630503E-2</v>
      </c>
      <c r="AI111" s="17">
        <v>0.60115287289731001</v>
      </c>
      <c r="AJ111" s="17">
        <v>1.5967194856679402E-2</v>
      </c>
      <c r="AK111" s="17">
        <v>2.2017839525711898E-2</v>
      </c>
      <c r="AL111" s="17">
        <v>0.314769794638042</v>
      </c>
      <c r="AM111" s="17">
        <v>3.1931598726456199E-2</v>
      </c>
      <c r="AN111" s="17">
        <v>9.0131324041094099E-2</v>
      </c>
      <c r="AO111" s="17">
        <v>22.6</v>
      </c>
      <c r="AP111" s="17">
        <v>5.3</v>
      </c>
      <c r="AQ111" s="17">
        <v>15.5</v>
      </c>
      <c r="AR111" s="17">
        <v>30.1</v>
      </c>
      <c r="AS111" s="17">
        <v>7.3</v>
      </c>
      <c r="AT111" s="17">
        <v>0.50412290183157904</v>
      </c>
      <c r="AU111" s="17">
        <v>1.1410075904799999</v>
      </c>
      <c r="AV111" s="17">
        <v>-1.0392229250501299</v>
      </c>
      <c r="AW111" s="17">
        <v>2.0580165437332898</v>
      </c>
      <c r="AX111" s="17">
        <v>1.5486197343917101</v>
      </c>
    </row>
    <row r="112" spans="1:50" s="17" customFormat="1" x14ac:dyDescent="0.2">
      <c r="A112" s="15" t="s">
        <v>138</v>
      </c>
      <c r="B112" s="17" t="s">
        <v>677</v>
      </c>
      <c r="C112" s="17" t="s">
        <v>172</v>
      </c>
      <c r="D112" s="17" t="s">
        <v>198</v>
      </c>
      <c r="E112" s="17" t="s">
        <v>225</v>
      </c>
      <c r="F112" s="17" t="s">
        <v>669</v>
      </c>
      <c r="H112" s="18"/>
      <c r="I112" s="18" t="s">
        <v>217</v>
      </c>
      <c r="J112" s="17">
        <v>31.7</v>
      </c>
      <c r="K112" s="17">
        <v>-85.1</v>
      </c>
      <c r="M112" s="17" t="s">
        <v>608</v>
      </c>
      <c r="N112" s="17" t="s">
        <v>614</v>
      </c>
      <c r="O112" s="19"/>
      <c r="P112" s="19" t="s">
        <v>629</v>
      </c>
      <c r="Q112" s="19"/>
      <c r="S112" s="19"/>
      <c r="T112" s="19"/>
      <c r="U112" s="19"/>
      <c r="V112" s="19"/>
      <c r="W112" s="19"/>
      <c r="X112" s="19"/>
      <c r="Y112" s="19"/>
      <c r="Z112" s="19"/>
      <c r="AA112" s="19"/>
      <c r="AC112" s="17">
        <v>3</v>
      </c>
      <c r="AD112" s="17">
        <v>1.42459332326431</v>
      </c>
      <c r="AE112" s="17">
        <v>3.0723195034653799E-2</v>
      </c>
      <c r="AF112" s="17">
        <v>-0.86318083605860196</v>
      </c>
      <c r="AG112" s="17">
        <v>30.020138244298799</v>
      </c>
      <c r="AH112" s="17">
        <v>0.113576835989048</v>
      </c>
      <c r="AI112" s="17">
        <v>0.59304254392495903</v>
      </c>
      <c r="AJ112" s="17">
        <v>9.1914905467909008E-3</v>
      </c>
      <c r="AK112" s="17">
        <v>2.2017839525711898E-2</v>
      </c>
      <c r="AL112" s="17">
        <v>0.24564281030848301</v>
      </c>
      <c r="AM112" s="17">
        <v>2.3311617810618399E-2</v>
      </c>
      <c r="AN112" s="17">
        <v>9.0131324041094099E-2</v>
      </c>
      <c r="AO112" s="17">
        <v>25.3</v>
      </c>
      <c r="AP112" s="17">
        <v>3.1</v>
      </c>
      <c r="AQ112" s="17">
        <v>18.100000000000001</v>
      </c>
      <c r="AR112" s="17">
        <v>33.1</v>
      </c>
      <c r="AS112" s="17">
        <v>7.5</v>
      </c>
      <c r="AT112" s="17">
        <v>0.80914834292252602</v>
      </c>
      <c r="AU112" s="17">
        <v>0.73320216201938104</v>
      </c>
      <c r="AV112" s="17">
        <v>-0.78217083751212602</v>
      </c>
      <c r="AW112" s="17">
        <v>2.4479321176541999</v>
      </c>
      <c r="AX112" s="17">
        <v>1.6150514775831699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561C-D537-4A1D-B630-D1FE416FEEB2}">
  <dimension ref="A1:AX18"/>
  <sheetViews>
    <sheetView workbookViewId="0">
      <selection activeCell="A4" sqref="A4:XFD15"/>
    </sheetView>
  </sheetViews>
  <sheetFormatPr baseColWidth="10" defaultColWidth="8.83203125" defaultRowHeight="15" x14ac:dyDescent="0.2"/>
  <cols>
    <col min="1" max="1" width="26.33203125" customWidth="1"/>
    <col min="8" max="8" width="9.33203125" bestFit="1" customWidth="1"/>
    <col min="10" max="12" width="9.33203125" bestFit="1" customWidth="1"/>
    <col min="19" max="20" width="9.33203125" bestFit="1" customWidth="1"/>
    <col min="22" max="25" width="9.33203125" bestFit="1" customWidth="1"/>
    <col min="26" max="26" width="9.5" bestFit="1" customWidth="1"/>
    <col min="29" max="50" width="9.33203125" bestFit="1" customWidth="1"/>
  </cols>
  <sheetData>
    <row r="1" spans="1:50" s="15" customFormat="1" x14ac:dyDescent="0.2">
      <c r="A1" s="15" t="s">
        <v>607</v>
      </c>
      <c r="B1" s="15" t="s">
        <v>588</v>
      </c>
      <c r="C1" s="15" t="s">
        <v>201</v>
      </c>
      <c r="D1" s="15" t="s">
        <v>665</v>
      </c>
      <c r="E1" s="15" t="s">
        <v>202</v>
      </c>
      <c r="F1" s="15" t="s">
        <v>667</v>
      </c>
      <c r="G1" s="15" t="s">
        <v>649</v>
      </c>
      <c r="H1" s="16" t="s">
        <v>616</v>
      </c>
      <c r="I1" s="15" t="s">
        <v>664</v>
      </c>
      <c r="J1" s="15" t="s">
        <v>243</v>
      </c>
      <c r="K1" s="15" t="s">
        <v>244</v>
      </c>
      <c r="L1" s="15" t="s">
        <v>245</v>
      </c>
      <c r="M1" s="15" t="s">
        <v>246</v>
      </c>
      <c r="N1" s="15" t="s">
        <v>247</v>
      </c>
      <c r="O1" s="15" t="s">
        <v>609</v>
      </c>
      <c r="P1" s="15" t="s">
        <v>610</v>
      </c>
      <c r="Q1" s="15" t="s">
        <v>610</v>
      </c>
      <c r="R1" s="15" t="s">
        <v>610</v>
      </c>
      <c r="S1" s="15" t="s">
        <v>634</v>
      </c>
      <c r="T1" s="15" t="s">
        <v>635</v>
      </c>
      <c r="U1" s="15" t="s">
        <v>636</v>
      </c>
      <c r="V1" s="15" t="s">
        <v>641</v>
      </c>
      <c r="W1" s="15" t="s">
        <v>642</v>
      </c>
      <c r="X1" s="15" t="s">
        <v>643</v>
      </c>
      <c r="Y1" s="15" t="s">
        <v>644</v>
      </c>
      <c r="Z1" s="15" t="s">
        <v>645</v>
      </c>
      <c r="AA1" s="15" t="s">
        <v>640</v>
      </c>
      <c r="AB1" s="15" t="s">
        <v>588</v>
      </c>
      <c r="AC1" s="15" t="s">
        <v>174</v>
      </c>
      <c r="AD1" s="15" t="s">
        <v>175</v>
      </c>
      <c r="AE1" s="15" t="s">
        <v>176</v>
      </c>
      <c r="AF1" s="15" t="s">
        <v>177</v>
      </c>
      <c r="AG1" s="15" t="s">
        <v>178</v>
      </c>
      <c r="AH1" s="15" t="s">
        <v>179</v>
      </c>
      <c r="AI1" s="15" t="s">
        <v>181</v>
      </c>
      <c r="AJ1" s="15" t="s">
        <v>182</v>
      </c>
      <c r="AK1" s="15" t="s">
        <v>183</v>
      </c>
      <c r="AL1" s="15" t="s">
        <v>185</v>
      </c>
      <c r="AM1" s="15" t="s">
        <v>186</v>
      </c>
      <c r="AN1" s="15" t="s">
        <v>187</v>
      </c>
      <c r="AO1" s="15" t="s">
        <v>188</v>
      </c>
      <c r="AP1" s="15" t="s">
        <v>189</v>
      </c>
      <c r="AQ1" s="15" t="s">
        <v>190</v>
      </c>
      <c r="AR1" s="15" t="s">
        <v>191</v>
      </c>
      <c r="AS1" s="15" t="s">
        <v>192</v>
      </c>
      <c r="AT1" s="15" t="s">
        <v>193</v>
      </c>
      <c r="AU1" s="15" t="s">
        <v>194</v>
      </c>
      <c r="AV1" s="15" t="s">
        <v>195</v>
      </c>
      <c r="AW1" s="15" t="s">
        <v>196</v>
      </c>
      <c r="AX1" s="15" t="s">
        <v>197</v>
      </c>
    </row>
    <row r="3" spans="1:50" s="20" customFormat="1" x14ac:dyDescent="0.2">
      <c r="A3" s="20" t="s">
        <v>675</v>
      </c>
    </row>
    <row r="4" spans="1:50" s="17" customFormat="1" x14ac:dyDescent="0.2">
      <c r="A4" s="15" t="s">
        <v>41</v>
      </c>
      <c r="B4" s="17" t="s">
        <v>676</v>
      </c>
      <c r="C4" s="17" t="s">
        <v>168</v>
      </c>
      <c r="D4" s="17" t="s">
        <v>168</v>
      </c>
      <c r="E4" s="17" t="s">
        <v>203</v>
      </c>
      <c r="F4" s="17" t="s">
        <v>500</v>
      </c>
      <c r="H4" s="18">
        <v>-0.35</v>
      </c>
      <c r="I4" s="26"/>
      <c r="J4" s="17">
        <v>34.55245</v>
      </c>
      <c r="K4" s="17">
        <v>-88.986997000000002</v>
      </c>
      <c r="L4" s="17">
        <v>3461</v>
      </c>
      <c r="M4" s="17" t="s">
        <v>608</v>
      </c>
      <c r="N4" s="17" t="s">
        <v>614</v>
      </c>
      <c r="O4" s="19" t="s">
        <v>621</v>
      </c>
      <c r="P4" s="19"/>
      <c r="Q4" s="19"/>
      <c r="S4" s="19">
        <v>0</v>
      </c>
      <c r="T4" s="19">
        <v>0</v>
      </c>
      <c r="U4" s="19" t="s">
        <v>637</v>
      </c>
      <c r="V4" s="19">
        <v>0.96699999999999997</v>
      </c>
      <c r="W4" s="19">
        <v>1.6990000000000001</v>
      </c>
      <c r="X4" s="19">
        <v>4.99</v>
      </c>
      <c r="Y4" s="19">
        <v>185.35</v>
      </c>
      <c r="Z4" s="19">
        <v>1466.183</v>
      </c>
      <c r="AA4" s="19"/>
      <c r="AC4" s="17">
        <v>5</v>
      </c>
      <c r="AD4" s="17">
        <v>1.80385913857941</v>
      </c>
      <c r="AE4" s="17">
        <v>0.36680624402945</v>
      </c>
      <c r="AF4" s="17">
        <v>-2.9434733713034098</v>
      </c>
      <c r="AG4" s="17">
        <v>27.875543866789599</v>
      </c>
      <c r="AH4" s="17">
        <v>0.46318513751481799</v>
      </c>
      <c r="AI4" s="17">
        <v>0.59766206863986704</v>
      </c>
      <c r="AJ4" s="17">
        <v>1.26798518331798E-2</v>
      </c>
      <c r="AK4" s="17">
        <v>1.7054945160509899E-2</v>
      </c>
      <c r="AL4" s="17">
        <v>0.13968908341043601</v>
      </c>
      <c r="AM4" s="17">
        <v>5.1121752622735002E-2</v>
      </c>
      <c r="AN4" s="17">
        <v>6.9815423396556303E-2</v>
      </c>
      <c r="AO4" s="17">
        <v>23.7</v>
      </c>
      <c r="AP4" s="17">
        <v>4.25</v>
      </c>
      <c r="AQ4" s="17">
        <v>18.2</v>
      </c>
      <c r="AR4" s="17">
        <v>29.6</v>
      </c>
      <c r="AS4" s="17">
        <v>5.7</v>
      </c>
      <c r="AT4" s="17">
        <v>-0.82331380116636399</v>
      </c>
      <c r="AU4" s="17">
        <v>1.3192808143735399</v>
      </c>
      <c r="AV4" s="17">
        <v>-2.41803528167463</v>
      </c>
      <c r="AW4" s="17">
        <v>0.81085671702237505</v>
      </c>
      <c r="AX4" s="17">
        <v>1.6144459993485001</v>
      </c>
    </row>
    <row r="5" spans="1:50" s="17" customFormat="1" x14ac:dyDescent="0.2">
      <c r="A5" s="15" t="s">
        <v>659</v>
      </c>
      <c r="B5" s="17" t="s">
        <v>676</v>
      </c>
      <c r="C5" s="17" t="s">
        <v>168</v>
      </c>
      <c r="D5" s="17" t="s">
        <v>168</v>
      </c>
      <c r="E5" s="17" t="s">
        <v>211</v>
      </c>
      <c r="F5" s="17" t="s">
        <v>670</v>
      </c>
      <c r="H5" s="18"/>
      <c r="I5" s="26"/>
      <c r="J5" s="17">
        <v>34.55245</v>
      </c>
      <c r="K5" s="17">
        <v>-88.986997000000002</v>
      </c>
      <c r="L5" s="17">
        <v>3461</v>
      </c>
      <c r="O5" s="19"/>
      <c r="P5" s="19"/>
      <c r="Q5" s="19"/>
      <c r="S5" s="19"/>
      <c r="T5" s="19"/>
      <c r="U5" s="19"/>
      <c r="V5" s="19">
        <v>6.898943427189046</v>
      </c>
      <c r="W5" s="19">
        <v>0.72049408661389958</v>
      </c>
      <c r="X5" s="19">
        <v>53.331059763978473</v>
      </c>
      <c r="Y5" s="19">
        <v>994.84055870388829</v>
      </c>
      <c r="Z5" s="19">
        <v>1006.2645229245765</v>
      </c>
      <c r="AA5" s="19"/>
      <c r="AC5" s="17">
        <v>3</v>
      </c>
      <c r="AD5" s="17">
        <v>2.1474441239178099</v>
      </c>
      <c r="AE5" s="17">
        <v>4.9588969196705197E-2</v>
      </c>
      <c r="AF5" s="17">
        <v>-0.76543380076233802</v>
      </c>
      <c r="AG5" s="17">
        <v>30.120906640456099</v>
      </c>
      <c r="AH5" s="17">
        <v>0.110980156905196</v>
      </c>
      <c r="AI5" s="17">
        <v>0.59872933069406398</v>
      </c>
      <c r="AJ5" s="17">
        <v>5.2605282576669004E-3</v>
      </c>
      <c r="AK5" s="17">
        <v>2.2017839525711898E-2</v>
      </c>
      <c r="AL5" s="17">
        <v>0.21283815309071399</v>
      </c>
      <c r="AM5" s="17">
        <v>4.01606150328098E-2</v>
      </c>
      <c r="AN5" s="17">
        <v>9.0131324041094099E-2</v>
      </c>
      <c r="AO5" s="17">
        <v>23.4</v>
      </c>
      <c r="AP5" s="17">
        <v>1.75</v>
      </c>
      <c r="AQ5" s="17">
        <v>16.3</v>
      </c>
      <c r="AR5" s="17">
        <v>31</v>
      </c>
      <c r="AS5" s="17">
        <v>7.35</v>
      </c>
      <c r="AT5" s="17">
        <v>1.29783120225534</v>
      </c>
      <c r="AU5" s="17">
        <v>0.46714009135752099</v>
      </c>
      <c r="AV5" s="17">
        <v>-0.30206585622920601</v>
      </c>
      <c r="AW5" s="17">
        <v>2.9282280789401498</v>
      </c>
      <c r="AX5" s="17">
        <v>1.6151469675846799</v>
      </c>
    </row>
    <row r="6" spans="1:50" s="17" customFormat="1" x14ac:dyDescent="0.2">
      <c r="A6" s="15" t="s">
        <v>662</v>
      </c>
      <c r="B6" s="17" t="s">
        <v>676</v>
      </c>
      <c r="C6" s="17" t="s">
        <v>168</v>
      </c>
      <c r="D6" s="17" t="s">
        <v>168</v>
      </c>
      <c r="E6" s="17" t="s">
        <v>203</v>
      </c>
      <c r="F6" s="17" t="s">
        <v>500</v>
      </c>
      <c r="H6" s="18" t="s">
        <v>198</v>
      </c>
      <c r="I6" s="26"/>
      <c r="J6" s="17">
        <v>34.55245</v>
      </c>
      <c r="K6" s="17">
        <v>-88.986997000000002</v>
      </c>
      <c r="L6" s="17">
        <v>3461</v>
      </c>
      <c r="O6" s="19"/>
      <c r="P6" s="19"/>
      <c r="Q6" s="19"/>
      <c r="S6" s="19"/>
      <c r="T6" s="19"/>
      <c r="U6" s="19"/>
      <c r="V6" s="25">
        <v>1.2</v>
      </c>
      <c r="W6" s="25">
        <v>1.3640000000000001</v>
      </c>
      <c r="X6" s="25">
        <v>6.0369999999999999</v>
      </c>
      <c r="Y6" s="25">
        <v>418.86099999999999</v>
      </c>
      <c r="Z6" s="25">
        <v>3282.1439999999998</v>
      </c>
      <c r="AA6" s="19"/>
      <c r="AC6" s="17">
        <v>3</v>
      </c>
      <c r="AD6" s="17">
        <v>1.23830936405616</v>
      </c>
      <c r="AE6" s="17">
        <v>3.5207105266340501E-2</v>
      </c>
      <c r="AF6" s="17">
        <v>-1.0849476143347401</v>
      </c>
      <c r="AG6" s="17">
        <v>29.7915166549062</v>
      </c>
      <c r="AH6" s="17">
        <v>9.2990936108343997E-2</v>
      </c>
      <c r="AI6" s="17">
        <v>0.590469887495778</v>
      </c>
      <c r="AJ6" s="17">
        <v>5.8409536036034696E-3</v>
      </c>
      <c r="AK6" s="17">
        <v>2.2017839525711898E-2</v>
      </c>
      <c r="AL6" s="17">
        <v>0.17704684157720799</v>
      </c>
      <c r="AM6" s="17">
        <v>2.9956021940847399E-2</v>
      </c>
      <c r="AN6" s="17">
        <v>9.0131324041094099E-2</v>
      </c>
      <c r="AO6" s="17">
        <v>26.2</v>
      </c>
      <c r="AP6" s="17">
        <v>2</v>
      </c>
      <c r="AQ6" s="17">
        <v>18.899999999999999</v>
      </c>
      <c r="AR6" s="17">
        <v>34</v>
      </c>
      <c r="AS6" s="17">
        <v>7.55</v>
      </c>
      <c r="AT6" s="17">
        <v>1.5470667986281801</v>
      </c>
      <c r="AU6" s="17">
        <v>0.49348822478708598</v>
      </c>
      <c r="AV6" s="17">
        <v>-4.9936940441739401E-2</v>
      </c>
      <c r="AW6" s="17">
        <v>3.1707231015666402</v>
      </c>
      <c r="AX6" s="17">
        <v>1.61033002100419</v>
      </c>
    </row>
    <row r="7" spans="1:50" s="17" customFormat="1" x14ac:dyDescent="0.2">
      <c r="A7" s="15" t="s">
        <v>31</v>
      </c>
      <c r="B7" s="17" t="s">
        <v>676</v>
      </c>
      <c r="C7" s="17" t="s">
        <v>168</v>
      </c>
      <c r="D7" s="17" t="s">
        <v>168</v>
      </c>
      <c r="E7" s="17" t="s">
        <v>206</v>
      </c>
      <c r="F7" s="17" t="s">
        <v>500</v>
      </c>
      <c r="H7" s="18">
        <v>-1</v>
      </c>
      <c r="I7" s="26"/>
      <c r="J7" s="17">
        <v>34.55245</v>
      </c>
      <c r="K7" s="17">
        <v>-88.986997000000002</v>
      </c>
      <c r="L7" s="17">
        <v>3461</v>
      </c>
      <c r="M7" s="17" t="s">
        <v>608</v>
      </c>
      <c r="N7" s="17" t="s">
        <v>614</v>
      </c>
      <c r="O7" s="19" t="s">
        <v>621</v>
      </c>
      <c r="P7" s="19"/>
      <c r="Q7" s="19"/>
      <c r="S7" s="19">
        <v>0</v>
      </c>
      <c r="T7" s="19">
        <v>0</v>
      </c>
      <c r="U7" s="19" t="s">
        <v>637</v>
      </c>
      <c r="V7" s="25">
        <v>1.248</v>
      </c>
      <c r="W7" s="25">
        <v>1.4410000000000001</v>
      </c>
      <c r="X7" s="25">
        <v>3.3450000000000002</v>
      </c>
      <c r="Y7" s="25">
        <v>129.70099999999999</v>
      </c>
      <c r="Z7" s="25">
        <v>143.36099999999999</v>
      </c>
      <c r="AA7" s="19"/>
      <c r="AC7" s="17">
        <v>3</v>
      </c>
      <c r="AD7" s="17">
        <v>2.3340703291947098</v>
      </c>
      <c r="AE7" s="17">
        <v>3.8738526453878097E-2</v>
      </c>
      <c r="AF7" s="17">
        <v>-0.59169407690907005</v>
      </c>
      <c r="AG7" s="17">
        <v>30.3000166591737</v>
      </c>
      <c r="AH7" s="17">
        <v>7.6227048172692505E-2</v>
      </c>
      <c r="AI7" s="17">
        <v>0.579326109544954</v>
      </c>
      <c r="AJ7" s="17">
        <v>5.0021179294030297E-3</v>
      </c>
      <c r="AK7" s="17">
        <v>2.2017839525711898E-2</v>
      </c>
      <c r="AL7" s="17">
        <v>0.29075987035979101</v>
      </c>
      <c r="AM7" s="17">
        <v>4.1774527255609997E-2</v>
      </c>
      <c r="AN7" s="17">
        <v>9.0131324041094099E-2</v>
      </c>
      <c r="AO7" s="17">
        <v>30</v>
      </c>
      <c r="AP7" s="17">
        <v>1.75</v>
      </c>
      <c r="AQ7" s="17">
        <v>22.5</v>
      </c>
      <c r="AR7" s="17">
        <v>38.200000000000003</v>
      </c>
      <c r="AS7" s="17">
        <v>7.85</v>
      </c>
      <c r="AT7" s="17">
        <v>2.7984393049299601</v>
      </c>
      <c r="AU7" s="17">
        <v>0.41849923120639698</v>
      </c>
      <c r="AV7" s="17">
        <v>1.2125126651474101</v>
      </c>
      <c r="AW7" s="17">
        <v>4.4447639761450501</v>
      </c>
      <c r="AX7" s="17">
        <v>1.6161256554988199</v>
      </c>
    </row>
    <row r="8" spans="1:50" s="17" customFormat="1" x14ac:dyDescent="0.2">
      <c r="A8" s="15" t="s">
        <v>32</v>
      </c>
      <c r="B8" s="17" t="s">
        <v>676</v>
      </c>
      <c r="C8" s="17" t="s">
        <v>168</v>
      </c>
      <c r="D8" s="17" t="s">
        <v>168</v>
      </c>
      <c r="E8" s="17" t="s">
        <v>206</v>
      </c>
      <c r="F8" s="17" t="s">
        <v>500</v>
      </c>
      <c r="H8" s="18">
        <v>-0.7</v>
      </c>
      <c r="I8" s="26"/>
      <c r="J8" s="17">
        <v>34.55245</v>
      </c>
      <c r="K8" s="17">
        <v>-88.986997000000002</v>
      </c>
      <c r="L8" s="17">
        <v>3461</v>
      </c>
      <c r="M8" s="17" t="s">
        <v>608</v>
      </c>
      <c r="N8" s="17" t="s">
        <v>614</v>
      </c>
      <c r="O8" s="19" t="s">
        <v>621</v>
      </c>
      <c r="P8" s="19"/>
      <c r="Q8" s="19"/>
      <c r="S8" s="19"/>
      <c r="T8" s="19"/>
      <c r="U8" s="19"/>
      <c r="V8" s="19">
        <v>1.411</v>
      </c>
      <c r="W8" s="19">
        <v>3.1</v>
      </c>
      <c r="X8" s="19">
        <v>4.7270000000000003</v>
      </c>
      <c r="Y8" s="19">
        <v>246.39599999999999</v>
      </c>
      <c r="Z8" s="19">
        <v>1109.338</v>
      </c>
      <c r="AA8" s="19"/>
      <c r="AC8" s="17">
        <v>4</v>
      </c>
      <c r="AD8" s="17">
        <v>1.1275983491880299</v>
      </c>
      <c r="AE8" s="17">
        <v>1.9574583328736399E-2</v>
      </c>
      <c r="AF8" s="17">
        <v>-1.6166208226754999</v>
      </c>
      <c r="AG8" s="17">
        <v>29.2434094276956</v>
      </c>
      <c r="AH8" s="17">
        <v>4.4637895149622797E-2</v>
      </c>
      <c r="AI8" s="17">
        <v>0.604330750727468</v>
      </c>
      <c r="AJ8" s="17">
        <v>1.11115151516089E-2</v>
      </c>
      <c r="AK8" s="17">
        <v>1.9068008365715601E-2</v>
      </c>
      <c r="AL8" s="17">
        <v>0.112566240923264</v>
      </c>
      <c r="AM8" s="17">
        <v>1.6736362945951301E-2</v>
      </c>
      <c r="AN8" s="17">
        <v>7.8056016296314604E-2</v>
      </c>
      <c r="AO8" s="17">
        <v>21.5</v>
      </c>
      <c r="AP8" s="17">
        <v>3.65</v>
      </c>
      <c r="AQ8" s="17">
        <v>15.5</v>
      </c>
      <c r="AR8" s="17">
        <v>28</v>
      </c>
      <c r="AS8" s="17">
        <v>6.25</v>
      </c>
      <c r="AT8" s="17">
        <v>5.2735912763523601E-2</v>
      </c>
      <c r="AU8" s="17">
        <v>0.80153211680016101</v>
      </c>
      <c r="AV8" s="17">
        <v>-1.26178618213612</v>
      </c>
      <c r="AW8" s="17">
        <v>1.41785482678358</v>
      </c>
      <c r="AX8" s="17">
        <v>1.3398205044598499</v>
      </c>
    </row>
    <row r="9" spans="1:50" s="17" customFormat="1" x14ac:dyDescent="0.2">
      <c r="A9" s="15" t="s">
        <v>660</v>
      </c>
      <c r="B9" s="17" t="s">
        <v>676</v>
      </c>
      <c r="C9" s="17" t="s">
        <v>169</v>
      </c>
      <c r="D9" s="17" t="s">
        <v>169</v>
      </c>
      <c r="E9" s="17" t="s">
        <v>203</v>
      </c>
      <c r="F9" s="17" t="s">
        <v>500</v>
      </c>
      <c r="H9" s="18">
        <v>1</v>
      </c>
      <c r="I9" s="26"/>
      <c r="J9" s="17">
        <v>34.376944000000002</v>
      </c>
      <c r="K9" s="17">
        <v>-91.851667000000006</v>
      </c>
      <c r="L9" s="17">
        <v>3596</v>
      </c>
      <c r="M9" s="17" t="s">
        <v>618</v>
      </c>
      <c r="N9" s="17" t="s">
        <v>619</v>
      </c>
      <c r="O9" s="19" t="s">
        <v>620</v>
      </c>
      <c r="P9" s="19"/>
      <c r="Q9" s="19"/>
      <c r="S9" s="19">
        <v>0</v>
      </c>
      <c r="T9" s="19">
        <v>0</v>
      </c>
      <c r="U9" s="19" t="s">
        <v>637</v>
      </c>
      <c r="V9" s="19">
        <v>1.0887507666454366</v>
      </c>
      <c r="W9" s="19">
        <v>2.6966503998064799</v>
      </c>
      <c r="X9" s="19">
        <v>22.835930949247341</v>
      </c>
      <c r="Y9" s="19">
        <v>2072.0664904098112</v>
      </c>
      <c r="Z9" s="19">
        <v>15827.194204573019</v>
      </c>
      <c r="AA9" s="19"/>
      <c r="AC9" s="17">
        <v>4</v>
      </c>
      <c r="AD9" s="17">
        <v>1.8682680645191101</v>
      </c>
      <c r="AE9" s="17">
        <v>8.2246893966895898E-2</v>
      </c>
      <c r="AF9" s="17">
        <v>-1.2194812649540601</v>
      </c>
      <c r="AG9" s="17">
        <v>29.652824569146201</v>
      </c>
      <c r="AH9" s="17">
        <v>4.6758886987346801E-2</v>
      </c>
      <c r="AI9" s="17">
        <v>0.59574037072006603</v>
      </c>
      <c r="AJ9" s="17">
        <v>1.1868910111420401E-2</v>
      </c>
      <c r="AK9" s="17">
        <v>1.9068008365715601E-2</v>
      </c>
      <c r="AL9" s="17">
        <v>0.239902478885724</v>
      </c>
      <c r="AM9" s="17">
        <v>3.92052683885208E-2</v>
      </c>
      <c r="AN9" s="17">
        <v>7.8056016296314604E-2</v>
      </c>
      <c r="AO9" s="17">
        <v>24.4</v>
      </c>
      <c r="AP9" s="17">
        <v>4</v>
      </c>
      <c r="AQ9" s="17">
        <v>18.100000000000001</v>
      </c>
      <c r="AR9" s="17">
        <v>31</v>
      </c>
      <c r="AS9" s="17">
        <v>6.45</v>
      </c>
      <c r="AT9" s="17">
        <v>1.0473720020788699</v>
      </c>
      <c r="AU9" s="17">
        <v>0.861034960546192</v>
      </c>
      <c r="AV9" s="17">
        <v>-0.30926298536815</v>
      </c>
      <c r="AW9" s="17">
        <v>2.4100320750504798</v>
      </c>
      <c r="AX9" s="17">
        <v>1.3596475302093201</v>
      </c>
    </row>
    <row r="10" spans="1:50" s="17" customFormat="1" x14ac:dyDescent="0.2">
      <c r="A10" s="15" t="s">
        <v>66</v>
      </c>
      <c r="B10" s="17" t="s">
        <v>676</v>
      </c>
      <c r="C10" s="17" t="s">
        <v>169</v>
      </c>
      <c r="D10" s="17" t="s">
        <v>169</v>
      </c>
      <c r="E10" s="17" t="s">
        <v>208</v>
      </c>
      <c r="F10" s="17" t="s">
        <v>671</v>
      </c>
      <c r="H10" s="18">
        <v>-7</v>
      </c>
      <c r="I10" s="26"/>
      <c r="J10" s="17">
        <v>34.376944000000002</v>
      </c>
      <c r="K10" s="17">
        <v>-91.851667000000006</v>
      </c>
      <c r="L10" s="17">
        <v>3596</v>
      </c>
      <c r="M10" s="17" t="s">
        <v>608</v>
      </c>
      <c r="N10" s="17" t="s">
        <v>614</v>
      </c>
      <c r="O10" s="19" t="s">
        <v>617</v>
      </c>
      <c r="P10" s="19" t="s">
        <v>612</v>
      </c>
      <c r="Q10" s="19"/>
      <c r="S10" s="19"/>
      <c r="T10" s="19"/>
      <c r="U10" s="19"/>
      <c r="V10" s="19">
        <v>2.7789999999999999</v>
      </c>
      <c r="W10" s="19">
        <v>0.34300000000000003</v>
      </c>
      <c r="X10" s="19">
        <v>67.09</v>
      </c>
      <c r="Y10" s="19">
        <v>87.167000000000002</v>
      </c>
      <c r="Z10" s="19">
        <v>1491.924</v>
      </c>
      <c r="AA10" s="19"/>
      <c r="AC10" s="17">
        <v>3</v>
      </c>
      <c r="AD10" s="17">
        <v>2.6998780174785</v>
      </c>
      <c r="AE10" s="17">
        <v>7.3583998833947201E-3</v>
      </c>
      <c r="AF10" s="17">
        <v>-1.56028682593585</v>
      </c>
      <c r="AG10" s="17">
        <v>29.301484708274501</v>
      </c>
      <c r="AH10" s="17">
        <v>5.9150117709850097E-2</v>
      </c>
      <c r="AI10" s="17">
        <v>0.60819077575809199</v>
      </c>
      <c r="AJ10" s="17">
        <v>6.1204756847693699E-3</v>
      </c>
      <c r="AK10" s="17">
        <v>2.2017839525711898E-2</v>
      </c>
      <c r="AL10" s="17">
        <v>0.235314654498607</v>
      </c>
      <c r="AM10" s="17">
        <v>2.4432819955520001E-2</v>
      </c>
      <c r="AN10" s="17">
        <v>9.0131324041094099E-2</v>
      </c>
      <c r="AO10" s="17">
        <v>20.3</v>
      </c>
      <c r="AP10" s="17">
        <v>2</v>
      </c>
      <c r="AQ10" s="17">
        <v>13.4</v>
      </c>
      <c r="AR10" s="17">
        <v>27.6</v>
      </c>
      <c r="AS10" s="17">
        <v>7.1</v>
      </c>
      <c r="AT10" s="17">
        <v>-0.14106019785367599</v>
      </c>
      <c r="AU10" s="17">
        <v>0.47616978176426999</v>
      </c>
      <c r="AV10" s="17">
        <v>-1.6766150390491199</v>
      </c>
      <c r="AW10" s="17">
        <v>1.4087332590295301</v>
      </c>
      <c r="AX10" s="17">
        <v>1.5426741490393301</v>
      </c>
    </row>
    <row r="11" spans="1:50" s="17" customFormat="1" x14ac:dyDescent="0.2">
      <c r="A11" s="15" t="s">
        <v>102</v>
      </c>
      <c r="B11" s="17" t="s">
        <v>676</v>
      </c>
      <c r="C11" s="17" t="s">
        <v>170</v>
      </c>
      <c r="D11" s="17" t="s">
        <v>170</v>
      </c>
      <c r="E11" s="17" t="s">
        <v>238</v>
      </c>
      <c r="F11" s="17" t="s">
        <v>669</v>
      </c>
      <c r="H11" s="18">
        <v>3.85</v>
      </c>
      <c r="I11" s="26"/>
      <c r="J11" s="17">
        <v>34.748610999999997</v>
      </c>
      <c r="K11" s="17">
        <v>-88.911666999999994</v>
      </c>
      <c r="L11" s="17">
        <v>3460</v>
      </c>
      <c r="M11" s="17" t="s">
        <v>608</v>
      </c>
      <c r="N11" s="17" t="s">
        <v>614</v>
      </c>
      <c r="O11" s="19" t="s">
        <v>621</v>
      </c>
      <c r="P11" s="19" t="s">
        <v>612</v>
      </c>
      <c r="Q11" s="19" t="s">
        <v>613</v>
      </c>
      <c r="R11" s="17" t="s">
        <v>623</v>
      </c>
      <c r="S11" s="19"/>
      <c r="T11" s="19"/>
      <c r="U11" s="19" t="s">
        <v>637</v>
      </c>
      <c r="V11" s="25">
        <v>2.6619999999999999</v>
      </c>
      <c r="W11" s="25">
        <v>0.23799999999999999</v>
      </c>
      <c r="X11" s="25">
        <v>7.8639999999999999</v>
      </c>
      <c r="Y11" s="25">
        <v>34.807000000000002</v>
      </c>
      <c r="Z11" s="25">
        <v>58.048999999999999</v>
      </c>
      <c r="AA11" s="19"/>
      <c r="AC11" s="17">
        <v>3</v>
      </c>
      <c r="AD11" s="17">
        <v>2.1775186160575202</v>
      </c>
      <c r="AE11" s="17">
        <v>2.0358466051546901E-2</v>
      </c>
      <c r="AF11" s="17">
        <v>-0.101761521528514</v>
      </c>
      <c r="AG11" s="17">
        <v>30.805093029841</v>
      </c>
      <c r="AH11" s="17">
        <v>0.10539742606689401</v>
      </c>
      <c r="AI11" s="17">
        <v>0.599519601199476</v>
      </c>
      <c r="AJ11" s="17">
        <v>1.0156405462793399E-2</v>
      </c>
      <c r="AK11" s="17">
        <v>2.2017839525711898E-2</v>
      </c>
      <c r="AL11" s="17">
        <v>0.156557319355145</v>
      </c>
      <c r="AM11" s="17">
        <v>2.69671565776049E-2</v>
      </c>
      <c r="AN11" s="17">
        <v>9.0131324041094099E-2</v>
      </c>
      <c r="AO11" s="17">
        <v>23.1</v>
      </c>
      <c r="AP11" s="17">
        <v>3.35</v>
      </c>
      <c r="AQ11" s="17">
        <v>16</v>
      </c>
      <c r="AR11" s="17">
        <v>30.7</v>
      </c>
      <c r="AS11" s="17">
        <v>7.35</v>
      </c>
      <c r="AT11" s="17">
        <v>1.12634410534292</v>
      </c>
      <c r="AU11" s="17">
        <v>0.78570187023876803</v>
      </c>
      <c r="AV11" s="17">
        <v>-0.458424245080437</v>
      </c>
      <c r="AW11" s="17">
        <v>2.7413088708331101</v>
      </c>
      <c r="AX11" s="17">
        <v>1.5998665579567699</v>
      </c>
    </row>
    <row r="12" spans="1:50" s="17" customFormat="1" x14ac:dyDescent="0.2">
      <c r="A12" s="15" t="s">
        <v>144</v>
      </c>
      <c r="B12" s="17" t="s">
        <v>676</v>
      </c>
      <c r="C12" s="17" t="s">
        <v>172</v>
      </c>
      <c r="D12" s="17" t="s">
        <v>198</v>
      </c>
      <c r="E12" s="17" t="s">
        <v>216</v>
      </c>
      <c r="F12" s="17" t="s">
        <v>669</v>
      </c>
      <c r="I12" s="18" t="s">
        <v>217</v>
      </c>
      <c r="J12" s="17">
        <v>31.7</v>
      </c>
      <c r="K12" s="17">
        <v>-85.1</v>
      </c>
      <c r="M12" s="17" t="s">
        <v>608</v>
      </c>
      <c r="N12" s="17" t="s">
        <v>614</v>
      </c>
      <c r="O12" s="19"/>
      <c r="P12" s="19" t="s">
        <v>629</v>
      </c>
      <c r="Q12" s="19"/>
      <c r="S12" s="19"/>
      <c r="T12" s="19"/>
      <c r="U12" s="19"/>
      <c r="V12" s="19">
        <v>1.65</v>
      </c>
      <c r="W12" s="19">
        <v>2.4969999999999999</v>
      </c>
      <c r="X12" s="19">
        <v>14.256</v>
      </c>
      <c r="Y12" s="19">
        <v>102.801</v>
      </c>
      <c r="Z12" s="19">
        <v>238.63800000000001</v>
      </c>
      <c r="AA12" s="19"/>
      <c r="AC12" s="17">
        <v>5</v>
      </c>
      <c r="AD12" s="17">
        <v>0.81433083060473499</v>
      </c>
      <c r="AE12" s="17">
        <v>4.0126652516437301E-2</v>
      </c>
      <c r="AF12" s="17">
        <v>-0.62882424399836001</v>
      </c>
      <c r="AG12" s="17">
        <v>30.2617387986196</v>
      </c>
      <c r="AH12" s="17">
        <v>3.0886387382978601E-2</v>
      </c>
      <c r="AI12" s="17">
        <v>0.56921502307008198</v>
      </c>
      <c r="AJ12" s="17">
        <v>3.8300883861837901E-2</v>
      </c>
      <c r="AK12" s="17">
        <v>1.7054945160509899E-2</v>
      </c>
      <c r="AL12" s="17">
        <v>0.180730330509632</v>
      </c>
      <c r="AM12" s="17">
        <v>0.101049982710538</v>
      </c>
      <c r="AN12" s="17">
        <v>6.9815423396556303E-2</v>
      </c>
      <c r="AO12" s="17">
        <v>33.700000000000003</v>
      </c>
      <c r="AP12" s="17">
        <v>14.2</v>
      </c>
      <c r="AQ12" s="17">
        <v>27.6</v>
      </c>
      <c r="AR12" s="17">
        <v>40.200000000000003</v>
      </c>
      <c r="AS12" s="17">
        <v>6.3</v>
      </c>
      <c r="AT12" s="17">
        <v>3.4805775037614199</v>
      </c>
      <c r="AU12" s="17">
        <v>2.7642000769246202</v>
      </c>
      <c r="AV12" s="17">
        <v>2.2553204124759501</v>
      </c>
      <c r="AW12" s="17">
        <v>4.7345441371982098</v>
      </c>
      <c r="AX12" s="17">
        <v>1.2396118623611301</v>
      </c>
    </row>
    <row r="13" spans="1:50" s="17" customFormat="1" x14ac:dyDescent="0.2">
      <c r="A13" s="15" t="s">
        <v>660</v>
      </c>
      <c r="B13" s="17" t="s">
        <v>676</v>
      </c>
      <c r="C13" s="17" t="s">
        <v>169</v>
      </c>
      <c r="D13" s="17" t="s">
        <v>169</v>
      </c>
      <c r="E13" s="17" t="s">
        <v>203</v>
      </c>
      <c r="F13" s="17" t="s">
        <v>500</v>
      </c>
      <c r="H13" s="18">
        <v>1</v>
      </c>
      <c r="I13" s="26"/>
      <c r="J13" s="17">
        <v>34.376944000000002</v>
      </c>
      <c r="K13" s="17">
        <v>-91.851667000000006</v>
      </c>
      <c r="L13" s="17">
        <v>3596</v>
      </c>
      <c r="M13" s="17" t="s">
        <v>618</v>
      </c>
      <c r="N13" s="17" t="s">
        <v>619</v>
      </c>
      <c r="O13" s="19" t="s">
        <v>620</v>
      </c>
      <c r="P13" s="19"/>
      <c r="Q13" s="19"/>
      <c r="S13" s="19">
        <v>0</v>
      </c>
      <c r="T13" s="19">
        <v>0</v>
      </c>
      <c r="U13" s="19" t="s">
        <v>637</v>
      </c>
      <c r="V13" s="19">
        <v>1.0887507666454366</v>
      </c>
      <c r="W13" s="19">
        <v>2.6966503998064799</v>
      </c>
      <c r="X13" s="19">
        <v>22.835930949247341</v>
      </c>
      <c r="Y13" s="19">
        <v>2072.0664904098112</v>
      </c>
      <c r="Z13" s="19">
        <v>15827.194204573019</v>
      </c>
      <c r="AA13" s="19"/>
      <c r="AC13" s="17">
        <v>4</v>
      </c>
      <c r="AD13" s="17">
        <v>1.8682680645191101</v>
      </c>
      <c r="AE13" s="17">
        <v>8.2246893966895898E-2</v>
      </c>
      <c r="AF13" s="17">
        <v>-1.2194812649540601</v>
      </c>
      <c r="AG13" s="17">
        <v>29.652824569146201</v>
      </c>
      <c r="AH13" s="17">
        <v>4.6758886987346801E-2</v>
      </c>
      <c r="AI13" s="17">
        <v>0.59574037072006603</v>
      </c>
      <c r="AJ13" s="17">
        <v>1.1868910111420401E-2</v>
      </c>
      <c r="AK13" s="17">
        <v>1.9068008365715601E-2</v>
      </c>
      <c r="AL13" s="17">
        <v>0.239902478885724</v>
      </c>
      <c r="AM13" s="17">
        <v>3.92052683885208E-2</v>
      </c>
      <c r="AN13" s="17">
        <v>7.8056016296314604E-2</v>
      </c>
      <c r="AO13" s="17">
        <v>24.4</v>
      </c>
      <c r="AP13" s="17">
        <v>4</v>
      </c>
      <c r="AQ13" s="17">
        <v>18.100000000000001</v>
      </c>
      <c r="AR13" s="17">
        <v>31</v>
      </c>
      <c r="AS13" s="17">
        <v>6.45</v>
      </c>
      <c r="AT13" s="17">
        <v>1.0473720020788699</v>
      </c>
      <c r="AU13" s="17">
        <v>0.861034960546192</v>
      </c>
      <c r="AV13" s="17">
        <v>-0.30926298536815</v>
      </c>
      <c r="AW13" s="17">
        <v>2.4100320750504798</v>
      </c>
      <c r="AX13" s="17">
        <v>1.3596475302093201</v>
      </c>
    </row>
    <row r="14" spans="1:50" s="17" customFormat="1" x14ac:dyDescent="0.2">
      <c r="A14" s="15" t="s">
        <v>12</v>
      </c>
      <c r="B14" s="17" t="s">
        <v>676</v>
      </c>
      <c r="C14" s="17" t="s">
        <v>166</v>
      </c>
      <c r="D14" s="17" t="s">
        <v>198</v>
      </c>
      <c r="E14" s="17" t="s">
        <v>212</v>
      </c>
      <c r="F14" s="17" t="s">
        <v>669</v>
      </c>
      <c r="H14" s="18">
        <v>0</v>
      </c>
      <c r="I14" s="26"/>
      <c r="J14" s="17">
        <v>32.006</v>
      </c>
      <c r="K14" s="17">
        <v>-86.751000000000005</v>
      </c>
      <c r="O14" s="19"/>
      <c r="P14" s="19"/>
      <c r="Q14" s="19"/>
      <c r="S14" s="19"/>
      <c r="T14" s="19"/>
      <c r="U14" s="19"/>
      <c r="V14" s="19">
        <v>6.3390000000000004</v>
      </c>
      <c r="W14" s="19">
        <v>40.206000000000003</v>
      </c>
      <c r="X14" s="19">
        <v>837.94899999999996</v>
      </c>
      <c r="Y14" s="19">
        <v>441.77699999999999</v>
      </c>
      <c r="Z14" s="19">
        <v>20271.654999999999</v>
      </c>
      <c r="AA14" s="19"/>
      <c r="AC14" s="17">
        <v>3</v>
      </c>
      <c r="AD14" s="17">
        <v>1.9553869290927199</v>
      </c>
      <c r="AE14" s="17">
        <v>1.4836012528023501E-2</v>
      </c>
      <c r="AF14" s="17">
        <v>-1.81536391473838</v>
      </c>
      <c r="AG14" s="17">
        <v>29.038523186656999</v>
      </c>
      <c r="AH14" s="17">
        <v>5.1102308890804103E-2</v>
      </c>
      <c r="AI14" s="17">
        <v>0.58482925729719104</v>
      </c>
      <c r="AJ14" s="17">
        <v>5.8355853546977502E-3</v>
      </c>
      <c r="AK14" s="17">
        <v>2.2017839525711898E-2</v>
      </c>
      <c r="AL14" s="17">
        <v>0.19629775418668299</v>
      </c>
      <c r="AM14" s="17">
        <v>2.0305018702021699E-2</v>
      </c>
      <c r="AN14" s="17">
        <v>9.0131324041094099E-2</v>
      </c>
      <c r="AO14" s="17">
        <v>28.1</v>
      </c>
      <c r="AP14" s="17">
        <v>2.0499999999999998</v>
      </c>
      <c r="AQ14" s="17">
        <v>20.7</v>
      </c>
      <c r="AR14" s="17">
        <v>36.1</v>
      </c>
      <c r="AS14" s="17">
        <v>7.7</v>
      </c>
      <c r="AT14" s="17">
        <v>1.1949846695703199</v>
      </c>
      <c r="AU14" s="17">
        <v>0.45750616271862998</v>
      </c>
      <c r="AV14" s="17">
        <v>-0.36253772912709797</v>
      </c>
      <c r="AW14" s="17">
        <v>2.7961101286338099</v>
      </c>
      <c r="AX14" s="17">
        <v>1.5793239288804599</v>
      </c>
    </row>
    <row r="15" spans="1:50" s="17" customFormat="1" x14ac:dyDescent="0.2">
      <c r="A15" s="15" t="s">
        <v>163</v>
      </c>
      <c r="B15" s="17" t="s">
        <v>676</v>
      </c>
      <c r="C15" s="17" t="s">
        <v>173</v>
      </c>
      <c r="D15" s="17" t="s">
        <v>666</v>
      </c>
      <c r="E15" s="17" t="s">
        <v>673</v>
      </c>
      <c r="F15" s="17" t="s">
        <v>500</v>
      </c>
      <c r="H15" s="18"/>
      <c r="I15" s="26"/>
      <c r="J15" s="17">
        <v>33.440736999999999</v>
      </c>
      <c r="K15" s="17">
        <v>-88.9084</v>
      </c>
      <c r="L15" s="17">
        <v>3944</v>
      </c>
      <c r="M15" s="17" t="s">
        <v>618</v>
      </c>
      <c r="N15" s="17" t="s">
        <v>619</v>
      </c>
      <c r="O15" s="19" t="s">
        <v>620</v>
      </c>
      <c r="P15" s="19"/>
      <c r="Q15" s="19"/>
      <c r="S15" s="19">
        <v>0</v>
      </c>
      <c r="T15" s="19">
        <v>0</v>
      </c>
      <c r="U15" s="19" t="s">
        <v>637</v>
      </c>
      <c r="V15" s="19">
        <v>0.69699667977235136</v>
      </c>
      <c r="W15" s="19">
        <v>4.2189120337343331</v>
      </c>
      <c r="X15" s="19">
        <v>902.10083112398729</v>
      </c>
      <c r="Y15" s="19">
        <v>605.30789170274988</v>
      </c>
      <c r="Z15" s="19">
        <v>24274.740281378832</v>
      </c>
      <c r="AA15" s="19"/>
      <c r="AC15" s="17">
        <v>3</v>
      </c>
      <c r="AD15" s="17">
        <v>2.70345961700705</v>
      </c>
      <c r="AE15" s="17">
        <v>6.2795593684716003E-2</v>
      </c>
      <c r="AF15" s="17">
        <v>-1.4536588877362</v>
      </c>
      <c r="AG15" s="17">
        <v>29.411408516043899</v>
      </c>
      <c r="AH15" s="17">
        <v>2.3866022238482301E-2</v>
      </c>
      <c r="AI15" s="17">
        <v>0.60442052987498396</v>
      </c>
      <c r="AJ15" s="17">
        <v>7.16223943412337E-3</v>
      </c>
      <c r="AK15" s="17">
        <v>2.2017839525711898E-2</v>
      </c>
      <c r="AL15" s="17">
        <v>0.27171237226057399</v>
      </c>
      <c r="AM15" s="17">
        <v>2.36726199517781E-2</v>
      </c>
      <c r="AN15" s="17">
        <v>9.0131324041094099E-2</v>
      </c>
      <c r="AO15" s="17">
        <v>21.5</v>
      </c>
      <c r="AP15" s="17">
        <v>2.35</v>
      </c>
      <c r="AQ15" s="17">
        <v>14.5</v>
      </c>
      <c r="AR15" s="17">
        <v>29</v>
      </c>
      <c r="AS15" s="17">
        <v>7.25</v>
      </c>
      <c r="AT15" s="17">
        <v>0.21597032980685099</v>
      </c>
      <c r="AU15" s="17">
        <v>0.511358331573319</v>
      </c>
      <c r="AV15" s="17">
        <v>-1.2954943659976801</v>
      </c>
      <c r="AW15" s="17">
        <v>1.75957279860529</v>
      </c>
      <c r="AX15" s="17">
        <v>1.5275335823014899</v>
      </c>
    </row>
    <row r="17" spans="1:50" s="20" customFormat="1" x14ac:dyDescent="0.2">
      <c r="A17" s="20" t="s">
        <v>678</v>
      </c>
    </row>
    <row r="18" spans="1:50" s="22" customFormat="1" x14ac:dyDescent="0.2">
      <c r="A18" s="15" t="s">
        <v>130</v>
      </c>
      <c r="B18" s="15" t="s">
        <v>676</v>
      </c>
      <c r="C18" s="17" t="s">
        <v>171</v>
      </c>
      <c r="D18" s="17" t="s">
        <v>198</v>
      </c>
      <c r="E18" s="17" t="s">
        <v>242</v>
      </c>
      <c r="F18" s="17" t="s">
        <v>668</v>
      </c>
      <c r="G18" s="17"/>
      <c r="H18" s="18" t="s">
        <v>198</v>
      </c>
      <c r="I18"/>
      <c r="J18" s="17">
        <v>33.967222</v>
      </c>
      <c r="K18" s="17">
        <v>-89.000833</v>
      </c>
      <c r="L18" s="17">
        <v>3483</v>
      </c>
      <c r="M18" s="17" t="s">
        <v>608</v>
      </c>
      <c r="N18" s="17" t="s">
        <v>614</v>
      </c>
      <c r="O18" s="19" t="s">
        <v>625</v>
      </c>
      <c r="P18" s="19" t="s">
        <v>632</v>
      </c>
      <c r="Q18" s="17" t="s">
        <v>630</v>
      </c>
      <c r="R18" s="17" t="s">
        <v>631</v>
      </c>
      <c r="S18" s="19">
        <v>0</v>
      </c>
      <c r="T18" s="19">
        <v>2</v>
      </c>
      <c r="U18" s="19" t="s">
        <v>639</v>
      </c>
      <c r="V18" s="25">
        <v>1.629</v>
      </c>
      <c r="W18" s="25">
        <v>1.629</v>
      </c>
      <c r="X18" s="25">
        <v>9.3650000000000002</v>
      </c>
      <c r="Y18" s="25">
        <v>139.50299999999999</v>
      </c>
      <c r="Z18" s="25">
        <v>594.03300000000002</v>
      </c>
      <c r="AA18" s="19"/>
      <c r="AB18" s="17"/>
      <c r="AC18" s="17">
        <v>3</v>
      </c>
      <c r="AD18" s="17">
        <v>-2.4223614853826398</v>
      </c>
      <c r="AE18" s="17">
        <v>2.7021003206561499E-2</v>
      </c>
      <c r="AF18" s="17">
        <v>-0.89091047673530499</v>
      </c>
      <c r="AG18" s="17">
        <v>29.9915514804288</v>
      </c>
      <c r="AH18" s="17">
        <v>4.3031354737789802E-2</v>
      </c>
      <c r="AI18" s="17">
        <v>0.59916797132140698</v>
      </c>
      <c r="AJ18" s="17">
        <v>4.9889846643324399E-3</v>
      </c>
      <c r="AK18" s="17">
        <v>2.2017839525711898E-2</v>
      </c>
      <c r="AL18" s="17">
        <v>0.24719318133807899</v>
      </c>
      <c r="AM18" s="17">
        <v>3.0355268388930899E-2</v>
      </c>
      <c r="AN18" s="17">
        <v>9.0131324041094099E-2</v>
      </c>
      <c r="AO18" s="17">
        <v>23.2</v>
      </c>
      <c r="AP18" s="17">
        <v>1.65</v>
      </c>
      <c r="AQ18" s="17">
        <v>16.100000000000001</v>
      </c>
      <c r="AR18" s="17">
        <v>30.8</v>
      </c>
      <c r="AS18" s="17">
        <v>7.35</v>
      </c>
      <c r="AT18" s="17">
        <v>0.356598877168608</v>
      </c>
      <c r="AU18" s="17">
        <v>0.37784720005106498</v>
      </c>
      <c r="AV18" s="17">
        <v>-1.1655385933501099</v>
      </c>
      <c r="AW18" s="17">
        <v>1.90873184537111</v>
      </c>
      <c r="AX18" s="17">
        <v>1.53713521936061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A4A7-C983-42DB-BF75-57AFAF9F026F}">
  <dimension ref="A2:AW41"/>
  <sheetViews>
    <sheetView topLeftCell="A17" workbookViewId="0">
      <selection activeCell="A40" sqref="A40:XFD41"/>
    </sheetView>
  </sheetViews>
  <sheetFormatPr baseColWidth="10" defaultColWidth="8.83203125" defaultRowHeight="15" x14ac:dyDescent="0.2"/>
  <sheetData>
    <row r="2" spans="1:47" s="17" customFormat="1" x14ac:dyDescent="0.2">
      <c r="A2" s="15" t="s">
        <v>78</v>
      </c>
      <c r="B2" s="17" t="s">
        <v>170</v>
      </c>
      <c r="C2" s="17" t="s">
        <v>233</v>
      </c>
      <c r="E2" s="18">
        <v>3.1</v>
      </c>
      <c r="F2"/>
      <c r="G2" s="17">
        <v>34.748610999999997</v>
      </c>
      <c r="H2" s="17">
        <v>-88.911666999999994</v>
      </c>
      <c r="I2" s="17">
        <v>3460</v>
      </c>
      <c r="J2" s="17" t="s">
        <v>608</v>
      </c>
      <c r="K2" s="17" t="s">
        <v>614</v>
      </c>
      <c r="L2" s="19" t="s">
        <v>621</v>
      </c>
      <c r="M2" s="19" t="s">
        <v>612</v>
      </c>
      <c r="N2" s="19" t="s">
        <v>613</v>
      </c>
      <c r="O2" s="17" t="s">
        <v>623</v>
      </c>
      <c r="P2" s="19"/>
      <c r="Q2" s="19"/>
      <c r="R2" s="19" t="s">
        <v>637</v>
      </c>
      <c r="S2" s="19"/>
      <c r="T2" s="19"/>
      <c r="U2" s="19"/>
      <c r="V2" s="19"/>
      <c r="W2" s="19"/>
      <c r="X2" s="19"/>
      <c r="Z2" s="17">
        <v>3</v>
      </c>
      <c r="AA2" s="17">
        <v>6.5224791767481503E-3</v>
      </c>
      <c r="AB2" s="17">
        <v>3.9378833013812897E-2</v>
      </c>
      <c r="AC2" s="17">
        <v>-0.55962062264846302</v>
      </c>
      <c r="AD2" s="17">
        <v>30.3330815039055</v>
      </c>
      <c r="AE2" s="17">
        <v>0.14521317487996499</v>
      </c>
      <c r="AF2" s="17">
        <v>0.58705855594704104</v>
      </c>
      <c r="AG2" s="17">
        <v>1.06222664059287E-2</v>
      </c>
      <c r="AH2" s="17">
        <v>2.2017839525711898E-2</v>
      </c>
      <c r="AI2" s="17">
        <v>0.23447613917167101</v>
      </c>
      <c r="AJ2" s="17">
        <v>4.7237375641389197E-2</v>
      </c>
      <c r="AK2" s="17">
        <v>9.0131324041094099E-2</v>
      </c>
      <c r="AL2" s="17">
        <v>27.3</v>
      </c>
      <c r="AM2" s="17">
        <v>3.7</v>
      </c>
      <c r="AN2" s="17">
        <v>20</v>
      </c>
      <c r="AO2" s="17">
        <v>35.299999999999997</v>
      </c>
      <c r="AP2" s="17">
        <v>7.65</v>
      </c>
      <c r="AQ2" s="17">
        <v>1.5125389020202</v>
      </c>
      <c r="AR2" s="17">
        <v>0.87522970190474303</v>
      </c>
      <c r="AS2" s="17">
        <v>-0.111477611339751</v>
      </c>
      <c r="AT2" s="17">
        <v>3.2009146121837402</v>
      </c>
      <c r="AU2" s="17">
        <v>1.6561961117617401</v>
      </c>
    </row>
    <row r="3" spans="1:47" s="17" customFormat="1" x14ac:dyDescent="0.2">
      <c r="A3" s="15" t="s">
        <v>79</v>
      </c>
      <c r="B3" s="17" t="s">
        <v>170</v>
      </c>
      <c r="C3" s="17" t="s">
        <v>232</v>
      </c>
      <c r="E3" s="18">
        <v>4.4000000000000004</v>
      </c>
      <c r="F3"/>
      <c r="G3" s="17">
        <v>34.748610999999997</v>
      </c>
      <c r="H3" s="17">
        <v>-88.911666999999994</v>
      </c>
      <c r="I3" s="17">
        <v>3460</v>
      </c>
      <c r="J3" s="17" t="s">
        <v>608</v>
      </c>
      <c r="K3" s="17" t="s">
        <v>614</v>
      </c>
      <c r="L3" s="19" t="s">
        <v>621</v>
      </c>
      <c r="M3" s="19" t="s">
        <v>612</v>
      </c>
      <c r="N3" s="19" t="s">
        <v>613</v>
      </c>
      <c r="O3" s="17" t="s">
        <v>623</v>
      </c>
      <c r="P3" s="19"/>
      <c r="Q3" s="19"/>
      <c r="R3" s="19" t="s">
        <v>637</v>
      </c>
      <c r="S3" s="19"/>
      <c r="T3" s="19"/>
      <c r="U3" s="19"/>
      <c r="V3" s="19"/>
      <c r="W3" s="19"/>
      <c r="X3" s="19"/>
      <c r="Z3" s="17">
        <v>3</v>
      </c>
      <c r="AA3" s="17">
        <v>-0.109545510954003</v>
      </c>
      <c r="AB3" s="17">
        <v>1.14692088309357E-2</v>
      </c>
      <c r="AC3" s="17">
        <v>-0.70788223372605197</v>
      </c>
      <c r="AD3" s="17">
        <v>30.1802371264295</v>
      </c>
      <c r="AE3" s="17">
        <v>0.13675407218937299</v>
      </c>
      <c r="AF3" s="17">
        <v>0.59518549289259004</v>
      </c>
      <c r="AG3" s="17">
        <v>1.0017887440849501E-2</v>
      </c>
      <c r="AH3" s="17">
        <v>2.2017839525711898E-2</v>
      </c>
      <c r="AI3" s="17">
        <v>0.198065725253221</v>
      </c>
      <c r="AJ3" s="17">
        <v>2.1175580717082001E-2</v>
      </c>
      <c r="AK3" s="17">
        <v>9.0131324041094099E-2</v>
      </c>
      <c r="AL3" s="17">
        <v>24.5</v>
      </c>
      <c r="AM3" s="17">
        <v>3.4</v>
      </c>
      <c r="AN3" s="17">
        <v>17.399999999999999</v>
      </c>
      <c r="AO3" s="17">
        <v>32.299999999999997</v>
      </c>
      <c r="AP3" s="17">
        <v>7.45</v>
      </c>
      <c r="AQ3" s="17">
        <v>0.80354444087549803</v>
      </c>
      <c r="AR3" s="17">
        <v>0.819663662545281</v>
      </c>
      <c r="AS3" s="17">
        <v>-0.79712575682538001</v>
      </c>
      <c r="AT3" s="17">
        <v>2.4729807580004</v>
      </c>
      <c r="AU3" s="17">
        <v>1.63505325741289</v>
      </c>
    </row>
    <row r="4" spans="1:47" s="17" customFormat="1" x14ac:dyDescent="0.2">
      <c r="A4" s="15" t="s">
        <v>69</v>
      </c>
      <c r="B4" s="17" t="s">
        <v>170</v>
      </c>
      <c r="C4" s="17" t="s">
        <v>232</v>
      </c>
      <c r="E4" s="18">
        <v>-1</v>
      </c>
      <c r="F4"/>
      <c r="G4" s="17">
        <v>34.748610999999997</v>
      </c>
      <c r="H4" s="17">
        <v>-88.911666999999994</v>
      </c>
      <c r="I4" s="17">
        <v>3460</v>
      </c>
      <c r="J4" s="17" t="s">
        <v>608</v>
      </c>
      <c r="K4" s="17" t="s">
        <v>614</v>
      </c>
      <c r="L4" s="19" t="s">
        <v>621</v>
      </c>
      <c r="M4" s="19" t="s">
        <v>612</v>
      </c>
      <c r="N4" s="19" t="s">
        <v>613</v>
      </c>
      <c r="O4" s="17" t="s">
        <v>623</v>
      </c>
      <c r="P4" s="19"/>
      <c r="Q4" s="19"/>
      <c r="R4" s="19" t="s">
        <v>637</v>
      </c>
      <c r="S4" s="19"/>
      <c r="T4" s="19"/>
      <c r="U4" s="19"/>
      <c r="V4" s="19"/>
      <c r="W4" s="19"/>
      <c r="X4" s="19"/>
      <c r="Z4" s="17">
        <v>3</v>
      </c>
      <c r="AA4" s="17">
        <v>0.296116595332792</v>
      </c>
      <c r="AB4" s="17">
        <v>7.2255853054060603E-3</v>
      </c>
      <c r="AC4" s="17">
        <v>-0.64374939835837997</v>
      </c>
      <c r="AD4" s="17">
        <v>30.246352307738398</v>
      </c>
      <c r="AE4" s="17">
        <v>4.9972920597309803E-2</v>
      </c>
      <c r="AF4" s="17">
        <v>0.59921393641047704</v>
      </c>
      <c r="AG4" s="17">
        <v>9.8058181971967095E-3</v>
      </c>
      <c r="AH4" s="17">
        <v>2.2017839525711898E-2</v>
      </c>
      <c r="AI4" s="17">
        <v>0.225235510537804</v>
      </c>
      <c r="AJ4" s="17">
        <v>1.3051612883820399E-2</v>
      </c>
      <c r="AK4" s="17">
        <v>9.0131324041094099E-2</v>
      </c>
      <c r="AL4" s="17">
        <v>23.2</v>
      </c>
      <c r="AM4" s="17">
        <v>3.25</v>
      </c>
      <c r="AN4" s="17">
        <v>16.100000000000001</v>
      </c>
      <c r="AO4" s="17">
        <v>30.8</v>
      </c>
      <c r="AP4" s="17">
        <v>7.35</v>
      </c>
      <c r="AQ4" s="17">
        <v>0.60406856624717897</v>
      </c>
      <c r="AR4" s="17">
        <v>0.71067867142738805</v>
      </c>
      <c r="AS4" s="17">
        <v>-0.92516699508337297</v>
      </c>
      <c r="AT4" s="17">
        <v>2.1633271702080501</v>
      </c>
      <c r="AU4" s="17">
        <v>1.54424708264571</v>
      </c>
    </row>
    <row r="5" spans="1:47" s="17" customFormat="1" x14ac:dyDescent="0.2">
      <c r="A5" s="15" t="s">
        <v>80</v>
      </c>
      <c r="B5" s="17" t="s">
        <v>170</v>
      </c>
      <c r="C5" s="17" t="s">
        <v>232</v>
      </c>
      <c r="E5" s="18">
        <v>6.5</v>
      </c>
      <c r="F5"/>
      <c r="G5" s="17">
        <v>34.748610999999997</v>
      </c>
      <c r="H5" s="17">
        <v>-88.911666999999994</v>
      </c>
      <c r="I5" s="17">
        <v>3460</v>
      </c>
      <c r="J5" s="17" t="s">
        <v>608</v>
      </c>
      <c r="K5" s="17" t="s">
        <v>614</v>
      </c>
      <c r="L5" s="19" t="s">
        <v>621</v>
      </c>
      <c r="M5" s="19" t="s">
        <v>612</v>
      </c>
      <c r="N5" s="19" t="s">
        <v>613</v>
      </c>
      <c r="O5" s="17" t="s">
        <v>623</v>
      </c>
      <c r="P5" s="19"/>
      <c r="Q5" s="19"/>
      <c r="R5" s="19" t="s">
        <v>637</v>
      </c>
      <c r="S5" s="19"/>
      <c r="T5" s="19"/>
      <c r="U5" s="19"/>
      <c r="V5" s="19"/>
      <c r="W5" s="19"/>
      <c r="X5" s="19"/>
      <c r="Z5" s="17">
        <v>4</v>
      </c>
      <c r="AA5" s="17">
        <v>-0.241671984281249</v>
      </c>
      <c r="AB5" s="17">
        <v>3.2758842766017898E-2</v>
      </c>
      <c r="AC5" s="17">
        <v>-0.984171903140452</v>
      </c>
      <c r="AD5" s="17">
        <v>29.895407343333499</v>
      </c>
      <c r="AE5" s="17">
        <v>9.0041134013566601E-2</v>
      </c>
      <c r="AF5" s="17">
        <v>0.59970315636896099</v>
      </c>
      <c r="AG5" s="17">
        <v>4.1476964785013403E-3</v>
      </c>
      <c r="AH5" s="17">
        <v>1.9068008365715601E-2</v>
      </c>
      <c r="AI5" s="17">
        <v>0.22563524300354301</v>
      </c>
      <c r="AJ5" s="17">
        <v>2.54069138619013E-2</v>
      </c>
      <c r="AK5" s="17">
        <v>7.8056016296314604E-2</v>
      </c>
      <c r="AL5" s="17">
        <v>23</v>
      </c>
      <c r="AM5" s="17">
        <v>1.35</v>
      </c>
      <c r="AN5" s="17">
        <v>16.899999999999999</v>
      </c>
      <c r="AO5" s="17">
        <v>29.6</v>
      </c>
      <c r="AP5" s="17">
        <v>6.35</v>
      </c>
      <c r="AQ5" s="17">
        <v>0.22246549607552901</v>
      </c>
      <c r="AR5" s="17">
        <v>0.362732020536157</v>
      </c>
      <c r="AS5" s="17">
        <v>-1.1340809476051801</v>
      </c>
      <c r="AT5" s="17">
        <v>1.62736794617877</v>
      </c>
      <c r="AU5" s="17">
        <v>1.3807244468919699</v>
      </c>
    </row>
    <row r="6" spans="1:47" s="17" customFormat="1" x14ac:dyDescent="0.2">
      <c r="A6" s="15" t="s">
        <v>81</v>
      </c>
      <c r="B6" s="17" t="s">
        <v>170</v>
      </c>
      <c r="C6" s="17" t="s">
        <v>230</v>
      </c>
      <c r="E6" s="18">
        <v>-1.5</v>
      </c>
      <c r="F6"/>
      <c r="G6" s="17">
        <v>34.748610999999997</v>
      </c>
      <c r="H6" s="17">
        <v>-88.911666999999994</v>
      </c>
      <c r="I6" s="17">
        <v>3460</v>
      </c>
      <c r="J6" s="17" t="s">
        <v>608</v>
      </c>
      <c r="K6" s="17" t="s">
        <v>614</v>
      </c>
      <c r="L6" s="19" t="s">
        <v>621</v>
      </c>
      <c r="M6" s="19" t="s">
        <v>612</v>
      </c>
      <c r="N6" s="19" t="s">
        <v>613</v>
      </c>
      <c r="O6" s="17" t="s">
        <v>623</v>
      </c>
      <c r="P6" s="19"/>
      <c r="Q6" s="19"/>
      <c r="R6" s="19" t="s">
        <v>637</v>
      </c>
      <c r="S6" s="19"/>
      <c r="T6" s="19"/>
      <c r="U6" s="19"/>
      <c r="V6" s="19"/>
      <c r="W6" s="19"/>
      <c r="X6" s="19"/>
      <c r="Z6" s="17">
        <v>3</v>
      </c>
      <c r="AA6" s="17">
        <v>1.0581840140566099</v>
      </c>
      <c r="AB6" s="17">
        <v>4.81468268305493E-2</v>
      </c>
      <c r="AC6" s="17">
        <v>-0.64063551197280399</v>
      </c>
      <c r="AD6" s="17">
        <v>30.249562444352101</v>
      </c>
      <c r="AE6" s="17">
        <v>5.7867158398455097E-2</v>
      </c>
      <c r="AF6" s="17">
        <v>0.60519394439582297</v>
      </c>
      <c r="AG6" s="17">
        <v>1.27752858189042E-2</v>
      </c>
      <c r="AH6" s="17">
        <v>2.2017839525711898E-2</v>
      </c>
      <c r="AI6" s="17">
        <v>0.32133719964514901</v>
      </c>
      <c r="AJ6" s="17">
        <v>2.5819427852968001E-2</v>
      </c>
      <c r="AK6" s="17">
        <v>9.0131324041094099E-2</v>
      </c>
      <c r="AL6" s="17">
        <v>21.2</v>
      </c>
      <c r="AM6" s="17">
        <v>4.2</v>
      </c>
      <c r="AN6" s="17">
        <v>14.3</v>
      </c>
      <c r="AO6" s="17">
        <v>28.7</v>
      </c>
      <c r="AP6" s="17">
        <v>7.2</v>
      </c>
      <c r="AQ6" s="17">
        <v>0.19707371461072401</v>
      </c>
      <c r="AR6" s="17">
        <v>0.92325499428000102</v>
      </c>
      <c r="AS6" s="17">
        <v>-1.3163580948179301</v>
      </c>
      <c r="AT6" s="17">
        <v>1.7640679581199901</v>
      </c>
      <c r="AU6" s="17">
        <v>1.54021302646896</v>
      </c>
    </row>
    <row r="7" spans="1:47" s="17" customFormat="1" x14ac:dyDescent="0.2">
      <c r="A7" s="15" t="s">
        <v>82</v>
      </c>
      <c r="B7" s="17" t="s">
        <v>170</v>
      </c>
      <c r="C7" s="17" t="s">
        <v>231</v>
      </c>
      <c r="E7" s="18">
        <v>-0.7</v>
      </c>
      <c r="F7"/>
      <c r="G7" s="17">
        <v>34.748610999999997</v>
      </c>
      <c r="H7" s="17">
        <v>-88.911666999999994</v>
      </c>
      <c r="I7" s="17">
        <v>3460</v>
      </c>
      <c r="J7" s="17" t="s">
        <v>608</v>
      </c>
      <c r="K7" s="17" t="s">
        <v>614</v>
      </c>
      <c r="L7" s="19" t="s">
        <v>621</v>
      </c>
      <c r="M7" s="19" t="s">
        <v>612</v>
      </c>
      <c r="N7" s="19" t="s">
        <v>613</v>
      </c>
      <c r="O7" s="17" t="s">
        <v>623</v>
      </c>
      <c r="P7" s="19"/>
      <c r="Q7" s="19"/>
      <c r="R7" s="19" t="s">
        <v>637</v>
      </c>
      <c r="S7" s="19"/>
      <c r="T7" s="19"/>
      <c r="U7" s="19"/>
      <c r="V7" s="19"/>
      <c r="W7" s="19"/>
      <c r="X7" s="19"/>
      <c r="Z7" s="17">
        <v>3</v>
      </c>
      <c r="AA7" s="17">
        <v>-1.41003196338999</v>
      </c>
      <c r="AB7" s="17">
        <v>7.5313071004600197E-3</v>
      </c>
      <c r="AC7" s="17">
        <v>-0.21373845027491001</v>
      </c>
      <c r="AD7" s="17">
        <v>30.6896548942271</v>
      </c>
      <c r="AE7" s="17">
        <v>4.4584879102529999E-2</v>
      </c>
      <c r="AF7" s="17">
        <v>0.59140376327598299</v>
      </c>
      <c r="AG7" s="17">
        <v>8.2952848034123904E-3</v>
      </c>
      <c r="AH7" s="17">
        <v>2.2017839525711898E-2</v>
      </c>
      <c r="AI7" s="17">
        <v>0.15482816338407401</v>
      </c>
      <c r="AJ7" s="17">
        <v>1.57766065028947E-2</v>
      </c>
      <c r="AK7" s="17">
        <v>9.0131324041094099E-2</v>
      </c>
      <c r="AL7" s="17">
        <v>25.8</v>
      </c>
      <c r="AM7" s="17">
        <v>2.85</v>
      </c>
      <c r="AN7" s="17">
        <v>18.600000000000001</v>
      </c>
      <c r="AO7" s="17">
        <v>33.700000000000003</v>
      </c>
      <c r="AP7" s="17">
        <v>7.55</v>
      </c>
      <c r="AQ7" s="17">
        <v>1.5600289562523799</v>
      </c>
      <c r="AR7" s="17">
        <v>0.61444722325757095</v>
      </c>
      <c r="AS7" s="17">
        <v>3.9541515211794803E-2</v>
      </c>
      <c r="AT7" s="17">
        <v>3.1468305478009602</v>
      </c>
      <c r="AU7" s="17">
        <v>1.55364451629458</v>
      </c>
    </row>
    <row r="8" spans="1:47" s="17" customFormat="1" x14ac:dyDescent="0.2">
      <c r="A8" s="15" t="s">
        <v>83</v>
      </c>
      <c r="B8" s="17" t="s">
        <v>170</v>
      </c>
      <c r="C8" s="17" t="s">
        <v>230</v>
      </c>
      <c r="E8" s="18">
        <v>0</v>
      </c>
      <c r="F8"/>
      <c r="G8" s="17">
        <v>34.748610999999997</v>
      </c>
      <c r="H8" s="17">
        <v>-88.911666999999994</v>
      </c>
      <c r="I8" s="17">
        <v>3460</v>
      </c>
      <c r="J8" s="17" t="s">
        <v>608</v>
      </c>
      <c r="K8" s="17" t="s">
        <v>614</v>
      </c>
      <c r="L8" s="19" t="s">
        <v>621</v>
      </c>
      <c r="M8" s="19" t="s">
        <v>612</v>
      </c>
      <c r="N8" s="19" t="s">
        <v>613</v>
      </c>
      <c r="O8" s="17" t="s">
        <v>623</v>
      </c>
      <c r="P8" s="19"/>
      <c r="Q8" s="19"/>
      <c r="R8" s="19" t="s">
        <v>637</v>
      </c>
      <c r="S8" s="19"/>
      <c r="T8" s="19"/>
      <c r="U8" s="19"/>
      <c r="V8" s="19"/>
      <c r="W8" s="19"/>
      <c r="X8" s="19"/>
      <c r="Z8" s="17">
        <v>3</v>
      </c>
      <c r="AA8" s="17">
        <v>-2.50775454360459</v>
      </c>
      <c r="AB8" s="17">
        <v>5.8809180552876501E-4</v>
      </c>
      <c r="AC8" s="17">
        <v>-0.65785581905150803</v>
      </c>
      <c r="AD8" s="17">
        <v>30.231809857581599</v>
      </c>
      <c r="AE8" s="17">
        <v>6.1108379318123102E-2</v>
      </c>
      <c r="AF8" s="17">
        <v>0.58245151296922104</v>
      </c>
      <c r="AG8" s="17">
        <v>4.25126631409145E-3</v>
      </c>
      <c r="AH8" s="17">
        <v>2.2017839525711898E-2</v>
      </c>
      <c r="AI8" s="17">
        <v>0.24699563075200101</v>
      </c>
      <c r="AJ8" s="17">
        <v>4.1817863811600402E-2</v>
      </c>
      <c r="AK8" s="17">
        <v>9.0131324041094099E-2</v>
      </c>
      <c r="AL8" s="17">
        <v>28.9</v>
      </c>
      <c r="AM8" s="17">
        <v>1.5</v>
      </c>
      <c r="AN8" s="17">
        <v>21.5</v>
      </c>
      <c r="AO8" s="17">
        <v>37</v>
      </c>
      <c r="AP8" s="17">
        <v>7.75</v>
      </c>
      <c r="AQ8" s="17">
        <v>1.7298320359921</v>
      </c>
      <c r="AR8" s="17">
        <v>0.35390174972576499</v>
      </c>
      <c r="AS8" s="17">
        <v>0.182369446904318</v>
      </c>
      <c r="AT8" s="17">
        <v>3.3391867296057902</v>
      </c>
      <c r="AU8" s="17">
        <v>1.5784086413507299</v>
      </c>
    </row>
    <row r="9" spans="1:47" s="17" customFormat="1" x14ac:dyDescent="0.2">
      <c r="A9" s="15" t="s">
        <v>84</v>
      </c>
      <c r="B9" s="17" t="s">
        <v>170</v>
      </c>
      <c r="C9" s="17" t="s">
        <v>230</v>
      </c>
      <c r="E9" s="18">
        <v>0.9</v>
      </c>
      <c r="F9"/>
      <c r="G9" s="17">
        <v>34.748610999999997</v>
      </c>
      <c r="H9" s="17">
        <v>-88.911666999999994</v>
      </c>
      <c r="I9" s="17">
        <v>3460</v>
      </c>
      <c r="J9" s="17" t="s">
        <v>608</v>
      </c>
      <c r="K9" s="17" t="s">
        <v>614</v>
      </c>
      <c r="L9" s="19" t="s">
        <v>621</v>
      </c>
      <c r="M9" s="19" t="s">
        <v>612</v>
      </c>
      <c r="N9" s="19" t="s">
        <v>613</v>
      </c>
      <c r="O9" s="17" t="s">
        <v>623</v>
      </c>
      <c r="P9" s="19"/>
      <c r="Q9" s="19"/>
      <c r="R9" s="19" t="s">
        <v>637</v>
      </c>
      <c r="S9" s="19"/>
      <c r="T9" s="19"/>
      <c r="U9" s="19"/>
      <c r="V9" s="19"/>
      <c r="W9" s="19"/>
      <c r="X9" s="19"/>
      <c r="Z9" s="17">
        <v>3</v>
      </c>
      <c r="AA9" s="17">
        <v>-1.0544066365045901</v>
      </c>
      <c r="AB9" s="17">
        <v>3.9189040857362099E-2</v>
      </c>
      <c r="AC9" s="17">
        <v>-1.0027827132202101</v>
      </c>
      <c r="AD9" s="17">
        <v>29.876221273114201</v>
      </c>
      <c r="AE9" s="17">
        <v>8.0518857133838703E-2</v>
      </c>
      <c r="AF9" s="17">
        <v>0.59655334167913698</v>
      </c>
      <c r="AG9" s="17">
        <v>8.76084866455926E-3</v>
      </c>
      <c r="AH9" s="17">
        <v>2.2017839525711898E-2</v>
      </c>
      <c r="AI9" s="17">
        <v>0.30058014073000699</v>
      </c>
      <c r="AJ9" s="17">
        <v>9.0732629012629101E-3</v>
      </c>
      <c r="AK9" s="17">
        <v>9.0131324041094099E-2</v>
      </c>
      <c r="AL9" s="17">
        <v>24.1</v>
      </c>
      <c r="AM9" s="17">
        <v>2.95</v>
      </c>
      <c r="AN9" s="17">
        <v>17</v>
      </c>
      <c r="AO9" s="17">
        <v>31.8</v>
      </c>
      <c r="AP9" s="17">
        <v>7.4</v>
      </c>
      <c r="AQ9" s="17">
        <v>0.42732505545529897</v>
      </c>
      <c r="AR9" s="17">
        <v>0.67548720940857299</v>
      </c>
      <c r="AS9" s="17">
        <v>-1.1222327201422799</v>
      </c>
      <c r="AT9" s="17">
        <v>2.0262889251813498</v>
      </c>
      <c r="AU9" s="17">
        <v>1.57426082266181</v>
      </c>
    </row>
    <row r="10" spans="1:47" s="17" customFormat="1" x14ac:dyDescent="0.2">
      <c r="A10" s="15" t="s">
        <v>85</v>
      </c>
      <c r="B10" s="17" t="s">
        <v>170</v>
      </c>
      <c r="C10" s="17" t="s">
        <v>230</v>
      </c>
      <c r="E10" s="18">
        <v>1</v>
      </c>
      <c r="F10"/>
      <c r="G10" s="17">
        <v>34.748610999999997</v>
      </c>
      <c r="H10" s="17">
        <v>-88.911666999999994</v>
      </c>
      <c r="I10" s="17">
        <v>3460</v>
      </c>
      <c r="J10" s="17" t="s">
        <v>608</v>
      </c>
      <c r="K10" s="17" t="s">
        <v>614</v>
      </c>
      <c r="L10" s="19" t="s">
        <v>621</v>
      </c>
      <c r="M10" s="19" t="s">
        <v>612</v>
      </c>
      <c r="N10" s="19" t="s">
        <v>613</v>
      </c>
      <c r="O10" s="17" t="s">
        <v>623</v>
      </c>
      <c r="P10" s="19"/>
      <c r="Q10" s="19"/>
      <c r="R10" s="19" t="s">
        <v>637</v>
      </c>
      <c r="S10" s="19"/>
      <c r="T10" s="19"/>
      <c r="U10" s="19"/>
      <c r="V10" s="19"/>
      <c r="W10" s="19"/>
      <c r="X10" s="19"/>
      <c r="Z10" s="17">
        <v>5</v>
      </c>
      <c r="AA10" s="17">
        <v>-1.47070407139268</v>
      </c>
      <c r="AB10" s="17">
        <v>3.3791556681472601E-2</v>
      </c>
      <c r="AC10" s="17">
        <v>-0.98551904083229103</v>
      </c>
      <c r="AD10" s="17">
        <v>29.8940185656156</v>
      </c>
      <c r="AE10" s="17">
        <v>4.4759408462983201E-2</v>
      </c>
      <c r="AF10" s="17">
        <v>0.584294891386681</v>
      </c>
      <c r="AG10" s="17">
        <v>1.9660558340951701E-3</v>
      </c>
      <c r="AH10" s="17">
        <v>1.7054945160509899E-2</v>
      </c>
      <c r="AI10" s="17">
        <v>0.226305535759073</v>
      </c>
      <c r="AJ10" s="17">
        <v>8.0455629854082507E-3</v>
      </c>
      <c r="AK10" s="17">
        <v>6.9815423396556303E-2</v>
      </c>
      <c r="AL10" s="17">
        <v>28.3</v>
      </c>
      <c r="AM10" s="17">
        <v>0.69999999999999896</v>
      </c>
      <c r="AN10" s="17">
        <v>22.5</v>
      </c>
      <c r="AO10" s="17">
        <v>34.5</v>
      </c>
      <c r="AP10" s="17">
        <v>6</v>
      </c>
      <c r="AQ10" s="17">
        <v>1.2834062545128999</v>
      </c>
      <c r="AR10" s="17">
        <v>0.18142547729382799</v>
      </c>
      <c r="AS10" s="17">
        <v>7.5528779146793595E-2</v>
      </c>
      <c r="AT10" s="17">
        <v>2.5245517186051498</v>
      </c>
      <c r="AU10" s="17">
        <v>1.2245114697291799</v>
      </c>
    </row>
    <row r="11" spans="1:47" s="17" customFormat="1" x14ac:dyDescent="0.2">
      <c r="A11" s="15" t="s">
        <v>86</v>
      </c>
      <c r="B11" s="17" t="s">
        <v>170</v>
      </c>
      <c r="C11" s="17" t="s">
        <v>230</v>
      </c>
      <c r="E11" s="18">
        <v>1.7</v>
      </c>
      <c r="F11"/>
      <c r="G11" s="17">
        <v>34.748610999999997</v>
      </c>
      <c r="H11" s="17">
        <v>-88.911666999999994</v>
      </c>
      <c r="I11" s="17">
        <v>3460</v>
      </c>
      <c r="J11" s="17" t="s">
        <v>608</v>
      </c>
      <c r="K11" s="17" t="s">
        <v>614</v>
      </c>
      <c r="L11" s="19" t="s">
        <v>621</v>
      </c>
      <c r="M11" s="19" t="s">
        <v>612</v>
      </c>
      <c r="N11" s="19" t="s">
        <v>613</v>
      </c>
      <c r="O11" s="17" t="s">
        <v>623</v>
      </c>
      <c r="P11" s="19"/>
      <c r="Q11" s="19"/>
      <c r="R11" s="19" t="s">
        <v>637</v>
      </c>
      <c r="S11" s="19"/>
      <c r="T11" s="19"/>
      <c r="U11" s="19"/>
      <c r="V11" s="19"/>
      <c r="W11" s="19"/>
      <c r="X11" s="19"/>
      <c r="Z11" s="17">
        <v>4</v>
      </c>
      <c r="AA11" s="17">
        <v>-1.4046792062474001</v>
      </c>
      <c r="AB11" s="17">
        <v>3.9226272003385403E-2</v>
      </c>
      <c r="AC11" s="17">
        <v>-0.98176619441698698</v>
      </c>
      <c r="AD11" s="17">
        <v>29.897887412513601</v>
      </c>
      <c r="AE11" s="17">
        <v>7.1092736142119903E-2</v>
      </c>
      <c r="AF11" s="17">
        <v>0.59517112271474104</v>
      </c>
      <c r="AG11" s="17">
        <v>1.31065169255822E-2</v>
      </c>
      <c r="AH11" s="17">
        <v>1.9068008365715601E-2</v>
      </c>
      <c r="AI11" s="17">
        <v>0.20267881727867401</v>
      </c>
      <c r="AJ11" s="17">
        <v>3.1093657371207398E-2</v>
      </c>
      <c r="AK11" s="17">
        <v>7.8056016296314604E-2</v>
      </c>
      <c r="AL11" s="17">
        <v>24.6</v>
      </c>
      <c r="AM11" s="17">
        <v>4.45</v>
      </c>
      <c r="AN11" s="17">
        <v>18.3</v>
      </c>
      <c r="AO11" s="17">
        <v>31.2</v>
      </c>
      <c r="AP11" s="17">
        <v>6.45</v>
      </c>
      <c r="AQ11" s="17">
        <v>0.54943194126428796</v>
      </c>
      <c r="AR11" s="17">
        <v>0.96722609891878597</v>
      </c>
      <c r="AS11" s="17">
        <v>-0.81746836041293103</v>
      </c>
      <c r="AT11" s="17">
        <v>1.92237903450166</v>
      </c>
      <c r="AU11" s="17">
        <v>1.3699236974572999</v>
      </c>
    </row>
    <row r="12" spans="1:47" s="17" customFormat="1" x14ac:dyDescent="0.2">
      <c r="A12" s="15" t="s">
        <v>112</v>
      </c>
      <c r="B12" s="17" t="s">
        <v>170</v>
      </c>
      <c r="C12" s="17" t="s">
        <v>230</v>
      </c>
      <c r="E12" s="18">
        <v>1.7</v>
      </c>
      <c r="F12"/>
      <c r="G12" s="17">
        <v>34.748610999999997</v>
      </c>
      <c r="H12" s="17">
        <v>-88.911666999999994</v>
      </c>
      <c r="I12" s="17">
        <v>3460</v>
      </c>
      <c r="J12" s="17" t="s">
        <v>608</v>
      </c>
      <c r="K12" s="17" t="s">
        <v>614</v>
      </c>
      <c r="L12" s="19" t="s">
        <v>621</v>
      </c>
      <c r="M12" s="19" t="s">
        <v>612</v>
      </c>
      <c r="N12" s="19" t="s">
        <v>613</v>
      </c>
      <c r="O12" s="17" t="s">
        <v>623</v>
      </c>
      <c r="P12" s="19"/>
      <c r="Q12" s="19"/>
      <c r="R12" s="19" t="s">
        <v>637</v>
      </c>
      <c r="S12" s="19"/>
      <c r="T12" s="19"/>
      <c r="U12" s="19"/>
      <c r="V12" s="19"/>
      <c r="W12" s="19"/>
      <c r="X12" s="19"/>
      <c r="Z12" s="17">
        <v>3</v>
      </c>
      <c r="AA12" s="17">
        <v>-0.53458908036783404</v>
      </c>
      <c r="AB12" s="17">
        <v>2.5905007876784101E-2</v>
      </c>
      <c r="AC12" s="17">
        <v>-0.104311200937032</v>
      </c>
      <c r="AD12" s="17">
        <v>30.802464539841999</v>
      </c>
      <c r="AE12" s="17">
        <v>8.1430512795284196E-2</v>
      </c>
      <c r="AF12" s="17">
        <v>0.59636084576745596</v>
      </c>
      <c r="AG12" s="17">
        <v>7.7445899161048097E-3</v>
      </c>
      <c r="AH12" s="17">
        <v>2.2017839525711898E-2</v>
      </c>
      <c r="AI12" s="17">
        <v>0.26510361350441303</v>
      </c>
      <c r="AJ12" s="17">
        <v>1.45016719247594E-2</v>
      </c>
      <c r="AK12" s="17">
        <v>9.0131324041094099E-2</v>
      </c>
      <c r="AL12" s="17">
        <v>24.2</v>
      </c>
      <c r="AM12" s="17">
        <v>2.6</v>
      </c>
      <c r="AN12" s="17">
        <v>17</v>
      </c>
      <c r="AO12" s="17">
        <v>31.8</v>
      </c>
      <c r="AP12" s="17">
        <v>7.4</v>
      </c>
      <c r="AQ12" s="17">
        <v>1.34733897268006</v>
      </c>
      <c r="AR12" s="17">
        <v>0.60563065992283804</v>
      </c>
      <c r="AS12" s="17">
        <v>-0.22468268037505401</v>
      </c>
      <c r="AT12" s="17">
        <v>2.9283011844760298</v>
      </c>
      <c r="AU12" s="17">
        <v>1.57649193242554</v>
      </c>
    </row>
    <row r="13" spans="1:47" s="17" customFormat="1" x14ac:dyDescent="0.2">
      <c r="A13" s="15" t="s">
        <v>87</v>
      </c>
      <c r="B13" s="17" t="s">
        <v>170</v>
      </c>
      <c r="C13" s="17" t="s">
        <v>230</v>
      </c>
      <c r="E13" s="18">
        <v>2.25</v>
      </c>
      <c r="F13"/>
      <c r="G13" s="17">
        <v>34.748610999999997</v>
      </c>
      <c r="H13" s="17">
        <v>-88.911666999999994</v>
      </c>
      <c r="I13" s="17">
        <v>3460</v>
      </c>
      <c r="J13" s="17" t="s">
        <v>608</v>
      </c>
      <c r="K13" s="17" t="s">
        <v>614</v>
      </c>
      <c r="L13" s="19" t="s">
        <v>621</v>
      </c>
      <c r="M13" s="19" t="s">
        <v>612</v>
      </c>
      <c r="N13" s="19" t="s">
        <v>613</v>
      </c>
      <c r="O13" s="17" t="s">
        <v>623</v>
      </c>
      <c r="P13" s="19"/>
      <c r="Q13" s="19"/>
      <c r="R13" s="19" t="s">
        <v>637</v>
      </c>
      <c r="S13" s="19"/>
      <c r="T13" s="19"/>
      <c r="U13" s="19"/>
      <c r="V13" s="19"/>
      <c r="W13" s="19"/>
      <c r="X13" s="19"/>
      <c r="Z13" s="17">
        <v>3</v>
      </c>
      <c r="AA13" s="17">
        <v>-2.2143704931177002</v>
      </c>
      <c r="AB13" s="17">
        <v>1.6604506023030899E-3</v>
      </c>
      <c r="AC13" s="17">
        <v>-9.3731360370405498E-2</v>
      </c>
      <c r="AD13" s="17">
        <v>30.813371403280499</v>
      </c>
      <c r="AE13" s="17">
        <v>0.110925533798463</v>
      </c>
      <c r="AF13" s="17">
        <v>0.59266994120932903</v>
      </c>
      <c r="AG13" s="17">
        <v>7.6185957536751003E-3</v>
      </c>
      <c r="AH13" s="17">
        <v>2.2017839525711898E-2</v>
      </c>
      <c r="AI13" s="17">
        <v>0.21456790939352899</v>
      </c>
      <c r="AJ13" s="17">
        <v>4.5837325120443001E-2</v>
      </c>
      <c r="AK13" s="17">
        <v>9.0131324041094099E-2</v>
      </c>
      <c r="AL13" s="17">
        <v>25.4</v>
      </c>
      <c r="AM13" s="17">
        <v>2.6</v>
      </c>
      <c r="AN13" s="17">
        <v>18.2</v>
      </c>
      <c r="AO13" s="17">
        <v>33.200000000000003</v>
      </c>
      <c r="AP13" s="17">
        <v>7.5</v>
      </c>
      <c r="AQ13" s="17">
        <v>1.59998444195253</v>
      </c>
      <c r="AR13" s="17">
        <v>0.63021610457815302</v>
      </c>
      <c r="AS13" s="17">
        <v>1.1069265432411201E-2</v>
      </c>
      <c r="AT13" s="17">
        <v>3.2363856961095498</v>
      </c>
      <c r="AU13" s="17">
        <v>1.61265821533857</v>
      </c>
    </row>
    <row r="14" spans="1:47" s="17" customFormat="1" x14ac:dyDescent="0.2">
      <c r="A14" s="15" t="s">
        <v>88</v>
      </c>
      <c r="B14" s="17" t="s">
        <v>170</v>
      </c>
      <c r="C14" s="17" t="s">
        <v>230</v>
      </c>
      <c r="E14" s="18">
        <v>2.75</v>
      </c>
      <c r="F14"/>
      <c r="G14" s="17">
        <v>34.748610999999997</v>
      </c>
      <c r="H14" s="17">
        <v>-88.911666999999994</v>
      </c>
      <c r="I14" s="17">
        <v>3460</v>
      </c>
      <c r="J14" s="17" t="s">
        <v>608</v>
      </c>
      <c r="K14" s="17" t="s">
        <v>614</v>
      </c>
      <c r="L14" s="19" t="s">
        <v>621</v>
      </c>
      <c r="M14" s="19" t="s">
        <v>612</v>
      </c>
      <c r="N14" s="19" t="s">
        <v>613</v>
      </c>
      <c r="O14" s="17" t="s">
        <v>623</v>
      </c>
      <c r="P14" s="19"/>
      <c r="Q14" s="19"/>
      <c r="R14" s="19" t="s">
        <v>637</v>
      </c>
      <c r="S14" s="19"/>
      <c r="T14" s="19"/>
      <c r="U14" s="19"/>
      <c r="V14" s="19"/>
      <c r="W14" s="19"/>
      <c r="X14" s="19"/>
      <c r="Z14" s="17">
        <v>3</v>
      </c>
      <c r="AA14" s="17">
        <v>-4.0084924664198898</v>
      </c>
      <c r="AB14" s="17">
        <v>4.21193912095097E-2</v>
      </c>
      <c r="AC14" s="17">
        <v>-0.60312996584798195</v>
      </c>
      <c r="AD14" s="17">
        <v>30.288227286907698</v>
      </c>
      <c r="AE14" s="17">
        <v>0.108464211833533</v>
      </c>
      <c r="AF14" s="17">
        <v>0.57810203329557897</v>
      </c>
      <c r="AG14" s="17">
        <v>4.7739487112642897E-3</v>
      </c>
      <c r="AH14" s="17">
        <v>2.2017839525711898E-2</v>
      </c>
      <c r="AI14" s="17">
        <v>0.24977185073006</v>
      </c>
      <c r="AJ14" s="17">
        <v>1.3682713472404399E-2</v>
      </c>
      <c r="AK14" s="17">
        <v>9.0131324041094099E-2</v>
      </c>
      <c r="AL14" s="17">
        <v>30.5</v>
      </c>
      <c r="AM14" s="17">
        <v>1.7</v>
      </c>
      <c r="AN14" s="17">
        <v>22.9</v>
      </c>
      <c r="AO14" s="17">
        <v>38.700000000000003</v>
      </c>
      <c r="AP14" s="17">
        <v>7.9</v>
      </c>
      <c r="AQ14" s="17">
        <v>2.0972084122386101</v>
      </c>
      <c r="AR14" s="17">
        <v>0.43586005971997099</v>
      </c>
      <c r="AS14" s="17">
        <v>0.47822507103353501</v>
      </c>
      <c r="AT14" s="17">
        <v>3.7556429563399001</v>
      </c>
      <c r="AU14" s="17">
        <v>1.63870894265318</v>
      </c>
    </row>
    <row r="15" spans="1:47" s="17" customFormat="1" x14ac:dyDescent="0.2">
      <c r="A15" s="15" t="s">
        <v>89</v>
      </c>
      <c r="B15" s="17" t="s">
        <v>170</v>
      </c>
      <c r="C15" s="17" t="s">
        <v>231</v>
      </c>
      <c r="E15" s="18">
        <v>3.5</v>
      </c>
      <c r="F15"/>
      <c r="G15" s="17">
        <v>34.748610999999997</v>
      </c>
      <c r="H15" s="17">
        <v>-88.911666999999994</v>
      </c>
      <c r="I15" s="17">
        <v>3460</v>
      </c>
      <c r="J15" s="17" t="s">
        <v>608</v>
      </c>
      <c r="K15" s="17" t="s">
        <v>614</v>
      </c>
      <c r="L15" s="19" t="s">
        <v>621</v>
      </c>
      <c r="M15" s="19" t="s">
        <v>612</v>
      </c>
      <c r="N15" s="19" t="s">
        <v>613</v>
      </c>
      <c r="O15" s="17" t="s">
        <v>623</v>
      </c>
      <c r="P15" s="19"/>
      <c r="Q15" s="19"/>
      <c r="R15" s="19" t="s">
        <v>637</v>
      </c>
      <c r="S15" s="19"/>
      <c r="T15" s="19"/>
      <c r="U15" s="19"/>
      <c r="V15" s="19"/>
      <c r="W15" s="19"/>
      <c r="X15" s="19"/>
      <c r="Z15" s="17">
        <v>3</v>
      </c>
      <c r="AA15" s="17">
        <v>0.82445953106752201</v>
      </c>
      <c r="AB15" s="17">
        <v>3.06377688696906E-2</v>
      </c>
      <c r="AC15" s="17">
        <v>0.10166481557552701</v>
      </c>
      <c r="AD15" s="17">
        <v>31.014807275024999</v>
      </c>
      <c r="AE15" s="17">
        <v>0.179451082691477</v>
      </c>
      <c r="AF15" s="17">
        <v>0.60978865821162398</v>
      </c>
      <c r="AG15" s="17">
        <v>1.03697882904217E-2</v>
      </c>
      <c r="AH15" s="17">
        <v>2.2017839525711898E-2</v>
      </c>
      <c r="AI15" s="17">
        <v>0.29678889781599999</v>
      </c>
      <c r="AJ15" s="17">
        <v>5.8938155168419902E-2</v>
      </c>
      <c r="AK15" s="17">
        <v>9.0131324041094099E-2</v>
      </c>
      <c r="AL15" s="17">
        <v>19.7</v>
      </c>
      <c r="AM15" s="17">
        <v>3.3</v>
      </c>
      <c r="AN15" s="17">
        <v>12.9</v>
      </c>
      <c r="AO15" s="17">
        <v>27.1</v>
      </c>
      <c r="AP15" s="17">
        <v>7.1</v>
      </c>
      <c r="AQ15" s="17">
        <v>0.62861679336560905</v>
      </c>
      <c r="AR15" s="17">
        <v>0.86267966023859799</v>
      </c>
      <c r="AS15" s="17">
        <v>-0.99655893552210295</v>
      </c>
      <c r="AT15" s="17">
        <v>2.3098937198687999</v>
      </c>
      <c r="AU15" s="17">
        <v>1.65322632769545</v>
      </c>
    </row>
    <row r="16" spans="1:47" s="17" customFormat="1" x14ac:dyDescent="0.2">
      <c r="A16" s="15" t="s">
        <v>70</v>
      </c>
      <c r="B16" s="17" t="s">
        <v>170</v>
      </c>
      <c r="C16" s="17" t="s">
        <v>232</v>
      </c>
      <c r="E16" s="18">
        <v>-0.75</v>
      </c>
      <c r="F16"/>
      <c r="G16" s="17">
        <v>34.748610999999997</v>
      </c>
      <c r="H16" s="17">
        <v>-88.911666999999994</v>
      </c>
      <c r="I16" s="17">
        <v>3460</v>
      </c>
      <c r="J16" s="17" t="s">
        <v>608</v>
      </c>
      <c r="K16" s="17" t="s">
        <v>614</v>
      </c>
      <c r="L16" s="19" t="s">
        <v>621</v>
      </c>
      <c r="M16" s="19" t="s">
        <v>612</v>
      </c>
      <c r="N16" s="19" t="s">
        <v>613</v>
      </c>
      <c r="O16" s="17" t="s">
        <v>623</v>
      </c>
      <c r="P16" s="19"/>
      <c r="Q16" s="19"/>
      <c r="R16" s="19" t="s">
        <v>637</v>
      </c>
      <c r="S16" s="19"/>
      <c r="T16" s="19"/>
      <c r="U16" s="19"/>
      <c r="V16" s="19"/>
      <c r="W16" s="19"/>
      <c r="X16" s="19"/>
      <c r="Z16" s="17">
        <v>3</v>
      </c>
      <c r="AA16" s="17">
        <v>0.68169049360241396</v>
      </c>
      <c r="AB16" s="17">
        <v>4.9657189116732302E-2</v>
      </c>
      <c r="AC16" s="17">
        <v>-0.70119017899649005</v>
      </c>
      <c r="AD16" s="17">
        <v>30.187136032570699</v>
      </c>
      <c r="AE16" s="17">
        <v>3.5296067142081097E-2</v>
      </c>
      <c r="AF16" s="17">
        <v>0.580494320417137</v>
      </c>
      <c r="AG16" s="17">
        <v>6.1064515432383898E-3</v>
      </c>
      <c r="AH16" s="17">
        <v>2.2017839525711898E-2</v>
      </c>
      <c r="AI16" s="17">
        <v>0.164824509044526</v>
      </c>
      <c r="AJ16" s="17">
        <v>1.5208066522208999E-2</v>
      </c>
      <c r="AK16" s="17">
        <v>9.0131324041094099E-2</v>
      </c>
      <c r="AL16" s="17">
        <v>29.6</v>
      </c>
      <c r="AM16" s="17">
        <v>2.15</v>
      </c>
      <c r="AN16" s="17">
        <v>22.1</v>
      </c>
      <c r="AO16" s="17">
        <v>37.799999999999997</v>
      </c>
      <c r="AP16" s="17">
        <v>7.85</v>
      </c>
      <c r="AQ16" s="17">
        <v>1.8235025375798799</v>
      </c>
      <c r="AR16" s="17">
        <v>0.45451785175856702</v>
      </c>
      <c r="AS16" s="17">
        <v>0.28740167724458798</v>
      </c>
      <c r="AT16" s="17">
        <v>3.4193591563433801</v>
      </c>
      <c r="AU16" s="17">
        <v>1.56597873954939</v>
      </c>
    </row>
    <row r="17" spans="1:47" s="17" customFormat="1" x14ac:dyDescent="0.2">
      <c r="A17" s="15" t="s">
        <v>90</v>
      </c>
      <c r="B17" s="17" t="s">
        <v>170</v>
      </c>
      <c r="C17" s="17" t="s">
        <v>231</v>
      </c>
      <c r="E17" s="18">
        <v>4.12</v>
      </c>
      <c r="F17"/>
      <c r="G17" s="17">
        <v>34.748610999999997</v>
      </c>
      <c r="H17" s="17">
        <v>-88.911666999999994</v>
      </c>
      <c r="I17" s="17">
        <v>3460</v>
      </c>
      <c r="J17" s="17" t="s">
        <v>608</v>
      </c>
      <c r="K17" s="17" t="s">
        <v>614</v>
      </c>
      <c r="L17" s="19" t="s">
        <v>621</v>
      </c>
      <c r="M17" s="19" t="s">
        <v>612</v>
      </c>
      <c r="N17" s="19" t="s">
        <v>613</v>
      </c>
      <c r="O17" s="17" t="s">
        <v>623</v>
      </c>
      <c r="P17" s="19"/>
      <c r="Q17" s="19"/>
      <c r="R17" s="19" t="s">
        <v>637</v>
      </c>
      <c r="S17" s="19"/>
      <c r="T17" s="19"/>
      <c r="U17" s="19"/>
      <c r="V17" s="19"/>
      <c r="W17" s="19"/>
      <c r="X17" s="19"/>
      <c r="Z17" s="17">
        <v>3</v>
      </c>
      <c r="AA17" s="17">
        <v>-2.1688557623000202</v>
      </c>
      <c r="AB17" s="17">
        <v>4.0100738425421098E-2</v>
      </c>
      <c r="AC17" s="17">
        <v>-0.38609084747759698</v>
      </c>
      <c r="AD17" s="17">
        <v>30.511975084426901</v>
      </c>
      <c r="AE17" s="17">
        <v>0.11596623954522201</v>
      </c>
      <c r="AF17" s="17">
        <v>0.58316267247077702</v>
      </c>
      <c r="AG17" s="17">
        <v>3.04377387637309E-3</v>
      </c>
      <c r="AH17" s="17">
        <v>2.2017839525711898E-2</v>
      </c>
      <c r="AI17" s="17">
        <v>0.16973917958301399</v>
      </c>
      <c r="AJ17" s="17">
        <v>2.43278048411379E-2</v>
      </c>
      <c r="AK17" s="17">
        <v>9.0131324041094099E-2</v>
      </c>
      <c r="AL17" s="17">
        <v>28.7</v>
      </c>
      <c r="AM17" s="17">
        <v>1.1000000000000001</v>
      </c>
      <c r="AN17" s="17">
        <v>21.2</v>
      </c>
      <c r="AO17" s="17">
        <v>36.700000000000003</v>
      </c>
      <c r="AP17" s="17">
        <v>7.75</v>
      </c>
      <c r="AQ17" s="17">
        <v>1.96294676644391</v>
      </c>
      <c r="AR17" s="17">
        <v>0.32904270335791402</v>
      </c>
      <c r="AS17" s="17">
        <v>0.33924825814381199</v>
      </c>
      <c r="AT17" s="17">
        <v>3.6094252994058702</v>
      </c>
      <c r="AU17" s="17">
        <v>1.6350885206310299</v>
      </c>
    </row>
    <row r="18" spans="1:47" s="17" customFormat="1" x14ac:dyDescent="0.2">
      <c r="A18" s="15" t="s">
        <v>91</v>
      </c>
      <c r="B18" s="17" t="s">
        <v>170</v>
      </c>
      <c r="C18" s="17" t="s">
        <v>231</v>
      </c>
      <c r="E18" s="18">
        <v>4.5</v>
      </c>
      <c r="F18"/>
      <c r="G18" s="17">
        <v>34.748610999999997</v>
      </c>
      <c r="H18" s="17">
        <v>-88.911666999999994</v>
      </c>
      <c r="I18" s="17">
        <v>3460</v>
      </c>
      <c r="J18" s="17" t="s">
        <v>608</v>
      </c>
      <c r="K18" s="17" t="s">
        <v>614</v>
      </c>
      <c r="L18" s="19" t="s">
        <v>621</v>
      </c>
      <c r="M18" s="19" t="s">
        <v>612</v>
      </c>
      <c r="N18" s="19" t="s">
        <v>613</v>
      </c>
      <c r="O18" s="17" t="s">
        <v>623</v>
      </c>
      <c r="P18" s="19"/>
      <c r="Q18" s="19"/>
      <c r="R18" s="19" t="s">
        <v>637</v>
      </c>
      <c r="S18" s="19"/>
      <c r="T18" s="19"/>
      <c r="U18" s="19"/>
      <c r="V18" s="19"/>
      <c r="W18" s="19"/>
      <c r="X18" s="19"/>
      <c r="Z18" s="17">
        <v>3</v>
      </c>
      <c r="AA18" s="17">
        <v>-3.6241738501080598</v>
      </c>
      <c r="AB18" s="17">
        <v>2.6153829256781599E-2</v>
      </c>
      <c r="AC18" s="17">
        <v>-0.64605289192712001</v>
      </c>
      <c r="AD18" s="17">
        <v>30.2439776131834</v>
      </c>
      <c r="AE18" s="17">
        <v>0.13907620757008901</v>
      </c>
      <c r="AF18" s="17">
        <v>0.59939215754824204</v>
      </c>
      <c r="AG18" s="17">
        <v>1.02557518910754E-2</v>
      </c>
      <c r="AH18" s="17">
        <v>2.2017839525711898E-2</v>
      </c>
      <c r="AI18" s="17">
        <v>0.233307627795072</v>
      </c>
      <c r="AJ18" s="17">
        <v>2.4678372623423601E-2</v>
      </c>
      <c r="AK18" s="17">
        <v>9.0131324041094099E-2</v>
      </c>
      <c r="AL18" s="17">
        <v>23.1</v>
      </c>
      <c r="AM18" s="17">
        <v>3.4</v>
      </c>
      <c r="AN18" s="17">
        <v>16.100000000000001</v>
      </c>
      <c r="AO18" s="17">
        <v>30.7</v>
      </c>
      <c r="AP18" s="17">
        <v>7.3</v>
      </c>
      <c r="AQ18" s="17">
        <v>0.58138421962041797</v>
      </c>
      <c r="AR18" s="17">
        <v>0.82823478562716002</v>
      </c>
      <c r="AS18" s="17">
        <v>-1.01388148772469</v>
      </c>
      <c r="AT18" s="17">
        <v>2.2282842127493701</v>
      </c>
      <c r="AU18" s="17">
        <v>1.62108285023703</v>
      </c>
    </row>
    <row r="19" spans="1:47" s="17" customFormat="1" x14ac:dyDescent="0.2">
      <c r="A19" s="15" t="s">
        <v>92</v>
      </c>
      <c r="B19" s="17" t="s">
        <v>170</v>
      </c>
      <c r="C19" s="17" t="s">
        <v>230</v>
      </c>
      <c r="E19" s="18">
        <v>5.8</v>
      </c>
      <c r="F19"/>
      <c r="G19" s="17">
        <v>34.748610999999997</v>
      </c>
      <c r="H19" s="17">
        <v>-88.911666999999994</v>
      </c>
      <c r="I19" s="17">
        <v>3460</v>
      </c>
      <c r="J19" s="17" t="s">
        <v>608</v>
      </c>
      <c r="K19" s="17" t="s">
        <v>614</v>
      </c>
      <c r="L19" s="19" t="s">
        <v>621</v>
      </c>
      <c r="M19" s="19" t="s">
        <v>612</v>
      </c>
      <c r="N19" s="19" t="s">
        <v>613</v>
      </c>
      <c r="O19" s="17" t="s">
        <v>623</v>
      </c>
      <c r="P19" s="19"/>
      <c r="Q19" s="19"/>
      <c r="R19" s="19" t="s">
        <v>637</v>
      </c>
      <c r="S19" s="19"/>
      <c r="T19" s="19"/>
      <c r="U19" s="19"/>
      <c r="V19" s="19"/>
      <c r="W19" s="19"/>
      <c r="X19" s="19"/>
      <c r="Z19" s="17">
        <v>4</v>
      </c>
      <c r="AA19" s="17">
        <v>-1.55672038128759</v>
      </c>
      <c r="AB19" s="17">
        <v>4.4009856640616601E-2</v>
      </c>
      <c r="AC19" s="17">
        <v>-0.36862050305152699</v>
      </c>
      <c r="AD19" s="17">
        <v>30.529985437199201</v>
      </c>
      <c r="AE19" s="17">
        <v>7.9022861010500905E-2</v>
      </c>
      <c r="AF19" s="17">
        <v>0.60352615083872396</v>
      </c>
      <c r="AG19" s="17">
        <v>1.3155224852147099E-2</v>
      </c>
      <c r="AH19" s="17">
        <v>1.9068008365715601E-2</v>
      </c>
      <c r="AI19" s="17">
        <v>0.33151457394688799</v>
      </c>
      <c r="AJ19" s="17">
        <v>8.5177979172612606E-3</v>
      </c>
      <c r="AK19" s="17">
        <v>7.8056016296314604E-2</v>
      </c>
      <c r="AL19" s="17">
        <v>21.8</v>
      </c>
      <c r="AM19" s="17">
        <v>4.3</v>
      </c>
      <c r="AN19" s="17">
        <v>15.7</v>
      </c>
      <c r="AO19" s="17">
        <v>28.2</v>
      </c>
      <c r="AP19" s="17">
        <v>6.25</v>
      </c>
      <c r="AQ19" s="17">
        <v>0.59295045735825602</v>
      </c>
      <c r="AR19" s="17">
        <v>0.961196838410046</v>
      </c>
      <c r="AS19" s="17">
        <v>-0.76381444913420204</v>
      </c>
      <c r="AT19" s="17">
        <v>1.95881218032139</v>
      </c>
      <c r="AU19" s="17">
        <v>1.3613133147278</v>
      </c>
    </row>
    <row r="20" spans="1:47" s="17" customFormat="1" x14ac:dyDescent="0.2">
      <c r="A20" s="15" t="s">
        <v>93</v>
      </c>
      <c r="B20" s="17" t="s">
        <v>170</v>
      </c>
      <c r="C20" s="17" t="s">
        <v>235</v>
      </c>
      <c r="E20" s="18">
        <v>-1</v>
      </c>
      <c r="F20"/>
      <c r="G20" s="17">
        <v>34.748610999999997</v>
      </c>
      <c r="H20" s="17">
        <v>-88.911666999999994</v>
      </c>
      <c r="I20" s="17">
        <v>3460</v>
      </c>
      <c r="J20" s="17" t="s">
        <v>608</v>
      </c>
      <c r="K20" s="17" t="s">
        <v>614</v>
      </c>
      <c r="L20" s="19" t="s">
        <v>621</v>
      </c>
      <c r="M20" s="19" t="s">
        <v>612</v>
      </c>
      <c r="N20" s="19" t="s">
        <v>613</v>
      </c>
      <c r="O20" s="17" t="s">
        <v>623</v>
      </c>
      <c r="P20" s="19"/>
      <c r="Q20" s="19"/>
      <c r="R20" s="19" t="s">
        <v>637</v>
      </c>
      <c r="S20" s="19"/>
      <c r="T20" s="19"/>
      <c r="U20" s="19"/>
      <c r="V20" s="19"/>
      <c r="W20" s="19"/>
      <c r="X20" s="19"/>
      <c r="Z20" s="17">
        <v>3</v>
      </c>
      <c r="AA20" s="17">
        <v>-0.38200202446675102</v>
      </c>
      <c r="AB20" s="17">
        <v>5.4893440199351596E-3</v>
      </c>
      <c r="AC20" s="17">
        <v>-0.43624950661429501</v>
      </c>
      <c r="AD20" s="17">
        <v>30.460266021136299</v>
      </c>
      <c r="AE20" s="17">
        <v>2.5298246953056599E-2</v>
      </c>
      <c r="AF20" s="17">
        <v>0.59331070244897799</v>
      </c>
      <c r="AG20" s="17">
        <v>9.7831854459599406E-3</v>
      </c>
      <c r="AH20" s="17">
        <v>2.2017839525711898E-2</v>
      </c>
      <c r="AI20" s="17">
        <v>0.20525520491524399</v>
      </c>
      <c r="AJ20" s="17">
        <v>6.2411989170308001E-3</v>
      </c>
      <c r="AK20" s="17">
        <v>9.0131324041094099E-2</v>
      </c>
      <c r="AL20" s="17">
        <v>25.2</v>
      </c>
      <c r="AM20" s="17">
        <v>3.35</v>
      </c>
      <c r="AN20" s="17">
        <v>18</v>
      </c>
      <c r="AO20" s="17">
        <v>33</v>
      </c>
      <c r="AP20" s="17">
        <v>7.5</v>
      </c>
      <c r="AQ20" s="17">
        <v>1.21668933981198</v>
      </c>
      <c r="AR20" s="17">
        <v>0.69839380834440601</v>
      </c>
      <c r="AS20" s="17">
        <v>-0.29058934509168899</v>
      </c>
      <c r="AT20" s="17">
        <v>2.7712017240650102</v>
      </c>
      <c r="AU20" s="17">
        <v>1.5308955345783499</v>
      </c>
    </row>
    <row r="21" spans="1:47" s="17" customFormat="1" x14ac:dyDescent="0.2">
      <c r="A21" s="15" t="s">
        <v>94</v>
      </c>
      <c r="B21" s="17" t="s">
        <v>170</v>
      </c>
      <c r="C21" s="17" t="s">
        <v>235</v>
      </c>
      <c r="E21" s="18">
        <v>-0.15</v>
      </c>
      <c r="F21"/>
      <c r="G21" s="17">
        <v>34.748610999999997</v>
      </c>
      <c r="H21" s="17">
        <v>-88.911666999999994</v>
      </c>
      <c r="I21" s="17">
        <v>3460</v>
      </c>
      <c r="J21" s="17" t="s">
        <v>608</v>
      </c>
      <c r="K21" s="17" t="s">
        <v>614</v>
      </c>
      <c r="L21" s="19" t="s">
        <v>621</v>
      </c>
      <c r="M21" s="19" t="s">
        <v>612</v>
      </c>
      <c r="N21" s="19" t="s">
        <v>613</v>
      </c>
      <c r="O21" s="17" t="s">
        <v>623</v>
      </c>
      <c r="P21" s="19"/>
      <c r="Q21" s="19"/>
      <c r="R21" s="19" t="s">
        <v>637</v>
      </c>
      <c r="S21" s="19"/>
      <c r="T21" s="19"/>
      <c r="U21" s="19"/>
      <c r="V21" s="19"/>
      <c r="W21" s="19"/>
      <c r="X21" s="19"/>
      <c r="Z21" s="17">
        <v>4</v>
      </c>
      <c r="AA21" s="17">
        <v>-1.8448614800454799</v>
      </c>
      <c r="AB21" s="17">
        <v>2.1259870536960698E-2</v>
      </c>
      <c r="AC21" s="17">
        <v>-0.478830897835749</v>
      </c>
      <c r="AD21" s="17">
        <v>30.416368439112102</v>
      </c>
      <c r="AE21" s="17">
        <v>0.14575500596161001</v>
      </c>
      <c r="AF21" s="17">
        <v>0.59166212401447804</v>
      </c>
      <c r="AG21" s="17">
        <v>9.8412462229168305E-3</v>
      </c>
      <c r="AH21" s="17">
        <v>1.9068008365715601E-2</v>
      </c>
      <c r="AI21" s="17">
        <v>0.26902649667266798</v>
      </c>
      <c r="AJ21" s="17">
        <v>2.45654235796588E-2</v>
      </c>
      <c r="AK21" s="17">
        <v>7.8056016296314604E-2</v>
      </c>
      <c r="AL21" s="17">
        <v>25.7</v>
      </c>
      <c r="AM21" s="17">
        <v>3.4</v>
      </c>
      <c r="AN21" s="17">
        <v>19.399999999999999</v>
      </c>
      <c r="AO21" s="17">
        <v>32.5</v>
      </c>
      <c r="AP21" s="17">
        <v>6.55</v>
      </c>
      <c r="AQ21" s="17">
        <v>1.27442732864483</v>
      </c>
      <c r="AR21" s="17">
        <v>0.82325738591117703</v>
      </c>
      <c r="AS21" s="17">
        <v>-0.15624621838651401</v>
      </c>
      <c r="AT21" s="17">
        <v>2.7498959888622498</v>
      </c>
      <c r="AU21" s="17">
        <v>1.45307110362438</v>
      </c>
    </row>
    <row r="22" spans="1:47" s="17" customFormat="1" x14ac:dyDescent="0.2">
      <c r="A22" s="15" t="s">
        <v>95</v>
      </c>
      <c r="B22" s="17" t="s">
        <v>170</v>
      </c>
      <c r="C22" s="17" t="s">
        <v>236</v>
      </c>
      <c r="E22" s="18">
        <v>3.3</v>
      </c>
      <c r="F22"/>
      <c r="G22" s="17">
        <v>34.748610999999997</v>
      </c>
      <c r="H22" s="17">
        <v>-88.911666999999994</v>
      </c>
      <c r="I22" s="17">
        <v>3460</v>
      </c>
      <c r="J22" s="17" t="s">
        <v>608</v>
      </c>
      <c r="K22" s="17" t="s">
        <v>614</v>
      </c>
      <c r="L22" s="19" t="s">
        <v>621</v>
      </c>
      <c r="M22" s="19" t="s">
        <v>612</v>
      </c>
      <c r="N22" s="19" t="s">
        <v>613</v>
      </c>
      <c r="O22" s="17" t="s">
        <v>623</v>
      </c>
      <c r="P22" s="19"/>
      <c r="Q22" s="19"/>
      <c r="R22" s="19" t="s">
        <v>637</v>
      </c>
      <c r="S22" s="19"/>
      <c r="T22" s="19"/>
      <c r="U22" s="19"/>
      <c r="V22" s="19"/>
      <c r="W22" s="19"/>
      <c r="X22" s="19"/>
      <c r="Z22" s="17">
        <v>3</v>
      </c>
      <c r="AA22" s="17">
        <v>-3.4240003570975501</v>
      </c>
      <c r="AB22" s="17">
        <v>2.60814049721429E-2</v>
      </c>
      <c r="AC22" s="17">
        <v>-1.6377995796368401</v>
      </c>
      <c r="AD22" s="17">
        <v>29.221576035356598</v>
      </c>
      <c r="AE22" s="17">
        <v>0.18119823722973799</v>
      </c>
      <c r="AF22" s="17">
        <v>0.60859674956513898</v>
      </c>
      <c r="AG22" s="17">
        <v>4.2921649831800203E-3</v>
      </c>
      <c r="AH22" s="17">
        <v>2.2017839525711898E-2</v>
      </c>
      <c r="AI22" s="17">
        <v>0.216876930667217</v>
      </c>
      <c r="AJ22" s="17">
        <v>2.0723802378846998E-2</v>
      </c>
      <c r="AK22" s="17">
        <v>9.0131324041094099E-2</v>
      </c>
      <c r="AL22" s="17">
        <v>20.100000000000001</v>
      </c>
      <c r="AM22" s="17">
        <v>1.35</v>
      </c>
      <c r="AN22" s="17">
        <v>13.3</v>
      </c>
      <c r="AO22" s="17">
        <v>27.5</v>
      </c>
      <c r="AP22" s="17">
        <v>7.1</v>
      </c>
      <c r="AQ22" s="17">
        <v>-1.0285725684103699</v>
      </c>
      <c r="AR22" s="17">
        <v>0.45627814406748302</v>
      </c>
      <c r="AS22" s="17">
        <v>-2.6490594870092501</v>
      </c>
      <c r="AT22" s="17">
        <v>0.64786719603671405</v>
      </c>
      <c r="AU22" s="17">
        <v>1.6484633415229799</v>
      </c>
    </row>
    <row r="23" spans="1:47" s="17" customFormat="1" x14ac:dyDescent="0.2">
      <c r="A23" s="15" t="s">
        <v>96</v>
      </c>
      <c r="B23" s="17" t="s">
        <v>170</v>
      </c>
      <c r="C23" s="17" t="s">
        <v>237</v>
      </c>
      <c r="E23" s="18">
        <v>4.4000000000000004</v>
      </c>
      <c r="F23"/>
      <c r="G23" s="17">
        <v>34.748610999999997</v>
      </c>
      <c r="H23" s="17">
        <v>-88.911666999999994</v>
      </c>
      <c r="I23" s="17">
        <v>3460</v>
      </c>
      <c r="J23" s="17" t="s">
        <v>608</v>
      </c>
      <c r="K23" s="17" t="s">
        <v>614</v>
      </c>
      <c r="L23" s="19" t="s">
        <v>621</v>
      </c>
      <c r="M23" s="19" t="s">
        <v>612</v>
      </c>
      <c r="N23" s="19" t="s">
        <v>613</v>
      </c>
      <c r="O23" s="17" t="s">
        <v>623</v>
      </c>
      <c r="P23" s="19"/>
      <c r="Q23" s="19"/>
      <c r="R23" s="19" t="s">
        <v>637</v>
      </c>
      <c r="S23" s="19"/>
      <c r="T23" s="19"/>
      <c r="U23" s="19"/>
      <c r="V23" s="19"/>
      <c r="W23" s="19"/>
      <c r="X23" s="19"/>
      <c r="Z23" s="17">
        <v>3</v>
      </c>
      <c r="AA23" s="17">
        <v>-0.98706913598243995</v>
      </c>
      <c r="AB23" s="17">
        <v>0.118229530190353</v>
      </c>
      <c r="AC23" s="17">
        <v>-1.9447308344209699</v>
      </c>
      <c r="AD23" s="17">
        <v>28.905157535487099</v>
      </c>
      <c r="AE23" s="17">
        <v>0.19796958399933101</v>
      </c>
      <c r="AF23" s="17">
        <v>0.59403617319698698</v>
      </c>
      <c r="AG23" s="17">
        <v>1.95996970203082E-3</v>
      </c>
      <c r="AH23" s="17">
        <v>2.2017839525711898E-2</v>
      </c>
      <c r="AI23" s="17">
        <v>0.236497858211875</v>
      </c>
      <c r="AJ23" s="17">
        <v>2.8242262736434699E-2</v>
      </c>
      <c r="AK23" s="17">
        <v>9.0131324041094099E-2</v>
      </c>
      <c r="AL23" s="17">
        <v>24.9</v>
      </c>
      <c r="AM23" s="17">
        <v>0.65</v>
      </c>
      <c r="AN23" s="17">
        <v>17.7</v>
      </c>
      <c r="AO23" s="17">
        <v>32.700000000000003</v>
      </c>
      <c r="AP23" s="17">
        <v>7.5</v>
      </c>
      <c r="AQ23" s="17">
        <v>-0.35458863691280801</v>
      </c>
      <c r="AR23" s="17">
        <v>0.323122493588471</v>
      </c>
      <c r="AS23" s="17">
        <v>-2.0300671841870299</v>
      </c>
      <c r="AT23" s="17">
        <v>1.3685787729601799</v>
      </c>
      <c r="AU23" s="17">
        <v>1.6993229785735999</v>
      </c>
    </row>
    <row r="24" spans="1:47" s="17" customFormat="1" x14ac:dyDescent="0.2">
      <c r="A24" s="15" t="s">
        <v>113</v>
      </c>
      <c r="B24" s="17" t="s">
        <v>170</v>
      </c>
      <c r="C24" s="17" t="s">
        <v>237</v>
      </c>
      <c r="E24" s="18">
        <v>4.4000000000000004</v>
      </c>
      <c r="F24"/>
      <c r="G24" s="17">
        <v>34.748610999999997</v>
      </c>
      <c r="H24" s="17">
        <v>-88.911666999999994</v>
      </c>
      <c r="I24" s="17">
        <v>3460</v>
      </c>
      <c r="J24" s="17" t="s">
        <v>608</v>
      </c>
      <c r="K24" s="17" t="s">
        <v>614</v>
      </c>
      <c r="L24" s="19" t="s">
        <v>621</v>
      </c>
      <c r="M24" s="19" t="s">
        <v>612</v>
      </c>
      <c r="N24" s="19" t="s">
        <v>613</v>
      </c>
      <c r="O24" s="17" t="s">
        <v>623</v>
      </c>
      <c r="P24" s="19"/>
      <c r="Q24" s="19"/>
      <c r="R24" s="19" t="s">
        <v>637</v>
      </c>
      <c r="S24" s="19"/>
      <c r="T24" s="19"/>
      <c r="U24" s="19"/>
      <c r="V24" s="19"/>
      <c r="W24" s="19"/>
      <c r="X24" s="19"/>
      <c r="Z24" s="17">
        <v>3</v>
      </c>
      <c r="AA24" s="17">
        <v>0.95906589801920705</v>
      </c>
      <c r="AB24" s="17">
        <v>2.02049771704562E-2</v>
      </c>
      <c r="AC24" s="17">
        <v>-1.1369905695404301</v>
      </c>
      <c r="AD24" s="17">
        <v>29.737865051955101</v>
      </c>
      <c r="AE24" s="17">
        <v>0.14438620344558301</v>
      </c>
      <c r="AF24" s="17">
        <v>0.59277171204315504</v>
      </c>
      <c r="AG24" s="17">
        <v>1.02475323386734E-2</v>
      </c>
      <c r="AH24" s="17">
        <v>2.2017839525711898E-2</v>
      </c>
      <c r="AI24" s="17">
        <v>0.23558641539311101</v>
      </c>
      <c r="AJ24" s="17">
        <v>2.1230212921787499E-2</v>
      </c>
      <c r="AK24" s="17">
        <v>9.0131324041094099E-2</v>
      </c>
      <c r="AL24" s="17">
        <v>25.4</v>
      </c>
      <c r="AM24" s="17">
        <v>3.5</v>
      </c>
      <c r="AN24" s="17">
        <v>18.100000000000001</v>
      </c>
      <c r="AO24" s="17">
        <v>33.200000000000003</v>
      </c>
      <c r="AP24" s="17">
        <v>7.55</v>
      </c>
      <c r="AQ24" s="17">
        <v>0.55495808253658696</v>
      </c>
      <c r="AR24" s="17">
        <v>0.84287756888363696</v>
      </c>
      <c r="AS24" s="17">
        <v>-1.08592429192697</v>
      </c>
      <c r="AT24" s="17">
        <v>2.22232661677356</v>
      </c>
      <c r="AU24" s="17">
        <v>1.6541254543502599</v>
      </c>
    </row>
    <row r="25" spans="1:47" s="17" customFormat="1" x14ac:dyDescent="0.2">
      <c r="A25" s="15" t="s">
        <v>71</v>
      </c>
      <c r="B25" s="17" t="s">
        <v>170</v>
      </c>
      <c r="C25" s="17" t="s">
        <v>232</v>
      </c>
      <c r="E25" s="18">
        <v>-0.3</v>
      </c>
      <c r="F25"/>
      <c r="G25" s="17">
        <v>34.748610999999997</v>
      </c>
      <c r="H25" s="17">
        <v>-88.911666999999994</v>
      </c>
      <c r="I25" s="17">
        <v>3460</v>
      </c>
      <c r="J25" s="17" t="s">
        <v>608</v>
      </c>
      <c r="K25" s="17" t="s">
        <v>614</v>
      </c>
      <c r="L25" s="19" t="s">
        <v>621</v>
      </c>
      <c r="M25" s="19" t="s">
        <v>612</v>
      </c>
      <c r="N25" s="19" t="s">
        <v>613</v>
      </c>
      <c r="O25" s="17" t="s">
        <v>623</v>
      </c>
      <c r="P25" s="19"/>
      <c r="Q25" s="19"/>
      <c r="R25" s="19" t="s">
        <v>637</v>
      </c>
      <c r="S25" s="19"/>
      <c r="T25" s="19"/>
      <c r="U25" s="19"/>
      <c r="V25" s="19"/>
      <c r="W25" s="19"/>
      <c r="X25" s="19"/>
      <c r="Z25" s="17">
        <v>3</v>
      </c>
      <c r="AA25" s="17">
        <v>0.194947682489054</v>
      </c>
      <c r="AB25" s="17">
        <v>2.1127726807218999E-2</v>
      </c>
      <c r="AC25" s="17">
        <v>-0.114266178103164</v>
      </c>
      <c r="AD25" s="17">
        <v>30.792201854331701</v>
      </c>
      <c r="AE25" s="17">
        <v>2.5949235848424301E-2</v>
      </c>
      <c r="AF25" s="17">
        <v>0.61036197609611198</v>
      </c>
      <c r="AG25" s="17">
        <v>5.29341903300482E-3</v>
      </c>
      <c r="AH25" s="17">
        <v>2.2017839525711898E-2</v>
      </c>
      <c r="AI25" s="17">
        <v>0.21753668504086701</v>
      </c>
      <c r="AJ25" s="17">
        <v>5.3986731722060803E-2</v>
      </c>
      <c r="AK25" s="17">
        <v>9.0131324041094099E-2</v>
      </c>
      <c r="AL25" s="17">
        <v>19.600000000000001</v>
      </c>
      <c r="AM25" s="17">
        <v>1.7</v>
      </c>
      <c r="AN25" s="17">
        <v>12.7</v>
      </c>
      <c r="AO25" s="17">
        <v>26.9</v>
      </c>
      <c r="AP25" s="17">
        <v>7.1</v>
      </c>
      <c r="AQ25" s="17">
        <v>0.391707909713091</v>
      </c>
      <c r="AR25" s="17">
        <v>0.38000255775108399</v>
      </c>
      <c r="AS25" s="17">
        <v>-1.1072149571680301</v>
      </c>
      <c r="AT25" s="17">
        <v>1.9045514185869501</v>
      </c>
      <c r="AU25" s="17">
        <v>1.5058831878774901</v>
      </c>
    </row>
    <row r="26" spans="1:47" s="17" customFormat="1" x14ac:dyDescent="0.2">
      <c r="A26" s="15" t="s">
        <v>72</v>
      </c>
      <c r="B26" s="17" t="s">
        <v>170</v>
      </c>
      <c r="C26" s="17" t="s">
        <v>232</v>
      </c>
      <c r="E26" s="18">
        <v>0</v>
      </c>
      <c r="F26"/>
      <c r="G26" s="17">
        <v>34.748610999999997</v>
      </c>
      <c r="H26" s="17">
        <v>-88.911666999999994</v>
      </c>
      <c r="I26" s="17">
        <v>3460</v>
      </c>
      <c r="J26" s="17" t="s">
        <v>608</v>
      </c>
      <c r="K26" s="17" t="s">
        <v>614</v>
      </c>
      <c r="L26" s="19" t="s">
        <v>621</v>
      </c>
      <c r="M26" s="19" t="s">
        <v>612</v>
      </c>
      <c r="N26" s="19" t="s">
        <v>613</v>
      </c>
      <c r="O26" s="17" t="s">
        <v>623</v>
      </c>
      <c r="P26" s="19"/>
      <c r="Q26" s="19"/>
      <c r="R26" s="19" t="s">
        <v>637</v>
      </c>
      <c r="S26" s="19"/>
      <c r="T26" s="19"/>
      <c r="U26" s="19"/>
      <c r="V26" s="19"/>
      <c r="W26" s="19"/>
      <c r="X26" s="19"/>
      <c r="Z26" s="17">
        <v>4</v>
      </c>
      <c r="AA26" s="17">
        <v>-0.30685498384731302</v>
      </c>
      <c r="AB26" s="17">
        <v>4.7424567574565299E-2</v>
      </c>
      <c r="AC26" s="17">
        <v>-0.60273408131183603</v>
      </c>
      <c r="AD26" s="17">
        <v>30.2886354082348</v>
      </c>
      <c r="AE26" s="17">
        <v>0.169609882124271</v>
      </c>
      <c r="AF26" s="17">
        <v>0.59944515290857603</v>
      </c>
      <c r="AG26" s="17">
        <v>9.9780615153979308E-3</v>
      </c>
      <c r="AH26" s="17">
        <v>1.9068008365715601E-2</v>
      </c>
      <c r="AI26" s="17">
        <v>0.25015285196468201</v>
      </c>
      <c r="AJ26" s="17">
        <v>1.43407779310393E-2</v>
      </c>
      <c r="AK26" s="17">
        <v>7.8056016296314604E-2</v>
      </c>
      <c r="AL26" s="17">
        <v>23.1</v>
      </c>
      <c r="AM26" s="17">
        <v>3.3</v>
      </c>
      <c r="AN26" s="17">
        <v>17</v>
      </c>
      <c r="AO26" s="17">
        <v>29.7</v>
      </c>
      <c r="AP26" s="17">
        <v>6.35</v>
      </c>
      <c r="AQ26" s="17">
        <v>0.624756235724931</v>
      </c>
      <c r="AR26" s="17">
        <v>0.83752634520953995</v>
      </c>
      <c r="AS26" s="17">
        <v>-0.80861685866670996</v>
      </c>
      <c r="AT26" s="17">
        <v>2.10668932071792</v>
      </c>
      <c r="AU26" s="17">
        <v>1.4576530896923099</v>
      </c>
    </row>
    <row r="27" spans="1:47" s="17" customFormat="1" x14ac:dyDescent="0.2">
      <c r="A27" s="15" t="s">
        <v>109</v>
      </c>
      <c r="B27" s="17" t="s">
        <v>170</v>
      </c>
      <c r="C27" s="17" t="s">
        <v>233</v>
      </c>
      <c r="E27" s="18">
        <v>-1.2</v>
      </c>
      <c r="F27"/>
      <c r="G27" s="17">
        <v>34.748610999999997</v>
      </c>
      <c r="H27" s="17">
        <v>-88.911666999999994</v>
      </c>
      <c r="I27" s="17">
        <v>3460</v>
      </c>
      <c r="J27" s="17" t="s">
        <v>608</v>
      </c>
      <c r="K27" s="17" t="s">
        <v>614</v>
      </c>
      <c r="L27" s="19" t="s">
        <v>621</v>
      </c>
      <c r="M27" s="19" t="s">
        <v>612</v>
      </c>
      <c r="N27" s="19" t="s">
        <v>613</v>
      </c>
      <c r="O27" s="17" t="s">
        <v>623</v>
      </c>
      <c r="P27" s="19"/>
      <c r="Q27" s="19"/>
      <c r="R27" s="19" t="s">
        <v>637</v>
      </c>
      <c r="S27" s="19"/>
      <c r="T27" s="19"/>
      <c r="U27" s="19"/>
      <c r="V27" s="19"/>
      <c r="W27" s="19"/>
      <c r="X27" s="19"/>
      <c r="Z27" s="17">
        <v>4</v>
      </c>
      <c r="AA27" s="17">
        <v>1.72923141345495</v>
      </c>
      <c r="AB27" s="17">
        <v>2.5726205058346101E-2</v>
      </c>
      <c r="AC27" s="17">
        <v>-0.95314834717533703</v>
      </c>
      <c r="AD27" s="17">
        <v>29.9273898374135</v>
      </c>
      <c r="AE27" s="17">
        <v>0.19665835345447399</v>
      </c>
      <c r="AF27" s="17">
        <v>0.59834392211289</v>
      </c>
      <c r="AG27" s="17">
        <v>7.5327948290451197E-3</v>
      </c>
      <c r="AH27" s="17">
        <v>1.9068008365715601E-2</v>
      </c>
      <c r="AI27" s="17">
        <v>0.26144487503960601</v>
      </c>
      <c r="AJ27" s="17">
        <v>1.3856775978315901E-2</v>
      </c>
      <c r="AK27" s="17">
        <v>7.8056016296314604E-2</v>
      </c>
      <c r="AL27" s="17">
        <v>23.5</v>
      </c>
      <c r="AM27" s="17">
        <v>2.5</v>
      </c>
      <c r="AN27" s="17">
        <v>17.3</v>
      </c>
      <c r="AO27" s="17">
        <v>30.1</v>
      </c>
      <c r="AP27" s="17">
        <v>6.4</v>
      </c>
      <c r="AQ27" s="17">
        <v>0.35531851612722698</v>
      </c>
      <c r="AR27" s="17">
        <v>0.69917286300216097</v>
      </c>
      <c r="AS27" s="17">
        <v>-1.1216769502439099</v>
      </c>
      <c r="AT27" s="17">
        <v>1.8597041438806601</v>
      </c>
      <c r="AU27" s="17">
        <v>1.49069054706229</v>
      </c>
    </row>
    <row r="28" spans="1:47" s="17" customFormat="1" x14ac:dyDescent="0.2">
      <c r="A28" s="15" t="s">
        <v>114</v>
      </c>
      <c r="B28" s="17" t="s">
        <v>170</v>
      </c>
      <c r="C28" s="17" t="s">
        <v>233</v>
      </c>
      <c r="E28" s="18">
        <v>-1.2</v>
      </c>
      <c r="F28"/>
      <c r="G28" s="17">
        <v>34.748610999999997</v>
      </c>
      <c r="H28" s="17">
        <v>-88.911666999999994</v>
      </c>
      <c r="I28" s="17">
        <v>3460</v>
      </c>
      <c r="J28" s="17" t="s">
        <v>608</v>
      </c>
      <c r="K28" s="17" t="s">
        <v>614</v>
      </c>
      <c r="L28" s="19" t="s">
        <v>621</v>
      </c>
      <c r="M28" s="19" t="s">
        <v>612</v>
      </c>
      <c r="N28" s="19" t="s">
        <v>613</v>
      </c>
      <c r="O28" s="17" t="s">
        <v>623</v>
      </c>
      <c r="P28" s="19"/>
      <c r="Q28" s="19"/>
      <c r="R28" s="19" t="s">
        <v>637</v>
      </c>
      <c r="S28" s="19"/>
      <c r="T28" s="19"/>
      <c r="U28" s="19"/>
      <c r="V28" s="19"/>
      <c r="W28" s="19"/>
      <c r="X28" s="19"/>
      <c r="Z28" s="17">
        <v>3</v>
      </c>
      <c r="AA28" s="17">
        <v>-1.1556307773907499</v>
      </c>
      <c r="AB28" s="17">
        <v>0.102112540669564</v>
      </c>
      <c r="AC28" s="17">
        <v>-0.54289710842483097</v>
      </c>
      <c r="AD28" s="17">
        <v>30.350321941953801</v>
      </c>
      <c r="AE28" s="17">
        <v>0.12772171157617501</v>
      </c>
      <c r="AF28" s="17">
        <v>0.60273542558552795</v>
      </c>
      <c r="AG28" s="17">
        <v>3.0711765200243301E-3</v>
      </c>
      <c r="AH28" s="17">
        <v>2.2017839525711898E-2</v>
      </c>
      <c r="AI28" s="17">
        <v>0.25177151836033801</v>
      </c>
      <c r="AJ28" s="17">
        <v>5.7639308560214202E-2</v>
      </c>
      <c r="AK28" s="17">
        <v>9.0131324041094099E-2</v>
      </c>
      <c r="AL28" s="17">
        <v>22</v>
      </c>
      <c r="AM28" s="17">
        <v>1</v>
      </c>
      <c r="AN28" s="17">
        <v>15</v>
      </c>
      <c r="AO28" s="17">
        <v>29.6</v>
      </c>
      <c r="AP28" s="17">
        <v>7.3</v>
      </c>
      <c r="AQ28" s="17">
        <v>0.45960196542375797</v>
      </c>
      <c r="AR28" s="17">
        <v>0.32936235849609802</v>
      </c>
      <c r="AS28" s="17">
        <v>-1.1354743367033999</v>
      </c>
      <c r="AT28" s="17">
        <v>2.1064007427221401</v>
      </c>
      <c r="AU28" s="17">
        <v>1.6209375397127701</v>
      </c>
    </row>
    <row r="29" spans="1:47" s="17" customFormat="1" x14ac:dyDescent="0.2">
      <c r="A29" s="15" t="s">
        <v>110</v>
      </c>
      <c r="B29" s="17" t="s">
        <v>170</v>
      </c>
      <c r="C29" s="17" t="s">
        <v>240</v>
      </c>
      <c r="E29" s="18">
        <v>6.5</v>
      </c>
      <c r="F29"/>
      <c r="G29" s="17">
        <v>34.748610999999997</v>
      </c>
      <c r="H29" s="17">
        <v>-88.911666999999994</v>
      </c>
      <c r="I29" s="17">
        <v>3460</v>
      </c>
      <c r="J29" s="17" t="s">
        <v>608</v>
      </c>
      <c r="K29" s="17" t="s">
        <v>614</v>
      </c>
      <c r="L29" s="19" t="s">
        <v>621</v>
      </c>
      <c r="M29" s="19" t="s">
        <v>612</v>
      </c>
      <c r="N29" s="19" t="s">
        <v>613</v>
      </c>
      <c r="O29" s="17" t="s">
        <v>623</v>
      </c>
      <c r="P29" s="19"/>
      <c r="Q29" s="19"/>
      <c r="R29" s="19" t="s">
        <v>637</v>
      </c>
      <c r="S29" s="19"/>
      <c r="T29" s="19"/>
      <c r="U29" s="19"/>
      <c r="V29" s="19"/>
      <c r="W29" s="19"/>
      <c r="X29" s="19"/>
      <c r="Z29" s="17">
        <v>3</v>
      </c>
      <c r="AA29" s="17">
        <v>1.2923970408068799</v>
      </c>
      <c r="AB29" s="17">
        <v>3.4848483224705601E-2</v>
      </c>
      <c r="AC29" s="17">
        <v>-0.77525533427346704</v>
      </c>
      <c r="AD29" s="17">
        <v>30.110781523344102</v>
      </c>
      <c r="AE29" s="17">
        <v>5.4898023606368501E-2</v>
      </c>
      <c r="AF29" s="17">
        <v>0.59802818677539304</v>
      </c>
      <c r="AG29" s="17">
        <v>6.4846212594320803E-3</v>
      </c>
      <c r="AH29" s="17">
        <v>2.2017839525711898E-2</v>
      </c>
      <c r="AI29" s="17">
        <v>0.19483699699618801</v>
      </c>
      <c r="AJ29" s="17">
        <v>1.17275429009366E-2</v>
      </c>
      <c r="AK29" s="17">
        <v>9.0131324041094099E-2</v>
      </c>
      <c r="AL29" s="17">
        <v>23.6</v>
      </c>
      <c r="AM29" s="17">
        <v>2.15</v>
      </c>
      <c r="AN29" s="17">
        <v>16.5</v>
      </c>
      <c r="AO29" s="17">
        <v>31.2</v>
      </c>
      <c r="AP29" s="17">
        <v>7.35</v>
      </c>
      <c r="AQ29" s="17">
        <v>0.55376661216951095</v>
      </c>
      <c r="AR29" s="17">
        <v>0.49012644875915601</v>
      </c>
      <c r="AS29" s="17">
        <v>-0.97614041411577501</v>
      </c>
      <c r="AT29" s="17">
        <v>2.1137222039492398</v>
      </c>
      <c r="AU29" s="17">
        <v>1.5449313090325101</v>
      </c>
    </row>
    <row r="30" spans="1:47" s="17" customFormat="1" x14ac:dyDescent="0.2">
      <c r="A30" s="15" t="s">
        <v>73</v>
      </c>
      <c r="B30" s="17" t="s">
        <v>170</v>
      </c>
      <c r="C30" s="17" t="s">
        <v>233</v>
      </c>
      <c r="E30" s="18">
        <v>0.75</v>
      </c>
      <c r="F30"/>
      <c r="G30" s="17">
        <v>34.748610999999997</v>
      </c>
      <c r="H30" s="17">
        <v>-88.911666999999994</v>
      </c>
      <c r="I30" s="17">
        <v>3460</v>
      </c>
      <c r="J30" s="17" t="s">
        <v>608</v>
      </c>
      <c r="K30" s="17" t="s">
        <v>614</v>
      </c>
      <c r="L30" s="19" t="s">
        <v>621</v>
      </c>
      <c r="M30" s="19" t="s">
        <v>612</v>
      </c>
      <c r="N30" s="19" t="s">
        <v>613</v>
      </c>
      <c r="O30" s="17" t="s">
        <v>623</v>
      </c>
      <c r="P30" s="19"/>
      <c r="Q30" s="19"/>
      <c r="R30" s="19" t="s">
        <v>637</v>
      </c>
      <c r="S30" s="19"/>
      <c r="T30" s="19"/>
      <c r="U30" s="19"/>
      <c r="V30" s="19"/>
      <c r="W30" s="19"/>
      <c r="X30" s="19"/>
      <c r="Z30" s="17">
        <v>3</v>
      </c>
      <c r="AA30" s="17">
        <v>0.63515150576645396</v>
      </c>
      <c r="AB30" s="17">
        <v>1.4847391905423699E-2</v>
      </c>
      <c r="AC30" s="17">
        <v>-0.41571608455004899</v>
      </c>
      <c r="AD30" s="17">
        <v>30.481434131276501</v>
      </c>
      <c r="AE30" s="17">
        <v>5.36712024381149E-2</v>
      </c>
      <c r="AF30" s="17">
        <v>0.60306991829317103</v>
      </c>
      <c r="AG30" s="17">
        <v>7.2003233865964699E-3</v>
      </c>
      <c r="AH30" s="17">
        <v>2.2017839525711898E-2</v>
      </c>
      <c r="AI30" s="17">
        <v>0.20906511897750499</v>
      </c>
      <c r="AJ30" s="17">
        <v>3.6386838109708601E-2</v>
      </c>
      <c r="AK30" s="17">
        <v>9.0131324041094099E-2</v>
      </c>
      <c r="AL30" s="17">
        <v>21.9</v>
      </c>
      <c r="AM30" s="17">
        <v>2.35</v>
      </c>
      <c r="AN30" s="17">
        <v>14.9</v>
      </c>
      <c r="AO30" s="17">
        <v>29.4</v>
      </c>
      <c r="AP30" s="17">
        <v>7.25</v>
      </c>
      <c r="AQ30" s="17">
        <v>0.56636681946133605</v>
      </c>
      <c r="AR30" s="17">
        <v>0.53507823309547597</v>
      </c>
      <c r="AS30" s="17">
        <v>-0.95807775672983597</v>
      </c>
      <c r="AT30" s="17">
        <v>2.1227671594907598</v>
      </c>
      <c r="AU30" s="17">
        <v>1.5404224581103001</v>
      </c>
    </row>
    <row r="31" spans="1:47" s="17" customFormat="1" x14ac:dyDescent="0.2">
      <c r="A31" s="15" t="s">
        <v>74</v>
      </c>
      <c r="B31" s="17" t="s">
        <v>170</v>
      </c>
      <c r="C31" s="17" t="s">
        <v>233</v>
      </c>
      <c r="E31" s="18">
        <v>1.25</v>
      </c>
      <c r="F31"/>
      <c r="G31" s="17">
        <v>34.748610999999997</v>
      </c>
      <c r="H31" s="17">
        <v>-88.911666999999994</v>
      </c>
      <c r="I31" s="17">
        <v>3460</v>
      </c>
      <c r="J31" s="17" t="s">
        <v>608</v>
      </c>
      <c r="K31" s="17" t="s">
        <v>614</v>
      </c>
      <c r="L31" s="19" t="s">
        <v>621</v>
      </c>
      <c r="M31" s="19" t="s">
        <v>612</v>
      </c>
      <c r="N31" s="19" t="s">
        <v>613</v>
      </c>
      <c r="O31" s="17" t="s">
        <v>623</v>
      </c>
      <c r="P31" s="19"/>
      <c r="Q31" s="19"/>
      <c r="R31" s="19" t="s">
        <v>637</v>
      </c>
      <c r="S31" s="19"/>
      <c r="T31" s="19"/>
      <c r="U31" s="19"/>
      <c r="V31" s="19"/>
      <c r="W31" s="19"/>
      <c r="X31" s="19"/>
      <c r="Z31" s="17">
        <v>3</v>
      </c>
      <c r="AA31" s="17">
        <v>-5.3617472278144902E-2</v>
      </c>
      <c r="AB31" s="17">
        <v>4.2751542818032201E-2</v>
      </c>
      <c r="AC31" s="17">
        <v>-0.43054345197139299</v>
      </c>
      <c r="AD31" s="17">
        <v>30.466148449928198</v>
      </c>
      <c r="AE31" s="17">
        <v>7.8709914199941999E-2</v>
      </c>
      <c r="AF31" s="17">
        <v>0.59208914486066999</v>
      </c>
      <c r="AG31" s="17">
        <v>3.8590685592773898E-3</v>
      </c>
      <c r="AH31" s="17">
        <v>2.2017839525711898E-2</v>
      </c>
      <c r="AI31" s="17">
        <v>0.24139672555457301</v>
      </c>
      <c r="AJ31" s="17">
        <v>1.37735229283049E-2</v>
      </c>
      <c r="AK31" s="17">
        <v>9.0131324041094099E-2</v>
      </c>
      <c r="AL31" s="17">
        <v>25.6</v>
      </c>
      <c r="AM31" s="17">
        <v>1.3</v>
      </c>
      <c r="AN31" s="17">
        <v>18.399999999999999</v>
      </c>
      <c r="AO31" s="17">
        <v>33.4</v>
      </c>
      <c r="AP31" s="17">
        <v>7.5</v>
      </c>
      <c r="AQ31" s="17">
        <v>1.30274662582951</v>
      </c>
      <c r="AR31" s="17">
        <v>0.33725858526827301</v>
      </c>
      <c r="AS31" s="17">
        <v>-0.252470790403095</v>
      </c>
      <c r="AT31" s="17">
        <v>2.9053261129071202</v>
      </c>
      <c r="AU31" s="17">
        <v>1.5788984516551099</v>
      </c>
    </row>
    <row r="32" spans="1:47" s="17" customFormat="1" x14ac:dyDescent="0.2">
      <c r="A32" s="15" t="s">
        <v>75</v>
      </c>
      <c r="B32" s="17" t="s">
        <v>170</v>
      </c>
      <c r="C32" s="17" t="s">
        <v>233</v>
      </c>
      <c r="E32" s="18">
        <v>1.5</v>
      </c>
      <c r="F32"/>
      <c r="G32" s="17">
        <v>34.748610999999997</v>
      </c>
      <c r="H32" s="17">
        <v>-88.911666999999994</v>
      </c>
      <c r="I32" s="17">
        <v>3460</v>
      </c>
      <c r="J32" s="17" t="s">
        <v>608</v>
      </c>
      <c r="K32" s="17" t="s">
        <v>614</v>
      </c>
      <c r="L32" s="19" t="s">
        <v>621</v>
      </c>
      <c r="M32" s="19" t="s">
        <v>612</v>
      </c>
      <c r="N32" s="19" t="s">
        <v>613</v>
      </c>
      <c r="O32" s="17" t="s">
        <v>623</v>
      </c>
      <c r="P32" s="19"/>
      <c r="Q32" s="19"/>
      <c r="R32" s="19" t="s">
        <v>637</v>
      </c>
      <c r="S32" s="19"/>
      <c r="T32" s="19"/>
      <c r="U32" s="19"/>
      <c r="V32" s="19"/>
      <c r="W32" s="19"/>
      <c r="X32" s="19"/>
      <c r="Z32" s="17">
        <v>3</v>
      </c>
      <c r="AA32" s="17">
        <v>0.350097533340405</v>
      </c>
      <c r="AB32" s="17">
        <v>9.95382912377114E-3</v>
      </c>
      <c r="AC32" s="17">
        <v>-0.46035369335423898</v>
      </c>
      <c r="AD32" s="17">
        <v>30.435416773984201</v>
      </c>
      <c r="AE32" s="17">
        <v>5.8420771403411197E-2</v>
      </c>
      <c r="AF32" s="17">
        <v>0.59845382632622401</v>
      </c>
      <c r="AG32" s="17">
        <v>6.4923093353625597E-3</v>
      </c>
      <c r="AH32" s="17">
        <v>2.2017839525711898E-2</v>
      </c>
      <c r="AI32" s="17">
        <v>0.170045814823724</v>
      </c>
      <c r="AJ32" s="17">
        <v>2.5658909760429598E-2</v>
      </c>
      <c r="AK32" s="17">
        <v>9.0131324041094099E-2</v>
      </c>
      <c r="AL32" s="17">
        <v>23.5</v>
      </c>
      <c r="AM32" s="17">
        <v>2.15</v>
      </c>
      <c r="AN32" s="17">
        <v>16.399999999999999</v>
      </c>
      <c r="AO32" s="17">
        <v>31.1</v>
      </c>
      <c r="AP32" s="17">
        <v>7.35</v>
      </c>
      <c r="AQ32" s="17">
        <v>0.84875859060480296</v>
      </c>
      <c r="AR32" s="17">
        <v>0.49397037886984702</v>
      </c>
      <c r="AS32" s="17">
        <v>-0.68600669910006196</v>
      </c>
      <c r="AT32" s="17">
        <v>2.4135883242528302</v>
      </c>
      <c r="AU32" s="17">
        <v>1.54979751167645</v>
      </c>
    </row>
    <row r="33" spans="1:49" s="17" customFormat="1" x14ac:dyDescent="0.2">
      <c r="A33" s="15" t="s">
        <v>76</v>
      </c>
      <c r="B33" s="17" t="s">
        <v>170</v>
      </c>
      <c r="C33" s="17" t="s">
        <v>234</v>
      </c>
      <c r="E33" s="18">
        <v>2.35</v>
      </c>
      <c r="F33"/>
      <c r="G33" s="17">
        <v>34.748610999999997</v>
      </c>
      <c r="H33" s="17">
        <v>-88.911666999999994</v>
      </c>
      <c r="I33" s="17">
        <v>3460</v>
      </c>
      <c r="J33" s="17" t="s">
        <v>608</v>
      </c>
      <c r="K33" s="17" t="s">
        <v>614</v>
      </c>
      <c r="L33" s="19" t="s">
        <v>621</v>
      </c>
      <c r="M33" s="19" t="s">
        <v>612</v>
      </c>
      <c r="N33" s="19" t="s">
        <v>613</v>
      </c>
      <c r="O33" s="17" t="s">
        <v>623</v>
      </c>
      <c r="P33" s="19"/>
      <c r="Q33" s="19"/>
      <c r="R33" s="19" t="s">
        <v>637</v>
      </c>
      <c r="S33" s="19"/>
      <c r="T33" s="19"/>
      <c r="U33" s="19"/>
      <c r="V33" s="19"/>
      <c r="W33" s="19"/>
      <c r="X33" s="19"/>
      <c r="Z33" s="17">
        <v>3</v>
      </c>
      <c r="AA33" s="17">
        <v>0.84209063302743703</v>
      </c>
      <c r="AB33" s="17">
        <v>4.6052591513860403E-2</v>
      </c>
      <c r="AC33" s="17">
        <v>-0.61538742614213804</v>
      </c>
      <c r="AD33" s="17">
        <v>30.275590948515799</v>
      </c>
      <c r="AE33" s="17">
        <v>6.8727886650608305E-2</v>
      </c>
      <c r="AF33" s="17">
        <v>0.59430618465512297</v>
      </c>
      <c r="AG33" s="17">
        <v>4.2416990080897804E-3</v>
      </c>
      <c r="AH33" s="17">
        <v>2.2017839525711898E-2</v>
      </c>
      <c r="AI33" s="17">
        <v>0.21689426494400399</v>
      </c>
      <c r="AJ33" s="17">
        <v>2.93041396934496E-2</v>
      </c>
      <c r="AK33" s="17">
        <v>9.0131324041094099E-2</v>
      </c>
      <c r="AL33" s="17">
        <v>24.8</v>
      </c>
      <c r="AM33" s="17">
        <v>1.45</v>
      </c>
      <c r="AN33" s="17">
        <v>17.7</v>
      </c>
      <c r="AO33" s="17">
        <v>32.6</v>
      </c>
      <c r="AP33" s="17">
        <v>7.45</v>
      </c>
      <c r="AQ33" s="17">
        <v>0.95671904084076698</v>
      </c>
      <c r="AR33" s="17">
        <v>0.359102202242923</v>
      </c>
      <c r="AS33" s="17">
        <v>-0.57520161439401796</v>
      </c>
      <c r="AT33" s="17">
        <v>2.55715082531071</v>
      </c>
      <c r="AU33" s="17">
        <v>1.5661762198523701</v>
      </c>
    </row>
    <row r="34" spans="1:49" s="17" customFormat="1" x14ac:dyDescent="0.2">
      <c r="A34" s="15" t="s">
        <v>77</v>
      </c>
      <c r="B34" s="17" t="s">
        <v>170</v>
      </c>
      <c r="C34" s="17" t="s">
        <v>232</v>
      </c>
      <c r="E34" s="18">
        <v>2.9</v>
      </c>
      <c r="F34"/>
      <c r="G34" s="17">
        <v>34.748610999999997</v>
      </c>
      <c r="H34" s="17">
        <v>-88.911666999999994</v>
      </c>
      <c r="I34" s="17">
        <v>3460</v>
      </c>
      <c r="J34" s="17" t="s">
        <v>608</v>
      </c>
      <c r="K34" s="17" t="s">
        <v>614</v>
      </c>
      <c r="L34" s="19" t="s">
        <v>621</v>
      </c>
      <c r="M34" s="19" t="s">
        <v>612</v>
      </c>
      <c r="N34" s="19" t="s">
        <v>613</v>
      </c>
      <c r="O34" s="17" t="s">
        <v>623</v>
      </c>
      <c r="P34" s="19"/>
      <c r="Q34" s="19"/>
      <c r="R34" s="19" t="s">
        <v>637</v>
      </c>
      <c r="S34" s="19"/>
      <c r="T34" s="19"/>
      <c r="U34" s="19"/>
      <c r="V34" s="19"/>
      <c r="W34" s="19"/>
      <c r="X34" s="19"/>
      <c r="Z34" s="17">
        <v>3</v>
      </c>
      <c r="AA34" s="17">
        <v>-0.24392629764759699</v>
      </c>
      <c r="AB34" s="17">
        <v>1.3462008040988E-2</v>
      </c>
      <c r="AC34" s="17">
        <v>-1.0470063806462799</v>
      </c>
      <c r="AD34" s="17">
        <v>29.830630652127901</v>
      </c>
      <c r="AE34" s="17">
        <v>0.20298998584139999</v>
      </c>
      <c r="AF34" s="17">
        <v>0.59626301583077701</v>
      </c>
      <c r="AG34" s="17">
        <v>2.09923208309209E-3</v>
      </c>
      <c r="AH34" s="17">
        <v>2.2017839525711898E-2</v>
      </c>
      <c r="AI34" s="17">
        <v>0.23767070440595001</v>
      </c>
      <c r="AJ34" s="17">
        <v>1.5862613612459699E-2</v>
      </c>
      <c r="AK34" s="17">
        <v>9.0131324041094099E-2</v>
      </c>
      <c r="AL34" s="17">
        <v>24.2</v>
      </c>
      <c r="AM34" s="17">
        <v>0.69999999999999896</v>
      </c>
      <c r="AN34" s="17">
        <v>17.100000000000001</v>
      </c>
      <c r="AO34" s="17">
        <v>31.9</v>
      </c>
      <c r="AP34" s="17">
        <v>7.4</v>
      </c>
      <c r="AQ34" s="17">
        <v>0.40327518658841699</v>
      </c>
      <c r="AR34" s="17">
        <v>0.33880377034569198</v>
      </c>
      <c r="AS34" s="17">
        <v>-1.26404464175278</v>
      </c>
      <c r="AT34" s="17">
        <v>2.1203457904257399</v>
      </c>
      <c r="AU34" s="17">
        <v>1.6921952160892599</v>
      </c>
    </row>
    <row r="35" spans="1:49" s="17" customFormat="1" x14ac:dyDescent="0.2">
      <c r="A35" s="15" t="s">
        <v>116</v>
      </c>
      <c r="B35" s="17" t="s">
        <v>170</v>
      </c>
      <c r="C35" s="17" t="s">
        <v>232</v>
      </c>
      <c r="E35" s="18">
        <v>5.7</v>
      </c>
      <c r="F35"/>
      <c r="G35" s="17">
        <v>34.748610999999997</v>
      </c>
      <c r="H35" s="17">
        <v>-88.911666999999994</v>
      </c>
      <c r="I35" s="17">
        <v>3460</v>
      </c>
      <c r="J35" s="17" t="s">
        <v>608</v>
      </c>
      <c r="K35" s="17" t="s">
        <v>614</v>
      </c>
      <c r="L35" s="19" t="s">
        <v>621</v>
      </c>
      <c r="M35" s="19"/>
      <c r="N35" s="19"/>
      <c r="P35" s="19">
        <v>0</v>
      </c>
      <c r="Q35" s="19">
        <v>0</v>
      </c>
      <c r="R35" s="19" t="s">
        <v>637</v>
      </c>
      <c r="S35" s="19"/>
      <c r="T35" s="19"/>
      <c r="U35" s="19"/>
      <c r="V35" s="19"/>
      <c r="W35" s="19"/>
      <c r="X35" s="19"/>
      <c r="Z35" s="17">
        <v>3</v>
      </c>
      <c r="AA35" s="17">
        <v>-0.59958736809522495</v>
      </c>
      <c r="AB35" s="17">
        <v>2.3267846082398E-2</v>
      </c>
      <c r="AC35" s="17">
        <v>-0.72322495852728197</v>
      </c>
      <c r="AD35" s="17">
        <v>30.164420158004599</v>
      </c>
      <c r="AE35" s="17">
        <v>3.2798684813383702E-2</v>
      </c>
      <c r="AF35" s="17">
        <v>0.60755922633545001</v>
      </c>
      <c r="AG35" s="17">
        <v>8.3221048416292093E-3</v>
      </c>
      <c r="AH35" s="17">
        <v>2.2017839525711898E-2</v>
      </c>
      <c r="AI35" s="17">
        <v>0.238823637105325</v>
      </c>
      <c r="AJ35" s="17">
        <v>3.09289641068584E-2</v>
      </c>
      <c r="AK35" s="17">
        <v>9.0131324041094099E-2</v>
      </c>
      <c r="AL35" s="17">
        <v>20.5</v>
      </c>
      <c r="AM35" s="17">
        <v>2.7</v>
      </c>
      <c r="AN35" s="17">
        <v>13.6</v>
      </c>
      <c r="AO35" s="17">
        <v>27.9</v>
      </c>
      <c r="AP35" s="17">
        <v>7.15</v>
      </c>
      <c r="AQ35" s="17">
        <v>-3.0392027961397599E-2</v>
      </c>
      <c r="AR35" s="17">
        <v>0.59171410516205503</v>
      </c>
      <c r="AS35" s="17">
        <v>-1.5262190959194899</v>
      </c>
      <c r="AT35" s="17">
        <v>1.4992537225393801</v>
      </c>
      <c r="AU35" s="17">
        <v>1.51273640922943</v>
      </c>
    </row>
    <row r="36" spans="1:49" s="24" customFormat="1" x14ac:dyDescent="0.2">
      <c r="A36" s="15" t="s">
        <v>118</v>
      </c>
      <c r="B36" s="17" t="s">
        <v>170</v>
      </c>
      <c r="C36" s="17" t="s">
        <v>606</v>
      </c>
      <c r="D36" s="17" t="s">
        <v>650</v>
      </c>
      <c r="E36" s="17">
        <v>5.4</v>
      </c>
      <c r="G36" s="17">
        <v>34.748610999999997</v>
      </c>
      <c r="H36" s="17">
        <v>-88.911666999999994</v>
      </c>
      <c r="I36" s="17">
        <v>3460</v>
      </c>
      <c r="J36" s="17" t="s">
        <v>608</v>
      </c>
      <c r="K36" s="17" t="s">
        <v>614</v>
      </c>
      <c r="L36" s="19" t="s">
        <v>621</v>
      </c>
      <c r="M36" s="19"/>
      <c r="N36" s="19"/>
      <c r="O36" s="17"/>
      <c r="P36" s="19">
        <v>3</v>
      </c>
      <c r="Q36" s="19">
        <v>0</v>
      </c>
      <c r="R36" s="19" t="s">
        <v>638</v>
      </c>
      <c r="S36" s="19"/>
      <c r="T36" s="19"/>
      <c r="U36" s="19"/>
      <c r="V36" s="19"/>
      <c r="W36" s="19"/>
      <c r="X36" s="19"/>
      <c r="Y36" s="17"/>
      <c r="Z36" s="17">
        <v>1</v>
      </c>
      <c r="AA36" s="17">
        <v>-1.2461185997877899</v>
      </c>
      <c r="AB36" s="17" t="s">
        <v>198</v>
      </c>
      <c r="AC36" s="17">
        <v>-0.99431014356761804</v>
      </c>
      <c r="AD36" s="17">
        <v>29.884955729894699</v>
      </c>
      <c r="AE36" s="17" t="s">
        <v>198</v>
      </c>
      <c r="AF36" s="17">
        <v>0.57475834921827296</v>
      </c>
      <c r="AG36" s="17" t="s">
        <v>198</v>
      </c>
      <c r="AH36" s="17">
        <v>3.8136016731431202E-2</v>
      </c>
      <c r="AI36" s="17">
        <v>0.223229808824675</v>
      </c>
      <c r="AJ36" s="17" t="s">
        <v>198</v>
      </c>
      <c r="AK36" s="17">
        <v>0.15611203259262901</v>
      </c>
      <c r="AL36" s="17">
        <v>31.7</v>
      </c>
      <c r="AM36" s="17" t="s">
        <v>198</v>
      </c>
      <c r="AN36" s="17">
        <v>18.7</v>
      </c>
      <c r="AO36" s="17">
        <v>46.5</v>
      </c>
      <c r="AP36" s="17">
        <v>13.9</v>
      </c>
      <c r="AQ36" s="17">
        <v>1.93718048644939</v>
      </c>
      <c r="AR36" s="17" t="s">
        <v>198</v>
      </c>
      <c r="AS36" s="17" t="s">
        <v>198</v>
      </c>
      <c r="AT36" s="17" t="s">
        <v>198</v>
      </c>
      <c r="AU36" s="17" t="s">
        <v>198</v>
      </c>
    </row>
    <row r="37" spans="1:49" s="24" customFormat="1" x14ac:dyDescent="0.2">
      <c r="A37" s="15" t="s">
        <v>121</v>
      </c>
      <c r="B37" s="17" t="s">
        <v>170</v>
      </c>
      <c r="C37" s="17" t="s">
        <v>653</v>
      </c>
      <c r="D37" s="17" t="s">
        <v>650</v>
      </c>
      <c r="E37" s="17">
        <v>3</v>
      </c>
      <c r="G37" s="17">
        <v>34.748610999999997</v>
      </c>
      <c r="H37" s="17">
        <v>-88.911666999999994</v>
      </c>
      <c r="I37" s="17">
        <v>3460</v>
      </c>
      <c r="J37" s="17" t="s">
        <v>608</v>
      </c>
      <c r="K37" s="17" t="s">
        <v>614</v>
      </c>
      <c r="L37" s="19" t="s">
        <v>621</v>
      </c>
      <c r="M37" s="19"/>
      <c r="N37" s="19"/>
      <c r="O37" s="17"/>
      <c r="P37" s="19"/>
      <c r="Q37" s="19"/>
      <c r="R37" s="19"/>
      <c r="S37" s="19"/>
      <c r="T37" s="19"/>
      <c r="U37" s="19"/>
      <c r="V37" s="19"/>
      <c r="W37" s="19"/>
      <c r="X37" s="19"/>
      <c r="Y37" s="17"/>
      <c r="Z37" s="17">
        <v>4</v>
      </c>
      <c r="AA37" s="17">
        <v>0.44523131211271699</v>
      </c>
      <c r="AB37" s="17">
        <v>5.3023247362896403E-2</v>
      </c>
      <c r="AC37" s="17">
        <v>-2.3488427141775499</v>
      </c>
      <c r="AD37" s="17">
        <v>28.488554557527198</v>
      </c>
      <c r="AE37" s="17">
        <v>8.5439723226867201E-2</v>
      </c>
      <c r="AF37" s="17">
        <v>0.59414441511715599</v>
      </c>
      <c r="AG37" s="17">
        <v>8.9033953236874498E-3</v>
      </c>
      <c r="AH37" s="17">
        <v>1.9068008365715601E-2</v>
      </c>
      <c r="AI37" s="17">
        <v>0.24378124187004999</v>
      </c>
      <c r="AJ37" s="17">
        <v>1.4520060548621899E-2</v>
      </c>
      <c r="AK37" s="17">
        <v>7.8056016296314604E-2</v>
      </c>
      <c r="AL37" s="17">
        <v>24.9</v>
      </c>
      <c r="AM37" s="17">
        <v>3.05</v>
      </c>
      <c r="AN37" s="17">
        <v>18.600000000000001</v>
      </c>
      <c r="AO37" s="17">
        <v>31.6</v>
      </c>
      <c r="AP37" s="17">
        <v>6.5</v>
      </c>
      <c r="AQ37" s="17">
        <v>-0.75934436413183404</v>
      </c>
      <c r="AR37" s="17">
        <v>0.69649171867450799</v>
      </c>
      <c r="AS37" s="17">
        <v>-2.13583766852219</v>
      </c>
      <c r="AT37" s="17">
        <v>0.64253590344753797</v>
      </c>
      <c r="AU37" s="17">
        <v>1.3891867859848599</v>
      </c>
    </row>
    <row r="38" spans="1:49" s="17" customFormat="1" x14ac:dyDescent="0.2">
      <c r="A38" s="15" t="s">
        <v>122</v>
      </c>
      <c r="B38" s="17" t="s">
        <v>170</v>
      </c>
      <c r="C38" s="17" t="s">
        <v>654</v>
      </c>
      <c r="D38" s="17" t="s">
        <v>650</v>
      </c>
      <c r="E38" s="17">
        <v>3</v>
      </c>
      <c r="F38"/>
      <c r="G38" s="17">
        <v>34.748610999999997</v>
      </c>
      <c r="H38" s="17">
        <v>-88.911666999999994</v>
      </c>
      <c r="I38" s="17">
        <v>3460</v>
      </c>
      <c r="J38" s="17" t="s">
        <v>608</v>
      </c>
      <c r="K38" s="17" t="s">
        <v>614</v>
      </c>
      <c r="L38" s="19" t="s">
        <v>621</v>
      </c>
      <c r="M38" s="19"/>
      <c r="N38" s="19"/>
      <c r="P38" s="19"/>
      <c r="Q38" s="19"/>
      <c r="R38" s="19"/>
      <c r="S38" s="19"/>
      <c r="T38" s="19"/>
      <c r="U38" s="19"/>
      <c r="V38" s="19"/>
      <c r="W38" s="19"/>
      <c r="X38" s="19"/>
      <c r="Z38" s="17">
        <v>4</v>
      </c>
      <c r="AA38" s="17">
        <v>1.36560187167395</v>
      </c>
      <c r="AB38" s="17">
        <v>5.7283489539622E-2</v>
      </c>
      <c r="AC38" s="17">
        <v>-1.4846903614156</v>
      </c>
      <c r="AD38" s="17">
        <v>29.379417859513001</v>
      </c>
      <c r="AE38" s="17">
        <v>0.23675196291551301</v>
      </c>
      <c r="AF38" s="17">
        <v>0.59431457361810403</v>
      </c>
      <c r="AG38" s="17">
        <v>6.1970432865951098E-3</v>
      </c>
      <c r="AH38" s="17">
        <v>1.9068008365715601E-2</v>
      </c>
      <c r="AI38" s="17">
        <v>0.24440822433138501</v>
      </c>
      <c r="AJ38" s="17">
        <v>2.7356491393306901E-2</v>
      </c>
      <c r="AK38" s="17">
        <v>7.8056016296314604E-2</v>
      </c>
      <c r="AL38" s="17">
        <v>24.8</v>
      </c>
      <c r="AM38" s="17">
        <v>2.1</v>
      </c>
      <c r="AN38" s="17">
        <v>18.600000000000001</v>
      </c>
      <c r="AO38" s="17">
        <v>31.5</v>
      </c>
      <c r="AP38" s="17">
        <v>6.45</v>
      </c>
      <c r="AQ38" s="17">
        <v>8.6048627272020894E-2</v>
      </c>
      <c r="AR38" s="17">
        <v>0.65303084770249598</v>
      </c>
      <c r="AS38" s="17">
        <v>-1.4182479504093</v>
      </c>
      <c r="AT38" s="17">
        <v>1.63712040836526</v>
      </c>
      <c r="AU38" s="17">
        <v>1.52768417938728</v>
      </c>
    </row>
    <row r="39" spans="1:49" s="17" customFormat="1" x14ac:dyDescent="0.2">
      <c r="A39" s="15" t="s">
        <v>123</v>
      </c>
      <c r="B39" s="17" t="s">
        <v>170</v>
      </c>
      <c r="C39" s="17" t="s">
        <v>654</v>
      </c>
      <c r="D39" s="17" t="s">
        <v>650</v>
      </c>
      <c r="E39" s="17">
        <v>2.8</v>
      </c>
      <c r="F39"/>
      <c r="G39" s="17">
        <v>34.748610999999997</v>
      </c>
      <c r="H39" s="17">
        <v>-88.911666999999994</v>
      </c>
      <c r="I39" s="17">
        <v>3460</v>
      </c>
      <c r="J39" s="17" t="s">
        <v>608</v>
      </c>
      <c r="K39" s="17" t="s">
        <v>614</v>
      </c>
      <c r="L39" s="19" t="s">
        <v>621</v>
      </c>
      <c r="M39" s="19"/>
      <c r="N39" s="19"/>
      <c r="P39" s="19"/>
      <c r="Q39" s="19"/>
      <c r="R39" s="19"/>
      <c r="S39" s="19"/>
      <c r="T39" s="19"/>
      <c r="U39" s="19"/>
      <c r="V39" s="19"/>
      <c r="W39" s="19"/>
      <c r="X39" s="19"/>
      <c r="Z39" s="17">
        <v>4</v>
      </c>
      <c r="AA39" s="17">
        <v>-2.6937319558382198</v>
      </c>
      <c r="AB39" s="17">
        <v>0.11566486137401399</v>
      </c>
      <c r="AC39" s="17">
        <v>-0.88387834868624304</v>
      </c>
      <c r="AD39" s="17">
        <v>29.998800971555902</v>
      </c>
      <c r="AE39" s="17">
        <v>0.107774448300766</v>
      </c>
      <c r="AF39" s="17">
        <v>0.59076226835491996</v>
      </c>
      <c r="AG39" s="17">
        <v>6.1861465771049897E-3</v>
      </c>
      <c r="AH39" s="17">
        <v>1.9068008365715601E-2</v>
      </c>
      <c r="AI39" s="17">
        <v>0.22220806033058199</v>
      </c>
      <c r="AJ39" s="17">
        <v>2.93391163736475E-2</v>
      </c>
      <c r="AK39" s="17">
        <v>7.8056016296314604E-2</v>
      </c>
      <c r="AL39" s="17">
        <v>26.1</v>
      </c>
      <c r="AM39" s="17">
        <v>2.1</v>
      </c>
      <c r="AN39" s="17">
        <v>19.7</v>
      </c>
      <c r="AO39" s="17">
        <v>32.799999999999997</v>
      </c>
      <c r="AP39" s="17">
        <v>6.55</v>
      </c>
      <c r="AQ39" s="17">
        <v>0.94871444711793596</v>
      </c>
      <c r="AR39" s="17">
        <v>0.52444556392629205</v>
      </c>
      <c r="AS39" s="17">
        <v>-0.46204375902220801</v>
      </c>
      <c r="AT39" s="17">
        <v>2.3641366252276201</v>
      </c>
      <c r="AU39" s="17">
        <v>1.4130901921249099</v>
      </c>
    </row>
    <row r="40" spans="1:49" s="17" customFormat="1" x14ac:dyDescent="0.2">
      <c r="A40" s="15" t="s">
        <v>126</v>
      </c>
      <c r="B40" s="17" t="s">
        <v>170</v>
      </c>
      <c r="C40" s="17" t="s">
        <v>170</v>
      </c>
      <c r="D40" s="17" t="s">
        <v>606</v>
      </c>
      <c r="G40" s="18">
        <v>3</v>
      </c>
      <c r="H40"/>
      <c r="I40" s="17">
        <v>34.748610999999997</v>
      </c>
      <c r="J40" s="17">
        <v>-88.911666999999994</v>
      </c>
      <c r="K40" s="17">
        <v>3460</v>
      </c>
      <c r="N40" s="19"/>
      <c r="O40" s="19"/>
      <c r="P40" s="19"/>
      <c r="R40" s="19"/>
      <c r="S40" s="19"/>
      <c r="T40" s="19"/>
      <c r="U40" s="19">
        <v>3.0870000000000002</v>
      </c>
      <c r="V40" s="19">
        <v>0.56000000000000005</v>
      </c>
      <c r="W40" s="19">
        <v>20.738</v>
      </c>
      <c r="X40" s="19">
        <v>14.74</v>
      </c>
      <c r="Y40" s="19">
        <v>0.45100000000000001</v>
      </c>
      <c r="Z40" s="19"/>
      <c r="AB40" s="17">
        <v>23</v>
      </c>
      <c r="AC40" s="17">
        <v>3.2383848435357998</v>
      </c>
      <c r="AD40" s="17">
        <v>0.16941304049684</v>
      </c>
      <c r="AE40" s="17">
        <v>-0.71653998362274296</v>
      </c>
      <c r="AF40" s="17">
        <v>30.171311765483502</v>
      </c>
      <c r="AG40" s="17">
        <v>8.0081663645803006E-2</v>
      </c>
      <c r="AH40" s="17">
        <v>0.58991769391137905</v>
      </c>
      <c r="AI40" s="17">
        <v>5.05151286593742E-3</v>
      </c>
      <c r="AJ40" s="17">
        <v>7.9519091832251799E-3</v>
      </c>
      <c r="AK40" s="17">
        <v>0.17237919676517899</v>
      </c>
      <c r="AL40" s="17">
        <v>1.9232783750879601E-2</v>
      </c>
      <c r="AM40" s="17">
        <v>3.2551609003310999E-2</v>
      </c>
      <c r="AN40" s="17">
        <v>26.3</v>
      </c>
      <c r="AO40" s="17">
        <v>1.75</v>
      </c>
      <c r="AP40" s="17">
        <v>23.6</v>
      </c>
      <c r="AQ40" s="17">
        <v>29.1</v>
      </c>
      <c r="AR40" s="17">
        <v>2.75</v>
      </c>
      <c r="AS40" s="17">
        <v>1.15631117000407</v>
      </c>
      <c r="AT40" s="17">
        <v>0.42718566600376601</v>
      </c>
      <c r="AU40" s="17">
        <v>0.53477618047838904</v>
      </c>
      <c r="AV40" s="17">
        <v>1.7881129788097501</v>
      </c>
      <c r="AW40" s="17">
        <v>0.62666839916567996</v>
      </c>
    </row>
    <row r="41" spans="1:49" s="17" customFormat="1" x14ac:dyDescent="0.2">
      <c r="A41" s="15" t="s">
        <v>127</v>
      </c>
      <c r="B41" s="17" t="s">
        <v>170</v>
      </c>
      <c r="C41" s="17" t="s">
        <v>170</v>
      </c>
      <c r="D41" s="17" t="s">
        <v>606</v>
      </c>
      <c r="G41" s="18">
        <v>4</v>
      </c>
      <c r="H41"/>
      <c r="I41" s="17">
        <v>34.748610999999997</v>
      </c>
      <c r="J41" s="17">
        <v>-88.911666999999994</v>
      </c>
      <c r="K41" s="17">
        <v>3460</v>
      </c>
      <c r="N41" s="19"/>
      <c r="O41" s="19"/>
      <c r="P41" s="19"/>
      <c r="R41" s="19"/>
      <c r="S41" s="19"/>
      <c r="T41" s="19"/>
      <c r="U41" s="19">
        <v>4.0620000000000003</v>
      </c>
      <c r="V41" s="19">
        <v>0.42</v>
      </c>
      <c r="W41" s="19">
        <v>13.061999999999999</v>
      </c>
      <c r="X41" s="19">
        <v>18.196999999999999</v>
      </c>
      <c r="Y41" s="19">
        <v>0.28100000000000003</v>
      </c>
      <c r="Z41" s="19"/>
      <c r="AB41" s="17">
        <v>2</v>
      </c>
      <c r="AC41" s="17">
        <v>3.3245426409882102</v>
      </c>
      <c r="AD41" s="17">
        <v>5.16237745156101E-2</v>
      </c>
      <c r="AE41" s="17">
        <v>-1.18335191255619</v>
      </c>
      <c r="AF41" s="17">
        <v>29.6900706798267</v>
      </c>
      <c r="AG41" s="17">
        <v>0.10471800106948</v>
      </c>
      <c r="AH41" s="17">
        <v>0.59534248472592699</v>
      </c>
      <c r="AI41" s="17">
        <v>1.5930284442751502E-2</v>
      </c>
      <c r="AJ41" s="17">
        <v>2.6966236038238601E-2</v>
      </c>
      <c r="AK41" s="17">
        <v>0.162374640196391</v>
      </c>
      <c r="AL41" s="17">
        <v>2.9555791656004901E-2</v>
      </c>
      <c r="AM41" s="17">
        <v>0.110387876871063</v>
      </c>
      <c r="AN41" s="17">
        <v>24.5</v>
      </c>
      <c r="AO41" s="17">
        <v>5.35</v>
      </c>
      <c r="AP41" s="17">
        <v>15.8</v>
      </c>
      <c r="AQ41" s="17">
        <v>34</v>
      </c>
      <c r="AR41" s="17">
        <v>9.1</v>
      </c>
      <c r="AS41" s="17">
        <v>0.32735561541858299</v>
      </c>
      <c r="AT41" s="17">
        <v>1.1821276407885599</v>
      </c>
      <c r="AU41" s="17">
        <v>-1.58181449473716</v>
      </c>
      <c r="AV41" s="17">
        <v>2.2895654555077298</v>
      </c>
      <c r="AW41" s="17">
        <v>1.9356899751224399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0A36-8E26-425E-9121-0B8C90A376DB}">
  <dimension ref="A1:C84"/>
  <sheetViews>
    <sheetView topLeftCell="A17" workbookViewId="0">
      <selection activeCell="D16" sqref="D16"/>
    </sheetView>
  </sheetViews>
  <sheetFormatPr baseColWidth="10" defaultColWidth="8.83203125" defaultRowHeight="15" x14ac:dyDescent="0.2"/>
  <cols>
    <col min="2" max="2" width="13.5" customWidth="1"/>
  </cols>
  <sheetData>
    <row r="1" spans="1:3" x14ac:dyDescent="0.2">
      <c r="A1" t="s">
        <v>323</v>
      </c>
      <c r="C1" t="s">
        <v>657</v>
      </c>
    </row>
    <row r="2" spans="1:3" x14ac:dyDescent="0.2">
      <c r="A2" s="15" t="s">
        <v>660</v>
      </c>
      <c r="C2" t="s">
        <v>658</v>
      </c>
    </row>
    <row r="3" spans="1:3" x14ac:dyDescent="0.2">
      <c r="A3" s="15" t="s">
        <v>656</v>
      </c>
      <c r="C3" t="s">
        <v>658</v>
      </c>
    </row>
    <row r="4" spans="1:3" x14ac:dyDescent="0.2">
      <c r="A4" s="15" t="s">
        <v>9</v>
      </c>
      <c r="C4" t="s">
        <v>658</v>
      </c>
    </row>
    <row r="5" spans="1:3" x14ac:dyDescent="0.2">
      <c r="A5" s="15" t="s">
        <v>4</v>
      </c>
      <c r="C5" t="s">
        <v>658</v>
      </c>
    </row>
    <row r="6" spans="1:3" x14ac:dyDescent="0.2">
      <c r="A6" s="15" t="s">
        <v>6</v>
      </c>
      <c r="C6" t="s">
        <v>658</v>
      </c>
    </row>
    <row r="7" spans="1:3" x14ac:dyDescent="0.2">
      <c r="A7" s="15" t="s">
        <v>7</v>
      </c>
      <c r="C7" t="s">
        <v>658</v>
      </c>
    </row>
    <row r="8" spans="1:3" x14ac:dyDescent="0.2">
      <c r="A8" s="15" t="s">
        <v>8</v>
      </c>
      <c r="C8" t="s">
        <v>658</v>
      </c>
    </row>
    <row r="9" spans="1:3" x14ac:dyDescent="0.2">
      <c r="A9" s="15" t="s">
        <v>14</v>
      </c>
      <c r="C9" t="s">
        <v>658</v>
      </c>
    </row>
    <row r="10" spans="1:3" x14ac:dyDescent="0.2">
      <c r="A10" s="15" t="s">
        <v>141</v>
      </c>
      <c r="C10" t="s">
        <v>658</v>
      </c>
    </row>
    <row r="11" spans="1:3" x14ac:dyDescent="0.2">
      <c r="A11" s="15" t="s">
        <v>142</v>
      </c>
      <c r="C11" t="s">
        <v>658</v>
      </c>
    </row>
    <row r="12" spans="1:3" x14ac:dyDescent="0.2">
      <c r="A12" s="15" t="s">
        <v>145</v>
      </c>
      <c r="C12" t="s">
        <v>658</v>
      </c>
    </row>
    <row r="13" spans="1:3" x14ac:dyDescent="0.2">
      <c r="A13" s="15" t="s">
        <v>143</v>
      </c>
      <c r="C13" t="s">
        <v>658</v>
      </c>
    </row>
    <row r="14" spans="1:3" x14ac:dyDescent="0.2">
      <c r="A14" s="15" t="s">
        <v>146</v>
      </c>
      <c r="C14" t="s">
        <v>658</v>
      </c>
    </row>
    <row r="15" spans="1:3" x14ac:dyDescent="0.2">
      <c r="A15" s="15" t="s">
        <v>147</v>
      </c>
      <c r="C15" t="s">
        <v>658</v>
      </c>
    </row>
    <row r="16" spans="1:3" x14ac:dyDescent="0.2">
      <c r="A16" s="15" t="s">
        <v>148</v>
      </c>
      <c r="C16" t="s">
        <v>658</v>
      </c>
    </row>
    <row r="17" spans="1:3" x14ac:dyDescent="0.2">
      <c r="A17" s="15" t="s">
        <v>150</v>
      </c>
      <c r="C17" t="s">
        <v>658</v>
      </c>
    </row>
    <row r="18" spans="1:3" x14ac:dyDescent="0.2">
      <c r="A18" s="15" t="s">
        <v>140</v>
      </c>
      <c r="C18" t="s">
        <v>658</v>
      </c>
    </row>
    <row r="19" spans="1:3" x14ac:dyDescent="0.2">
      <c r="A19" s="15" t="s">
        <v>138</v>
      </c>
      <c r="C19" t="s">
        <v>658</v>
      </c>
    </row>
    <row r="20" spans="1:3" x14ac:dyDescent="0.2">
      <c r="A20" s="15" t="s">
        <v>159</v>
      </c>
      <c r="C20" t="s">
        <v>658</v>
      </c>
    </row>
    <row r="21" spans="1:3" x14ac:dyDescent="0.2">
      <c r="A21" s="15" t="s">
        <v>160</v>
      </c>
      <c r="C21" t="s">
        <v>658</v>
      </c>
    </row>
    <row r="22" spans="1:3" x14ac:dyDescent="0.2">
      <c r="A22" s="15" t="s">
        <v>161</v>
      </c>
      <c r="C22" t="s">
        <v>658</v>
      </c>
    </row>
    <row r="23" spans="1:3" x14ac:dyDescent="0.2">
      <c r="A23" s="15" t="s">
        <v>162</v>
      </c>
      <c r="C23" t="s">
        <v>658</v>
      </c>
    </row>
    <row r="24" spans="1:3" x14ac:dyDescent="0.2">
      <c r="A24" s="15" t="s">
        <v>163</v>
      </c>
      <c r="C24" t="s">
        <v>658</v>
      </c>
    </row>
    <row r="25" spans="1:3" x14ac:dyDescent="0.2">
      <c r="A25" s="23" t="s">
        <v>97</v>
      </c>
    </row>
    <row r="26" spans="1:3" x14ac:dyDescent="0.2">
      <c r="A26" s="23" t="s">
        <v>99</v>
      </c>
    </row>
    <row r="27" spans="1:3" x14ac:dyDescent="0.2">
      <c r="A27" s="23" t="s">
        <v>104</v>
      </c>
    </row>
    <row r="28" spans="1:3" x14ac:dyDescent="0.2">
      <c r="A28" s="23" t="s">
        <v>105</v>
      </c>
    </row>
    <row r="29" spans="1:3" x14ac:dyDescent="0.2">
      <c r="A29" s="23" t="s">
        <v>106</v>
      </c>
    </row>
    <row r="30" spans="1:3" x14ac:dyDescent="0.2">
      <c r="A30" s="23" t="s">
        <v>107</v>
      </c>
    </row>
    <row r="31" spans="1:3" x14ac:dyDescent="0.2">
      <c r="A31" s="23" t="s">
        <v>108</v>
      </c>
    </row>
    <row r="32" spans="1:3" x14ac:dyDescent="0.2">
      <c r="A32" s="23" t="s">
        <v>111</v>
      </c>
    </row>
    <row r="33" spans="1:3" x14ac:dyDescent="0.2">
      <c r="A33" s="23" t="s">
        <v>115</v>
      </c>
    </row>
    <row r="34" spans="1:3" x14ac:dyDescent="0.2">
      <c r="A34" s="23" t="s">
        <v>117</v>
      </c>
    </row>
    <row r="35" spans="1:3" x14ac:dyDescent="0.2">
      <c r="A35" s="23" t="s">
        <v>119</v>
      </c>
    </row>
    <row r="36" spans="1:3" x14ac:dyDescent="0.2">
      <c r="A36" s="23" t="s">
        <v>120</v>
      </c>
    </row>
    <row r="37" spans="1:3" x14ac:dyDescent="0.2">
      <c r="A37" s="15" t="s">
        <v>659</v>
      </c>
    </row>
    <row r="38" spans="1:3" x14ac:dyDescent="0.2">
      <c r="A38" s="15" t="s">
        <v>129</v>
      </c>
      <c r="C38" t="s">
        <v>658</v>
      </c>
    </row>
    <row r="39" spans="1:3" x14ac:dyDescent="0.2">
      <c r="A39" s="15" t="s">
        <v>5</v>
      </c>
    </row>
    <row r="40" spans="1:3" x14ac:dyDescent="0.2">
      <c r="A40" s="15" t="s">
        <v>15</v>
      </c>
      <c r="C40" t="s">
        <v>658</v>
      </c>
    </row>
    <row r="41" spans="1:3" x14ac:dyDescent="0.2">
      <c r="A41" s="15" t="s">
        <v>42</v>
      </c>
    </row>
    <row r="42" spans="1:3" x14ac:dyDescent="0.2">
      <c r="A42" s="15" t="s">
        <v>62</v>
      </c>
    </row>
    <row r="43" spans="1:3" x14ac:dyDescent="0.2">
      <c r="A43" s="15" t="s">
        <v>65</v>
      </c>
    </row>
    <row r="44" spans="1:3" x14ac:dyDescent="0.2">
      <c r="A44" s="15"/>
    </row>
    <row r="45" spans="1:3" x14ac:dyDescent="0.2">
      <c r="A45" s="15"/>
    </row>
    <row r="46" spans="1:3" x14ac:dyDescent="0.2">
      <c r="A46" s="15"/>
    </row>
    <row r="47" spans="1:3" x14ac:dyDescent="0.2">
      <c r="A47" s="15"/>
    </row>
    <row r="48" spans="1:3" x14ac:dyDescent="0.2">
      <c r="A48" s="15"/>
    </row>
    <row r="49" spans="1:1" x14ac:dyDescent="0.2">
      <c r="A49" s="15"/>
    </row>
    <row r="50" spans="1:1" x14ac:dyDescent="0.2">
      <c r="A50" s="15"/>
    </row>
    <row r="51" spans="1:1" x14ac:dyDescent="0.2">
      <c r="A51" s="15"/>
    </row>
    <row r="52" spans="1:1" x14ac:dyDescent="0.2">
      <c r="A52" s="15"/>
    </row>
    <row r="53" spans="1:1" x14ac:dyDescent="0.2">
      <c r="A53" s="15"/>
    </row>
    <row r="54" spans="1:1" x14ac:dyDescent="0.2">
      <c r="A54" s="15"/>
    </row>
    <row r="55" spans="1:1" x14ac:dyDescent="0.2">
      <c r="A55" s="15"/>
    </row>
    <row r="56" spans="1:1" x14ac:dyDescent="0.2">
      <c r="A56" s="15"/>
    </row>
    <row r="57" spans="1:1" x14ac:dyDescent="0.2">
      <c r="A57" s="15"/>
    </row>
    <row r="58" spans="1:1" x14ac:dyDescent="0.2">
      <c r="A58" s="15"/>
    </row>
    <row r="59" spans="1:1" x14ac:dyDescent="0.2">
      <c r="A59" s="15"/>
    </row>
    <row r="60" spans="1:1" x14ac:dyDescent="0.2">
      <c r="A60" s="15"/>
    </row>
    <row r="61" spans="1:1" x14ac:dyDescent="0.2">
      <c r="A61" s="15"/>
    </row>
    <row r="62" spans="1:1" x14ac:dyDescent="0.2">
      <c r="A62" s="15"/>
    </row>
    <row r="63" spans="1:1" x14ac:dyDescent="0.2">
      <c r="A63" s="15"/>
    </row>
    <row r="64" spans="1:1" x14ac:dyDescent="0.2">
      <c r="A64" s="15"/>
    </row>
    <row r="65" spans="1:1" x14ac:dyDescent="0.2">
      <c r="A65" s="15"/>
    </row>
    <row r="66" spans="1:1" x14ac:dyDescent="0.2">
      <c r="A66" s="15"/>
    </row>
    <row r="67" spans="1:1" x14ac:dyDescent="0.2">
      <c r="A67" s="15"/>
    </row>
    <row r="68" spans="1:1" x14ac:dyDescent="0.2">
      <c r="A68" s="15"/>
    </row>
    <row r="69" spans="1:1" x14ac:dyDescent="0.2">
      <c r="A69" s="15"/>
    </row>
    <row r="70" spans="1:1" x14ac:dyDescent="0.2">
      <c r="A70" s="15"/>
    </row>
    <row r="71" spans="1:1" x14ac:dyDescent="0.2">
      <c r="A71" s="15"/>
    </row>
    <row r="72" spans="1:1" x14ac:dyDescent="0.2">
      <c r="A72" s="15"/>
    </row>
    <row r="73" spans="1:1" x14ac:dyDescent="0.2">
      <c r="A73" s="15"/>
    </row>
    <row r="74" spans="1:1" x14ac:dyDescent="0.2">
      <c r="A74" s="15"/>
    </row>
    <row r="75" spans="1:1" x14ac:dyDescent="0.2">
      <c r="A75" s="15"/>
    </row>
    <row r="76" spans="1:1" x14ac:dyDescent="0.2">
      <c r="A76" s="15"/>
    </row>
    <row r="77" spans="1:1" x14ac:dyDescent="0.2">
      <c r="A77" s="15"/>
    </row>
    <row r="78" spans="1:1" x14ac:dyDescent="0.2">
      <c r="A78" s="15"/>
    </row>
    <row r="79" spans="1:1" x14ac:dyDescent="0.2">
      <c r="A79" s="15"/>
    </row>
    <row r="80" spans="1:1" x14ac:dyDescent="0.2">
      <c r="A80" s="15"/>
    </row>
    <row r="81" spans="1:1" x14ac:dyDescent="0.2">
      <c r="A81" s="15"/>
    </row>
    <row r="82" spans="1:1" x14ac:dyDescent="0.2">
      <c r="A82" s="15"/>
    </row>
    <row r="83" spans="1:1" x14ac:dyDescent="0.2">
      <c r="A83" s="15"/>
    </row>
    <row r="84" spans="1:1" x14ac:dyDescent="0.2">
      <c r="A84" s="15"/>
    </row>
  </sheetData>
  <sortState xmlns:xlrd2="http://schemas.microsoft.com/office/spreadsheetml/2017/richdata2" ref="C1:C24">
    <sortCondition ref="C19:C24"/>
  </sortState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4E62-967B-498D-9BFF-9339852D4BA0}">
  <dimension ref="A1:C76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s="20" t="s">
        <v>646</v>
      </c>
      <c r="C1" s="20" t="s">
        <v>647</v>
      </c>
    </row>
    <row r="2" spans="1:3" x14ac:dyDescent="0.2">
      <c r="A2" s="21" t="s">
        <v>1</v>
      </c>
    </row>
    <row r="3" spans="1:3" x14ac:dyDescent="0.2">
      <c r="A3" s="21" t="s">
        <v>3</v>
      </c>
    </row>
    <row r="4" spans="1:3" x14ac:dyDescent="0.2">
      <c r="A4" s="21" t="s">
        <v>4</v>
      </c>
    </row>
    <row r="5" spans="1:3" x14ac:dyDescent="0.2">
      <c r="A5" s="21" t="s">
        <v>5</v>
      </c>
    </row>
    <row r="6" spans="1:3" x14ac:dyDescent="0.2">
      <c r="A6" s="21" t="s">
        <v>6</v>
      </c>
    </row>
    <row r="7" spans="1:3" x14ac:dyDescent="0.2">
      <c r="A7" s="21" t="s">
        <v>7</v>
      </c>
    </row>
    <row r="8" spans="1:3" x14ac:dyDescent="0.2">
      <c r="A8" s="21" t="s">
        <v>8</v>
      </c>
    </row>
    <row r="9" spans="1:3" x14ac:dyDescent="0.2">
      <c r="A9" s="21" t="s">
        <v>9</v>
      </c>
    </row>
    <row r="10" spans="1:3" x14ac:dyDescent="0.2">
      <c r="A10" s="21" t="s">
        <v>12</v>
      </c>
    </row>
    <row r="11" spans="1:3" x14ac:dyDescent="0.2">
      <c r="A11" s="21" t="s">
        <v>14</v>
      </c>
    </row>
    <row r="12" spans="1:3" x14ac:dyDescent="0.2">
      <c r="A12" s="21" t="s">
        <v>15</v>
      </c>
    </row>
    <row r="13" spans="1:3" x14ac:dyDescent="0.2">
      <c r="A13" s="21" t="s">
        <v>16</v>
      </c>
    </row>
    <row r="14" spans="1:3" x14ac:dyDescent="0.2">
      <c r="A14" s="21" t="s">
        <v>18</v>
      </c>
    </row>
    <row r="15" spans="1:3" x14ac:dyDescent="0.2">
      <c r="A15" s="21" t="s">
        <v>24</v>
      </c>
    </row>
    <row r="16" spans="1:3" x14ac:dyDescent="0.2">
      <c r="A16" s="21" t="s">
        <v>25</v>
      </c>
    </row>
    <row r="17" spans="1:1" x14ac:dyDescent="0.2">
      <c r="A17" s="21" t="s">
        <v>26</v>
      </c>
    </row>
    <row r="18" spans="1:1" x14ac:dyDescent="0.2">
      <c r="A18" s="21" t="s">
        <v>27</v>
      </c>
    </row>
    <row r="19" spans="1:1" x14ac:dyDescent="0.2">
      <c r="A19" s="21" t="s">
        <v>28</v>
      </c>
    </row>
    <row r="20" spans="1:1" x14ac:dyDescent="0.2">
      <c r="A20" s="21" t="s">
        <v>29</v>
      </c>
    </row>
    <row r="21" spans="1:1" x14ac:dyDescent="0.2">
      <c r="A21" s="21" t="s">
        <v>32</v>
      </c>
    </row>
    <row r="22" spans="1:1" x14ac:dyDescent="0.2">
      <c r="A22" s="21" t="s">
        <v>33</v>
      </c>
    </row>
    <row r="23" spans="1:1" x14ac:dyDescent="0.2">
      <c r="A23" s="21" t="s">
        <v>43</v>
      </c>
    </row>
    <row r="24" spans="1:1" x14ac:dyDescent="0.2">
      <c r="A24" s="21" t="s">
        <v>44</v>
      </c>
    </row>
    <row r="25" spans="1:1" x14ac:dyDescent="0.2">
      <c r="A25" s="22" t="s">
        <v>47</v>
      </c>
    </row>
    <row r="26" spans="1:1" x14ac:dyDescent="0.2">
      <c r="A26" s="21" t="s">
        <v>48</v>
      </c>
    </row>
    <row r="27" spans="1:1" x14ac:dyDescent="0.2">
      <c r="A27" s="21" t="s">
        <v>49</v>
      </c>
    </row>
    <row r="28" spans="1:1" x14ac:dyDescent="0.2">
      <c r="A28" s="21" t="s">
        <v>50</v>
      </c>
    </row>
    <row r="29" spans="1:1" x14ac:dyDescent="0.2">
      <c r="A29" s="21" t="s">
        <v>53</v>
      </c>
    </row>
    <row r="30" spans="1:1" x14ac:dyDescent="0.2">
      <c r="A30" s="21" t="s">
        <v>56</v>
      </c>
    </row>
    <row r="31" spans="1:1" x14ac:dyDescent="0.2">
      <c r="A31" s="21" t="s">
        <v>58</v>
      </c>
    </row>
    <row r="32" spans="1:1" x14ac:dyDescent="0.2">
      <c r="A32" s="21" t="s">
        <v>59</v>
      </c>
    </row>
    <row r="33" spans="1:1" x14ac:dyDescent="0.2">
      <c r="A33" s="21" t="s">
        <v>60</v>
      </c>
    </row>
    <row r="34" spans="1:1" x14ac:dyDescent="0.2">
      <c r="A34" s="21" t="s">
        <v>62</v>
      </c>
    </row>
    <row r="35" spans="1:1" x14ac:dyDescent="0.2">
      <c r="A35" s="21" t="s">
        <v>63</v>
      </c>
    </row>
    <row r="36" spans="1:1" x14ac:dyDescent="0.2">
      <c r="A36" s="21" t="s">
        <v>64</v>
      </c>
    </row>
    <row r="37" spans="1:1" x14ac:dyDescent="0.2">
      <c r="A37" s="21" t="s">
        <v>65</v>
      </c>
    </row>
    <row r="38" spans="1:1" x14ac:dyDescent="0.2">
      <c r="A38" s="21" t="s">
        <v>66</v>
      </c>
    </row>
    <row r="39" spans="1:1" x14ac:dyDescent="0.2">
      <c r="A39" s="21" t="s">
        <v>67</v>
      </c>
    </row>
    <row r="40" spans="1:1" x14ac:dyDescent="0.2">
      <c r="A40" s="21" t="s">
        <v>68</v>
      </c>
    </row>
    <row r="41" spans="1:1" x14ac:dyDescent="0.2">
      <c r="A41" s="21" t="s">
        <v>126</v>
      </c>
    </row>
    <row r="42" spans="1:1" x14ac:dyDescent="0.2">
      <c r="A42" s="21" t="s">
        <v>127</v>
      </c>
    </row>
    <row r="43" spans="1:1" x14ac:dyDescent="0.2">
      <c r="A43" s="21" t="s">
        <v>128</v>
      </c>
    </row>
    <row r="44" spans="1:1" x14ac:dyDescent="0.2">
      <c r="A44" s="21" t="s">
        <v>129</v>
      </c>
    </row>
    <row r="45" spans="1:1" x14ac:dyDescent="0.2">
      <c r="A45" s="21" t="s">
        <v>131</v>
      </c>
    </row>
    <row r="46" spans="1:1" x14ac:dyDescent="0.2">
      <c r="A46" s="21" t="s">
        <v>132</v>
      </c>
    </row>
    <row r="47" spans="1:1" x14ac:dyDescent="0.2">
      <c r="A47" s="21" t="s">
        <v>133</v>
      </c>
    </row>
    <row r="48" spans="1:1" x14ac:dyDescent="0.2">
      <c r="A48" s="21" t="s">
        <v>134</v>
      </c>
    </row>
    <row r="49" spans="1:1" x14ac:dyDescent="0.2">
      <c r="A49" s="21" t="s">
        <v>135</v>
      </c>
    </row>
    <row r="50" spans="1:1" x14ac:dyDescent="0.2">
      <c r="A50" s="21" t="s">
        <v>136</v>
      </c>
    </row>
    <row r="51" spans="1:1" x14ac:dyDescent="0.2">
      <c r="A51" s="21" t="s">
        <v>137</v>
      </c>
    </row>
    <row r="52" spans="1:1" x14ac:dyDescent="0.2">
      <c r="A52" s="21" t="s">
        <v>138</v>
      </c>
    </row>
    <row r="53" spans="1:1" x14ac:dyDescent="0.2">
      <c r="A53" s="21" t="s">
        <v>139</v>
      </c>
    </row>
    <row r="54" spans="1:1" x14ac:dyDescent="0.2">
      <c r="A54" s="21" t="s">
        <v>140</v>
      </c>
    </row>
    <row r="55" spans="1:1" x14ac:dyDescent="0.2">
      <c r="A55" s="21" t="s">
        <v>141</v>
      </c>
    </row>
    <row r="56" spans="1:1" x14ac:dyDescent="0.2">
      <c r="A56" s="21" t="s">
        <v>142</v>
      </c>
    </row>
    <row r="57" spans="1:1" x14ac:dyDescent="0.2">
      <c r="A57" s="21" t="s">
        <v>143</v>
      </c>
    </row>
    <row r="58" spans="1:1" x14ac:dyDescent="0.2">
      <c r="A58" s="21" t="s">
        <v>144</v>
      </c>
    </row>
    <row r="59" spans="1:1" x14ac:dyDescent="0.2">
      <c r="A59" s="21" t="s">
        <v>145</v>
      </c>
    </row>
    <row r="60" spans="1:1" x14ac:dyDescent="0.2">
      <c r="A60" s="21" t="s">
        <v>146</v>
      </c>
    </row>
    <row r="61" spans="1:1" x14ac:dyDescent="0.2">
      <c r="A61" s="21" t="s">
        <v>147</v>
      </c>
    </row>
    <row r="62" spans="1:1" x14ac:dyDescent="0.2">
      <c r="A62" s="21" t="s">
        <v>148</v>
      </c>
    </row>
    <row r="63" spans="1:1" x14ac:dyDescent="0.2">
      <c r="A63" s="21" t="s">
        <v>149</v>
      </c>
    </row>
    <row r="64" spans="1:1" x14ac:dyDescent="0.2">
      <c r="A64" s="21" t="s">
        <v>150</v>
      </c>
    </row>
    <row r="65" spans="1:1" x14ac:dyDescent="0.2">
      <c r="A65" s="21" t="s">
        <v>151</v>
      </c>
    </row>
    <row r="66" spans="1:1" x14ac:dyDescent="0.2">
      <c r="A66" s="21" t="s">
        <v>152</v>
      </c>
    </row>
    <row r="67" spans="1:1" x14ac:dyDescent="0.2">
      <c r="A67" s="21" t="s">
        <v>153</v>
      </c>
    </row>
    <row r="68" spans="1:1" x14ac:dyDescent="0.2">
      <c r="A68" s="21" t="s">
        <v>154</v>
      </c>
    </row>
    <row r="69" spans="1:1" x14ac:dyDescent="0.2">
      <c r="A69" s="21" t="s">
        <v>155</v>
      </c>
    </row>
    <row r="70" spans="1:1" x14ac:dyDescent="0.2">
      <c r="A70" s="21" t="s">
        <v>156</v>
      </c>
    </row>
    <row r="71" spans="1:1" x14ac:dyDescent="0.2">
      <c r="A71" s="21" t="s">
        <v>158</v>
      </c>
    </row>
    <row r="72" spans="1:1" x14ac:dyDescent="0.2">
      <c r="A72" s="21" t="s">
        <v>159</v>
      </c>
    </row>
    <row r="73" spans="1:1" x14ac:dyDescent="0.2">
      <c r="A73" s="21" t="s">
        <v>160</v>
      </c>
    </row>
    <row r="74" spans="1:1" x14ac:dyDescent="0.2">
      <c r="A74" s="21" t="s">
        <v>161</v>
      </c>
    </row>
    <row r="75" spans="1:1" x14ac:dyDescent="0.2">
      <c r="A75" s="21" t="s">
        <v>162</v>
      </c>
    </row>
    <row r="76" spans="1:1" x14ac:dyDescent="0.2">
      <c r="A76" s="21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BC37-8208-4E58-9175-B7E40428C49C}">
  <dimension ref="A1:Z1000"/>
  <sheetViews>
    <sheetView workbookViewId="0">
      <selection activeCell="C22" sqref="C22"/>
    </sheetView>
  </sheetViews>
  <sheetFormatPr baseColWidth="10" defaultColWidth="9" defaultRowHeight="15" x14ac:dyDescent="0.2"/>
  <cols>
    <col min="1" max="1" width="20.83203125" style="4" customWidth="1"/>
    <col min="2" max="16384" width="9" style="1"/>
  </cols>
  <sheetData>
    <row r="1" spans="1:26" s="4" customFormat="1" x14ac:dyDescent="0.2">
      <c r="A1" s="3" t="s">
        <v>266</v>
      </c>
      <c r="B1" s="3" t="s">
        <v>267</v>
      </c>
      <c r="C1" s="3" t="s">
        <v>200</v>
      </c>
      <c r="D1" s="3" t="s">
        <v>201</v>
      </c>
      <c r="E1" s="3" t="s">
        <v>268</v>
      </c>
      <c r="F1" s="3" t="s">
        <v>269</v>
      </c>
      <c r="G1" s="3" t="s">
        <v>270</v>
      </c>
      <c r="H1" s="3" t="s">
        <v>271</v>
      </c>
      <c r="I1" s="3" t="s">
        <v>272</v>
      </c>
      <c r="J1" s="3" t="s">
        <v>273</v>
      </c>
      <c r="K1" s="3" t="s">
        <v>274</v>
      </c>
      <c r="L1" s="3" t="s">
        <v>275</v>
      </c>
      <c r="M1" s="3" t="s">
        <v>276</v>
      </c>
      <c r="N1" s="3" t="s">
        <v>193</v>
      </c>
      <c r="O1" s="3" t="s">
        <v>202</v>
      </c>
      <c r="P1" s="3" t="s">
        <v>277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>
        <v>3525.65</v>
      </c>
      <c r="B2" s="2" t="s">
        <v>248</v>
      </c>
      <c r="C2" s="2">
        <v>3</v>
      </c>
      <c r="D2" s="2" t="s">
        <v>165</v>
      </c>
      <c r="E2" s="2">
        <v>-0.65</v>
      </c>
      <c r="F2" s="2">
        <v>0</v>
      </c>
      <c r="G2" s="2">
        <v>1.921197388</v>
      </c>
      <c r="H2" s="2">
        <v>-1.0056659809999999</v>
      </c>
      <c r="I2" s="2">
        <v>0.57502542899999998</v>
      </c>
      <c r="J2" s="2">
        <v>31.6</v>
      </c>
      <c r="K2" s="2"/>
      <c r="L2" s="2">
        <v>29.882888829999999</v>
      </c>
      <c r="M2" s="2">
        <v>1.0271040579999999</v>
      </c>
      <c r="N2" s="2">
        <v>2.7055003229999999</v>
      </c>
      <c r="O2" s="2" t="s">
        <v>205</v>
      </c>
      <c r="P2" s="2" t="s">
        <v>249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3">
        <v>3525.65</v>
      </c>
      <c r="B3" s="2" t="s">
        <v>250</v>
      </c>
      <c r="C3" s="2">
        <v>3</v>
      </c>
      <c r="D3" s="2" t="s">
        <v>165</v>
      </c>
      <c r="E3" s="2">
        <v>-0.65</v>
      </c>
      <c r="F3" s="2">
        <v>0</v>
      </c>
      <c r="G3" s="2">
        <v>1.9173876059999999</v>
      </c>
      <c r="H3" s="2">
        <v>-1.0785256969999999</v>
      </c>
      <c r="I3" s="2">
        <v>0.56504682900000003</v>
      </c>
      <c r="J3" s="2">
        <v>35.299999999999997</v>
      </c>
      <c r="K3" s="2"/>
      <c r="L3" s="2">
        <v>29.80777629</v>
      </c>
      <c r="M3" s="2">
        <v>1.026375391</v>
      </c>
      <c r="N3" s="2">
        <v>3.344181088</v>
      </c>
      <c r="O3" s="2" t="s">
        <v>205</v>
      </c>
      <c r="P3" s="2" t="s">
        <v>249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3525.65</v>
      </c>
      <c r="B4" s="2" t="s">
        <v>251</v>
      </c>
      <c r="C4" s="2">
        <v>3</v>
      </c>
      <c r="D4" s="2" t="s">
        <v>165</v>
      </c>
      <c r="E4" s="2">
        <v>-0.65</v>
      </c>
      <c r="F4" s="2">
        <v>0</v>
      </c>
      <c r="G4" s="2">
        <v>1.934031472</v>
      </c>
      <c r="H4" s="2">
        <v>-1.021572353</v>
      </c>
      <c r="I4" s="2">
        <v>0.606337723</v>
      </c>
      <c r="J4" s="2">
        <v>20.9</v>
      </c>
      <c r="K4" s="2"/>
      <c r="L4" s="2">
        <v>29.866490630000001</v>
      </c>
      <c r="M4" s="2">
        <v>1.029317646</v>
      </c>
      <c r="N4" s="2">
        <v>0.53321249599999998</v>
      </c>
      <c r="O4" s="2" t="s">
        <v>205</v>
      </c>
      <c r="P4" s="2" t="s">
        <v>249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3526.4</v>
      </c>
      <c r="B5" s="2" t="s">
        <v>248</v>
      </c>
      <c r="C5" s="2">
        <v>2</v>
      </c>
      <c r="D5" s="2" t="s">
        <v>165</v>
      </c>
      <c r="E5" s="2">
        <v>-1.4</v>
      </c>
      <c r="F5" s="2">
        <v>0</v>
      </c>
      <c r="G5" s="2">
        <v>2.2100091590000002</v>
      </c>
      <c r="H5" s="2">
        <v>-1.420317389</v>
      </c>
      <c r="I5" s="2">
        <v>0.56719366699999996</v>
      </c>
      <c r="J5" s="2">
        <v>34.5</v>
      </c>
      <c r="K5" s="2"/>
      <c r="L5" s="2">
        <v>29.455416400000001</v>
      </c>
      <c r="M5" s="2">
        <v>1.026531412</v>
      </c>
      <c r="N5" s="2">
        <v>2.848431304</v>
      </c>
      <c r="O5" s="2" t="s">
        <v>203</v>
      </c>
      <c r="P5" s="2" t="s">
        <v>249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3526.4</v>
      </c>
      <c r="B6" s="2" t="s">
        <v>251</v>
      </c>
      <c r="C6" s="2">
        <v>2</v>
      </c>
      <c r="D6" s="2" t="s">
        <v>165</v>
      </c>
      <c r="E6" s="2">
        <v>-1.4</v>
      </c>
      <c r="F6" s="2">
        <v>0</v>
      </c>
      <c r="G6" s="2">
        <v>2.2292876399999999</v>
      </c>
      <c r="H6" s="2">
        <v>-1.361511605</v>
      </c>
      <c r="I6" s="2">
        <v>0.59785045699999995</v>
      </c>
      <c r="J6" s="2">
        <v>23.7</v>
      </c>
      <c r="K6" s="2"/>
      <c r="L6" s="2">
        <v>29.516040459999999</v>
      </c>
      <c r="M6" s="2">
        <v>1.028722505</v>
      </c>
      <c r="N6" s="2">
        <v>0.77137920999999998</v>
      </c>
      <c r="O6" s="2" t="s">
        <v>203</v>
      </c>
      <c r="P6" s="2" t="s">
        <v>249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3526.4</v>
      </c>
      <c r="B7" s="2" t="s">
        <v>250</v>
      </c>
      <c r="C7" s="2">
        <v>2</v>
      </c>
      <c r="D7" s="2" t="s">
        <v>165</v>
      </c>
      <c r="E7" s="2">
        <v>-1.4</v>
      </c>
      <c r="F7" s="2">
        <v>0</v>
      </c>
      <c r="G7" s="2">
        <v>2.0397985420000002</v>
      </c>
      <c r="H7" s="2">
        <v>-1.651414417</v>
      </c>
      <c r="I7" s="2">
        <v>0.544401405</v>
      </c>
      <c r="J7" s="2">
        <v>43.3</v>
      </c>
      <c r="K7" s="2"/>
      <c r="L7" s="2">
        <v>29.217173849999998</v>
      </c>
      <c r="M7" s="2">
        <v>1.024859803</v>
      </c>
      <c r="N7" s="2">
        <v>4.251675155</v>
      </c>
      <c r="O7" s="2" t="s">
        <v>203</v>
      </c>
      <c r="P7" s="2" t="s">
        <v>249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3527.2</v>
      </c>
      <c r="B8" s="2" t="s">
        <v>248</v>
      </c>
      <c r="C8" s="2">
        <v>1</v>
      </c>
      <c r="D8" s="2" t="s">
        <v>165</v>
      </c>
      <c r="E8" s="2">
        <v>-2.2000000000000002</v>
      </c>
      <c r="F8" s="2">
        <v>0</v>
      </c>
      <c r="G8" s="2">
        <v>2.2025948479999999</v>
      </c>
      <c r="H8" s="2">
        <v>-3.288576865</v>
      </c>
      <c r="I8" s="2">
        <v>0.57350617500000001</v>
      </c>
      <c r="J8" s="2">
        <v>32.1</v>
      </c>
      <c r="K8" s="2"/>
      <c r="L8" s="2">
        <v>27.529390339999999</v>
      </c>
      <c r="M8" s="2">
        <v>1.0270045269999999</v>
      </c>
      <c r="N8" s="2">
        <v>0.51106219600000002</v>
      </c>
      <c r="O8" s="2" t="s">
        <v>203</v>
      </c>
      <c r="P8" s="2" t="s">
        <v>249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3527.2</v>
      </c>
      <c r="B9" s="2" t="s">
        <v>251</v>
      </c>
      <c r="C9" s="2">
        <v>1</v>
      </c>
      <c r="D9" s="2" t="s">
        <v>165</v>
      </c>
      <c r="E9" s="2">
        <v>-2.2000000000000002</v>
      </c>
      <c r="F9" s="2">
        <v>0</v>
      </c>
      <c r="G9" s="2">
        <v>2.019019203</v>
      </c>
      <c r="H9" s="2">
        <v>-3.211346942</v>
      </c>
      <c r="I9" s="2">
        <v>0.60843732800000006</v>
      </c>
      <c r="J9" s="2">
        <v>20.2</v>
      </c>
      <c r="K9" s="2"/>
      <c r="L9" s="2">
        <v>27.609008209999999</v>
      </c>
      <c r="M9" s="2">
        <v>1.02946826</v>
      </c>
      <c r="N9" s="2">
        <v>-1.806031589</v>
      </c>
      <c r="O9" s="2" t="s">
        <v>203</v>
      </c>
      <c r="P9" s="2" t="s">
        <v>249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3527.2</v>
      </c>
      <c r="B10" s="2" t="s">
        <v>250</v>
      </c>
      <c r="C10" s="2">
        <v>1</v>
      </c>
      <c r="D10" s="2" t="s">
        <v>165</v>
      </c>
      <c r="E10" s="2">
        <v>-2.2000000000000002</v>
      </c>
      <c r="F10" s="2">
        <v>0</v>
      </c>
      <c r="G10" s="2">
        <v>1.9584349679999999</v>
      </c>
      <c r="H10" s="2">
        <v>-3.3322939040000001</v>
      </c>
      <c r="I10" s="2">
        <v>0.59878864499999995</v>
      </c>
      <c r="J10" s="2">
        <v>23.3</v>
      </c>
      <c r="K10" s="2"/>
      <c r="L10" s="2">
        <v>27.484321569999999</v>
      </c>
      <c r="M10" s="2">
        <v>1.0288068159999999</v>
      </c>
      <c r="N10" s="2">
        <v>-1.2854644049999999</v>
      </c>
      <c r="O10" s="2" t="s">
        <v>203</v>
      </c>
      <c r="P10" s="2" t="s">
        <v>249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 t="s">
        <v>252</v>
      </c>
      <c r="B11" s="2" t="s">
        <v>253</v>
      </c>
      <c r="C11" s="2">
        <v>5</v>
      </c>
      <c r="D11" s="2" t="s">
        <v>165</v>
      </c>
      <c r="E11" s="2">
        <v>-2</v>
      </c>
      <c r="F11" s="2">
        <v>0</v>
      </c>
      <c r="G11" s="2">
        <v>1.718033366</v>
      </c>
      <c r="H11" s="2">
        <v>-2.9361779530000001</v>
      </c>
      <c r="I11" s="2">
        <v>0.60091859599999997</v>
      </c>
      <c r="J11" s="2">
        <v>22.6</v>
      </c>
      <c r="K11" s="2">
        <v>1.522191275</v>
      </c>
      <c r="L11" s="2">
        <v>27.892685419999999</v>
      </c>
      <c r="M11" s="2">
        <v>1.0289549259999999</v>
      </c>
      <c r="N11" s="2">
        <v>-1.0323485210000001</v>
      </c>
      <c r="O11" s="2" t="s">
        <v>204</v>
      </c>
      <c r="P11" s="2" t="s">
        <v>254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 t="s">
        <v>255</v>
      </c>
      <c r="B12" s="2" t="s">
        <v>253</v>
      </c>
      <c r="C12" s="2">
        <v>6</v>
      </c>
      <c r="D12" s="2" t="s">
        <v>165</v>
      </c>
      <c r="E12" s="2">
        <v>-0.7</v>
      </c>
      <c r="F12" s="2">
        <v>0</v>
      </c>
      <c r="G12" s="2">
        <v>0.61901292399999996</v>
      </c>
      <c r="H12" s="2">
        <v>-2.457380347</v>
      </c>
      <c r="I12" s="2">
        <v>0.62338196800000001</v>
      </c>
      <c r="J12" s="2">
        <v>15.5</v>
      </c>
      <c r="K12" s="2">
        <v>2.7978064159999998</v>
      </c>
      <c r="L12" s="2">
        <v>28.386287450000001</v>
      </c>
      <c r="M12" s="2">
        <v>1.0304990409999999</v>
      </c>
      <c r="N12" s="2">
        <v>-2.0502236749999998</v>
      </c>
      <c r="O12" s="2" t="s">
        <v>204</v>
      </c>
      <c r="P12" s="2" t="s">
        <v>254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 t="s">
        <v>256</v>
      </c>
      <c r="B13" s="2" t="s">
        <v>257</v>
      </c>
      <c r="C13" s="2">
        <v>7</v>
      </c>
      <c r="D13" s="2" t="s">
        <v>165</v>
      </c>
      <c r="E13" s="2">
        <v>-0.85</v>
      </c>
      <c r="F13" s="2">
        <v>0</v>
      </c>
      <c r="G13" s="2">
        <v>2.1545443049999999</v>
      </c>
      <c r="H13" s="2">
        <v>-0.93322899699999995</v>
      </c>
      <c r="I13" s="2">
        <v>0.60967909399999998</v>
      </c>
      <c r="J13" s="2">
        <v>19.8</v>
      </c>
      <c r="K13" s="2">
        <v>0.65118549100000001</v>
      </c>
      <c r="L13" s="2">
        <v>29.957565559999999</v>
      </c>
      <c r="M13" s="2">
        <v>1.029554659</v>
      </c>
      <c r="N13" s="2">
        <v>0.39134049780000002</v>
      </c>
      <c r="O13" s="2" t="s">
        <v>204</v>
      </c>
      <c r="P13" s="2" t="s">
        <v>254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 t="s">
        <v>258</v>
      </c>
      <c r="B14" s="2" t="s">
        <v>253</v>
      </c>
      <c r="C14" s="2">
        <v>8</v>
      </c>
      <c r="D14" s="2" t="s">
        <v>165</v>
      </c>
      <c r="E14" s="2">
        <v>-1.1000000000000001</v>
      </c>
      <c r="F14" s="2">
        <v>0</v>
      </c>
      <c r="G14" s="2">
        <v>2.5297442010000002</v>
      </c>
      <c r="H14" s="2">
        <v>-1.3269587</v>
      </c>
      <c r="I14" s="2">
        <v>0.63483832699999998</v>
      </c>
      <c r="J14" s="2">
        <v>12</v>
      </c>
      <c r="K14" s="2">
        <v>2.903264149</v>
      </c>
      <c r="L14" s="2">
        <v>29.55166174</v>
      </c>
      <c r="M14" s="2">
        <v>1.031289415</v>
      </c>
      <c r="N14" s="2">
        <v>-1.6850301379999999</v>
      </c>
      <c r="O14" s="2" t="s">
        <v>204</v>
      </c>
      <c r="P14" s="2" t="s">
        <v>254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 t="s">
        <v>259</v>
      </c>
      <c r="B15" s="2" t="s">
        <v>257</v>
      </c>
      <c r="C15" s="2">
        <v>9</v>
      </c>
      <c r="D15" s="2" t="s">
        <v>165</v>
      </c>
      <c r="E15" s="2">
        <v>-1.2</v>
      </c>
      <c r="F15" s="2">
        <v>0</v>
      </c>
      <c r="G15" s="2">
        <v>2.314181499</v>
      </c>
      <c r="H15" s="2">
        <v>-1.8292748969999999</v>
      </c>
      <c r="I15" s="2">
        <v>0.57301542000000005</v>
      </c>
      <c r="J15" s="2">
        <v>32.299999999999997</v>
      </c>
      <c r="K15" s="2">
        <v>0.21155374699999999</v>
      </c>
      <c r="L15" s="2">
        <v>29.03381392</v>
      </c>
      <c r="M15" s="2">
        <v>1.0269648090000001</v>
      </c>
      <c r="N15" s="2">
        <v>2.014679911</v>
      </c>
      <c r="O15" s="2" t="s">
        <v>204</v>
      </c>
      <c r="P15" s="2" t="s">
        <v>254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 t="s">
        <v>260</v>
      </c>
      <c r="B16" s="2" t="s">
        <v>257</v>
      </c>
      <c r="C16" s="2">
        <v>10</v>
      </c>
      <c r="D16" s="2" t="s">
        <v>165</v>
      </c>
      <c r="E16" s="2">
        <v>-3.9</v>
      </c>
      <c r="F16" s="2">
        <v>0</v>
      </c>
      <c r="G16" s="2">
        <v>1.4190585250000001</v>
      </c>
      <c r="H16" s="2">
        <v>-1.338810214</v>
      </c>
      <c r="I16" s="2">
        <v>0.55834214000000004</v>
      </c>
      <c r="J16" s="2">
        <v>37.799999999999997</v>
      </c>
      <c r="K16" s="2">
        <v>0.369449745</v>
      </c>
      <c r="L16" s="2">
        <v>29.539443769999998</v>
      </c>
      <c r="M16" s="2">
        <v>1.0258931499999999</v>
      </c>
      <c r="N16" s="2">
        <v>3.554263094</v>
      </c>
      <c r="O16" s="2" t="s">
        <v>203</v>
      </c>
      <c r="P16" s="2" t="s">
        <v>254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 t="s">
        <v>261</v>
      </c>
      <c r="B17" s="2" t="s">
        <v>253</v>
      </c>
      <c r="C17" s="2">
        <v>11</v>
      </c>
      <c r="D17" s="2" t="s">
        <v>165</v>
      </c>
      <c r="E17" s="2">
        <v>0.04</v>
      </c>
      <c r="F17" s="2">
        <v>0</v>
      </c>
      <c r="G17" s="2">
        <v>2.7333132149999999</v>
      </c>
      <c r="H17" s="2">
        <v>-1.4312679340000001</v>
      </c>
      <c r="I17" s="2">
        <v>0.623578835</v>
      </c>
      <c r="J17" s="2">
        <v>15.4</v>
      </c>
      <c r="K17" s="2">
        <v>8.3606908400000002</v>
      </c>
      <c r="L17" s="2">
        <v>29.444127259999998</v>
      </c>
      <c r="M17" s="2">
        <v>1.030521349</v>
      </c>
      <c r="N17" s="2">
        <v>-1.0453169680000001</v>
      </c>
      <c r="O17" s="2" t="s">
        <v>204</v>
      </c>
      <c r="P17" s="2" t="s">
        <v>254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 t="s">
        <v>262</v>
      </c>
      <c r="B18" s="2" t="s">
        <v>263</v>
      </c>
      <c r="C18" s="2">
        <v>4</v>
      </c>
      <c r="D18" s="2" t="s">
        <v>165</v>
      </c>
      <c r="E18" s="2" t="s">
        <v>198</v>
      </c>
      <c r="F18" s="2">
        <v>0</v>
      </c>
      <c r="G18" s="2">
        <v>2.693627711</v>
      </c>
      <c r="H18" s="2">
        <v>-1.0255067849999999</v>
      </c>
      <c r="I18" s="2">
        <v>0.58480944400000001</v>
      </c>
      <c r="J18" s="2">
        <v>28.1</v>
      </c>
      <c r="K18" s="2"/>
      <c r="L18" s="2">
        <v>29.86243455</v>
      </c>
      <c r="M18" s="2">
        <v>1.0278103059999999</v>
      </c>
      <c r="N18" s="2">
        <v>1.996602784</v>
      </c>
      <c r="O18" s="2" t="s">
        <v>203</v>
      </c>
      <c r="P18" s="2" t="s">
        <v>254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 t="s">
        <v>262</v>
      </c>
      <c r="B19" s="2" t="s">
        <v>264</v>
      </c>
      <c r="C19" s="2">
        <v>4</v>
      </c>
      <c r="D19" s="2" t="s">
        <v>165</v>
      </c>
      <c r="E19" s="2" t="s">
        <v>198</v>
      </c>
      <c r="F19" s="2">
        <v>0</v>
      </c>
      <c r="G19" s="2">
        <v>2.6606934770000001</v>
      </c>
      <c r="H19" s="2">
        <v>-1.0488148370000001</v>
      </c>
      <c r="I19" s="2">
        <v>0.59170932300000001</v>
      </c>
      <c r="J19" s="2">
        <v>25.7</v>
      </c>
      <c r="K19" s="2"/>
      <c r="L19" s="2">
        <v>29.838405810000001</v>
      </c>
      <c r="M19" s="2">
        <v>1.028304439</v>
      </c>
      <c r="N19" s="2">
        <v>1.491744046</v>
      </c>
      <c r="O19" s="2" t="s">
        <v>203</v>
      </c>
      <c r="P19" s="2" t="s">
        <v>254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 t="s">
        <v>262</v>
      </c>
      <c r="B20" s="2" t="s">
        <v>265</v>
      </c>
      <c r="C20" s="2">
        <v>4</v>
      </c>
      <c r="D20" s="2" t="s">
        <v>165</v>
      </c>
      <c r="E20" s="2" t="s">
        <v>198</v>
      </c>
      <c r="F20" s="2">
        <v>0</v>
      </c>
      <c r="G20" s="2">
        <v>2.7394765489999999</v>
      </c>
      <c r="H20" s="2">
        <v>-0.93125090799999999</v>
      </c>
      <c r="I20" s="2">
        <v>0.59876427399999999</v>
      </c>
      <c r="J20" s="2">
        <v>23.3</v>
      </c>
      <c r="K20" s="2"/>
      <c r="L20" s="2">
        <v>29.959604809999998</v>
      </c>
      <c r="M20" s="2">
        <v>1.0288068159999999</v>
      </c>
      <c r="N20" s="2">
        <v>1.1205103679999999</v>
      </c>
      <c r="O20" s="2" t="s">
        <v>203</v>
      </c>
      <c r="P20" s="2" t="s">
        <v>254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AF43-5581-45BE-8209-BC783B67EC44}">
  <dimension ref="A1:O77"/>
  <sheetViews>
    <sheetView workbookViewId="0">
      <selection activeCell="D1" sqref="D1:D1048576"/>
    </sheetView>
  </sheetViews>
  <sheetFormatPr baseColWidth="10" defaultColWidth="8.83203125" defaultRowHeight="15" x14ac:dyDescent="0.2"/>
  <sheetData>
    <row r="1" spans="1:15" x14ac:dyDescent="0.2">
      <c r="A1" t="s">
        <v>278</v>
      </c>
      <c r="B1" t="s">
        <v>200</v>
      </c>
      <c r="C1" t="s">
        <v>201</v>
      </c>
      <c r="D1" t="s">
        <v>279</v>
      </c>
      <c r="E1" t="s">
        <v>280</v>
      </c>
      <c r="F1" t="s">
        <v>269</v>
      </c>
      <c r="G1" t="s">
        <v>270</v>
      </c>
      <c r="H1" t="s">
        <v>271</v>
      </c>
      <c r="I1" t="s">
        <v>281</v>
      </c>
      <c r="J1" t="s">
        <v>273</v>
      </c>
      <c r="K1" t="s">
        <v>275</v>
      </c>
      <c r="L1" t="s">
        <v>276</v>
      </c>
      <c r="M1" t="s">
        <v>193</v>
      </c>
      <c r="N1" t="s">
        <v>202</v>
      </c>
      <c r="O1" t="s">
        <v>277</v>
      </c>
    </row>
    <row r="2" spans="1:15" x14ac:dyDescent="0.2">
      <c r="A2" t="s">
        <v>282</v>
      </c>
      <c r="B2">
        <v>1</v>
      </c>
      <c r="C2" t="s">
        <v>283</v>
      </c>
      <c r="D2">
        <v>-0.53</v>
      </c>
      <c r="E2">
        <v>0</v>
      </c>
      <c r="F2">
        <v>0</v>
      </c>
      <c r="G2">
        <v>0.56295099999999998</v>
      </c>
      <c r="H2">
        <v>-1.6090899999999999</v>
      </c>
      <c r="I2">
        <v>0.58375100000000002</v>
      </c>
      <c r="J2">
        <v>28.5</v>
      </c>
      <c r="K2">
        <v>29.260809999999999</v>
      </c>
      <c r="L2">
        <v>1.0277289999999999</v>
      </c>
      <c r="M2">
        <v>1.4907330000000001</v>
      </c>
      <c r="N2" t="s">
        <v>206</v>
      </c>
      <c r="O2" t="s">
        <v>254</v>
      </c>
    </row>
    <row r="3" spans="1:15" x14ac:dyDescent="0.2">
      <c r="A3" t="s">
        <v>284</v>
      </c>
      <c r="B3">
        <v>1</v>
      </c>
      <c r="C3" t="s">
        <v>283</v>
      </c>
      <c r="D3">
        <v>-0.53</v>
      </c>
      <c r="E3">
        <v>0</v>
      </c>
      <c r="F3">
        <v>0</v>
      </c>
      <c r="G3">
        <v>0.58167000000000002</v>
      </c>
      <c r="H3">
        <v>-1.56325</v>
      </c>
      <c r="I3">
        <v>0.60872999999999999</v>
      </c>
      <c r="J3">
        <v>20.100000000000001</v>
      </c>
      <c r="K3">
        <v>29.308070000000001</v>
      </c>
      <c r="L3">
        <v>1.02949</v>
      </c>
      <c r="M3">
        <v>-0.17655999999999999</v>
      </c>
      <c r="N3" t="s">
        <v>206</v>
      </c>
      <c r="O3" t="s">
        <v>254</v>
      </c>
    </row>
    <row r="4" spans="1:15" x14ac:dyDescent="0.2">
      <c r="A4" t="s">
        <v>285</v>
      </c>
      <c r="B4">
        <v>1</v>
      </c>
      <c r="C4" t="s">
        <v>283</v>
      </c>
      <c r="D4">
        <v>-0.53</v>
      </c>
      <c r="E4">
        <v>0</v>
      </c>
      <c r="F4">
        <v>0</v>
      </c>
      <c r="G4">
        <v>0.48179499999999997</v>
      </c>
      <c r="H4">
        <v>-1.6790499999999999</v>
      </c>
      <c r="I4">
        <v>0.597159</v>
      </c>
      <c r="J4">
        <v>23.9</v>
      </c>
      <c r="K4">
        <v>29.188690000000001</v>
      </c>
      <c r="L4">
        <v>1.02868</v>
      </c>
      <c r="M4">
        <v>0.49408000000000002</v>
      </c>
      <c r="N4" t="s">
        <v>206</v>
      </c>
      <c r="O4" t="s">
        <v>254</v>
      </c>
    </row>
    <row r="5" spans="1:15" x14ac:dyDescent="0.2">
      <c r="A5" t="s">
        <v>286</v>
      </c>
      <c r="B5">
        <v>2</v>
      </c>
      <c r="C5" t="s">
        <v>283</v>
      </c>
      <c r="D5">
        <v>-0.4</v>
      </c>
      <c r="E5">
        <v>0</v>
      </c>
      <c r="F5">
        <v>0</v>
      </c>
      <c r="G5">
        <v>1.3329709999999999</v>
      </c>
      <c r="H5">
        <v>-1.7784199999999999</v>
      </c>
      <c r="I5">
        <v>0.56955599999999995</v>
      </c>
      <c r="J5">
        <v>33.6</v>
      </c>
      <c r="K5">
        <v>29.08624</v>
      </c>
      <c r="L5">
        <v>1.026708</v>
      </c>
      <c r="M5">
        <v>2.3164340000000001</v>
      </c>
      <c r="N5" t="s">
        <v>206</v>
      </c>
      <c r="O5" t="s">
        <v>254</v>
      </c>
    </row>
    <row r="6" spans="1:15" x14ac:dyDescent="0.2">
      <c r="A6" t="s">
        <v>287</v>
      </c>
      <c r="B6">
        <v>2</v>
      </c>
      <c r="C6" t="s">
        <v>283</v>
      </c>
      <c r="D6">
        <v>-0.4</v>
      </c>
      <c r="E6">
        <v>0</v>
      </c>
      <c r="F6">
        <v>0</v>
      </c>
      <c r="G6">
        <v>1.4047240000000001</v>
      </c>
      <c r="H6">
        <v>-1.62547</v>
      </c>
      <c r="I6">
        <v>0.60356799999999999</v>
      </c>
      <c r="J6">
        <v>21.8</v>
      </c>
      <c r="K6">
        <v>29.243919999999999</v>
      </c>
      <c r="L6">
        <v>1.0291250000000001</v>
      </c>
      <c r="M6">
        <v>0.115478</v>
      </c>
      <c r="N6" t="s">
        <v>206</v>
      </c>
      <c r="O6" t="s">
        <v>254</v>
      </c>
    </row>
    <row r="7" spans="1:15" x14ac:dyDescent="0.2">
      <c r="A7" t="s">
        <v>288</v>
      </c>
      <c r="B7">
        <v>2</v>
      </c>
      <c r="C7" t="s">
        <v>283</v>
      </c>
      <c r="D7">
        <v>-0.4</v>
      </c>
      <c r="E7">
        <v>0</v>
      </c>
      <c r="F7">
        <v>0</v>
      </c>
      <c r="G7">
        <v>1.3883049999999999</v>
      </c>
      <c r="H7">
        <v>-1.84246</v>
      </c>
      <c r="I7">
        <v>0.60665800000000003</v>
      </c>
      <c r="J7">
        <v>20.8</v>
      </c>
      <c r="K7">
        <v>29.020219999999998</v>
      </c>
      <c r="L7">
        <v>1.029339</v>
      </c>
      <c r="M7">
        <v>-0.30980000000000002</v>
      </c>
      <c r="N7" t="s">
        <v>206</v>
      </c>
      <c r="O7" t="s">
        <v>254</v>
      </c>
    </row>
    <row r="8" spans="1:15" x14ac:dyDescent="0.2">
      <c r="A8" t="s">
        <v>289</v>
      </c>
      <c r="B8">
        <v>3</v>
      </c>
      <c r="C8" t="s">
        <v>283</v>
      </c>
      <c r="D8">
        <v>-0.37</v>
      </c>
      <c r="E8">
        <v>0</v>
      </c>
      <c r="F8">
        <v>0</v>
      </c>
      <c r="G8">
        <v>1.3438300000000001</v>
      </c>
      <c r="H8">
        <v>-1.68486</v>
      </c>
      <c r="I8">
        <v>0.61851599999999995</v>
      </c>
      <c r="J8">
        <v>17</v>
      </c>
      <c r="K8">
        <v>29.182700000000001</v>
      </c>
      <c r="L8">
        <v>1.0301659999999999</v>
      </c>
      <c r="M8">
        <v>-0.95482999999999996</v>
      </c>
      <c r="N8" t="s">
        <v>203</v>
      </c>
      <c r="O8" t="s">
        <v>254</v>
      </c>
    </row>
    <row r="9" spans="1:15" x14ac:dyDescent="0.2">
      <c r="A9" t="s">
        <v>290</v>
      </c>
      <c r="B9">
        <v>3</v>
      </c>
      <c r="C9" t="s">
        <v>283</v>
      </c>
      <c r="D9">
        <v>-0.37</v>
      </c>
      <c r="E9">
        <v>0</v>
      </c>
      <c r="F9">
        <v>0</v>
      </c>
      <c r="G9">
        <v>1.2630110000000001</v>
      </c>
      <c r="H9">
        <v>-1.91608</v>
      </c>
      <c r="I9">
        <v>0.588113</v>
      </c>
      <c r="J9">
        <v>27</v>
      </c>
      <c r="K9">
        <v>28.944330000000001</v>
      </c>
      <c r="L9">
        <v>1.0280359999999999</v>
      </c>
      <c r="M9">
        <v>0.88377799999999995</v>
      </c>
      <c r="N9" t="s">
        <v>203</v>
      </c>
      <c r="O9" t="s">
        <v>254</v>
      </c>
    </row>
    <row r="10" spans="1:15" x14ac:dyDescent="0.2">
      <c r="A10" t="s">
        <v>291</v>
      </c>
      <c r="B10">
        <v>3</v>
      </c>
      <c r="C10" t="s">
        <v>283</v>
      </c>
      <c r="D10">
        <v>-0.37</v>
      </c>
      <c r="E10">
        <v>0</v>
      </c>
      <c r="F10">
        <v>0</v>
      </c>
      <c r="G10">
        <v>1.3168120000000001</v>
      </c>
      <c r="H10">
        <v>-2.00223</v>
      </c>
      <c r="I10">
        <v>0.59731900000000004</v>
      </c>
      <c r="J10">
        <v>23.8</v>
      </c>
      <c r="K10">
        <v>28.855509999999999</v>
      </c>
      <c r="L10">
        <v>1.0287010000000001</v>
      </c>
      <c r="M10">
        <v>0.149752</v>
      </c>
      <c r="N10" t="s">
        <v>203</v>
      </c>
      <c r="O10" t="s">
        <v>254</v>
      </c>
    </row>
    <row r="11" spans="1:15" x14ac:dyDescent="0.2">
      <c r="A11" t="s">
        <v>292</v>
      </c>
      <c r="B11">
        <v>4</v>
      </c>
      <c r="C11" t="s">
        <v>283</v>
      </c>
      <c r="D11">
        <v>-0.35</v>
      </c>
      <c r="E11">
        <v>0</v>
      </c>
      <c r="F11">
        <v>0</v>
      </c>
      <c r="G11">
        <v>0.38212099999999999</v>
      </c>
      <c r="H11">
        <v>-2.2808299999999999</v>
      </c>
      <c r="I11">
        <v>0.61440700000000004</v>
      </c>
      <c r="J11">
        <v>18.3</v>
      </c>
      <c r="K11">
        <v>28.568300000000001</v>
      </c>
      <c r="L11">
        <v>1.029881</v>
      </c>
      <c r="M11">
        <v>-1.2744500000000001</v>
      </c>
      <c r="N11" t="s">
        <v>203</v>
      </c>
      <c r="O11" t="s">
        <v>254</v>
      </c>
    </row>
    <row r="12" spans="1:15" x14ac:dyDescent="0.2">
      <c r="A12" t="s">
        <v>293</v>
      </c>
      <c r="B12">
        <v>4</v>
      </c>
      <c r="C12" t="s">
        <v>283</v>
      </c>
      <c r="D12">
        <v>-0.35</v>
      </c>
      <c r="E12">
        <v>0</v>
      </c>
      <c r="F12">
        <v>0</v>
      </c>
      <c r="G12">
        <v>0.38980599999999999</v>
      </c>
      <c r="H12">
        <v>-2.3751699999999998</v>
      </c>
      <c r="I12">
        <v>0.59230499999999997</v>
      </c>
      <c r="J12">
        <v>25.5</v>
      </c>
      <c r="K12">
        <v>28.471039999999999</v>
      </c>
      <c r="L12">
        <v>1.028346</v>
      </c>
      <c r="M12">
        <v>0.12160899999999999</v>
      </c>
      <c r="N12" t="s">
        <v>203</v>
      </c>
      <c r="O12" t="s">
        <v>254</v>
      </c>
    </row>
    <row r="13" spans="1:15" x14ac:dyDescent="0.2">
      <c r="A13" t="s">
        <v>294</v>
      </c>
      <c r="B13">
        <v>4</v>
      </c>
      <c r="C13" t="s">
        <v>283</v>
      </c>
      <c r="D13">
        <v>-0.35</v>
      </c>
      <c r="E13">
        <v>0</v>
      </c>
      <c r="F13">
        <v>0</v>
      </c>
      <c r="G13">
        <v>0.40406900000000001</v>
      </c>
      <c r="H13">
        <v>-2.44563</v>
      </c>
      <c r="I13">
        <v>0.61890199999999995</v>
      </c>
      <c r="J13">
        <v>16.899999999999999</v>
      </c>
      <c r="K13">
        <v>28.398399999999999</v>
      </c>
      <c r="L13">
        <v>1.0301880000000001</v>
      </c>
      <c r="M13">
        <v>-1.7375400000000001</v>
      </c>
      <c r="N13" t="s">
        <v>203</v>
      </c>
      <c r="O13" t="s">
        <v>254</v>
      </c>
    </row>
    <row r="14" spans="1:15" x14ac:dyDescent="0.2">
      <c r="A14" t="s">
        <v>295</v>
      </c>
      <c r="B14">
        <v>5</v>
      </c>
      <c r="C14" t="s">
        <v>283</v>
      </c>
      <c r="D14">
        <v>-0.24</v>
      </c>
      <c r="E14">
        <v>0</v>
      </c>
      <c r="F14">
        <v>0</v>
      </c>
      <c r="G14">
        <v>0.84839699999999996</v>
      </c>
      <c r="H14">
        <v>-1.5240400000000001</v>
      </c>
      <c r="I14">
        <v>0.59316400000000002</v>
      </c>
      <c r="J14">
        <v>25.2</v>
      </c>
      <c r="K14">
        <v>29.348490000000002</v>
      </c>
      <c r="L14">
        <v>1.028408</v>
      </c>
      <c r="M14">
        <v>0.914107</v>
      </c>
      <c r="N14" t="s">
        <v>203</v>
      </c>
      <c r="O14" t="s">
        <v>254</v>
      </c>
    </row>
    <row r="15" spans="1:15" x14ac:dyDescent="0.2">
      <c r="A15" t="s">
        <v>296</v>
      </c>
      <c r="B15">
        <v>5</v>
      </c>
      <c r="C15" t="s">
        <v>283</v>
      </c>
      <c r="D15">
        <v>-0.24</v>
      </c>
      <c r="E15">
        <v>0</v>
      </c>
      <c r="F15">
        <v>0</v>
      </c>
      <c r="G15">
        <v>0.81961200000000001</v>
      </c>
      <c r="H15">
        <v>-1.3183400000000001</v>
      </c>
      <c r="I15">
        <v>0.60599999999999998</v>
      </c>
      <c r="J15">
        <v>21</v>
      </c>
      <c r="K15">
        <v>29.560549999999999</v>
      </c>
      <c r="L15">
        <v>1.029296</v>
      </c>
      <c r="M15">
        <v>0.25683299999999998</v>
      </c>
      <c r="N15" t="s">
        <v>203</v>
      </c>
      <c r="O15" t="s">
        <v>254</v>
      </c>
    </row>
    <row r="16" spans="1:15" x14ac:dyDescent="0.2">
      <c r="A16" t="s">
        <v>297</v>
      </c>
      <c r="B16">
        <v>5</v>
      </c>
      <c r="C16" t="s">
        <v>283</v>
      </c>
      <c r="D16">
        <v>-0.24</v>
      </c>
      <c r="E16">
        <v>0</v>
      </c>
      <c r="F16">
        <v>0</v>
      </c>
      <c r="G16">
        <v>0.80261199999999999</v>
      </c>
      <c r="H16">
        <v>-1.583</v>
      </c>
      <c r="I16">
        <v>0.60847099999999998</v>
      </c>
      <c r="J16">
        <v>20.2</v>
      </c>
      <c r="K16">
        <v>29.287700000000001</v>
      </c>
      <c r="L16">
        <v>1.029468</v>
      </c>
      <c r="M16">
        <v>-0.17538999999999999</v>
      </c>
      <c r="N16" t="s">
        <v>203</v>
      </c>
      <c r="O16" t="s">
        <v>254</v>
      </c>
    </row>
    <row r="17" spans="1:15" x14ac:dyDescent="0.2">
      <c r="A17" t="s">
        <v>298</v>
      </c>
      <c r="B17">
        <v>6</v>
      </c>
      <c r="C17" t="s">
        <v>283</v>
      </c>
      <c r="D17">
        <v>-0.22</v>
      </c>
      <c r="E17">
        <v>0</v>
      </c>
      <c r="F17">
        <v>0</v>
      </c>
      <c r="G17">
        <v>2.1935020000000001</v>
      </c>
      <c r="H17">
        <v>-1.2232499999999999</v>
      </c>
      <c r="I17">
        <v>0.59055899999999995</v>
      </c>
      <c r="J17">
        <v>26.1</v>
      </c>
      <c r="K17">
        <v>29.658580000000001</v>
      </c>
      <c r="L17">
        <v>1.028222</v>
      </c>
      <c r="M17">
        <v>1.3976170000000001</v>
      </c>
      <c r="N17" t="s">
        <v>203</v>
      </c>
      <c r="O17" t="s">
        <v>254</v>
      </c>
    </row>
    <row r="18" spans="1:15" x14ac:dyDescent="0.2">
      <c r="A18" t="s">
        <v>298</v>
      </c>
      <c r="B18">
        <v>6</v>
      </c>
      <c r="C18" t="s">
        <v>283</v>
      </c>
      <c r="D18">
        <v>-0.22</v>
      </c>
      <c r="E18">
        <v>0</v>
      </c>
      <c r="F18">
        <v>0</v>
      </c>
      <c r="G18">
        <v>2.184863</v>
      </c>
      <c r="H18">
        <v>-1.3023100000000001</v>
      </c>
      <c r="I18">
        <v>0.59445400000000004</v>
      </c>
      <c r="J18">
        <v>24.8</v>
      </c>
      <c r="K18">
        <v>29.577069999999999</v>
      </c>
      <c r="L18">
        <v>1.028492</v>
      </c>
      <c r="M18">
        <v>1.0551550000000001</v>
      </c>
      <c r="N18" t="s">
        <v>203</v>
      </c>
      <c r="O18" t="s">
        <v>254</v>
      </c>
    </row>
    <row r="19" spans="1:15" x14ac:dyDescent="0.2">
      <c r="A19" t="s">
        <v>298</v>
      </c>
      <c r="B19">
        <v>6</v>
      </c>
      <c r="C19" t="s">
        <v>283</v>
      </c>
      <c r="D19">
        <v>-0.22</v>
      </c>
      <c r="E19">
        <v>0</v>
      </c>
      <c r="F19">
        <v>0</v>
      </c>
      <c r="G19">
        <v>2.1564160000000001</v>
      </c>
      <c r="H19">
        <v>-1.42591</v>
      </c>
      <c r="I19">
        <v>0.59321699999999999</v>
      </c>
      <c r="J19">
        <v>25.2</v>
      </c>
      <c r="K19">
        <v>29.449649999999998</v>
      </c>
      <c r="L19">
        <v>1.028408</v>
      </c>
      <c r="M19">
        <v>1.012475</v>
      </c>
      <c r="N19" t="s">
        <v>203</v>
      </c>
      <c r="O19" t="s">
        <v>254</v>
      </c>
    </row>
    <row r="20" spans="1:15" x14ac:dyDescent="0.2">
      <c r="A20" t="s">
        <v>299</v>
      </c>
      <c r="B20">
        <v>7</v>
      </c>
      <c r="C20" t="s">
        <v>283</v>
      </c>
      <c r="D20">
        <v>-0.2</v>
      </c>
      <c r="E20">
        <v>0</v>
      </c>
      <c r="F20">
        <v>0</v>
      </c>
      <c r="G20">
        <v>2.3872529999999998</v>
      </c>
      <c r="H20">
        <v>-1.23414</v>
      </c>
      <c r="I20">
        <v>0.60600299999999996</v>
      </c>
      <c r="J20">
        <v>21</v>
      </c>
      <c r="K20">
        <v>29.647349999999999</v>
      </c>
      <c r="L20">
        <v>1.029296</v>
      </c>
      <c r="M20">
        <v>0.34116999999999997</v>
      </c>
      <c r="N20" t="s">
        <v>206</v>
      </c>
      <c r="O20" t="s">
        <v>254</v>
      </c>
    </row>
    <row r="21" spans="1:15" x14ac:dyDescent="0.2">
      <c r="A21" t="s">
        <v>299</v>
      </c>
      <c r="B21">
        <v>7</v>
      </c>
      <c r="C21" t="s">
        <v>283</v>
      </c>
      <c r="D21">
        <v>-0.2</v>
      </c>
      <c r="E21">
        <v>0</v>
      </c>
      <c r="F21">
        <v>0</v>
      </c>
      <c r="G21">
        <v>2.3369279999999999</v>
      </c>
      <c r="H21">
        <v>-1.31393</v>
      </c>
      <c r="I21">
        <v>0.59670699999999999</v>
      </c>
      <c r="J21">
        <v>24</v>
      </c>
      <c r="K21">
        <v>29.565090000000001</v>
      </c>
      <c r="L21">
        <v>1.028659</v>
      </c>
      <c r="M21">
        <v>0.88043099999999996</v>
      </c>
      <c r="N21" t="s">
        <v>206</v>
      </c>
      <c r="O21" t="s">
        <v>254</v>
      </c>
    </row>
    <row r="22" spans="1:15" x14ac:dyDescent="0.2">
      <c r="A22" t="s">
        <v>299</v>
      </c>
      <c r="B22">
        <v>7</v>
      </c>
      <c r="C22" t="s">
        <v>283</v>
      </c>
      <c r="D22">
        <v>-0.2</v>
      </c>
      <c r="E22">
        <v>0</v>
      </c>
      <c r="F22">
        <v>0</v>
      </c>
      <c r="G22">
        <v>2.353443</v>
      </c>
      <c r="H22">
        <v>-1.37965</v>
      </c>
      <c r="I22">
        <v>0.60972999999999999</v>
      </c>
      <c r="J22">
        <v>19.8</v>
      </c>
      <c r="K22">
        <v>29.497340000000001</v>
      </c>
      <c r="L22">
        <v>1.029555</v>
      </c>
      <c r="M22">
        <v>-5.5669999999999997E-2</v>
      </c>
      <c r="N22" t="s">
        <v>206</v>
      </c>
      <c r="O22" t="s">
        <v>254</v>
      </c>
    </row>
    <row r="23" spans="1:15" x14ac:dyDescent="0.2">
      <c r="A23" t="s">
        <v>300</v>
      </c>
      <c r="B23">
        <v>8</v>
      </c>
      <c r="C23" t="s">
        <v>283</v>
      </c>
      <c r="D23">
        <v>-0.15</v>
      </c>
      <c r="E23">
        <v>0</v>
      </c>
      <c r="F23">
        <v>0</v>
      </c>
      <c r="G23">
        <v>1.512394</v>
      </c>
      <c r="H23">
        <v>-1.78084</v>
      </c>
      <c r="I23">
        <v>0.62819800000000003</v>
      </c>
      <c r="J23">
        <v>14</v>
      </c>
      <c r="K23">
        <v>29.083739999999999</v>
      </c>
      <c r="L23">
        <v>1.0308349999999999</v>
      </c>
      <c r="M23">
        <v>-1.6992</v>
      </c>
      <c r="N23" t="s">
        <v>211</v>
      </c>
      <c r="O23" t="s">
        <v>249</v>
      </c>
    </row>
    <row r="24" spans="1:15" x14ac:dyDescent="0.2">
      <c r="A24" t="s">
        <v>300</v>
      </c>
      <c r="B24">
        <v>8</v>
      </c>
      <c r="C24" t="s">
        <v>283</v>
      </c>
      <c r="D24">
        <v>-0.15</v>
      </c>
      <c r="E24">
        <v>0</v>
      </c>
      <c r="F24">
        <v>0</v>
      </c>
      <c r="G24">
        <v>1.5584199999999999</v>
      </c>
      <c r="H24">
        <v>-1.6305000000000001</v>
      </c>
      <c r="I24">
        <v>0.58723599999999998</v>
      </c>
      <c r="J24">
        <v>27.3</v>
      </c>
      <c r="K24">
        <v>29.23874</v>
      </c>
      <c r="L24">
        <v>1.0279739999999999</v>
      </c>
      <c r="M24">
        <v>1.23021</v>
      </c>
      <c r="N24" t="s">
        <v>211</v>
      </c>
      <c r="O24" t="s">
        <v>249</v>
      </c>
    </row>
    <row r="25" spans="1:15" x14ac:dyDescent="0.2">
      <c r="A25" t="s">
        <v>300</v>
      </c>
      <c r="B25">
        <v>8</v>
      </c>
      <c r="C25" t="s">
        <v>283</v>
      </c>
      <c r="D25">
        <v>-0.15</v>
      </c>
      <c r="E25">
        <v>0</v>
      </c>
      <c r="F25">
        <v>0</v>
      </c>
      <c r="G25">
        <v>1.5463290000000001</v>
      </c>
      <c r="H25">
        <v>-1.7480800000000001</v>
      </c>
      <c r="I25">
        <v>0.60487500000000005</v>
      </c>
      <c r="J25">
        <v>21.3</v>
      </c>
      <c r="K25">
        <v>29.117519999999999</v>
      </c>
      <c r="L25">
        <v>1.0292319999999999</v>
      </c>
      <c r="M25">
        <v>-0.11115</v>
      </c>
      <c r="N25" t="s">
        <v>211</v>
      </c>
      <c r="O25" t="s">
        <v>249</v>
      </c>
    </row>
    <row r="26" spans="1:15" x14ac:dyDescent="0.2">
      <c r="A26" t="s">
        <v>301</v>
      </c>
      <c r="B26">
        <v>9</v>
      </c>
      <c r="C26" t="s">
        <v>283</v>
      </c>
      <c r="D26">
        <v>-0.06</v>
      </c>
      <c r="E26">
        <v>0</v>
      </c>
      <c r="F26">
        <v>0</v>
      </c>
      <c r="G26">
        <v>2.2592720000000002</v>
      </c>
      <c r="H26">
        <v>-1.52308</v>
      </c>
      <c r="I26">
        <v>0.59740300000000002</v>
      </c>
      <c r="J26">
        <v>23.8</v>
      </c>
      <c r="K26">
        <v>29.34948</v>
      </c>
      <c r="L26">
        <v>1.0287010000000001</v>
      </c>
      <c r="M26">
        <v>0.62993299999999997</v>
      </c>
      <c r="N26" t="s">
        <v>203</v>
      </c>
      <c r="O26" t="s">
        <v>254</v>
      </c>
    </row>
    <row r="27" spans="1:15" x14ac:dyDescent="0.2">
      <c r="A27" t="s">
        <v>301</v>
      </c>
      <c r="B27">
        <v>9</v>
      </c>
      <c r="C27" t="s">
        <v>283</v>
      </c>
      <c r="D27">
        <v>-0.06</v>
      </c>
      <c r="E27">
        <v>0</v>
      </c>
      <c r="F27">
        <v>0</v>
      </c>
      <c r="G27">
        <v>2.1956980000000001</v>
      </c>
      <c r="H27">
        <v>-1.5618099999999999</v>
      </c>
      <c r="I27">
        <v>0.583708</v>
      </c>
      <c r="J27">
        <v>28.5</v>
      </c>
      <c r="K27">
        <v>29.309550000000002</v>
      </c>
      <c r="L27">
        <v>1.0277289999999999</v>
      </c>
      <c r="M27">
        <v>1.5381579999999999</v>
      </c>
      <c r="N27" t="s">
        <v>203</v>
      </c>
      <c r="O27" t="s">
        <v>254</v>
      </c>
    </row>
    <row r="28" spans="1:15" x14ac:dyDescent="0.2">
      <c r="A28" t="s">
        <v>301</v>
      </c>
      <c r="B28">
        <v>9</v>
      </c>
      <c r="C28" t="s">
        <v>283</v>
      </c>
      <c r="D28">
        <v>-0.06</v>
      </c>
      <c r="E28">
        <v>0</v>
      </c>
      <c r="F28">
        <v>0</v>
      </c>
      <c r="G28">
        <v>2.1838190000000002</v>
      </c>
      <c r="H28">
        <v>-1.6752199999999999</v>
      </c>
      <c r="I28">
        <v>0.60153999999999996</v>
      </c>
      <c r="J28">
        <v>22.4</v>
      </c>
      <c r="K28">
        <v>29.192640000000001</v>
      </c>
      <c r="L28">
        <v>1.0289969999999999</v>
      </c>
      <c r="M28">
        <v>0.18975800000000001</v>
      </c>
      <c r="N28" t="s">
        <v>203</v>
      </c>
      <c r="O28" t="s">
        <v>254</v>
      </c>
    </row>
    <row r="29" spans="1:15" x14ac:dyDescent="0.2">
      <c r="A29" t="s">
        <v>302</v>
      </c>
      <c r="B29">
        <v>10</v>
      </c>
      <c r="C29" t="s">
        <v>283</v>
      </c>
      <c r="D29">
        <v>0</v>
      </c>
      <c r="E29">
        <v>0</v>
      </c>
      <c r="F29">
        <v>0</v>
      </c>
      <c r="G29">
        <v>2.9624320000000002</v>
      </c>
      <c r="H29">
        <v>-0.64337</v>
      </c>
      <c r="I29">
        <v>0.60855000000000004</v>
      </c>
      <c r="J29">
        <v>20.100000000000001</v>
      </c>
      <c r="K29">
        <v>30.25639</v>
      </c>
      <c r="L29">
        <v>1.02949</v>
      </c>
      <c r="M29">
        <v>0.74459699999999995</v>
      </c>
      <c r="N29" t="s">
        <v>203</v>
      </c>
      <c r="O29" t="s">
        <v>254</v>
      </c>
    </row>
    <row r="30" spans="1:15" x14ac:dyDescent="0.2">
      <c r="A30" t="s">
        <v>302</v>
      </c>
      <c r="B30">
        <v>10</v>
      </c>
      <c r="C30" t="s">
        <v>283</v>
      </c>
      <c r="D30">
        <v>0</v>
      </c>
      <c r="E30">
        <v>0</v>
      </c>
      <c r="F30">
        <v>0</v>
      </c>
      <c r="G30">
        <v>2.9257390000000001</v>
      </c>
      <c r="H30">
        <v>-0.79335</v>
      </c>
      <c r="I30">
        <v>0.58403499999999997</v>
      </c>
      <c r="J30">
        <v>28.4</v>
      </c>
      <c r="K30">
        <v>30.101769999999998</v>
      </c>
      <c r="L30">
        <v>1.027749</v>
      </c>
      <c r="M30">
        <v>2.2891370000000002</v>
      </c>
      <c r="N30" t="s">
        <v>203</v>
      </c>
      <c r="O30" t="s">
        <v>254</v>
      </c>
    </row>
    <row r="31" spans="1:15" x14ac:dyDescent="0.2">
      <c r="A31" t="s">
        <v>302</v>
      </c>
      <c r="B31">
        <v>10</v>
      </c>
      <c r="C31" t="s">
        <v>283</v>
      </c>
      <c r="D31">
        <v>0</v>
      </c>
      <c r="E31">
        <v>0</v>
      </c>
      <c r="F31">
        <v>0</v>
      </c>
      <c r="G31">
        <v>2.9048759999999998</v>
      </c>
      <c r="H31">
        <v>-0.70540999999999998</v>
      </c>
      <c r="I31">
        <v>0.59635099999999996</v>
      </c>
      <c r="J31">
        <v>24.2</v>
      </c>
      <c r="K31">
        <v>30.192430000000002</v>
      </c>
      <c r="L31">
        <v>1.0286169999999999</v>
      </c>
      <c r="M31">
        <v>1.531166</v>
      </c>
      <c r="N31" t="s">
        <v>203</v>
      </c>
      <c r="O31" t="s">
        <v>254</v>
      </c>
    </row>
    <row r="32" spans="1:15" x14ac:dyDescent="0.2">
      <c r="A32" t="s">
        <v>303</v>
      </c>
      <c r="B32">
        <v>11</v>
      </c>
      <c r="C32" t="s">
        <v>283</v>
      </c>
      <c r="D32">
        <v>-0.25</v>
      </c>
      <c r="E32">
        <v>0.05</v>
      </c>
      <c r="F32">
        <v>0</v>
      </c>
      <c r="G32">
        <v>0.73364200000000002</v>
      </c>
      <c r="H32">
        <v>-1.89507</v>
      </c>
      <c r="I32">
        <v>0.59557599999999999</v>
      </c>
      <c r="J32">
        <v>24.4</v>
      </c>
      <c r="K32">
        <v>28.965979999999998</v>
      </c>
      <c r="L32">
        <v>1.0285759999999999</v>
      </c>
      <c r="M32">
        <v>0.37960899999999997</v>
      </c>
      <c r="N32" t="s">
        <v>206</v>
      </c>
      <c r="O32" t="s">
        <v>254</v>
      </c>
    </row>
    <row r="33" spans="1:15" x14ac:dyDescent="0.2">
      <c r="A33" t="s">
        <v>303</v>
      </c>
      <c r="B33">
        <v>11</v>
      </c>
      <c r="C33" t="s">
        <v>283</v>
      </c>
      <c r="D33">
        <v>-0.25</v>
      </c>
      <c r="E33">
        <v>0.05</v>
      </c>
      <c r="F33">
        <v>0</v>
      </c>
      <c r="G33">
        <v>0.73329900000000003</v>
      </c>
      <c r="H33">
        <v>-1.9878</v>
      </c>
      <c r="I33">
        <v>0.58693799999999996</v>
      </c>
      <c r="J33">
        <v>27.4</v>
      </c>
      <c r="K33">
        <v>28.87039</v>
      </c>
      <c r="L33">
        <v>1.027954</v>
      </c>
      <c r="M33">
        <v>0.89186799999999999</v>
      </c>
      <c r="N33" t="s">
        <v>206</v>
      </c>
      <c r="O33" t="s">
        <v>254</v>
      </c>
    </row>
    <row r="34" spans="1:15" x14ac:dyDescent="0.2">
      <c r="A34" t="s">
        <v>303</v>
      </c>
      <c r="B34">
        <v>11</v>
      </c>
      <c r="C34" t="s">
        <v>283</v>
      </c>
      <c r="D34">
        <v>-0.25</v>
      </c>
      <c r="E34">
        <v>0.05</v>
      </c>
      <c r="F34">
        <v>0</v>
      </c>
      <c r="G34">
        <v>0.71595799999999998</v>
      </c>
      <c r="H34">
        <v>-1.9512100000000001</v>
      </c>
      <c r="I34">
        <v>0.58850100000000005</v>
      </c>
      <c r="J34">
        <v>26.8</v>
      </c>
      <c r="K34">
        <v>28.908100000000001</v>
      </c>
      <c r="L34">
        <v>1.0280769999999999</v>
      </c>
      <c r="M34">
        <v>0.80845500000000003</v>
      </c>
      <c r="N34" t="s">
        <v>206</v>
      </c>
      <c r="O34" t="s">
        <v>254</v>
      </c>
    </row>
    <row r="35" spans="1:15" x14ac:dyDescent="0.2">
      <c r="A35" t="s">
        <v>304</v>
      </c>
      <c r="B35">
        <v>12</v>
      </c>
      <c r="C35" t="s">
        <v>283</v>
      </c>
      <c r="D35">
        <v>-0.25</v>
      </c>
      <c r="E35">
        <v>0.05</v>
      </c>
      <c r="F35">
        <v>0</v>
      </c>
      <c r="G35">
        <v>1.831906</v>
      </c>
      <c r="H35">
        <v>-2.0879300000000001</v>
      </c>
      <c r="I35">
        <v>0.58748699999999998</v>
      </c>
      <c r="J35">
        <v>27.2</v>
      </c>
      <c r="K35">
        <v>28.767160000000001</v>
      </c>
      <c r="L35">
        <v>1.027995</v>
      </c>
      <c r="M35">
        <v>0.751467</v>
      </c>
      <c r="N35" t="s">
        <v>206</v>
      </c>
      <c r="O35" t="s">
        <v>254</v>
      </c>
    </row>
    <row r="36" spans="1:15" x14ac:dyDescent="0.2">
      <c r="A36" t="s">
        <v>304</v>
      </c>
      <c r="B36">
        <v>12</v>
      </c>
      <c r="C36" t="s">
        <v>283</v>
      </c>
      <c r="D36">
        <v>-0.25</v>
      </c>
      <c r="E36">
        <v>0.05</v>
      </c>
      <c r="F36">
        <v>0</v>
      </c>
      <c r="G36">
        <v>1.858849</v>
      </c>
      <c r="H36">
        <v>-2.0761500000000002</v>
      </c>
      <c r="I36">
        <v>0.60724900000000004</v>
      </c>
      <c r="J36">
        <v>20.6</v>
      </c>
      <c r="K36">
        <v>28.779299999999999</v>
      </c>
      <c r="L36">
        <v>1.029382</v>
      </c>
      <c r="M36">
        <v>-0.58560000000000001</v>
      </c>
      <c r="N36" t="s">
        <v>206</v>
      </c>
      <c r="O36" t="s">
        <v>254</v>
      </c>
    </row>
    <row r="37" spans="1:15" x14ac:dyDescent="0.2">
      <c r="A37" t="s">
        <v>304</v>
      </c>
      <c r="B37">
        <v>12</v>
      </c>
      <c r="C37" t="s">
        <v>283</v>
      </c>
      <c r="D37">
        <v>-0.25</v>
      </c>
      <c r="E37">
        <v>0.05</v>
      </c>
      <c r="F37">
        <v>0</v>
      </c>
      <c r="G37">
        <v>1.859451</v>
      </c>
      <c r="H37">
        <v>-1.9851700000000001</v>
      </c>
      <c r="I37">
        <v>0.60004400000000002</v>
      </c>
      <c r="J37">
        <v>22.9</v>
      </c>
      <c r="K37">
        <v>28.873100000000001</v>
      </c>
      <c r="L37">
        <v>1.028891</v>
      </c>
      <c r="M37">
        <v>-1.7749999999999998E-2</v>
      </c>
      <c r="N37" t="s">
        <v>206</v>
      </c>
      <c r="O37" t="s">
        <v>254</v>
      </c>
    </row>
    <row r="38" spans="1:15" x14ac:dyDescent="0.2">
      <c r="A38" t="s">
        <v>305</v>
      </c>
      <c r="B38">
        <v>13</v>
      </c>
      <c r="C38" t="s">
        <v>283</v>
      </c>
      <c r="D38">
        <v>-1</v>
      </c>
      <c r="E38">
        <v>0</v>
      </c>
      <c r="F38">
        <v>0</v>
      </c>
      <c r="G38">
        <v>1.623607</v>
      </c>
      <c r="H38">
        <v>-3.0698699999999999</v>
      </c>
      <c r="I38">
        <v>0.62737600000000004</v>
      </c>
      <c r="J38">
        <v>14.2</v>
      </c>
      <c r="K38">
        <v>27.754860000000001</v>
      </c>
      <c r="L38">
        <v>1.0307900000000001</v>
      </c>
      <c r="M38">
        <v>-2.94476</v>
      </c>
      <c r="N38" t="s">
        <v>206</v>
      </c>
      <c r="O38" t="s">
        <v>254</v>
      </c>
    </row>
    <row r="39" spans="1:15" x14ac:dyDescent="0.2">
      <c r="A39" t="s">
        <v>305</v>
      </c>
      <c r="B39">
        <v>13</v>
      </c>
      <c r="C39" t="s">
        <v>283</v>
      </c>
      <c r="D39">
        <v>-1</v>
      </c>
      <c r="E39">
        <v>0</v>
      </c>
      <c r="F39">
        <v>0</v>
      </c>
      <c r="G39">
        <v>1.6239790000000001</v>
      </c>
      <c r="H39">
        <v>-3.0987800000000001</v>
      </c>
      <c r="I39">
        <v>0.59254700000000005</v>
      </c>
      <c r="J39">
        <v>25.4</v>
      </c>
      <c r="K39">
        <v>27.72505</v>
      </c>
      <c r="L39">
        <v>1.028367</v>
      </c>
      <c r="M39">
        <v>-0.62402999999999997</v>
      </c>
      <c r="N39" t="s">
        <v>206</v>
      </c>
      <c r="O39" t="s">
        <v>254</v>
      </c>
    </row>
    <row r="40" spans="1:15" x14ac:dyDescent="0.2">
      <c r="A40" t="s">
        <v>305</v>
      </c>
      <c r="B40">
        <v>13</v>
      </c>
      <c r="C40" t="s">
        <v>283</v>
      </c>
      <c r="D40">
        <v>-1</v>
      </c>
      <c r="E40">
        <v>0</v>
      </c>
      <c r="F40">
        <v>0</v>
      </c>
      <c r="G40">
        <v>1.608716</v>
      </c>
      <c r="H40">
        <v>-2.9853700000000001</v>
      </c>
      <c r="I40">
        <v>0.58308000000000004</v>
      </c>
      <c r="J40">
        <v>28.7</v>
      </c>
      <c r="K40">
        <v>27.84197</v>
      </c>
      <c r="L40">
        <v>1.0276879999999999</v>
      </c>
      <c r="M40">
        <v>0.149788</v>
      </c>
      <c r="N40" t="s">
        <v>206</v>
      </c>
      <c r="O40" t="s">
        <v>254</v>
      </c>
    </row>
    <row r="41" spans="1:15" x14ac:dyDescent="0.2">
      <c r="A41" t="s">
        <v>306</v>
      </c>
      <c r="B41">
        <v>14</v>
      </c>
      <c r="C41" t="s">
        <v>283</v>
      </c>
      <c r="D41">
        <v>-1</v>
      </c>
      <c r="E41">
        <v>0</v>
      </c>
      <c r="F41">
        <v>0</v>
      </c>
      <c r="G41">
        <v>1.9681360000000001</v>
      </c>
      <c r="H41">
        <v>-1.7302299999999999</v>
      </c>
      <c r="I41">
        <v>0.58819600000000005</v>
      </c>
      <c r="J41">
        <v>26.9</v>
      </c>
      <c r="K41">
        <v>29.135919999999999</v>
      </c>
      <c r="L41">
        <v>1.0280560000000001</v>
      </c>
      <c r="M41">
        <v>1.0501039999999999</v>
      </c>
      <c r="N41" t="s">
        <v>206</v>
      </c>
      <c r="O41" t="s">
        <v>254</v>
      </c>
    </row>
    <row r="42" spans="1:15" x14ac:dyDescent="0.2">
      <c r="A42" t="s">
        <v>306</v>
      </c>
      <c r="B42">
        <v>14</v>
      </c>
      <c r="C42" t="s">
        <v>283</v>
      </c>
      <c r="D42">
        <v>-1</v>
      </c>
      <c r="E42">
        <v>0</v>
      </c>
      <c r="F42">
        <v>0</v>
      </c>
      <c r="G42">
        <v>1.9500029999999999</v>
      </c>
      <c r="H42">
        <v>-1.85588</v>
      </c>
      <c r="I42">
        <v>0.59689099999999995</v>
      </c>
      <c r="J42">
        <v>24</v>
      </c>
      <c r="K42">
        <v>29.00639</v>
      </c>
      <c r="L42">
        <v>1.028659</v>
      </c>
      <c r="M42">
        <v>0.33729900000000002</v>
      </c>
      <c r="N42" t="s">
        <v>206</v>
      </c>
      <c r="O42" t="s">
        <v>254</v>
      </c>
    </row>
    <row r="43" spans="1:15" x14ac:dyDescent="0.2">
      <c r="A43" t="s">
        <v>306</v>
      </c>
      <c r="B43">
        <v>14</v>
      </c>
      <c r="C43" t="s">
        <v>283</v>
      </c>
      <c r="D43">
        <v>-1</v>
      </c>
      <c r="E43">
        <v>0</v>
      </c>
      <c r="F43">
        <v>0</v>
      </c>
      <c r="G43">
        <v>1.9499919999999999</v>
      </c>
      <c r="H43">
        <v>-1.8944399999999999</v>
      </c>
      <c r="I43">
        <v>0.58289899999999994</v>
      </c>
      <c r="J43">
        <v>28.8</v>
      </c>
      <c r="K43">
        <v>28.966640000000002</v>
      </c>
      <c r="L43">
        <v>1.027668</v>
      </c>
      <c r="M43">
        <v>1.26396</v>
      </c>
      <c r="N43" t="s">
        <v>206</v>
      </c>
      <c r="O43" t="s">
        <v>254</v>
      </c>
    </row>
    <row r="44" spans="1:15" x14ac:dyDescent="0.2">
      <c r="A44" t="s">
        <v>307</v>
      </c>
      <c r="B44">
        <v>15</v>
      </c>
      <c r="C44" t="s">
        <v>283</v>
      </c>
      <c r="D44">
        <v>-0.7</v>
      </c>
      <c r="E44">
        <v>0</v>
      </c>
      <c r="F44">
        <v>0</v>
      </c>
      <c r="G44">
        <v>0.80849300000000002</v>
      </c>
      <c r="H44">
        <v>-3.3168700000000002</v>
      </c>
      <c r="I44">
        <v>0.58091599999999999</v>
      </c>
      <c r="J44">
        <v>29.5</v>
      </c>
      <c r="K44">
        <v>27.500229999999998</v>
      </c>
      <c r="L44">
        <v>1.0275259999999999</v>
      </c>
      <c r="M44">
        <v>-2.4879999999999999E-2</v>
      </c>
      <c r="N44" t="s">
        <v>206</v>
      </c>
      <c r="O44" t="s">
        <v>254</v>
      </c>
    </row>
    <row r="45" spans="1:15" x14ac:dyDescent="0.2">
      <c r="A45" t="s">
        <v>307</v>
      </c>
      <c r="B45">
        <v>15</v>
      </c>
      <c r="C45" t="s">
        <v>283</v>
      </c>
      <c r="D45">
        <v>-0.7</v>
      </c>
      <c r="E45">
        <v>0</v>
      </c>
      <c r="F45">
        <v>0</v>
      </c>
      <c r="G45">
        <v>0.92306200000000005</v>
      </c>
      <c r="H45">
        <v>-3.0696500000000002</v>
      </c>
      <c r="I45">
        <v>0.58681700000000003</v>
      </c>
      <c r="J45">
        <v>27.4</v>
      </c>
      <c r="K45">
        <v>27.755089999999999</v>
      </c>
      <c r="L45">
        <v>1.027954</v>
      </c>
      <c r="M45">
        <v>-0.19309999999999999</v>
      </c>
      <c r="N45" t="s">
        <v>206</v>
      </c>
      <c r="O45" t="s">
        <v>254</v>
      </c>
    </row>
    <row r="46" spans="1:15" x14ac:dyDescent="0.2">
      <c r="A46" t="s">
        <v>308</v>
      </c>
      <c r="B46">
        <v>16</v>
      </c>
      <c r="C46" t="s">
        <v>283</v>
      </c>
      <c r="D46">
        <v>-0.7</v>
      </c>
      <c r="E46">
        <v>0</v>
      </c>
      <c r="F46">
        <v>0</v>
      </c>
      <c r="G46">
        <v>1.8091120000000001</v>
      </c>
      <c r="H46">
        <v>-1.18099</v>
      </c>
      <c r="I46">
        <v>0.58904199999999995</v>
      </c>
      <c r="J46">
        <v>26.6</v>
      </c>
      <c r="K46">
        <v>29.70214</v>
      </c>
      <c r="L46">
        <v>1.0281180000000001</v>
      </c>
      <c r="M46">
        <v>1.5406409999999999</v>
      </c>
      <c r="N46" t="s">
        <v>203</v>
      </c>
      <c r="O46" t="s">
        <v>254</v>
      </c>
    </row>
    <row r="47" spans="1:15" x14ac:dyDescent="0.2">
      <c r="A47" t="s">
        <v>308</v>
      </c>
      <c r="B47">
        <v>16</v>
      </c>
      <c r="C47" t="s">
        <v>283</v>
      </c>
      <c r="D47">
        <v>-0.7</v>
      </c>
      <c r="E47">
        <v>0</v>
      </c>
      <c r="F47">
        <v>0</v>
      </c>
      <c r="G47">
        <v>1.8885449999999999</v>
      </c>
      <c r="H47">
        <v>-1.2825500000000001</v>
      </c>
      <c r="I47">
        <v>0.57603000000000004</v>
      </c>
      <c r="J47">
        <v>31.2</v>
      </c>
      <c r="K47">
        <v>29.597439999999999</v>
      </c>
      <c r="L47">
        <v>1.0271840000000001</v>
      </c>
      <c r="M47">
        <v>2.3496450000000002</v>
      </c>
      <c r="N47" t="s">
        <v>203</v>
      </c>
      <c r="O47" t="s">
        <v>254</v>
      </c>
    </row>
    <row r="48" spans="1:15" x14ac:dyDescent="0.2">
      <c r="A48" t="s">
        <v>308</v>
      </c>
      <c r="B48">
        <v>16</v>
      </c>
      <c r="C48" t="s">
        <v>283</v>
      </c>
      <c r="D48">
        <v>-0.7</v>
      </c>
      <c r="E48">
        <v>0</v>
      </c>
      <c r="F48">
        <v>0</v>
      </c>
      <c r="G48">
        <v>1.7970489999999999</v>
      </c>
      <c r="H48">
        <v>-1.24166</v>
      </c>
      <c r="I48">
        <v>0.60969600000000002</v>
      </c>
      <c r="J48">
        <v>19.8</v>
      </c>
      <c r="K48">
        <v>29.639589999999998</v>
      </c>
      <c r="L48">
        <v>1.029555</v>
      </c>
      <c r="M48">
        <v>8.2497000000000001E-2</v>
      </c>
      <c r="N48" t="s">
        <v>203</v>
      </c>
      <c r="O48" t="s">
        <v>254</v>
      </c>
    </row>
    <row r="49" spans="1:15" x14ac:dyDescent="0.2">
      <c r="A49" t="s">
        <v>309</v>
      </c>
      <c r="B49">
        <v>17</v>
      </c>
      <c r="C49" t="s">
        <v>283</v>
      </c>
      <c r="D49">
        <v>-0.5</v>
      </c>
      <c r="E49">
        <v>0</v>
      </c>
      <c r="F49">
        <v>0</v>
      </c>
      <c r="G49">
        <v>0.61624400000000001</v>
      </c>
      <c r="H49">
        <v>-1.88896</v>
      </c>
      <c r="I49">
        <v>0.60961900000000002</v>
      </c>
      <c r="J49">
        <v>19.8</v>
      </c>
      <c r="K49">
        <v>28.972280000000001</v>
      </c>
      <c r="L49">
        <v>1.029555</v>
      </c>
      <c r="M49">
        <v>-0.56566000000000005</v>
      </c>
      <c r="N49" t="s">
        <v>206</v>
      </c>
      <c r="O49" t="s">
        <v>254</v>
      </c>
    </row>
    <row r="50" spans="1:15" x14ac:dyDescent="0.2">
      <c r="A50" t="s">
        <v>309</v>
      </c>
      <c r="B50">
        <v>17</v>
      </c>
      <c r="C50" t="s">
        <v>283</v>
      </c>
      <c r="D50">
        <v>-0.5</v>
      </c>
      <c r="E50">
        <v>0</v>
      </c>
      <c r="F50">
        <v>0</v>
      </c>
      <c r="G50">
        <v>0.66389200000000004</v>
      </c>
      <c r="H50">
        <v>-1.8443000000000001</v>
      </c>
      <c r="I50">
        <v>0.57944600000000002</v>
      </c>
      <c r="J50">
        <v>30</v>
      </c>
      <c r="K50">
        <v>29.018329999999999</v>
      </c>
      <c r="L50">
        <v>1.027425</v>
      </c>
      <c r="M50">
        <v>1.550961</v>
      </c>
      <c r="N50" t="s">
        <v>206</v>
      </c>
      <c r="O50" t="s">
        <v>254</v>
      </c>
    </row>
    <row r="51" spans="1:15" x14ac:dyDescent="0.2">
      <c r="A51" t="s">
        <v>309</v>
      </c>
      <c r="B51">
        <v>17</v>
      </c>
      <c r="C51" t="s">
        <v>283</v>
      </c>
      <c r="D51">
        <v>-0.5</v>
      </c>
      <c r="E51">
        <v>0</v>
      </c>
      <c r="F51">
        <v>0</v>
      </c>
      <c r="G51">
        <v>0.66044499999999995</v>
      </c>
      <c r="H51">
        <v>-1.78264</v>
      </c>
      <c r="I51">
        <v>0.59183399999999997</v>
      </c>
      <c r="J51">
        <v>25.7</v>
      </c>
      <c r="K51">
        <v>29.081890000000001</v>
      </c>
      <c r="L51">
        <v>1.0283040000000001</v>
      </c>
      <c r="M51">
        <v>0.75605299999999998</v>
      </c>
      <c r="N51" t="s">
        <v>206</v>
      </c>
      <c r="O51" t="s">
        <v>254</v>
      </c>
    </row>
    <row r="52" spans="1:15" x14ac:dyDescent="0.2">
      <c r="A52" t="s">
        <v>310</v>
      </c>
      <c r="B52">
        <v>18</v>
      </c>
      <c r="C52" t="s">
        <v>283</v>
      </c>
      <c r="D52">
        <v>-0.5</v>
      </c>
      <c r="E52">
        <v>0</v>
      </c>
      <c r="F52">
        <v>0</v>
      </c>
      <c r="G52">
        <v>1.2366569999999999</v>
      </c>
      <c r="H52">
        <v>-1.4431499999999999</v>
      </c>
      <c r="I52">
        <v>0.60128599999999999</v>
      </c>
      <c r="J52">
        <v>22.5</v>
      </c>
      <c r="K52">
        <v>29.43188</v>
      </c>
      <c r="L52">
        <v>1.0289759999999999</v>
      </c>
      <c r="M52">
        <v>0.44290600000000002</v>
      </c>
      <c r="N52" t="s">
        <v>206</v>
      </c>
      <c r="O52" t="s">
        <v>254</v>
      </c>
    </row>
    <row r="53" spans="1:15" x14ac:dyDescent="0.2">
      <c r="A53" t="s">
        <v>310</v>
      </c>
      <c r="B53">
        <v>18</v>
      </c>
      <c r="C53" t="s">
        <v>283</v>
      </c>
      <c r="D53">
        <v>-0.5</v>
      </c>
      <c r="E53">
        <v>0</v>
      </c>
      <c r="F53">
        <v>0</v>
      </c>
      <c r="G53">
        <v>1.2376050000000001</v>
      </c>
      <c r="H53">
        <v>-1.4734799999999999</v>
      </c>
      <c r="I53">
        <v>0.62773900000000005</v>
      </c>
      <c r="J53">
        <v>14.1</v>
      </c>
      <c r="K53">
        <v>29.40061</v>
      </c>
      <c r="L53">
        <v>1.030813</v>
      </c>
      <c r="M53">
        <v>-1.36998</v>
      </c>
      <c r="N53" t="s">
        <v>206</v>
      </c>
      <c r="O53" t="s">
        <v>254</v>
      </c>
    </row>
    <row r="54" spans="1:15" x14ac:dyDescent="0.2">
      <c r="A54" t="s">
        <v>310</v>
      </c>
      <c r="B54">
        <v>18</v>
      </c>
      <c r="C54" t="s">
        <v>283</v>
      </c>
      <c r="D54">
        <v>-0.5</v>
      </c>
      <c r="E54">
        <v>0</v>
      </c>
      <c r="F54">
        <v>0</v>
      </c>
      <c r="G54">
        <v>1.22374</v>
      </c>
      <c r="H54">
        <v>-1.4979899999999999</v>
      </c>
      <c r="I54">
        <v>0.62327999999999995</v>
      </c>
      <c r="J54">
        <v>15.5</v>
      </c>
      <c r="K54">
        <v>29.375340000000001</v>
      </c>
      <c r="L54">
        <v>1.0304990000000001</v>
      </c>
      <c r="M54">
        <v>-1.0904400000000001</v>
      </c>
      <c r="N54" t="s">
        <v>206</v>
      </c>
      <c r="O54" t="s">
        <v>254</v>
      </c>
    </row>
    <row r="55" spans="1:15" x14ac:dyDescent="0.2">
      <c r="A55" t="s">
        <v>48</v>
      </c>
      <c r="B55">
        <v>19</v>
      </c>
      <c r="C55" t="s">
        <v>283</v>
      </c>
      <c r="D55" t="s">
        <v>198</v>
      </c>
      <c r="E55" t="s">
        <v>198</v>
      </c>
      <c r="F55">
        <v>0</v>
      </c>
      <c r="G55">
        <v>0.56624600000000003</v>
      </c>
      <c r="H55">
        <v>-3.04657</v>
      </c>
      <c r="I55">
        <v>0.61645300000000003</v>
      </c>
      <c r="J55">
        <v>17.600000000000001</v>
      </c>
      <c r="K55">
        <v>27.778880000000001</v>
      </c>
      <c r="L55">
        <v>1.0300339999999999</v>
      </c>
      <c r="M55">
        <v>-2.1895899999999999</v>
      </c>
      <c r="N55" t="s">
        <v>203</v>
      </c>
      <c r="O55" t="s">
        <v>254</v>
      </c>
    </row>
    <row r="56" spans="1:15" x14ac:dyDescent="0.2">
      <c r="A56" t="s">
        <v>48</v>
      </c>
      <c r="B56">
        <v>19</v>
      </c>
      <c r="C56" t="s">
        <v>283</v>
      </c>
      <c r="D56" t="s">
        <v>198</v>
      </c>
      <c r="E56" t="s">
        <v>198</v>
      </c>
      <c r="F56">
        <v>0</v>
      </c>
      <c r="G56">
        <v>0.50712400000000002</v>
      </c>
      <c r="H56">
        <v>-3.0785</v>
      </c>
      <c r="I56">
        <v>0.59547399999999995</v>
      </c>
      <c r="J56">
        <v>24.5</v>
      </c>
      <c r="K56">
        <v>27.74596</v>
      </c>
      <c r="L56">
        <v>1.0285550000000001</v>
      </c>
      <c r="M56">
        <v>-0.78617000000000004</v>
      </c>
      <c r="N56" t="s">
        <v>203</v>
      </c>
      <c r="O56" t="s">
        <v>254</v>
      </c>
    </row>
    <row r="57" spans="1:15" x14ac:dyDescent="0.2">
      <c r="A57" t="s">
        <v>311</v>
      </c>
      <c r="B57">
        <v>20</v>
      </c>
      <c r="C57" t="s">
        <v>283</v>
      </c>
      <c r="D57">
        <v>0.85</v>
      </c>
      <c r="E57">
        <v>0.05</v>
      </c>
      <c r="F57">
        <v>0</v>
      </c>
      <c r="G57">
        <v>2.8271060000000001</v>
      </c>
      <c r="H57">
        <v>-0.61867000000000005</v>
      </c>
      <c r="I57">
        <v>0.61258599999999996</v>
      </c>
      <c r="J57">
        <v>18.8</v>
      </c>
      <c r="K57">
        <v>30.281849999999999</v>
      </c>
      <c r="L57">
        <v>1.0297719999999999</v>
      </c>
      <c r="M57">
        <v>0.49537399999999998</v>
      </c>
      <c r="N57" t="s">
        <v>203</v>
      </c>
      <c r="O57" t="s">
        <v>254</v>
      </c>
    </row>
    <row r="58" spans="1:15" x14ac:dyDescent="0.2">
      <c r="A58" t="s">
        <v>311</v>
      </c>
      <c r="B58">
        <v>20</v>
      </c>
      <c r="C58" t="s">
        <v>283</v>
      </c>
      <c r="D58">
        <v>0.85</v>
      </c>
      <c r="E58">
        <v>0.05</v>
      </c>
      <c r="F58">
        <v>0</v>
      </c>
      <c r="G58">
        <v>2.9732449999999999</v>
      </c>
      <c r="H58">
        <v>-0.57384999999999997</v>
      </c>
      <c r="I58">
        <v>0.60397500000000004</v>
      </c>
      <c r="J58">
        <v>21.6</v>
      </c>
      <c r="K58">
        <v>30.328050000000001</v>
      </c>
      <c r="L58">
        <v>1.0291680000000001</v>
      </c>
      <c r="M58">
        <v>1.1274029999999999</v>
      </c>
      <c r="N58" t="s">
        <v>203</v>
      </c>
      <c r="O58" t="s">
        <v>254</v>
      </c>
    </row>
    <row r="59" spans="1:15" x14ac:dyDescent="0.2">
      <c r="A59" t="s">
        <v>311</v>
      </c>
      <c r="B59">
        <v>20</v>
      </c>
      <c r="C59" t="s">
        <v>283</v>
      </c>
      <c r="D59">
        <v>0.85</v>
      </c>
      <c r="E59">
        <v>0.05</v>
      </c>
      <c r="F59">
        <v>0</v>
      </c>
      <c r="G59">
        <v>2.8015889999999999</v>
      </c>
      <c r="H59">
        <v>-0.38583000000000001</v>
      </c>
      <c r="I59">
        <v>0.61425300000000005</v>
      </c>
      <c r="J59">
        <v>18.3</v>
      </c>
      <c r="K59">
        <v>30.521889999999999</v>
      </c>
      <c r="L59">
        <v>1.029881</v>
      </c>
      <c r="M59">
        <v>0.62245799999999996</v>
      </c>
      <c r="N59" t="s">
        <v>203</v>
      </c>
      <c r="O59" t="s">
        <v>254</v>
      </c>
    </row>
    <row r="60" spans="1:15" x14ac:dyDescent="0.2">
      <c r="A60" t="s">
        <v>312</v>
      </c>
      <c r="B60">
        <v>21</v>
      </c>
      <c r="C60" t="s">
        <v>283</v>
      </c>
      <c r="D60">
        <v>0.85</v>
      </c>
      <c r="E60">
        <v>0.05</v>
      </c>
      <c r="F60">
        <v>0</v>
      </c>
      <c r="G60">
        <v>2.1080649999999999</v>
      </c>
      <c r="H60">
        <v>-0.77795000000000003</v>
      </c>
      <c r="I60">
        <v>0.59187299999999998</v>
      </c>
      <c r="J60">
        <v>25.7</v>
      </c>
      <c r="K60">
        <v>30.117650000000001</v>
      </c>
      <c r="L60">
        <v>1.0283040000000001</v>
      </c>
      <c r="M60">
        <v>1.7632989999999999</v>
      </c>
      <c r="N60" t="s">
        <v>203</v>
      </c>
      <c r="O60" t="s">
        <v>254</v>
      </c>
    </row>
    <row r="61" spans="1:15" x14ac:dyDescent="0.2">
      <c r="A61" t="s">
        <v>312</v>
      </c>
      <c r="B61">
        <v>21</v>
      </c>
      <c r="C61" t="s">
        <v>283</v>
      </c>
      <c r="D61">
        <v>0.85</v>
      </c>
      <c r="E61">
        <v>0.05</v>
      </c>
      <c r="F61">
        <v>0</v>
      </c>
      <c r="G61">
        <v>2.2030609999999999</v>
      </c>
      <c r="H61">
        <v>-0.64970000000000006</v>
      </c>
      <c r="I61">
        <v>0.60963800000000001</v>
      </c>
      <c r="J61">
        <v>19.8</v>
      </c>
      <c r="K61">
        <v>30.249860000000002</v>
      </c>
      <c r="L61">
        <v>1.029555</v>
      </c>
      <c r="M61">
        <v>0.67524799999999996</v>
      </c>
      <c r="N61" t="s">
        <v>203</v>
      </c>
      <c r="O61" t="s">
        <v>254</v>
      </c>
    </row>
    <row r="62" spans="1:15" x14ac:dyDescent="0.2">
      <c r="A62" t="s">
        <v>312</v>
      </c>
      <c r="B62">
        <v>21</v>
      </c>
      <c r="C62" t="s">
        <v>283</v>
      </c>
      <c r="D62">
        <v>0.85</v>
      </c>
      <c r="E62">
        <v>0.05</v>
      </c>
      <c r="F62">
        <v>0</v>
      </c>
      <c r="G62">
        <v>2.1308820000000002</v>
      </c>
      <c r="H62">
        <v>-0.87070999999999998</v>
      </c>
      <c r="I62">
        <v>0.60428000000000004</v>
      </c>
      <c r="J62">
        <v>21.5</v>
      </c>
      <c r="K62">
        <v>30.022010000000002</v>
      </c>
      <c r="L62">
        <v>1.0291889999999999</v>
      </c>
      <c r="M62">
        <v>0.809257</v>
      </c>
      <c r="N62" t="s">
        <v>203</v>
      </c>
      <c r="O62" t="s">
        <v>254</v>
      </c>
    </row>
    <row r="63" spans="1:15" x14ac:dyDescent="0.2">
      <c r="A63" t="s">
        <v>313</v>
      </c>
      <c r="B63">
        <v>22</v>
      </c>
      <c r="C63" t="s">
        <v>283</v>
      </c>
      <c r="D63">
        <v>0.15</v>
      </c>
      <c r="E63">
        <v>0.05</v>
      </c>
      <c r="F63">
        <v>0</v>
      </c>
      <c r="G63">
        <v>1.2166269999999999</v>
      </c>
      <c r="H63">
        <v>-1.0654600000000001</v>
      </c>
      <c r="I63">
        <v>0.59245199999999998</v>
      </c>
      <c r="J63">
        <v>25.5</v>
      </c>
      <c r="K63">
        <v>29.821249999999999</v>
      </c>
      <c r="L63">
        <v>1.028346</v>
      </c>
      <c r="M63">
        <v>1.434598</v>
      </c>
      <c r="N63" t="s">
        <v>206</v>
      </c>
      <c r="O63" t="s">
        <v>254</v>
      </c>
    </row>
    <row r="64" spans="1:15" x14ac:dyDescent="0.2">
      <c r="A64" t="s">
        <v>313</v>
      </c>
      <c r="B64">
        <v>22</v>
      </c>
      <c r="C64" t="s">
        <v>283</v>
      </c>
      <c r="D64">
        <v>0.15</v>
      </c>
      <c r="E64">
        <v>0.05</v>
      </c>
      <c r="F64">
        <v>0</v>
      </c>
      <c r="G64">
        <v>1.278821</v>
      </c>
      <c r="H64">
        <v>-1.0044</v>
      </c>
      <c r="I64">
        <v>0.60434200000000005</v>
      </c>
      <c r="J64">
        <v>21.5</v>
      </c>
      <c r="K64">
        <v>29.8842</v>
      </c>
      <c r="L64">
        <v>1.0291889999999999</v>
      </c>
      <c r="M64">
        <v>0.67535199999999995</v>
      </c>
      <c r="N64" t="s">
        <v>206</v>
      </c>
      <c r="O64" t="s">
        <v>254</v>
      </c>
    </row>
    <row r="65" spans="1:15" x14ac:dyDescent="0.2">
      <c r="A65" t="s">
        <v>313</v>
      </c>
      <c r="B65">
        <v>22</v>
      </c>
      <c r="C65" t="s">
        <v>283</v>
      </c>
      <c r="D65">
        <v>0.15</v>
      </c>
      <c r="E65">
        <v>0.05</v>
      </c>
      <c r="F65">
        <v>0</v>
      </c>
      <c r="G65">
        <v>1.21913</v>
      </c>
      <c r="H65">
        <v>-1.1870700000000001</v>
      </c>
      <c r="I65">
        <v>0.58421500000000004</v>
      </c>
      <c r="J65">
        <v>28.3</v>
      </c>
      <c r="K65">
        <v>29.695879999999999</v>
      </c>
      <c r="L65">
        <v>1.0277689999999999</v>
      </c>
      <c r="M65">
        <v>1.8743369999999999</v>
      </c>
      <c r="N65" t="s">
        <v>206</v>
      </c>
      <c r="O65" t="s">
        <v>254</v>
      </c>
    </row>
    <row r="66" spans="1:15" x14ac:dyDescent="0.2">
      <c r="A66" t="s">
        <v>314</v>
      </c>
      <c r="B66">
        <v>23</v>
      </c>
      <c r="C66" t="s">
        <v>283</v>
      </c>
      <c r="D66">
        <v>0.15</v>
      </c>
      <c r="E66">
        <v>0.05</v>
      </c>
      <c r="F66">
        <v>0</v>
      </c>
      <c r="G66">
        <v>3.056775</v>
      </c>
      <c r="H66">
        <v>-1.744</v>
      </c>
      <c r="I66">
        <v>0.59359799999999996</v>
      </c>
      <c r="J66">
        <v>25.1</v>
      </c>
      <c r="K66">
        <v>29.12172</v>
      </c>
      <c r="L66">
        <v>1.028429</v>
      </c>
      <c r="M66">
        <v>0.67332999999999998</v>
      </c>
      <c r="N66" t="s">
        <v>203</v>
      </c>
      <c r="O66" t="s">
        <v>254</v>
      </c>
    </row>
    <row r="67" spans="1:15" x14ac:dyDescent="0.2">
      <c r="A67" t="s">
        <v>314</v>
      </c>
      <c r="B67">
        <v>23</v>
      </c>
      <c r="C67" t="s">
        <v>283</v>
      </c>
      <c r="D67">
        <v>0.15</v>
      </c>
      <c r="E67">
        <v>0.05</v>
      </c>
      <c r="F67">
        <v>0</v>
      </c>
      <c r="G67">
        <v>3.0230030000000001</v>
      </c>
      <c r="H67">
        <v>-1.69495</v>
      </c>
      <c r="I67">
        <v>0.60476300000000005</v>
      </c>
      <c r="J67">
        <v>21.4</v>
      </c>
      <c r="K67">
        <v>29.1723</v>
      </c>
      <c r="L67">
        <v>1.0292110000000001</v>
      </c>
      <c r="M67">
        <v>-3.7130000000000003E-2</v>
      </c>
      <c r="N67" t="s">
        <v>203</v>
      </c>
      <c r="O67" t="s">
        <v>254</v>
      </c>
    </row>
    <row r="68" spans="1:15" x14ac:dyDescent="0.2">
      <c r="A68" t="s">
        <v>314</v>
      </c>
      <c r="B68">
        <v>23</v>
      </c>
      <c r="C68" t="s">
        <v>283</v>
      </c>
      <c r="D68">
        <v>0.15</v>
      </c>
      <c r="E68">
        <v>0.05</v>
      </c>
      <c r="F68">
        <v>0</v>
      </c>
      <c r="G68">
        <v>2.9997669999999999</v>
      </c>
      <c r="H68">
        <v>-1.72638</v>
      </c>
      <c r="I68">
        <v>0.59246600000000005</v>
      </c>
      <c r="J68">
        <v>25.5</v>
      </c>
      <c r="K68">
        <v>29.139890000000001</v>
      </c>
      <c r="L68">
        <v>1.028346</v>
      </c>
      <c r="M68">
        <v>0.77201699999999995</v>
      </c>
      <c r="N68" t="s">
        <v>203</v>
      </c>
      <c r="O68" t="s">
        <v>254</v>
      </c>
    </row>
    <row r="69" spans="1:15" x14ac:dyDescent="0.2">
      <c r="A69" t="s">
        <v>315</v>
      </c>
      <c r="B69">
        <v>24</v>
      </c>
      <c r="C69" t="s">
        <v>283</v>
      </c>
      <c r="D69">
        <v>0.55000000000000004</v>
      </c>
      <c r="E69">
        <v>0.05</v>
      </c>
      <c r="F69">
        <v>0</v>
      </c>
      <c r="G69">
        <v>3.4873430000000001</v>
      </c>
      <c r="H69">
        <v>-0.61407999999999996</v>
      </c>
      <c r="I69">
        <v>0.59997999999999996</v>
      </c>
      <c r="J69">
        <v>22.9</v>
      </c>
      <c r="K69">
        <v>30.286580000000001</v>
      </c>
      <c r="L69">
        <v>1.028891</v>
      </c>
      <c r="M69">
        <v>1.3560449999999999</v>
      </c>
      <c r="N69" t="s">
        <v>203</v>
      </c>
      <c r="O69" t="s">
        <v>254</v>
      </c>
    </row>
    <row r="70" spans="1:15" x14ac:dyDescent="0.2">
      <c r="A70" t="s">
        <v>315</v>
      </c>
      <c r="B70">
        <v>24</v>
      </c>
      <c r="C70" t="s">
        <v>283</v>
      </c>
      <c r="D70">
        <v>0.55000000000000004</v>
      </c>
      <c r="E70">
        <v>0.05</v>
      </c>
      <c r="F70">
        <v>0</v>
      </c>
      <c r="G70">
        <v>3.5740479999999999</v>
      </c>
      <c r="H70">
        <v>-0.43934000000000001</v>
      </c>
      <c r="I70">
        <v>0.59465999999999997</v>
      </c>
      <c r="J70">
        <v>24.7</v>
      </c>
      <c r="K70">
        <v>30.466729999999998</v>
      </c>
      <c r="L70">
        <v>1.028513</v>
      </c>
      <c r="M70">
        <v>1.8998120000000001</v>
      </c>
      <c r="N70" t="s">
        <v>203</v>
      </c>
      <c r="O70" t="s">
        <v>254</v>
      </c>
    </row>
    <row r="71" spans="1:15" x14ac:dyDescent="0.2">
      <c r="A71" t="s">
        <v>315</v>
      </c>
      <c r="B71">
        <v>24</v>
      </c>
      <c r="C71" t="s">
        <v>283</v>
      </c>
      <c r="D71">
        <v>0.55000000000000004</v>
      </c>
      <c r="E71">
        <v>0.05</v>
      </c>
      <c r="F71">
        <v>0</v>
      </c>
      <c r="G71">
        <v>3.5645530000000001</v>
      </c>
      <c r="H71">
        <v>-0.44843</v>
      </c>
      <c r="I71">
        <v>0.58077999999999996</v>
      </c>
      <c r="J71">
        <v>29.5</v>
      </c>
      <c r="K71">
        <v>30.457360000000001</v>
      </c>
      <c r="L71">
        <v>1.0275259999999999</v>
      </c>
      <c r="M71">
        <v>2.8530359999999999</v>
      </c>
      <c r="N71" t="s">
        <v>203</v>
      </c>
      <c r="O71" t="s">
        <v>254</v>
      </c>
    </row>
    <row r="72" spans="1:15" x14ac:dyDescent="0.2">
      <c r="A72" t="s">
        <v>316</v>
      </c>
      <c r="B72">
        <v>25</v>
      </c>
      <c r="C72" t="s">
        <v>283</v>
      </c>
      <c r="D72">
        <v>0.55000000000000004</v>
      </c>
      <c r="E72">
        <v>0.05</v>
      </c>
      <c r="F72">
        <v>0</v>
      </c>
      <c r="G72">
        <v>1.287371</v>
      </c>
      <c r="H72">
        <v>-1.3951</v>
      </c>
      <c r="I72">
        <v>0.62449299999999996</v>
      </c>
      <c r="J72">
        <v>15.1</v>
      </c>
      <c r="K72">
        <v>29.48142</v>
      </c>
      <c r="L72">
        <v>1.0305880000000001</v>
      </c>
      <c r="M72">
        <v>-1.0741000000000001</v>
      </c>
      <c r="N72" t="s">
        <v>203</v>
      </c>
      <c r="O72" t="s">
        <v>254</v>
      </c>
    </row>
    <row r="73" spans="1:15" x14ac:dyDescent="0.2">
      <c r="A73" t="s">
        <v>316</v>
      </c>
      <c r="B73">
        <v>25</v>
      </c>
      <c r="C73" t="s">
        <v>283</v>
      </c>
      <c r="D73">
        <v>0.55000000000000004</v>
      </c>
      <c r="E73">
        <v>0.05</v>
      </c>
      <c r="F73">
        <v>0</v>
      </c>
      <c r="G73">
        <v>1.7093039999999999</v>
      </c>
      <c r="H73">
        <v>-1.24685</v>
      </c>
      <c r="I73">
        <v>0.60603399999999996</v>
      </c>
      <c r="J73">
        <v>21</v>
      </c>
      <c r="K73">
        <v>29.634239999999998</v>
      </c>
      <c r="L73">
        <v>1.029296</v>
      </c>
      <c r="M73">
        <v>0.32843299999999997</v>
      </c>
      <c r="N73" t="s">
        <v>203</v>
      </c>
      <c r="O73" t="s">
        <v>254</v>
      </c>
    </row>
    <row r="74" spans="1:15" x14ac:dyDescent="0.2">
      <c r="A74" t="s">
        <v>316</v>
      </c>
      <c r="B74">
        <v>25</v>
      </c>
      <c r="C74" t="s">
        <v>283</v>
      </c>
      <c r="D74">
        <v>0.55000000000000004</v>
      </c>
      <c r="E74">
        <v>0.05</v>
      </c>
      <c r="F74">
        <v>0</v>
      </c>
      <c r="G74">
        <v>1.629937</v>
      </c>
      <c r="H74">
        <v>-1.5125200000000001</v>
      </c>
      <c r="I74">
        <v>0.58582000000000001</v>
      </c>
      <c r="J74">
        <v>27.8</v>
      </c>
      <c r="K74">
        <v>29.36036</v>
      </c>
      <c r="L74">
        <v>1.0278719999999999</v>
      </c>
      <c r="M74">
        <v>1.4483619999999999</v>
      </c>
      <c r="N74" t="s">
        <v>203</v>
      </c>
      <c r="O74" t="s">
        <v>254</v>
      </c>
    </row>
    <row r="75" spans="1:15" x14ac:dyDescent="0.2">
      <c r="A75" t="s">
        <v>317</v>
      </c>
      <c r="B75">
        <v>26</v>
      </c>
      <c r="C75" t="s">
        <v>283</v>
      </c>
      <c r="D75">
        <v>-0.15</v>
      </c>
      <c r="E75">
        <v>0</v>
      </c>
      <c r="F75">
        <v>0</v>
      </c>
      <c r="G75">
        <v>1.512394</v>
      </c>
      <c r="H75">
        <v>-1.78084</v>
      </c>
      <c r="I75">
        <v>0.62819800000000003</v>
      </c>
      <c r="J75">
        <v>14</v>
      </c>
      <c r="K75">
        <v>29.083739999999999</v>
      </c>
      <c r="L75">
        <v>1.0308349999999999</v>
      </c>
      <c r="M75">
        <v>-1.6992</v>
      </c>
      <c r="N75" t="s">
        <v>211</v>
      </c>
      <c r="O75" t="s">
        <v>249</v>
      </c>
    </row>
    <row r="76" spans="1:15" x14ac:dyDescent="0.2">
      <c r="A76" t="s">
        <v>317</v>
      </c>
      <c r="B76">
        <v>26</v>
      </c>
      <c r="C76" t="s">
        <v>283</v>
      </c>
      <c r="D76">
        <v>-0.15</v>
      </c>
      <c r="E76">
        <v>0</v>
      </c>
      <c r="F76">
        <v>0</v>
      </c>
      <c r="G76">
        <v>1.5584199999999999</v>
      </c>
      <c r="H76">
        <v>-1.6305000000000001</v>
      </c>
      <c r="I76">
        <v>0.58723599999999998</v>
      </c>
      <c r="J76">
        <v>27.3</v>
      </c>
      <c r="K76">
        <v>29.23874</v>
      </c>
      <c r="L76">
        <v>1.0279739999999999</v>
      </c>
      <c r="M76">
        <v>1.23021</v>
      </c>
      <c r="N76" t="s">
        <v>211</v>
      </c>
      <c r="O76" t="s">
        <v>249</v>
      </c>
    </row>
    <row r="77" spans="1:15" x14ac:dyDescent="0.2">
      <c r="A77" t="s">
        <v>317</v>
      </c>
      <c r="B77">
        <v>26</v>
      </c>
      <c r="C77" t="s">
        <v>283</v>
      </c>
      <c r="D77">
        <v>-0.15</v>
      </c>
      <c r="E77">
        <v>0</v>
      </c>
      <c r="F77">
        <v>0</v>
      </c>
      <c r="G77">
        <v>1.5463290000000001</v>
      </c>
      <c r="H77">
        <v>-1.7480800000000001</v>
      </c>
      <c r="I77">
        <v>0.60487500000000005</v>
      </c>
      <c r="J77">
        <v>21.3</v>
      </c>
      <c r="K77">
        <v>29.117519999999999</v>
      </c>
      <c r="L77">
        <v>1.0292319999999999</v>
      </c>
      <c r="M77">
        <v>-0.11115</v>
      </c>
      <c r="N77" t="s">
        <v>211</v>
      </c>
      <c r="O77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7082-DE7F-4B85-B7CB-5ED7B93A9E3D}">
  <dimension ref="A1:Z1000"/>
  <sheetViews>
    <sheetView workbookViewId="0">
      <selection activeCell="I31" sqref="I31"/>
    </sheetView>
  </sheetViews>
  <sheetFormatPr baseColWidth="10" defaultColWidth="9" defaultRowHeight="15" x14ac:dyDescent="0.2"/>
  <cols>
    <col min="1" max="5" width="9" style="1"/>
    <col min="6" max="6" width="14.33203125" style="1" customWidth="1"/>
    <col min="7" max="16384" width="9" style="1"/>
  </cols>
  <sheetData>
    <row r="1" spans="1:26" x14ac:dyDescent="0.2">
      <c r="A1" s="6" t="s">
        <v>318</v>
      </c>
      <c r="B1" s="6" t="s">
        <v>319</v>
      </c>
      <c r="C1" s="6" t="s">
        <v>320</v>
      </c>
      <c r="D1" s="6" t="s">
        <v>321</v>
      </c>
      <c r="E1" s="6" t="s">
        <v>322</v>
      </c>
      <c r="F1" s="6" t="s">
        <v>323</v>
      </c>
      <c r="G1" s="6" t="s">
        <v>324</v>
      </c>
      <c r="H1" s="6" t="s">
        <v>325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5">
        <v>1</v>
      </c>
      <c r="B2" s="5">
        <v>15860</v>
      </c>
      <c r="C2" s="5">
        <v>1</v>
      </c>
      <c r="D2" s="5">
        <v>-1</v>
      </c>
      <c r="E2" s="5" t="s">
        <v>326</v>
      </c>
      <c r="F2" s="7" t="s">
        <v>227</v>
      </c>
      <c r="G2" s="5" t="s">
        <v>327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5">
        <v>2</v>
      </c>
      <c r="B3" s="5">
        <v>15848</v>
      </c>
      <c r="C3" s="5">
        <v>2</v>
      </c>
      <c r="D3" s="5">
        <v>-0.75</v>
      </c>
      <c r="E3" s="5" t="s">
        <v>326</v>
      </c>
      <c r="F3" s="7" t="s">
        <v>227</v>
      </c>
      <c r="G3" s="5" t="s">
        <v>327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5">
        <v>3</v>
      </c>
      <c r="B4" s="5">
        <v>15861</v>
      </c>
      <c r="C4" s="5">
        <v>3</v>
      </c>
      <c r="D4" s="5">
        <v>-0.3</v>
      </c>
      <c r="E4" s="5" t="s">
        <v>326</v>
      </c>
      <c r="F4" s="7" t="s">
        <v>227</v>
      </c>
      <c r="G4" s="5" t="s">
        <v>327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5">
        <v>4</v>
      </c>
      <c r="B5" s="5">
        <v>15545</v>
      </c>
      <c r="C5" s="5">
        <v>4</v>
      </c>
      <c r="D5" s="5">
        <v>0</v>
      </c>
      <c r="E5" s="5" t="s">
        <v>326</v>
      </c>
      <c r="F5" s="7" t="s">
        <v>227</v>
      </c>
      <c r="G5" s="5" t="s">
        <v>327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5">
        <v>5</v>
      </c>
      <c r="B6" s="5">
        <v>15862</v>
      </c>
      <c r="C6" s="5">
        <v>5</v>
      </c>
      <c r="D6" s="5">
        <v>0.75</v>
      </c>
      <c r="E6" s="5" t="s">
        <v>326</v>
      </c>
      <c r="F6" s="7" t="s">
        <v>228</v>
      </c>
      <c r="G6" s="5" t="s">
        <v>327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>
        <v>6</v>
      </c>
      <c r="B7" s="5">
        <v>15863</v>
      </c>
      <c r="C7" s="5">
        <v>6</v>
      </c>
      <c r="D7" s="5">
        <v>1.25</v>
      </c>
      <c r="E7" s="5" t="s">
        <v>326</v>
      </c>
      <c r="F7" s="7" t="s">
        <v>228</v>
      </c>
      <c r="G7" s="5" t="s">
        <v>327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5">
        <v>7</v>
      </c>
      <c r="B8" s="5">
        <v>15547</v>
      </c>
      <c r="C8" s="5">
        <v>7</v>
      </c>
      <c r="D8" s="5">
        <v>1.5</v>
      </c>
      <c r="E8" s="5" t="s">
        <v>326</v>
      </c>
      <c r="F8" s="7" t="s">
        <v>228</v>
      </c>
      <c r="G8" s="5" t="s">
        <v>327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5">
        <v>8</v>
      </c>
      <c r="B9" s="5">
        <v>15864</v>
      </c>
      <c r="C9" s="5">
        <v>8</v>
      </c>
      <c r="D9" s="5">
        <v>2.35</v>
      </c>
      <c r="E9" s="5" t="s">
        <v>326</v>
      </c>
      <c r="F9" s="7" t="s">
        <v>229</v>
      </c>
      <c r="G9" s="5" t="s">
        <v>327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5">
        <v>9</v>
      </c>
      <c r="B10" s="5">
        <v>15546</v>
      </c>
      <c r="C10" s="5">
        <v>9</v>
      </c>
      <c r="D10" s="5">
        <v>2.9</v>
      </c>
      <c r="E10" s="5" t="s">
        <v>326</v>
      </c>
      <c r="F10" s="7" t="s">
        <v>227</v>
      </c>
      <c r="G10" s="5" t="s">
        <v>327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5">
        <v>10</v>
      </c>
      <c r="B11" s="5">
        <v>15865</v>
      </c>
      <c r="C11" s="5">
        <v>10</v>
      </c>
      <c r="D11" s="5">
        <v>3.1</v>
      </c>
      <c r="E11" s="5" t="s">
        <v>326</v>
      </c>
      <c r="F11" s="7" t="s">
        <v>228</v>
      </c>
      <c r="G11" s="5" t="s">
        <v>327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">
        <v>11</v>
      </c>
      <c r="B12" s="5">
        <v>15866</v>
      </c>
      <c r="C12" s="5">
        <v>12</v>
      </c>
      <c r="D12" s="5">
        <v>4.4000000000000004</v>
      </c>
      <c r="E12" s="5" t="s">
        <v>326</v>
      </c>
      <c r="F12" s="7" t="s">
        <v>227</v>
      </c>
      <c r="G12" s="5" t="s">
        <v>328</v>
      </c>
      <c r="H12" s="5" t="s">
        <v>329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5">
        <v>12</v>
      </c>
      <c r="B13" s="5">
        <v>15867</v>
      </c>
      <c r="C13" s="5">
        <v>17</v>
      </c>
      <c r="D13" s="5">
        <v>6.5</v>
      </c>
      <c r="E13" s="5" t="s">
        <v>326</v>
      </c>
      <c r="F13" s="7" t="s">
        <v>227</v>
      </c>
      <c r="G13" s="5" t="s">
        <v>330</v>
      </c>
      <c r="H13" s="5" t="s">
        <v>331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5">
        <v>13</v>
      </c>
      <c r="B14" s="5">
        <v>15864</v>
      </c>
      <c r="C14" s="5">
        <v>1</v>
      </c>
      <c r="D14" s="5">
        <v>-1.5</v>
      </c>
      <c r="E14" s="5" t="s">
        <v>326</v>
      </c>
      <c r="F14" s="8" t="s">
        <v>230</v>
      </c>
      <c r="G14" s="5" t="s">
        <v>332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5">
        <v>14</v>
      </c>
      <c r="B15" s="5">
        <v>15868</v>
      </c>
      <c r="C15" s="5">
        <v>2</v>
      </c>
      <c r="D15" s="5">
        <v>-0.7</v>
      </c>
      <c r="E15" s="5" t="s">
        <v>326</v>
      </c>
      <c r="F15" s="8" t="s">
        <v>231</v>
      </c>
      <c r="G15" s="5" t="s">
        <v>333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5">
        <v>15</v>
      </c>
      <c r="B16" s="5">
        <v>15870</v>
      </c>
      <c r="C16" s="5">
        <v>4</v>
      </c>
      <c r="D16" s="5">
        <v>0</v>
      </c>
      <c r="E16" s="5" t="s">
        <v>326</v>
      </c>
      <c r="F16" s="8" t="s">
        <v>230</v>
      </c>
      <c r="G16" s="5" t="s">
        <v>334</v>
      </c>
      <c r="H16" s="5" t="s">
        <v>335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5">
        <v>16</v>
      </c>
      <c r="B17" s="5">
        <v>15871</v>
      </c>
      <c r="C17" s="5">
        <v>5</v>
      </c>
      <c r="D17" s="5">
        <v>0.9</v>
      </c>
      <c r="E17" s="5" t="s">
        <v>326</v>
      </c>
      <c r="F17" s="8" t="s">
        <v>230</v>
      </c>
      <c r="G17" s="5" t="s">
        <v>327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5">
        <v>17</v>
      </c>
      <c r="B18" s="5">
        <v>15872</v>
      </c>
      <c r="C18" s="5">
        <v>6</v>
      </c>
      <c r="D18" s="5">
        <v>1</v>
      </c>
      <c r="E18" s="5" t="s">
        <v>326</v>
      </c>
      <c r="F18" s="8" t="s">
        <v>230</v>
      </c>
      <c r="G18" s="5" t="s">
        <v>332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5" t="s">
        <v>336</v>
      </c>
      <c r="B19" s="5" t="s">
        <v>337</v>
      </c>
      <c r="C19" s="5">
        <v>7</v>
      </c>
      <c r="D19" s="5">
        <v>1.7</v>
      </c>
      <c r="E19" s="5" t="s">
        <v>326</v>
      </c>
      <c r="F19" s="8" t="s">
        <v>230</v>
      </c>
      <c r="G19" s="5" t="s">
        <v>338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5" t="s">
        <v>336</v>
      </c>
      <c r="B20" s="5" t="s">
        <v>339</v>
      </c>
      <c r="C20" s="5">
        <v>7</v>
      </c>
      <c r="D20" s="5">
        <v>1.7</v>
      </c>
      <c r="E20" s="5" t="s">
        <v>326</v>
      </c>
      <c r="F20" s="8" t="s">
        <v>230</v>
      </c>
      <c r="G20" s="5" t="s">
        <v>340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5">
        <v>19</v>
      </c>
      <c r="B21" s="5">
        <v>15874</v>
      </c>
      <c r="C21" s="5">
        <v>8</v>
      </c>
      <c r="D21" s="5">
        <v>2.25</v>
      </c>
      <c r="E21" s="5" t="s">
        <v>326</v>
      </c>
      <c r="F21" s="8" t="s">
        <v>230</v>
      </c>
      <c r="G21" s="5" t="s">
        <v>327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5">
        <v>20</v>
      </c>
      <c r="B22" s="5">
        <v>15875</v>
      </c>
      <c r="C22" s="5">
        <v>9</v>
      </c>
      <c r="D22" s="5">
        <v>2.75</v>
      </c>
      <c r="E22" s="5" t="s">
        <v>326</v>
      </c>
      <c r="F22" s="8" t="s">
        <v>230</v>
      </c>
      <c r="G22" s="5" t="s">
        <v>341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5">
        <v>21</v>
      </c>
      <c r="B23" s="5">
        <v>15876</v>
      </c>
      <c r="C23" s="5">
        <v>11</v>
      </c>
      <c r="D23" s="5">
        <v>3.5</v>
      </c>
      <c r="E23" s="5" t="s">
        <v>326</v>
      </c>
      <c r="F23" s="8" t="s">
        <v>231</v>
      </c>
      <c r="G23" s="5" t="s">
        <v>327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5">
        <v>22</v>
      </c>
      <c r="B24" s="5">
        <v>15877</v>
      </c>
      <c r="C24" s="5">
        <v>12</v>
      </c>
      <c r="D24" s="5">
        <v>4.12</v>
      </c>
      <c r="E24" s="5" t="s">
        <v>326</v>
      </c>
      <c r="F24" s="8" t="s">
        <v>231</v>
      </c>
      <c r="G24" s="5" t="s">
        <v>327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5">
        <v>23</v>
      </c>
      <c r="B25" s="5">
        <v>15878</v>
      </c>
      <c r="C25" s="5">
        <v>13</v>
      </c>
      <c r="D25" s="5">
        <v>4.5</v>
      </c>
      <c r="E25" s="5" t="s">
        <v>326</v>
      </c>
      <c r="F25" s="8" t="s">
        <v>231</v>
      </c>
      <c r="G25" s="5" t="s">
        <v>327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5">
        <v>24</v>
      </c>
      <c r="B26" s="5">
        <v>14851</v>
      </c>
      <c r="C26" s="5">
        <v>15</v>
      </c>
      <c r="D26" s="5">
        <v>5.8</v>
      </c>
      <c r="E26" s="5" t="s">
        <v>326</v>
      </c>
      <c r="F26" s="8" t="s">
        <v>230</v>
      </c>
      <c r="G26" s="5" t="s">
        <v>341</v>
      </c>
      <c r="H26" s="5" t="s">
        <v>342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5">
        <v>25</v>
      </c>
      <c r="B27" s="5">
        <v>15882</v>
      </c>
      <c r="C27" s="5">
        <v>1</v>
      </c>
      <c r="D27" s="5">
        <v>-1</v>
      </c>
      <c r="E27" s="5" t="s">
        <v>326</v>
      </c>
      <c r="F27" s="8" t="s">
        <v>235</v>
      </c>
      <c r="G27" s="5" t="s">
        <v>343</v>
      </c>
      <c r="H27" s="5" t="s">
        <v>344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5">
        <v>26</v>
      </c>
      <c r="B28" s="5">
        <v>15881</v>
      </c>
      <c r="C28" s="5">
        <v>2</v>
      </c>
      <c r="D28" s="5">
        <v>-0.15</v>
      </c>
      <c r="E28" s="5" t="s">
        <v>326</v>
      </c>
      <c r="F28" s="8" t="s">
        <v>235</v>
      </c>
      <c r="G28" s="5" t="s">
        <v>327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5">
        <v>27</v>
      </c>
      <c r="B29" s="5">
        <v>15880</v>
      </c>
      <c r="C29" s="5">
        <v>10</v>
      </c>
      <c r="D29" s="5">
        <v>3.3</v>
      </c>
      <c r="E29" s="5" t="s">
        <v>326</v>
      </c>
      <c r="F29" s="7" t="s">
        <v>345</v>
      </c>
      <c r="G29" s="5" t="s">
        <v>343</v>
      </c>
      <c r="H29" s="5" t="s">
        <v>344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5" t="s">
        <v>346</v>
      </c>
      <c r="B30" s="5" t="s">
        <v>347</v>
      </c>
      <c r="C30" s="5">
        <v>12</v>
      </c>
      <c r="D30" s="5">
        <v>4.4000000000000004</v>
      </c>
      <c r="E30" s="5" t="s">
        <v>326</v>
      </c>
      <c r="F30" s="8" t="s">
        <v>237</v>
      </c>
      <c r="G30" s="5" t="s">
        <v>348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5" t="s">
        <v>349</v>
      </c>
      <c r="B31" s="5" t="s">
        <v>350</v>
      </c>
      <c r="C31" s="5">
        <v>12</v>
      </c>
      <c r="D31" s="5">
        <v>4.4000000000000004</v>
      </c>
      <c r="E31" s="5" t="s">
        <v>326</v>
      </c>
      <c r="F31" s="8" t="s">
        <v>237</v>
      </c>
      <c r="G31" s="5" t="s">
        <v>351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5">
        <v>29</v>
      </c>
      <c r="B32" s="5">
        <v>15883</v>
      </c>
      <c r="C32" s="5">
        <v>2</v>
      </c>
      <c r="D32" s="5">
        <v>-1</v>
      </c>
      <c r="E32" s="5" t="s">
        <v>352</v>
      </c>
      <c r="F32" s="8" t="s">
        <v>238</v>
      </c>
      <c r="G32" s="5" t="s">
        <v>353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5">
        <v>30</v>
      </c>
      <c r="B33" s="5">
        <v>15884</v>
      </c>
      <c r="C33" s="5">
        <v>3</v>
      </c>
      <c r="D33" s="5">
        <v>-0.1</v>
      </c>
      <c r="E33" s="5" t="s">
        <v>352</v>
      </c>
      <c r="F33" s="8" t="s">
        <v>238</v>
      </c>
      <c r="G33" s="5" t="s">
        <v>353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5">
        <v>31</v>
      </c>
      <c r="B34" s="5">
        <v>14830</v>
      </c>
      <c r="C34" s="5">
        <v>5</v>
      </c>
      <c r="D34" s="5">
        <v>0.5</v>
      </c>
      <c r="E34" s="5" t="s">
        <v>352</v>
      </c>
      <c r="F34" s="8" t="s">
        <v>238</v>
      </c>
      <c r="G34" s="5" t="s">
        <v>353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5">
        <v>32</v>
      </c>
      <c r="B35" s="5">
        <v>14813</v>
      </c>
      <c r="C35" s="5">
        <v>6</v>
      </c>
      <c r="D35" s="5">
        <v>1.4</v>
      </c>
      <c r="E35" s="5" t="s">
        <v>352</v>
      </c>
      <c r="F35" s="8" t="s">
        <v>238</v>
      </c>
      <c r="G35" s="5" t="s">
        <v>353</v>
      </c>
      <c r="H35" s="5" t="s">
        <v>354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5">
        <v>33</v>
      </c>
      <c r="B36" s="5">
        <v>15886</v>
      </c>
      <c r="C36" s="5">
        <v>7</v>
      </c>
      <c r="D36" s="5">
        <v>1.5</v>
      </c>
      <c r="E36" s="5" t="s">
        <v>352</v>
      </c>
      <c r="F36" s="8" t="s">
        <v>239</v>
      </c>
      <c r="G36" s="5" t="s">
        <v>355</v>
      </c>
      <c r="H36" s="5" t="s">
        <v>356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5">
        <v>34</v>
      </c>
      <c r="B37" s="5">
        <v>14803</v>
      </c>
      <c r="C37" s="5">
        <v>11</v>
      </c>
      <c r="D37" s="5">
        <v>3.85</v>
      </c>
      <c r="E37" s="5" t="s">
        <v>352</v>
      </c>
      <c r="F37" s="8" t="s">
        <v>238</v>
      </c>
      <c r="G37" s="5" t="s">
        <v>353</v>
      </c>
      <c r="H37" s="5" t="s">
        <v>354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5">
        <v>35</v>
      </c>
      <c r="B38" s="5">
        <v>15889</v>
      </c>
      <c r="C38" s="5">
        <v>12</v>
      </c>
      <c r="D38" s="5">
        <v>4.4000000000000004</v>
      </c>
      <c r="E38" s="5" t="s">
        <v>352</v>
      </c>
      <c r="F38" s="8" t="s">
        <v>238</v>
      </c>
      <c r="G38" s="5" t="s">
        <v>353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5">
        <v>36</v>
      </c>
      <c r="B39" s="5">
        <v>15890</v>
      </c>
      <c r="C39" s="5">
        <v>13</v>
      </c>
      <c r="D39" s="5">
        <v>4.5</v>
      </c>
      <c r="E39" s="5" t="s">
        <v>352</v>
      </c>
      <c r="F39" s="8" t="s">
        <v>238</v>
      </c>
      <c r="G39" s="5" t="s">
        <v>353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5">
        <v>37</v>
      </c>
      <c r="B40" s="5">
        <v>14836</v>
      </c>
      <c r="C40" s="5">
        <v>14</v>
      </c>
      <c r="D40" s="5">
        <v>5.2</v>
      </c>
      <c r="E40" s="5" t="s">
        <v>352</v>
      </c>
      <c r="F40" s="8" t="s">
        <v>238</v>
      </c>
      <c r="G40" s="5" t="s">
        <v>353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5">
        <v>38</v>
      </c>
      <c r="B41" s="5">
        <v>14854</v>
      </c>
      <c r="C41" s="5">
        <v>15</v>
      </c>
      <c r="D41" s="5">
        <v>5.8</v>
      </c>
      <c r="E41" s="5" t="s">
        <v>352</v>
      </c>
      <c r="F41" s="8" t="s">
        <v>238</v>
      </c>
      <c r="G41" s="5" t="s">
        <v>353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5">
        <v>39</v>
      </c>
      <c r="B42" s="5">
        <v>15891</v>
      </c>
      <c r="C42" s="5">
        <v>16</v>
      </c>
      <c r="D42" s="5">
        <v>6.2</v>
      </c>
      <c r="E42" s="5" t="s">
        <v>352</v>
      </c>
      <c r="F42" s="8" t="s">
        <v>238</v>
      </c>
      <c r="G42" s="5" t="s">
        <v>353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5">
        <v>40</v>
      </c>
      <c r="B43" s="5">
        <v>14797</v>
      </c>
      <c r="C43" s="5">
        <v>17</v>
      </c>
      <c r="D43" s="5">
        <v>5.8</v>
      </c>
      <c r="E43" s="5" t="s">
        <v>352</v>
      </c>
      <c r="F43" s="8" t="s">
        <v>238</v>
      </c>
      <c r="G43" s="5" t="s">
        <v>353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5" t="s">
        <v>357</v>
      </c>
      <c r="B44" s="5" t="s">
        <v>358</v>
      </c>
      <c r="C44" s="5">
        <v>1</v>
      </c>
      <c r="D44" s="5">
        <v>-1.2</v>
      </c>
      <c r="E44" s="5" t="s">
        <v>326</v>
      </c>
      <c r="F44" s="7" t="s">
        <v>228</v>
      </c>
      <c r="G44" s="5" t="s">
        <v>327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5" t="s">
        <v>359</v>
      </c>
      <c r="B45" s="5" t="s">
        <v>360</v>
      </c>
      <c r="C45" s="5">
        <v>1</v>
      </c>
      <c r="D45" s="5">
        <v>-1.2</v>
      </c>
      <c r="E45" s="5" t="s">
        <v>326</v>
      </c>
      <c r="F45" s="7" t="s">
        <v>228</v>
      </c>
      <c r="G45" s="5" t="s">
        <v>341</v>
      </c>
      <c r="H45" s="5" t="s">
        <v>331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5">
        <v>42</v>
      </c>
      <c r="B46" s="5">
        <v>15892</v>
      </c>
      <c r="C46" s="5">
        <v>17</v>
      </c>
      <c r="D46" s="5">
        <v>6.5</v>
      </c>
      <c r="E46" s="5" t="s">
        <v>361</v>
      </c>
      <c r="F46" s="7" t="s">
        <v>362</v>
      </c>
      <c r="G46" s="5" t="s">
        <v>341</v>
      </c>
      <c r="H46" s="5" t="s">
        <v>331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5">
        <v>43</v>
      </c>
      <c r="B47" s="5">
        <v>15893</v>
      </c>
      <c r="C47" s="5">
        <v>4</v>
      </c>
      <c r="D47" s="5">
        <v>0.2</v>
      </c>
      <c r="E47" s="5" t="s">
        <v>352</v>
      </c>
      <c r="F47" s="8" t="s">
        <v>241</v>
      </c>
      <c r="G47" s="5" t="s">
        <v>353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9">
        <v>44</v>
      </c>
      <c r="B48" s="9">
        <v>14847</v>
      </c>
      <c r="C48" s="9">
        <v>1</v>
      </c>
      <c r="D48" s="9">
        <v>-1.4</v>
      </c>
      <c r="E48" s="9" t="s">
        <v>352</v>
      </c>
      <c r="F48" s="10" t="s">
        <v>238</v>
      </c>
      <c r="G48" s="11"/>
      <c r="H48" s="9" t="s">
        <v>363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9">
        <v>45</v>
      </c>
      <c r="B49" s="9">
        <v>15885</v>
      </c>
      <c r="C49" s="9">
        <v>4</v>
      </c>
      <c r="D49" s="9">
        <v>0.2</v>
      </c>
      <c r="E49" s="9" t="s">
        <v>352</v>
      </c>
      <c r="F49" s="10" t="s">
        <v>364</v>
      </c>
      <c r="G49" s="11"/>
      <c r="H49" s="9" t="s">
        <v>363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9">
        <v>46</v>
      </c>
      <c r="B50" s="9">
        <v>15887</v>
      </c>
      <c r="C50" s="9">
        <v>9</v>
      </c>
      <c r="D50" s="9">
        <v>2.75</v>
      </c>
      <c r="E50" s="9" t="s">
        <v>352</v>
      </c>
      <c r="F50" s="10" t="s">
        <v>364</v>
      </c>
      <c r="G50" s="11"/>
      <c r="H50" s="9" t="s">
        <v>363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9">
        <v>47</v>
      </c>
      <c r="B51" s="9">
        <v>15888</v>
      </c>
      <c r="C51" s="9">
        <v>10</v>
      </c>
      <c r="D51" s="9">
        <v>3.2</v>
      </c>
      <c r="E51" s="9" t="s">
        <v>352</v>
      </c>
      <c r="F51" s="12" t="s">
        <v>365</v>
      </c>
      <c r="G51" s="11"/>
      <c r="H51" s="9" t="s">
        <v>363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19C1-92CD-4417-9529-6D7AC840636D}">
  <dimension ref="A1:CE14"/>
  <sheetViews>
    <sheetView workbookViewId="0">
      <selection activeCell="H28" sqref="H28"/>
    </sheetView>
  </sheetViews>
  <sheetFormatPr baseColWidth="10" defaultColWidth="8.83203125" defaultRowHeight="15" x14ac:dyDescent="0.2"/>
  <sheetData>
    <row r="1" spans="1:83" x14ac:dyDescent="0.2">
      <c r="A1" t="s">
        <v>266</v>
      </c>
      <c r="B1" t="s">
        <v>0</v>
      </c>
      <c r="C1" t="s">
        <v>199</v>
      </c>
      <c r="D1" t="s">
        <v>164</v>
      </c>
      <c r="E1" t="s">
        <v>366</v>
      </c>
      <c r="F1" t="s">
        <v>367</v>
      </c>
      <c r="G1" t="s">
        <v>267</v>
      </c>
      <c r="H1" t="s">
        <v>368</v>
      </c>
      <c r="I1" t="s">
        <v>369</v>
      </c>
      <c r="J1" t="s">
        <v>370</v>
      </c>
      <c r="K1" t="s">
        <v>371</v>
      </c>
      <c r="L1" t="s">
        <v>372</v>
      </c>
      <c r="M1" t="s">
        <v>373</v>
      </c>
      <c r="N1" t="s">
        <v>374</v>
      </c>
      <c r="O1" t="s">
        <v>375</v>
      </c>
      <c r="P1" t="s">
        <v>376</v>
      </c>
      <c r="Q1" t="s">
        <v>377</v>
      </c>
      <c r="R1" t="s">
        <v>378</v>
      </c>
      <c r="S1" t="s">
        <v>269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175</v>
      </c>
      <c r="AB1" t="s">
        <v>386</v>
      </c>
      <c r="AC1" t="s">
        <v>387</v>
      </c>
      <c r="AD1" t="s">
        <v>388</v>
      </c>
      <c r="AE1" t="s">
        <v>389</v>
      </c>
      <c r="AF1" t="s">
        <v>390</v>
      </c>
      <c r="AG1" t="s">
        <v>391</v>
      </c>
      <c r="AH1" t="s">
        <v>392</v>
      </c>
      <c r="AI1" t="s">
        <v>393</v>
      </c>
      <c r="AJ1" t="s">
        <v>394</v>
      </c>
      <c r="AK1" t="s">
        <v>395</v>
      </c>
      <c r="AL1" t="s">
        <v>396</v>
      </c>
      <c r="AM1" t="s">
        <v>397</v>
      </c>
      <c r="AN1" t="s">
        <v>398</v>
      </c>
      <c r="AO1" t="s">
        <v>399</v>
      </c>
      <c r="AP1" t="s">
        <v>400</v>
      </c>
      <c r="AQ1" t="s">
        <v>401</v>
      </c>
      <c r="AR1" t="s">
        <v>402</v>
      </c>
      <c r="AS1" t="s">
        <v>403</v>
      </c>
      <c r="AT1" t="s">
        <v>404</v>
      </c>
      <c r="AU1" t="s">
        <v>405</v>
      </c>
      <c r="AV1" t="s">
        <v>281</v>
      </c>
      <c r="AW1" t="s">
        <v>406</v>
      </c>
      <c r="AX1" t="s">
        <v>407</v>
      </c>
      <c r="AY1" t="s">
        <v>408</v>
      </c>
      <c r="AZ1" t="s">
        <v>409</v>
      </c>
      <c r="BA1" t="s">
        <v>410</v>
      </c>
      <c r="BB1" t="s">
        <v>411</v>
      </c>
      <c r="BC1" t="s">
        <v>412</v>
      </c>
      <c r="BD1" t="s">
        <v>413</v>
      </c>
      <c r="BE1" t="s">
        <v>414</v>
      </c>
      <c r="BF1" t="s">
        <v>415</v>
      </c>
      <c r="BG1" t="s">
        <v>416</v>
      </c>
      <c r="BH1" t="s">
        <v>417</v>
      </c>
      <c r="BI1" t="s">
        <v>418</v>
      </c>
      <c r="BJ1" t="s">
        <v>419</v>
      </c>
      <c r="BK1" t="s">
        <v>420</v>
      </c>
      <c r="BL1" t="s">
        <v>421</v>
      </c>
      <c r="BM1" t="s">
        <v>422</v>
      </c>
      <c r="BN1" t="s">
        <v>423</v>
      </c>
      <c r="BO1" t="s">
        <v>424</v>
      </c>
      <c r="BP1" t="s">
        <v>425</v>
      </c>
      <c r="BQ1" t="s">
        <v>426</v>
      </c>
      <c r="BR1" t="s">
        <v>427</v>
      </c>
      <c r="BS1" t="s">
        <v>428</v>
      </c>
      <c r="BT1" t="s">
        <v>429</v>
      </c>
      <c r="BU1" t="s">
        <v>430</v>
      </c>
      <c r="BV1" t="s">
        <v>431</v>
      </c>
      <c r="BW1" t="s">
        <v>432</v>
      </c>
      <c r="BX1" t="s">
        <v>270</v>
      </c>
      <c r="BY1" t="s">
        <v>271</v>
      </c>
      <c r="BZ1" t="s">
        <v>433</v>
      </c>
      <c r="CA1" t="s">
        <v>434</v>
      </c>
      <c r="CC1" t="s">
        <v>435</v>
      </c>
      <c r="CD1" t="s">
        <v>436</v>
      </c>
      <c r="CE1" t="s">
        <v>437</v>
      </c>
    </row>
    <row r="2" spans="1:83" x14ac:dyDescent="0.2">
      <c r="A2" t="s">
        <v>438</v>
      </c>
      <c r="B2" t="s">
        <v>439</v>
      </c>
      <c r="C2" t="s">
        <v>440</v>
      </c>
      <c r="D2" t="s">
        <v>169</v>
      </c>
      <c r="E2">
        <v>20220622.07</v>
      </c>
      <c r="F2" s="13">
        <v>44734.302777777775</v>
      </c>
      <c r="G2" t="s">
        <v>263</v>
      </c>
      <c r="H2">
        <v>6658</v>
      </c>
      <c r="I2" t="s">
        <v>441</v>
      </c>
      <c r="J2" t="s">
        <v>442</v>
      </c>
      <c r="K2" t="s">
        <v>443</v>
      </c>
      <c r="L2">
        <v>3940</v>
      </c>
      <c r="M2">
        <v>187.47</v>
      </c>
      <c r="N2">
        <v>47.581218270000001</v>
      </c>
      <c r="O2" s="14">
        <v>3.1399999999999999E-12</v>
      </c>
      <c r="P2">
        <v>1E-3</v>
      </c>
      <c r="Q2">
        <v>0</v>
      </c>
      <c r="R2">
        <v>0.08</v>
      </c>
      <c r="S2">
        <v>0</v>
      </c>
      <c r="T2" t="b">
        <v>0</v>
      </c>
      <c r="U2" t="s">
        <v>444</v>
      </c>
      <c r="V2">
        <v>4</v>
      </c>
      <c r="W2">
        <v>20</v>
      </c>
      <c r="X2">
        <v>20</v>
      </c>
      <c r="Y2" s="14">
        <v>7.6899999999999994E-8</v>
      </c>
      <c r="Z2" s="14">
        <v>7.7099999999999996E-8</v>
      </c>
      <c r="AA2">
        <v>1.5480619090000001</v>
      </c>
      <c r="AB2">
        <v>4.57916E-4</v>
      </c>
      <c r="AC2">
        <v>0</v>
      </c>
      <c r="AD2">
        <v>7.1243342619999996</v>
      </c>
      <c r="AE2">
        <v>1.091203E-3</v>
      </c>
      <c r="AF2">
        <v>38.254547430000002</v>
      </c>
      <c r="AG2">
        <v>0</v>
      </c>
      <c r="AH2">
        <v>11.53876434</v>
      </c>
      <c r="AI2">
        <v>4.3032200000000002E-4</v>
      </c>
      <c r="AJ2">
        <v>0</v>
      </c>
      <c r="AK2">
        <v>7.0840789339999999</v>
      </c>
      <c r="AL2">
        <v>1.089993E-3</v>
      </c>
      <c r="AM2">
        <v>18.62598358</v>
      </c>
      <c r="AN2">
        <v>6.347976E-3</v>
      </c>
      <c r="AO2">
        <v>1</v>
      </c>
      <c r="AP2">
        <v>14.213338930000001</v>
      </c>
      <c r="AQ2">
        <v>2.4614278E-2</v>
      </c>
      <c r="AR2">
        <v>0</v>
      </c>
      <c r="AS2">
        <v>9.5620384989999998</v>
      </c>
      <c r="AT2">
        <v>0.94187141699999999</v>
      </c>
      <c r="AU2">
        <v>1</v>
      </c>
      <c r="AV2">
        <v>-0.32382086700000001</v>
      </c>
      <c r="AW2">
        <v>6.2239089999999997E-3</v>
      </c>
      <c r="AX2">
        <v>1</v>
      </c>
      <c r="AY2">
        <v>-4.830081E-3</v>
      </c>
      <c r="AZ2">
        <v>2.3953825000000002E-2</v>
      </c>
      <c r="BA2">
        <v>0</v>
      </c>
      <c r="BB2">
        <v>-16.449696700000001</v>
      </c>
      <c r="BC2">
        <v>0.91762831199999995</v>
      </c>
      <c r="BD2">
        <v>1</v>
      </c>
      <c r="BE2">
        <v>11</v>
      </c>
      <c r="BF2" t="s">
        <v>198</v>
      </c>
      <c r="BG2" t="s">
        <v>198</v>
      </c>
      <c r="BH2" t="s">
        <v>198</v>
      </c>
      <c r="BI2" t="s">
        <v>198</v>
      </c>
      <c r="BJ2">
        <v>4.2883768859999999E-4</v>
      </c>
      <c r="BK2">
        <v>1.007922749</v>
      </c>
      <c r="BL2">
        <v>0.9351783481</v>
      </c>
      <c r="BM2">
        <v>0.60074112270000002</v>
      </c>
      <c r="BN2">
        <v>0.60074112270000002</v>
      </c>
      <c r="BO2">
        <v>25</v>
      </c>
      <c r="BP2">
        <v>22.7</v>
      </c>
      <c r="BQ2">
        <v>1.108094618</v>
      </c>
      <c r="BR2">
        <v>0.23893502629999999</v>
      </c>
      <c r="BS2">
        <v>0.24176937570000001</v>
      </c>
      <c r="BT2">
        <v>0.98527878300000005</v>
      </c>
      <c r="BU2">
        <v>-8.9062893980000002</v>
      </c>
      <c r="BV2">
        <v>0.99746114480000003</v>
      </c>
      <c r="BW2">
        <v>-0.29008542320000003</v>
      </c>
      <c r="BX2">
        <v>1.2540461810000001</v>
      </c>
      <c r="BY2">
        <v>-1.886834006</v>
      </c>
      <c r="BZ2">
        <v>-1.892235648</v>
      </c>
      <c r="CA2">
        <v>1.275645715</v>
      </c>
    </row>
    <row r="3" spans="1:83" x14ac:dyDescent="0.2">
      <c r="A3" t="s">
        <v>445</v>
      </c>
      <c r="B3" t="s">
        <v>446</v>
      </c>
      <c r="C3" t="s">
        <v>440</v>
      </c>
      <c r="D3" t="s">
        <v>447</v>
      </c>
      <c r="E3">
        <v>20221118.07</v>
      </c>
      <c r="F3" s="13">
        <v>44883.302777777775</v>
      </c>
      <c r="G3" t="s">
        <v>264</v>
      </c>
      <c r="H3">
        <v>7987</v>
      </c>
      <c r="I3" t="s">
        <v>441</v>
      </c>
      <c r="J3" t="s">
        <v>442</v>
      </c>
      <c r="K3" t="s">
        <v>443</v>
      </c>
      <c r="L3">
        <v>4330</v>
      </c>
      <c r="M3">
        <v>217.22</v>
      </c>
      <c r="N3">
        <v>50.166281759999997</v>
      </c>
      <c r="O3" s="14">
        <v>3.1899999999999999E-12</v>
      </c>
      <c r="P3">
        <v>1E-3</v>
      </c>
      <c r="Q3">
        <v>0</v>
      </c>
      <c r="R3">
        <v>-0.28999999999999998</v>
      </c>
      <c r="S3">
        <v>0</v>
      </c>
      <c r="T3" t="b">
        <v>0</v>
      </c>
      <c r="U3" t="s">
        <v>444</v>
      </c>
      <c r="V3">
        <v>4</v>
      </c>
      <c r="W3">
        <v>20</v>
      </c>
      <c r="X3">
        <v>20</v>
      </c>
      <c r="Y3" s="14">
        <v>7.9599999999999998E-8</v>
      </c>
      <c r="Z3" s="14">
        <v>7.9599999999999998E-8</v>
      </c>
      <c r="AA3">
        <v>1.4487421380000001</v>
      </c>
      <c r="AB3">
        <v>4.8962400000000003E-4</v>
      </c>
      <c r="AC3">
        <v>0</v>
      </c>
      <c r="AD3">
        <v>6.6239976409999999</v>
      </c>
      <c r="AE3">
        <v>9.0826100000000005E-4</v>
      </c>
      <c r="AF3">
        <v>37.73874541</v>
      </c>
      <c r="AG3">
        <v>0</v>
      </c>
      <c r="AH3">
        <v>11.427587020000001</v>
      </c>
      <c r="AI3">
        <v>4.5777399999999998E-4</v>
      </c>
      <c r="AJ3">
        <v>0</v>
      </c>
      <c r="AK3">
        <v>6.584048524</v>
      </c>
      <c r="AL3">
        <v>9.0715499999999998E-4</v>
      </c>
      <c r="AM3">
        <v>18.04184459</v>
      </c>
      <c r="AN3">
        <v>6.8281239999999997E-3</v>
      </c>
      <c r="AO3">
        <v>0</v>
      </c>
      <c r="AP3">
        <v>13.21188484</v>
      </c>
      <c r="AQ3">
        <v>2.5067737999999999E-2</v>
      </c>
      <c r="AR3">
        <v>0</v>
      </c>
      <c r="AS3">
        <v>15.72408751</v>
      </c>
      <c r="AT3">
        <v>1.022523458</v>
      </c>
      <c r="AU3">
        <v>1</v>
      </c>
      <c r="AV3">
        <v>-0.29598693799999998</v>
      </c>
      <c r="AW3">
        <v>7.0225849999999996E-3</v>
      </c>
      <c r="AX3">
        <v>0</v>
      </c>
      <c r="AY3">
        <v>5.3512600000000003E-4</v>
      </c>
      <c r="AZ3">
        <v>2.4826586000000001E-2</v>
      </c>
      <c r="BA3">
        <v>0</v>
      </c>
      <c r="BB3">
        <v>-9.3643463429999994</v>
      </c>
      <c r="BC3">
        <v>0.99722994300000001</v>
      </c>
      <c r="BD3">
        <v>1</v>
      </c>
      <c r="BE3">
        <v>1</v>
      </c>
      <c r="BF3" t="s">
        <v>198</v>
      </c>
      <c r="BG3" t="s">
        <v>198</v>
      </c>
      <c r="BH3" t="s">
        <v>198</v>
      </c>
      <c r="BI3" t="s">
        <v>198</v>
      </c>
      <c r="BJ3">
        <v>5.3079384030000005E-4</v>
      </c>
      <c r="BK3">
        <v>1.01830292</v>
      </c>
      <c r="BL3">
        <v>0.90717782479999998</v>
      </c>
      <c r="BM3">
        <v>0.59602168369999997</v>
      </c>
      <c r="BN3">
        <v>0.59602168369999997</v>
      </c>
      <c r="BO3">
        <v>26.7</v>
      </c>
      <c r="BP3">
        <v>24.3</v>
      </c>
      <c r="BQ3">
        <v>1.5727078299999999</v>
      </c>
      <c r="BR3">
        <v>0.29432138839999999</v>
      </c>
      <c r="BS3">
        <v>0.31915281559999997</v>
      </c>
      <c r="BT3">
        <v>0.98744530119999996</v>
      </c>
      <c r="BU3">
        <v>-8.7320747880000003</v>
      </c>
      <c r="BV3">
        <v>0.99886563360000002</v>
      </c>
      <c r="BW3">
        <v>-0.19968338250000001</v>
      </c>
      <c r="BX3">
        <v>1.2474153509999999</v>
      </c>
      <c r="BY3">
        <v>-2.1912394420000001</v>
      </c>
    </row>
    <row r="4" spans="1:83" x14ac:dyDescent="0.2">
      <c r="A4" t="s">
        <v>448</v>
      </c>
      <c r="B4" t="s">
        <v>449</v>
      </c>
      <c r="C4" t="s">
        <v>440</v>
      </c>
      <c r="D4" t="s">
        <v>447</v>
      </c>
      <c r="E4">
        <v>20221207.23</v>
      </c>
      <c r="F4" s="13">
        <v>44902.984027777777</v>
      </c>
      <c r="G4" t="s">
        <v>265</v>
      </c>
      <c r="H4">
        <v>8179</v>
      </c>
      <c r="I4" t="s">
        <v>441</v>
      </c>
      <c r="J4" t="s">
        <v>442</v>
      </c>
      <c r="K4" t="s">
        <v>443</v>
      </c>
      <c r="L4">
        <v>4060</v>
      </c>
      <c r="M4">
        <v>190.06</v>
      </c>
      <c r="N4">
        <v>46.812807880000001</v>
      </c>
      <c r="O4" s="14">
        <v>2.9200000000000001E-12</v>
      </c>
      <c r="P4">
        <v>1E-3</v>
      </c>
      <c r="Q4">
        <v>0</v>
      </c>
      <c r="R4">
        <v>-0.26</v>
      </c>
      <c r="S4">
        <v>0</v>
      </c>
      <c r="T4" t="b">
        <v>0</v>
      </c>
      <c r="U4" t="s">
        <v>444</v>
      </c>
      <c r="V4">
        <v>4</v>
      </c>
      <c r="W4">
        <v>20</v>
      </c>
      <c r="X4">
        <v>20</v>
      </c>
      <c r="Y4" s="14">
        <v>7.9700000000000006E-8</v>
      </c>
      <c r="Z4" s="14">
        <v>7.9599999999999998E-8</v>
      </c>
      <c r="AA4">
        <v>1.6276321629999999</v>
      </c>
      <c r="AB4">
        <v>4.5918899999999998E-4</v>
      </c>
      <c r="AC4">
        <v>0</v>
      </c>
      <c r="AD4">
        <v>7.3867927099999999</v>
      </c>
      <c r="AE4">
        <v>8.9953400000000001E-4</v>
      </c>
      <c r="AF4">
        <v>38.525118470000002</v>
      </c>
      <c r="AG4">
        <v>0</v>
      </c>
      <c r="AH4">
        <v>11.6230004</v>
      </c>
      <c r="AI4">
        <v>4.2961600000000001E-4</v>
      </c>
      <c r="AJ4">
        <v>0</v>
      </c>
      <c r="AK4">
        <v>7.3464347080000003</v>
      </c>
      <c r="AL4">
        <v>8.9846100000000003E-4</v>
      </c>
      <c r="AM4">
        <v>18.982433090000001</v>
      </c>
      <c r="AN4">
        <v>6.6597749999999997E-3</v>
      </c>
      <c r="AO4">
        <v>1</v>
      </c>
      <c r="AP4">
        <v>14.7306411</v>
      </c>
      <c r="AQ4">
        <v>2.3280368999999999E-2</v>
      </c>
      <c r="AR4">
        <v>0</v>
      </c>
      <c r="AS4">
        <v>13.49438419</v>
      </c>
      <c r="AT4">
        <v>1.059290547</v>
      </c>
      <c r="AU4">
        <v>1</v>
      </c>
      <c r="AV4">
        <v>-0.31606040600000002</v>
      </c>
      <c r="AW4">
        <v>6.4801549999999996E-3</v>
      </c>
      <c r="AX4">
        <v>1</v>
      </c>
      <c r="AY4">
        <v>-1.5858941000000001E-2</v>
      </c>
      <c r="AZ4">
        <v>2.2889199999999998E-2</v>
      </c>
      <c r="BA4">
        <v>0</v>
      </c>
      <c r="BB4">
        <v>-13.211617990000001</v>
      </c>
      <c r="BC4">
        <v>1.031419756</v>
      </c>
      <c r="BD4">
        <v>1</v>
      </c>
      <c r="BE4">
        <v>2</v>
      </c>
      <c r="BF4" t="s">
        <v>198</v>
      </c>
      <c r="BG4" t="s">
        <v>198</v>
      </c>
      <c r="BH4" t="s">
        <v>198</v>
      </c>
      <c r="BI4" t="s">
        <v>198</v>
      </c>
      <c r="BJ4">
        <v>6.2013047129999999E-4</v>
      </c>
      <c r="BK4">
        <v>1.0070578990000001</v>
      </c>
      <c r="BL4">
        <v>0.92535265980000003</v>
      </c>
      <c r="BM4">
        <v>0.59520686359999997</v>
      </c>
      <c r="BN4">
        <v>0.59520686359999997</v>
      </c>
      <c r="BO4">
        <v>27</v>
      </c>
      <c r="BP4">
        <v>24.5</v>
      </c>
      <c r="BQ4">
        <v>1.681016002</v>
      </c>
      <c r="BR4">
        <v>0.30454770869999997</v>
      </c>
      <c r="BS4">
        <v>0.2741437364</v>
      </c>
      <c r="BT4">
        <v>0.98853114939999998</v>
      </c>
      <c r="BU4">
        <v>-9.062237799</v>
      </c>
      <c r="BV4">
        <v>0.99919233230000004</v>
      </c>
      <c r="BW4">
        <v>-0.36741680659999998</v>
      </c>
      <c r="BX4">
        <v>1.258900771</v>
      </c>
      <c r="BY4">
        <v>-1.760163111</v>
      </c>
    </row>
    <row r="5" spans="1:83" x14ac:dyDescent="0.2">
      <c r="A5" t="s">
        <v>450</v>
      </c>
      <c r="B5" t="s">
        <v>451</v>
      </c>
      <c r="C5" t="s">
        <v>440</v>
      </c>
      <c r="D5" t="s">
        <v>169</v>
      </c>
      <c r="E5">
        <v>20220622.140000001</v>
      </c>
      <c r="F5" s="13">
        <v>44734.604166666664</v>
      </c>
      <c r="G5" t="s">
        <v>263</v>
      </c>
      <c r="H5">
        <v>6662</v>
      </c>
      <c r="I5" t="s">
        <v>441</v>
      </c>
      <c r="J5" t="s">
        <v>442</v>
      </c>
      <c r="K5" t="s">
        <v>443</v>
      </c>
      <c r="L5">
        <v>3620</v>
      </c>
      <c r="M5">
        <v>171.63</v>
      </c>
      <c r="N5">
        <v>47.411602209999998</v>
      </c>
      <c r="O5" s="14">
        <v>3.0000000000000001E-12</v>
      </c>
      <c r="P5">
        <v>1E-3</v>
      </c>
      <c r="Q5">
        <v>0</v>
      </c>
      <c r="R5">
        <v>-0.17</v>
      </c>
      <c r="S5">
        <v>0</v>
      </c>
      <c r="T5" t="b">
        <v>0</v>
      </c>
      <c r="U5" t="s">
        <v>444</v>
      </c>
      <c r="V5">
        <v>4</v>
      </c>
      <c r="W5">
        <v>20</v>
      </c>
      <c r="X5">
        <v>20</v>
      </c>
      <c r="Y5" s="14">
        <v>6.7399999999999995E-8</v>
      </c>
      <c r="Z5" s="14">
        <v>6.7599999999999997E-8</v>
      </c>
      <c r="AA5">
        <v>2.5696424269999998</v>
      </c>
      <c r="AB5">
        <v>4.99648E-4</v>
      </c>
      <c r="AC5">
        <v>0</v>
      </c>
      <c r="AD5">
        <v>7.7960852349999996</v>
      </c>
      <c r="AE5">
        <v>1.0436950000000001E-3</v>
      </c>
      <c r="AF5">
        <v>38.94706223</v>
      </c>
      <c r="AG5">
        <v>0</v>
      </c>
      <c r="AH5">
        <v>12.526056710000001</v>
      </c>
      <c r="AI5">
        <v>4.7684600000000001E-4</v>
      </c>
      <c r="AJ5">
        <v>0</v>
      </c>
      <c r="AK5">
        <v>7.757291704</v>
      </c>
      <c r="AL5">
        <v>1.0427380000000001E-3</v>
      </c>
      <c r="AM5">
        <v>20.33304528</v>
      </c>
      <c r="AN5">
        <v>7.1071069999999997E-3</v>
      </c>
      <c r="AO5">
        <v>0</v>
      </c>
      <c r="AP5">
        <v>15.7034319</v>
      </c>
      <c r="AQ5">
        <v>2.7444547E-2</v>
      </c>
      <c r="AR5">
        <v>0</v>
      </c>
      <c r="AS5">
        <v>18.259109630000001</v>
      </c>
      <c r="AT5">
        <v>1.0831330690000001</v>
      </c>
      <c r="AU5">
        <v>1</v>
      </c>
      <c r="AV5">
        <v>-0.31310826400000003</v>
      </c>
      <c r="AW5">
        <v>6.8560100000000001E-3</v>
      </c>
      <c r="AX5">
        <v>0</v>
      </c>
      <c r="AY5">
        <v>0.12681223899999999</v>
      </c>
      <c r="AZ5">
        <v>2.7155404000000001E-2</v>
      </c>
      <c r="BA5">
        <v>0</v>
      </c>
      <c r="BB5">
        <v>-10.308404449999999</v>
      </c>
      <c r="BC5">
        <v>1.0532197590000001</v>
      </c>
      <c r="BD5">
        <v>1</v>
      </c>
      <c r="BE5">
        <v>11</v>
      </c>
      <c r="BF5" t="s">
        <v>198</v>
      </c>
      <c r="BG5" t="s">
        <v>198</v>
      </c>
      <c r="BH5" t="s">
        <v>198</v>
      </c>
      <c r="BI5" t="s">
        <v>198</v>
      </c>
      <c r="BJ5">
        <v>4.2883768859999999E-4</v>
      </c>
      <c r="BK5">
        <v>1.007922749</v>
      </c>
      <c r="BL5">
        <v>0.9351783481</v>
      </c>
      <c r="BM5">
        <v>0.61080074669999995</v>
      </c>
      <c r="BN5">
        <v>0.61080074669999995</v>
      </c>
      <c r="BO5">
        <v>21.6</v>
      </c>
      <c r="BP5">
        <v>19.399999999999999</v>
      </c>
      <c r="BQ5">
        <v>1.108094618</v>
      </c>
      <c r="BR5">
        <v>0.23893502629999999</v>
      </c>
      <c r="BS5">
        <v>0.38849977920000001</v>
      </c>
      <c r="BT5">
        <v>0.98527878300000005</v>
      </c>
      <c r="BU5">
        <v>-8.9062893980000002</v>
      </c>
      <c r="BV5">
        <v>0.99746114480000003</v>
      </c>
      <c r="BW5">
        <v>-0.29008542320000003</v>
      </c>
      <c r="BX5">
        <v>2.2730330539999999</v>
      </c>
      <c r="BY5">
        <v>-1.224972025</v>
      </c>
      <c r="BZ5">
        <v>-1.2303736670000001</v>
      </c>
      <c r="CA5">
        <v>2.2946325879999998</v>
      </c>
    </row>
    <row r="6" spans="1:83" x14ac:dyDescent="0.2">
      <c r="A6" t="s">
        <v>452</v>
      </c>
      <c r="B6" t="s">
        <v>453</v>
      </c>
      <c r="C6" t="s">
        <v>440</v>
      </c>
      <c r="D6" t="s">
        <v>447</v>
      </c>
      <c r="E6">
        <v>20221208.07</v>
      </c>
      <c r="F6" s="13">
        <v>44903.311111111114</v>
      </c>
      <c r="G6" t="s">
        <v>265</v>
      </c>
      <c r="H6">
        <v>8183</v>
      </c>
      <c r="I6" t="s">
        <v>441</v>
      </c>
      <c r="J6" t="s">
        <v>442</v>
      </c>
      <c r="K6" t="s">
        <v>443</v>
      </c>
      <c r="L6">
        <v>4170</v>
      </c>
      <c r="M6">
        <v>200.07</v>
      </c>
      <c r="N6">
        <v>47.978417270000001</v>
      </c>
      <c r="O6" s="14">
        <v>3.04E-12</v>
      </c>
      <c r="P6">
        <v>1E-3</v>
      </c>
      <c r="Q6">
        <v>0</v>
      </c>
      <c r="R6">
        <v>-0.26</v>
      </c>
      <c r="S6">
        <v>0</v>
      </c>
      <c r="T6" t="b">
        <v>0</v>
      </c>
      <c r="U6" t="s">
        <v>444</v>
      </c>
      <c r="V6">
        <v>4</v>
      </c>
      <c r="W6">
        <v>20</v>
      </c>
      <c r="X6">
        <v>20</v>
      </c>
      <c r="Y6" s="14">
        <v>7.9599999999999998E-8</v>
      </c>
      <c r="Z6" s="14">
        <v>7.9500000000000004E-8</v>
      </c>
      <c r="AA6">
        <v>2.7903244709999999</v>
      </c>
      <c r="AB6">
        <v>5.0055200000000003E-4</v>
      </c>
      <c r="AC6">
        <v>0</v>
      </c>
      <c r="AD6">
        <v>7.9298568850000004</v>
      </c>
      <c r="AE6">
        <v>1.07321E-3</v>
      </c>
      <c r="AF6">
        <v>39.084968760000002</v>
      </c>
      <c r="AG6">
        <v>0</v>
      </c>
      <c r="AH6">
        <v>12.73893507</v>
      </c>
      <c r="AI6">
        <v>4.5999399999999997E-4</v>
      </c>
      <c r="AJ6">
        <v>0</v>
      </c>
      <c r="AK6">
        <v>7.8913910009999997</v>
      </c>
      <c r="AL6">
        <v>1.0717229999999999E-3</v>
      </c>
      <c r="AM6">
        <v>20.692159459999999</v>
      </c>
      <c r="AN6">
        <v>7.3374340000000003E-3</v>
      </c>
      <c r="AO6">
        <v>1</v>
      </c>
      <c r="AP6">
        <v>15.801914890000001</v>
      </c>
      <c r="AQ6">
        <v>2.3506721000000001E-2</v>
      </c>
      <c r="AR6">
        <v>0</v>
      </c>
      <c r="AS6">
        <v>18.250559290000002</v>
      </c>
      <c r="AT6">
        <v>0.99173562500000001</v>
      </c>
      <c r="AU6">
        <v>1</v>
      </c>
      <c r="AV6">
        <v>-0.308886683</v>
      </c>
      <c r="AW6">
        <v>7.3155199999999998E-3</v>
      </c>
      <c r="AX6">
        <v>1</v>
      </c>
      <c r="AY6">
        <v>-4.235506E-2</v>
      </c>
      <c r="AZ6">
        <v>2.2565816999999998E-2</v>
      </c>
      <c r="BA6">
        <v>0</v>
      </c>
      <c r="BB6">
        <v>-10.79778099</v>
      </c>
      <c r="BC6">
        <v>0.96310000100000004</v>
      </c>
      <c r="BD6">
        <v>1</v>
      </c>
      <c r="BE6">
        <v>2</v>
      </c>
      <c r="BF6" t="s">
        <v>198</v>
      </c>
      <c r="BG6" t="s">
        <v>198</v>
      </c>
      <c r="BH6" t="s">
        <v>198</v>
      </c>
      <c r="BI6" t="s">
        <v>198</v>
      </c>
      <c r="BJ6">
        <v>6.2013047129999999E-4</v>
      </c>
      <c r="BK6">
        <v>1.0070578990000001</v>
      </c>
      <c r="BL6">
        <v>0.92535265980000003</v>
      </c>
      <c r="BM6">
        <v>0.60136348149999996</v>
      </c>
      <c r="BN6">
        <v>0.60136348149999996</v>
      </c>
      <c r="BO6">
        <v>24.8</v>
      </c>
      <c r="BP6">
        <v>22.5</v>
      </c>
      <c r="BQ6">
        <v>1.681016002</v>
      </c>
      <c r="BR6">
        <v>0.30454770869999997</v>
      </c>
      <c r="BS6">
        <v>0.22933099600000001</v>
      </c>
      <c r="BT6">
        <v>0.98853114939999998</v>
      </c>
      <c r="BU6">
        <v>-9.062237799</v>
      </c>
      <c r="BV6">
        <v>0.99919233230000004</v>
      </c>
      <c r="BW6">
        <v>-0.36741680659999998</v>
      </c>
      <c r="BX6">
        <v>2.4206540099999998</v>
      </c>
      <c r="BY6">
        <v>-1.2233272580000001</v>
      </c>
    </row>
    <row r="7" spans="1:83" x14ac:dyDescent="0.2">
      <c r="A7" t="s">
        <v>454</v>
      </c>
      <c r="B7" t="s">
        <v>455</v>
      </c>
      <c r="C7" t="s">
        <v>456</v>
      </c>
      <c r="D7" t="s">
        <v>169</v>
      </c>
      <c r="E7">
        <v>20220803.100000001</v>
      </c>
      <c r="F7" s="13">
        <v>44776.436111111114</v>
      </c>
      <c r="G7" t="s">
        <v>457</v>
      </c>
      <c r="H7">
        <v>7017</v>
      </c>
      <c r="I7" t="s">
        <v>441</v>
      </c>
      <c r="J7" t="s">
        <v>442</v>
      </c>
      <c r="K7" t="s">
        <v>249</v>
      </c>
      <c r="L7">
        <v>352</v>
      </c>
      <c r="M7">
        <v>18.16</v>
      </c>
      <c r="N7">
        <v>51.590909089999997</v>
      </c>
      <c r="O7" s="14">
        <v>2.7700000000000003E-10</v>
      </c>
      <c r="P7">
        <v>1E-3</v>
      </c>
      <c r="Q7">
        <v>0</v>
      </c>
      <c r="R7">
        <v>0.68</v>
      </c>
      <c r="S7">
        <v>0</v>
      </c>
      <c r="T7" t="b">
        <v>0</v>
      </c>
      <c r="U7" t="s">
        <v>444</v>
      </c>
      <c r="V7">
        <v>3</v>
      </c>
      <c r="W7">
        <v>20</v>
      </c>
      <c r="X7">
        <v>20</v>
      </c>
      <c r="Y7" s="14">
        <v>2.9000000000000002E-8</v>
      </c>
      <c r="Z7" s="14">
        <v>2.4599999999999999E-8</v>
      </c>
      <c r="AA7">
        <v>1.489754284</v>
      </c>
      <c r="AB7">
        <v>6.444974E-3</v>
      </c>
      <c r="AC7">
        <v>0</v>
      </c>
      <c r="AD7">
        <v>7.3640497309999997</v>
      </c>
      <c r="AE7">
        <v>1.0338437000000001E-2</v>
      </c>
      <c r="AF7">
        <v>38.501672509999999</v>
      </c>
      <c r="AG7">
        <v>27</v>
      </c>
      <c r="AH7">
        <v>11.493371550000001</v>
      </c>
      <c r="AI7">
        <v>6.5245600000000004E-3</v>
      </c>
      <c r="AJ7">
        <v>0</v>
      </c>
      <c r="AK7">
        <v>7.3233920870000002</v>
      </c>
      <c r="AL7">
        <v>1.0340066E-2</v>
      </c>
      <c r="AM7">
        <v>18.82012216</v>
      </c>
      <c r="AN7">
        <v>1.7635814E-2</v>
      </c>
      <c r="AO7">
        <v>16</v>
      </c>
      <c r="AP7">
        <v>15.06897143</v>
      </c>
      <c r="AQ7">
        <v>4.0836097000000002E-2</v>
      </c>
      <c r="AR7">
        <v>1</v>
      </c>
      <c r="AS7">
        <v>17.60578989</v>
      </c>
      <c r="AT7">
        <v>1.6926877229999999</v>
      </c>
      <c r="AU7">
        <v>2</v>
      </c>
      <c r="AV7">
        <v>-0.320735877</v>
      </c>
      <c r="AW7">
        <v>9.454568E-3</v>
      </c>
      <c r="AX7">
        <v>0</v>
      </c>
      <c r="AY7">
        <v>0.24170106899999999</v>
      </c>
      <c r="AZ7">
        <v>3.5121237999999999E-2</v>
      </c>
      <c r="BA7">
        <v>4</v>
      </c>
      <c r="BB7">
        <v>-9.1067170340000008</v>
      </c>
      <c r="BC7">
        <v>1.6360010149999999</v>
      </c>
      <c r="BD7">
        <v>2</v>
      </c>
      <c r="BE7">
        <v>3</v>
      </c>
      <c r="BF7" t="s">
        <v>198</v>
      </c>
      <c r="BG7" t="s">
        <v>198</v>
      </c>
      <c r="BH7" t="s">
        <v>198</v>
      </c>
      <c r="BI7" t="s">
        <v>198</v>
      </c>
      <c r="BJ7">
        <v>2.5154138600000001E-4</v>
      </c>
      <c r="BK7">
        <v>1.0223434579999999</v>
      </c>
      <c r="BL7">
        <v>0.93725187830000001</v>
      </c>
      <c r="BM7">
        <v>0.60450983830000005</v>
      </c>
      <c r="BN7">
        <v>0.60450983830000005</v>
      </c>
      <c r="BO7">
        <v>23.7</v>
      </c>
      <c r="BP7">
        <v>21.5</v>
      </c>
      <c r="BQ7">
        <v>1.256025341</v>
      </c>
      <c r="BR7">
        <v>-0.15309089179999999</v>
      </c>
      <c r="BS7">
        <v>0.26333581340000001</v>
      </c>
      <c r="BT7">
        <v>0.99015253869999997</v>
      </c>
      <c r="BU7">
        <v>-8.8532289409999994</v>
      </c>
      <c r="BV7">
        <v>0.99945852810000002</v>
      </c>
      <c r="BW7">
        <v>-0.34211450360000001</v>
      </c>
      <c r="BX7">
        <v>1.1468331199999999</v>
      </c>
      <c r="BY7">
        <v>-1.5616964040000001</v>
      </c>
    </row>
    <row r="8" spans="1:83" x14ac:dyDescent="0.2">
      <c r="A8" t="s">
        <v>458</v>
      </c>
      <c r="B8" t="s">
        <v>459</v>
      </c>
      <c r="C8" t="s">
        <v>440</v>
      </c>
      <c r="D8" t="s">
        <v>169</v>
      </c>
      <c r="E8">
        <v>20220812.010000002</v>
      </c>
      <c r="F8" s="13">
        <v>44785.074999999997</v>
      </c>
      <c r="G8" t="s">
        <v>460</v>
      </c>
      <c r="H8">
        <v>7116</v>
      </c>
      <c r="I8" t="s">
        <v>441</v>
      </c>
      <c r="J8" t="s">
        <v>442</v>
      </c>
      <c r="K8" t="s">
        <v>249</v>
      </c>
      <c r="L8">
        <v>370</v>
      </c>
      <c r="M8">
        <v>15.5</v>
      </c>
      <c r="N8">
        <v>41.891891889999997</v>
      </c>
      <c r="O8" s="14">
        <v>2.1199999999999999E-10</v>
      </c>
      <c r="P8">
        <v>1E-3</v>
      </c>
      <c r="Q8">
        <v>0</v>
      </c>
      <c r="R8">
        <v>0.3</v>
      </c>
      <c r="S8">
        <v>0</v>
      </c>
      <c r="T8" t="b">
        <v>1</v>
      </c>
      <c r="U8" t="s">
        <v>461</v>
      </c>
      <c r="V8">
        <v>3</v>
      </c>
      <c r="W8">
        <v>20</v>
      </c>
      <c r="X8">
        <v>20</v>
      </c>
      <c r="Y8" s="14">
        <v>2.4699999999999999E-8</v>
      </c>
      <c r="Z8" s="14">
        <v>2.1299999999999999E-8</v>
      </c>
      <c r="AA8">
        <v>1.437078541</v>
      </c>
      <c r="AB8">
        <v>5.1977239999999999E-3</v>
      </c>
      <c r="AC8">
        <v>0</v>
      </c>
      <c r="AD8">
        <v>7.2553284549999999</v>
      </c>
      <c r="AE8">
        <v>8.2332039999999992E-3</v>
      </c>
      <c r="AF8">
        <v>38.389590660000003</v>
      </c>
      <c r="AG8">
        <v>13</v>
      </c>
      <c r="AH8">
        <v>11.43968074</v>
      </c>
      <c r="AI8">
        <v>5.2399450000000002E-3</v>
      </c>
      <c r="AJ8">
        <v>0</v>
      </c>
      <c r="AK8">
        <v>7.21467408</v>
      </c>
      <c r="AL8">
        <v>8.2345279999999996E-3</v>
      </c>
      <c r="AM8">
        <v>18.658614539999999</v>
      </c>
      <c r="AN8">
        <v>1.6646931E-2</v>
      </c>
      <c r="AO8">
        <v>16</v>
      </c>
      <c r="AP8">
        <v>14.79153601</v>
      </c>
      <c r="AQ8">
        <v>3.9283474999999998E-2</v>
      </c>
      <c r="AR8">
        <v>2</v>
      </c>
      <c r="AS8">
        <v>5.5217150080000001</v>
      </c>
      <c r="AT8">
        <v>2.9317145519999999</v>
      </c>
      <c r="AU8">
        <v>2</v>
      </c>
      <c r="AV8">
        <v>-0.33161475499999998</v>
      </c>
      <c r="AW8">
        <v>1.1806883000000001E-2</v>
      </c>
      <c r="AX8">
        <v>3</v>
      </c>
      <c r="AY8">
        <v>0.231959309</v>
      </c>
      <c r="AZ8">
        <v>3.5626531000000003E-2</v>
      </c>
      <c r="BA8">
        <v>3</v>
      </c>
      <c r="BB8">
        <v>-20.589174610000001</v>
      </c>
      <c r="BC8">
        <v>2.8486899339999998</v>
      </c>
      <c r="BD8">
        <v>2</v>
      </c>
      <c r="BE8">
        <v>4</v>
      </c>
      <c r="BF8" t="s">
        <v>198</v>
      </c>
      <c r="BG8" t="s">
        <v>198</v>
      </c>
      <c r="BH8" t="s">
        <v>198</v>
      </c>
      <c r="BI8" t="s">
        <v>198</v>
      </c>
      <c r="BJ8">
        <v>1.357050568E-3</v>
      </c>
      <c r="BK8">
        <v>1.090920162</v>
      </c>
      <c r="BL8">
        <v>0.97013619149999997</v>
      </c>
      <c r="BM8">
        <v>0.58074812509999996</v>
      </c>
      <c r="BN8">
        <v>0.58074812509999996</v>
      </c>
      <c r="BO8">
        <v>32.200000000000003</v>
      </c>
      <c r="BP8">
        <v>29.5</v>
      </c>
      <c r="BQ8">
        <v>1.214091442</v>
      </c>
      <c r="BR8">
        <v>-0.12611556809999999</v>
      </c>
      <c r="BS8">
        <v>0.2095205681</v>
      </c>
      <c r="BT8">
        <v>0.99114119609999995</v>
      </c>
      <c r="BU8">
        <v>-8.8282322700000009</v>
      </c>
      <c r="BV8">
        <v>0.99895222559999997</v>
      </c>
      <c r="BW8">
        <v>-0.33073586510000003</v>
      </c>
      <c r="BX8">
        <v>1.1048369419999999</v>
      </c>
      <c r="BY8">
        <v>-1.6371773469999999</v>
      </c>
    </row>
    <row r="9" spans="1:83" x14ac:dyDescent="0.2">
      <c r="A9" t="s">
        <v>462</v>
      </c>
      <c r="B9" t="s">
        <v>463</v>
      </c>
      <c r="C9" t="s">
        <v>440</v>
      </c>
      <c r="D9" t="s">
        <v>169</v>
      </c>
      <c r="E9">
        <v>20220826.010000002</v>
      </c>
      <c r="F9" s="13">
        <v>44799.038888888892</v>
      </c>
      <c r="G9" t="s">
        <v>464</v>
      </c>
      <c r="H9">
        <v>7264</v>
      </c>
      <c r="I9" t="s">
        <v>441</v>
      </c>
      <c r="J9" t="s">
        <v>442</v>
      </c>
      <c r="K9" t="s">
        <v>249</v>
      </c>
      <c r="L9">
        <v>364</v>
      </c>
      <c r="M9">
        <v>18.55</v>
      </c>
      <c r="N9">
        <v>50.96153846</v>
      </c>
      <c r="O9" s="14">
        <v>2.69E-10</v>
      </c>
      <c r="P9">
        <v>1E-3</v>
      </c>
      <c r="Q9">
        <v>0</v>
      </c>
      <c r="R9">
        <v>0.99</v>
      </c>
      <c r="S9">
        <v>0</v>
      </c>
      <c r="T9" t="b">
        <v>0</v>
      </c>
      <c r="U9" t="s">
        <v>444</v>
      </c>
      <c r="V9">
        <v>3</v>
      </c>
      <c r="W9">
        <v>20</v>
      </c>
      <c r="X9">
        <v>20</v>
      </c>
      <c r="Y9" s="14">
        <v>2.8900000000000001E-8</v>
      </c>
      <c r="Z9" s="14">
        <v>2.44E-8</v>
      </c>
      <c r="AA9">
        <v>1.3199888930000001</v>
      </c>
      <c r="AB9">
        <v>7.0850339999999996E-3</v>
      </c>
      <c r="AC9">
        <v>1</v>
      </c>
      <c r="AD9">
        <v>7.0045575519999996</v>
      </c>
      <c r="AE9">
        <v>1.1658185999999999E-2</v>
      </c>
      <c r="AF9">
        <v>38.131068429999999</v>
      </c>
      <c r="AG9">
        <v>33</v>
      </c>
      <c r="AH9">
        <v>11.32014914</v>
      </c>
      <c r="AI9">
        <v>7.1654869999999999E-3</v>
      </c>
      <c r="AJ9">
        <v>1</v>
      </c>
      <c r="AK9">
        <v>6.9639346949999998</v>
      </c>
      <c r="AL9">
        <v>1.1660078000000001E-2</v>
      </c>
      <c r="AM9">
        <v>18.353964059999999</v>
      </c>
      <c r="AN9">
        <v>1.7020181999999998E-2</v>
      </c>
      <c r="AO9">
        <v>23</v>
      </c>
      <c r="AP9">
        <v>14.23156124</v>
      </c>
      <c r="AQ9">
        <v>4.7325604E-2</v>
      </c>
      <c r="AR9">
        <v>1</v>
      </c>
      <c r="AS9">
        <v>11.38208221</v>
      </c>
      <c r="AT9">
        <v>2.7404481729999999</v>
      </c>
      <c r="AU9">
        <v>0</v>
      </c>
      <c r="AV9">
        <v>-0.29523696100000002</v>
      </c>
      <c r="AW9">
        <v>1.0588498E-2</v>
      </c>
      <c r="AX9">
        <v>3</v>
      </c>
      <c r="AY9">
        <v>0.18108939399999999</v>
      </c>
      <c r="AZ9">
        <v>4.2162638000000002E-2</v>
      </c>
      <c r="BA9">
        <v>1</v>
      </c>
      <c r="BB9">
        <v>-14.25588233</v>
      </c>
      <c r="BC9">
        <v>2.6513998980000002</v>
      </c>
      <c r="BD9">
        <v>0</v>
      </c>
      <c r="BE9">
        <v>5</v>
      </c>
      <c r="BF9" t="s">
        <v>198</v>
      </c>
      <c r="BG9" t="s">
        <v>198</v>
      </c>
      <c r="BH9" t="s">
        <v>198</v>
      </c>
      <c r="BI9" t="s">
        <v>198</v>
      </c>
      <c r="BJ9">
        <v>1.52188552E-3</v>
      </c>
      <c r="BK9">
        <v>1.035761943</v>
      </c>
      <c r="BL9">
        <v>0.93992523289999996</v>
      </c>
      <c r="BM9">
        <v>0.60519846730000004</v>
      </c>
      <c r="BN9">
        <v>0.60519846730000004</v>
      </c>
      <c r="BO9">
        <v>23.5</v>
      </c>
      <c r="BP9">
        <v>21.2</v>
      </c>
      <c r="BQ9">
        <v>1.204331858</v>
      </c>
      <c r="BR9">
        <v>-6.9548667379999998E-2</v>
      </c>
      <c r="BS9">
        <v>0.17280277590000001</v>
      </c>
      <c r="BT9">
        <v>0.98849701300000004</v>
      </c>
      <c r="BU9">
        <v>-8.5182869530000005</v>
      </c>
      <c r="BV9">
        <v>0.9991504121</v>
      </c>
      <c r="BW9">
        <v>-0.17582100810000001</v>
      </c>
      <c r="BX9">
        <v>1.1430464380000001</v>
      </c>
      <c r="BY9">
        <v>-1.5943027350000001</v>
      </c>
    </row>
    <row r="10" spans="1:83" x14ac:dyDescent="0.2">
      <c r="A10" t="s">
        <v>465</v>
      </c>
      <c r="B10" t="s">
        <v>466</v>
      </c>
      <c r="C10" t="s">
        <v>440</v>
      </c>
      <c r="D10" t="s">
        <v>169</v>
      </c>
      <c r="E10">
        <v>20220828.010000002</v>
      </c>
      <c r="F10" s="13">
        <v>44801.04791666667</v>
      </c>
      <c r="G10" t="s">
        <v>464</v>
      </c>
      <c r="H10">
        <v>7291</v>
      </c>
      <c r="I10" t="s">
        <v>441</v>
      </c>
      <c r="J10" t="s">
        <v>442</v>
      </c>
      <c r="K10" t="s">
        <v>249</v>
      </c>
      <c r="L10">
        <v>408</v>
      </c>
      <c r="M10">
        <v>18.100000000000001</v>
      </c>
      <c r="N10">
        <v>44.362745099999998</v>
      </c>
      <c r="O10" s="14">
        <v>2.4299999999999999E-10</v>
      </c>
      <c r="P10">
        <v>1E-3</v>
      </c>
      <c r="Q10">
        <v>1</v>
      </c>
      <c r="R10">
        <v>0.27</v>
      </c>
      <c r="S10" t="s">
        <v>377</v>
      </c>
      <c r="T10" t="b">
        <v>0</v>
      </c>
      <c r="U10" t="s">
        <v>444</v>
      </c>
      <c r="V10">
        <v>3</v>
      </c>
      <c r="W10">
        <v>20</v>
      </c>
      <c r="X10">
        <v>20</v>
      </c>
      <c r="Y10" s="14">
        <v>2.1900000000000001E-8</v>
      </c>
      <c r="Z10" s="14">
        <v>2.0199999999999999E-8</v>
      </c>
      <c r="AA10">
        <v>1.2814424760000001</v>
      </c>
      <c r="AB10">
        <v>2.4659180000000001E-3</v>
      </c>
      <c r="AC10">
        <v>0</v>
      </c>
      <c r="AD10">
        <v>6.9640392860000002</v>
      </c>
      <c r="AE10">
        <v>4.8140659999999997E-3</v>
      </c>
      <c r="AF10">
        <v>38.089297739999999</v>
      </c>
      <c r="AG10">
        <v>0</v>
      </c>
      <c r="AH10">
        <v>11.281617020000001</v>
      </c>
      <c r="AI10">
        <v>2.4806339999999998E-3</v>
      </c>
      <c r="AJ10">
        <v>0</v>
      </c>
      <c r="AK10">
        <v>6.9233872170000001</v>
      </c>
      <c r="AL10">
        <v>4.8138399999999998E-3</v>
      </c>
      <c r="AM10">
        <v>18.20475442</v>
      </c>
      <c r="AN10">
        <v>1.3872962000000001E-2</v>
      </c>
      <c r="AO10">
        <v>3</v>
      </c>
      <c r="AP10">
        <v>14.117553539999999</v>
      </c>
      <c r="AQ10">
        <v>4.1995312999999999E-2</v>
      </c>
      <c r="AR10">
        <v>5</v>
      </c>
      <c r="AS10">
        <v>9.5158013669999999</v>
      </c>
      <c r="AT10">
        <v>2.8720342310000002</v>
      </c>
      <c r="AU10">
        <v>1</v>
      </c>
      <c r="AV10">
        <v>-0.31848422900000001</v>
      </c>
      <c r="AW10">
        <v>1.2528048E-2</v>
      </c>
      <c r="AX10">
        <v>1</v>
      </c>
      <c r="AY10">
        <v>0.191362003</v>
      </c>
      <c r="AZ10">
        <v>4.3311474000000003E-2</v>
      </c>
      <c r="BA10">
        <v>3</v>
      </c>
      <c r="BB10">
        <v>-15.92083586</v>
      </c>
      <c r="BC10">
        <v>2.795323921</v>
      </c>
      <c r="BD10">
        <v>1</v>
      </c>
      <c r="BE10">
        <v>6</v>
      </c>
      <c r="BF10" t="s">
        <v>198</v>
      </c>
      <c r="BG10" t="s">
        <v>198</v>
      </c>
      <c r="BH10" t="s">
        <v>198</v>
      </c>
      <c r="BI10" t="s">
        <v>198</v>
      </c>
      <c r="BJ10">
        <v>5.6450642260000002E-4</v>
      </c>
      <c r="BK10">
        <v>1.0078369840000001</v>
      </c>
      <c r="BL10">
        <v>0.94618136239999995</v>
      </c>
      <c r="BM10">
        <v>0.61484393859999997</v>
      </c>
      <c r="BN10">
        <v>0.61484393859999997</v>
      </c>
      <c r="BO10">
        <v>20.3</v>
      </c>
      <c r="BP10">
        <v>18.100000000000001</v>
      </c>
      <c r="BQ10">
        <v>1.1256736679999999</v>
      </c>
      <c r="BR10">
        <v>-3.7382064399999998E-2</v>
      </c>
      <c r="BS10">
        <v>0.2146321199</v>
      </c>
      <c r="BT10">
        <v>0.98957776230000005</v>
      </c>
      <c r="BU10">
        <v>-8.5489724220000003</v>
      </c>
      <c r="BV10">
        <v>0.99920292160000002</v>
      </c>
      <c r="BW10">
        <v>-0.16122889269999999</v>
      </c>
      <c r="BX10">
        <v>1.1191921730000001</v>
      </c>
      <c r="BY10">
        <v>-1.6575140079999999</v>
      </c>
    </row>
    <row r="11" spans="1:83" x14ac:dyDescent="0.2">
      <c r="A11" t="s">
        <v>467</v>
      </c>
      <c r="B11" t="s">
        <v>468</v>
      </c>
      <c r="C11" t="s">
        <v>456</v>
      </c>
      <c r="D11" t="s">
        <v>169</v>
      </c>
      <c r="E11">
        <v>20220803.149999999</v>
      </c>
      <c r="F11" s="13">
        <v>44776.621527777781</v>
      </c>
      <c r="G11" t="s">
        <v>457</v>
      </c>
      <c r="H11">
        <v>7020</v>
      </c>
      <c r="I11" t="s">
        <v>441</v>
      </c>
      <c r="J11" t="s">
        <v>442</v>
      </c>
      <c r="K11" t="s">
        <v>249</v>
      </c>
      <c r="L11">
        <v>394</v>
      </c>
      <c r="M11">
        <v>16.78</v>
      </c>
      <c r="N11">
        <v>42.588832490000001</v>
      </c>
      <c r="O11" s="14">
        <v>2.24E-10</v>
      </c>
      <c r="P11">
        <v>1E-3</v>
      </c>
      <c r="Q11">
        <v>0</v>
      </c>
      <c r="R11">
        <v>0.22</v>
      </c>
      <c r="S11">
        <v>0</v>
      </c>
      <c r="T11" t="b">
        <v>0</v>
      </c>
      <c r="U11" t="s">
        <v>444</v>
      </c>
      <c r="V11">
        <v>3</v>
      </c>
      <c r="W11">
        <v>20</v>
      </c>
      <c r="X11">
        <v>20</v>
      </c>
      <c r="Y11" s="14">
        <v>2.6899999999999999E-8</v>
      </c>
      <c r="Z11" s="14">
        <v>2.3099999999999998E-8</v>
      </c>
      <c r="AA11">
        <v>2.556245847</v>
      </c>
      <c r="AB11">
        <v>5.5228839999999996E-3</v>
      </c>
      <c r="AC11">
        <v>0</v>
      </c>
      <c r="AD11">
        <v>7.5221656570000004</v>
      </c>
      <c r="AE11">
        <v>8.4204789999999998E-3</v>
      </c>
      <c r="AF11">
        <v>38.664675799999998</v>
      </c>
      <c r="AG11">
        <v>17</v>
      </c>
      <c r="AH11">
        <v>12.505262099999999</v>
      </c>
      <c r="AI11">
        <v>5.5876609999999998E-3</v>
      </c>
      <c r="AJ11">
        <v>0</v>
      </c>
      <c r="AK11">
        <v>7.4835864719999998</v>
      </c>
      <c r="AL11">
        <v>8.4217600000000004E-3</v>
      </c>
      <c r="AM11">
        <v>20.060330650000001</v>
      </c>
      <c r="AN11">
        <v>1.5339778E-2</v>
      </c>
      <c r="AO11">
        <v>13</v>
      </c>
      <c r="AP11">
        <v>15.356125260000001</v>
      </c>
      <c r="AQ11">
        <v>4.9055950000000001E-2</v>
      </c>
      <c r="AR11">
        <v>0</v>
      </c>
      <c r="AS11">
        <v>12.858308729999999</v>
      </c>
      <c r="AT11">
        <v>2.469365936</v>
      </c>
      <c r="AU11">
        <v>1</v>
      </c>
      <c r="AV11">
        <v>-0.33936989400000001</v>
      </c>
      <c r="AW11">
        <v>1.0724127E-2</v>
      </c>
      <c r="AX11">
        <v>2</v>
      </c>
      <c r="AY11">
        <v>0.218505169</v>
      </c>
      <c r="AZ11">
        <v>4.4729049E-2</v>
      </c>
      <c r="BA11">
        <v>2</v>
      </c>
      <c r="BB11">
        <v>-15.09276199</v>
      </c>
      <c r="BC11">
        <v>2.3897588559999998</v>
      </c>
      <c r="BD11">
        <v>1</v>
      </c>
      <c r="BE11">
        <v>3</v>
      </c>
      <c r="BF11" t="s">
        <v>198</v>
      </c>
      <c r="BG11" t="s">
        <v>198</v>
      </c>
      <c r="BH11" t="s">
        <v>198</v>
      </c>
      <c r="BI11" t="s">
        <v>198</v>
      </c>
      <c r="BJ11">
        <v>2.5154138600000001E-4</v>
      </c>
      <c r="BK11">
        <v>1.0223434579999999</v>
      </c>
      <c r="BL11">
        <v>0.93725187830000001</v>
      </c>
      <c r="BM11">
        <v>0.58514053889999995</v>
      </c>
      <c r="BN11">
        <v>0.58514053889999995</v>
      </c>
      <c r="BO11">
        <v>30.6</v>
      </c>
      <c r="BP11">
        <v>28</v>
      </c>
      <c r="BQ11">
        <v>1.256025341</v>
      </c>
      <c r="BR11">
        <v>-0.15309089179999999</v>
      </c>
      <c r="BS11">
        <v>0.23635152749999999</v>
      </c>
      <c r="BT11">
        <v>0.99015253869999997</v>
      </c>
      <c r="BU11">
        <v>-8.8532289409999994</v>
      </c>
      <c r="BV11">
        <v>0.99945852810000002</v>
      </c>
      <c r="BW11">
        <v>-0.34211450360000001</v>
      </c>
      <c r="BX11">
        <v>2.2127472080000001</v>
      </c>
      <c r="BY11">
        <v>-1.4051375189999999</v>
      </c>
    </row>
    <row r="12" spans="1:83" x14ac:dyDescent="0.2">
      <c r="A12" t="s">
        <v>469</v>
      </c>
      <c r="B12" t="s">
        <v>470</v>
      </c>
      <c r="C12" t="s">
        <v>440</v>
      </c>
      <c r="D12" t="s">
        <v>169</v>
      </c>
      <c r="E12">
        <v>20220812</v>
      </c>
      <c r="F12" s="13">
        <v>44785.010416666664</v>
      </c>
      <c r="G12" t="s">
        <v>460</v>
      </c>
      <c r="H12">
        <v>7115</v>
      </c>
      <c r="I12" t="s">
        <v>441</v>
      </c>
      <c r="J12" t="s">
        <v>442</v>
      </c>
      <c r="K12" t="s">
        <v>249</v>
      </c>
      <c r="L12">
        <v>370</v>
      </c>
      <c r="M12">
        <v>13.52</v>
      </c>
      <c r="N12">
        <v>36.540540540000002</v>
      </c>
      <c r="O12" s="14">
        <v>1.7499999999999999E-10</v>
      </c>
      <c r="P12">
        <v>1E-3</v>
      </c>
      <c r="Q12">
        <v>0</v>
      </c>
      <c r="R12">
        <v>0.39</v>
      </c>
      <c r="S12">
        <v>0</v>
      </c>
      <c r="T12" t="b">
        <v>0</v>
      </c>
      <c r="U12" t="s">
        <v>444</v>
      </c>
      <c r="V12">
        <v>3</v>
      </c>
      <c r="W12">
        <v>20</v>
      </c>
      <c r="X12">
        <v>20</v>
      </c>
      <c r="Y12" s="14">
        <v>2.1299999999999999E-8</v>
      </c>
      <c r="Z12" s="14">
        <v>1.88E-8</v>
      </c>
      <c r="AA12">
        <v>2.5025812790000002</v>
      </c>
      <c r="AB12">
        <v>3.9146279999999999E-3</v>
      </c>
      <c r="AC12">
        <v>0</v>
      </c>
      <c r="AD12">
        <v>7.3955546520000004</v>
      </c>
      <c r="AE12">
        <v>6.4000589999999996E-3</v>
      </c>
      <c r="AF12">
        <v>38.534151250000001</v>
      </c>
      <c r="AG12">
        <v>6</v>
      </c>
      <c r="AH12">
        <v>12.449161330000001</v>
      </c>
      <c r="AI12">
        <v>3.9261890000000001E-3</v>
      </c>
      <c r="AJ12">
        <v>0</v>
      </c>
      <c r="AK12">
        <v>7.3570215919999997</v>
      </c>
      <c r="AL12">
        <v>6.4009540000000004E-3</v>
      </c>
      <c r="AM12">
        <v>19.838947170000001</v>
      </c>
      <c r="AN12">
        <v>1.4696364E-2</v>
      </c>
      <c r="AO12">
        <v>8</v>
      </c>
      <c r="AP12">
        <v>15.08617316</v>
      </c>
      <c r="AQ12">
        <v>4.9768073000000003E-2</v>
      </c>
      <c r="AR12">
        <v>2</v>
      </c>
      <c r="AS12">
        <v>5.3001528120000003</v>
      </c>
      <c r="AT12">
        <v>3.1128101560000001</v>
      </c>
      <c r="AU12">
        <v>0</v>
      </c>
      <c r="AV12">
        <v>-0.33867769599999997</v>
      </c>
      <c r="AW12">
        <v>1.0265791999999999E-2</v>
      </c>
      <c r="AX12">
        <v>1</v>
      </c>
      <c r="AY12">
        <v>0.29253726000000002</v>
      </c>
      <c r="AZ12">
        <v>4.6060428E-2</v>
      </c>
      <c r="BA12">
        <v>2</v>
      </c>
      <c r="BB12">
        <v>-22.082555660000001</v>
      </c>
      <c r="BC12">
        <v>3.0208941390000001</v>
      </c>
      <c r="BD12">
        <v>0</v>
      </c>
      <c r="BE12">
        <v>4</v>
      </c>
      <c r="BF12" t="s">
        <v>198</v>
      </c>
      <c r="BG12" t="s">
        <v>198</v>
      </c>
      <c r="BH12" t="s">
        <v>198</v>
      </c>
      <c r="BI12" t="s">
        <v>198</v>
      </c>
      <c r="BJ12">
        <v>1.357050568E-3</v>
      </c>
      <c r="BK12">
        <v>1.090920162</v>
      </c>
      <c r="BL12">
        <v>0.97013619149999997</v>
      </c>
      <c r="BM12">
        <v>0.57129561600000001</v>
      </c>
      <c r="BN12">
        <v>0.57129561600000001</v>
      </c>
      <c r="BO12">
        <v>35.799999999999997</v>
      </c>
      <c r="BP12">
        <v>33</v>
      </c>
      <c r="BQ12">
        <v>1.214091442</v>
      </c>
      <c r="BR12">
        <v>-0.12611556809999999</v>
      </c>
      <c r="BS12">
        <v>0.28414370770000003</v>
      </c>
      <c r="BT12">
        <v>0.99114119609999995</v>
      </c>
      <c r="BU12">
        <v>-8.8282322700000009</v>
      </c>
      <c r="BV12">
        <v>0.99895222559999997</v>
      </c>
      <c r="BW12">
        <v>-0.33073586510000003</v>
      </c>
      <c r="BX12">
        <v>2.1692232730000001</v>
      </c>
      <c r="BY12">
        <v>-1.4981933860000001</v>
      </c>
    </row>
    <row r="13" spans="1:83" x14ac:dyDescent="0.2">
      <c r="A13" t="s">
        <v>471</v>
      </c>
      <c r="B13" t="s">
        <v>472</v>
      </c>
      <c r="C13" t="s">
        <v>440</v>
      </c>
      <c r="D13" t="s">
        <v>169</v>
      </c>
      <c r="E13">
        <v>20220825.23</v>
      </c>
      <c r="F13" s="13">
        <v>44798.977083333331</v>
      </c>
      <c r="G13" t="s">
        <v>464</v>
      </c>
      <c r="H13">
        <v>7263</v>
      </c>
      <c r="I13" t="s">
        <v>441</v>
      </c>
      <c r="J13" t="s">
        <v>442</v>
      </c>
      <c r="K13" t="s">
        <v>249</v>
      </c>
      <c r="L13">
        <v>358</v>
      </c>
      <c r="M13">
        <v>15.96</v>
      </c>
      <c r="N13">
        <v>44.581005589999997</v>
      </c>
      <c r="O13" s="14">
        <v>2.2300000000000001E-10</v>
      </c>
      <c r="P13">
        <v>1E-3</v>
      </c>
      <c r="Q13">
        <v>0</v>
      </c>
      <c r="R13">
        <v>0.98</v>
      </c>
      <c r="S13">
        <v>0</v>
      </c>
      <c r="T13" t="b">
        <v>1</v>
      </c>
      <c r="U13" t="s">
        <v>461</v>
      </c>
      <c r="V13">
        <v>3</v>
      </c>
      <c r="W13">
        <v>20</v>
      </c>
      <c r="X13">
        <v>20</v>
      </c>
      <c r="Y13" s="14">
        <v>2.4900000000000001E-8</v>
      </c>
      <c r="Z13" s="14">
        <v>2.1500000000000001E-8</v>
      </c>
      <c r="AA13">
        <v>2.5388958499999998</v>
      </c>
      <c r="AB13">
        <v>6.0420179999999997E-3</v>
      </c>
      <c r="AC13">
        <v>0</v>
      </c>
      <c r="AD13">
        <v>7.1835847050000003</v>
      </c>
      <c r="AE13">
        <v>9.5310459999999996E-3</v>
      </c>
      <c r="AF13">
        <v>38.315629309999998</v>
      </c>
      <c r="AG13">
        <v>22</v>
      </c>
      <c r="AH13">
        <v>12.47651741</v>
      </c>
      <c r="AI13">
        <v>6.0868440000000001E-3</v>
      </c>
      <c r="AJ13">
        <v>0</v>
      </c>
      <c r="AK13">
        <v>7.1453339140000001</v>
      </c>
      <c r="AL13">
        <v>9.533807E-3</v>
      </c>
      <c r="AM13">
        <v>19.683228840000002</v>
      </c>
      <c r="AN13">
        <v>1.866777E-2</v>
      </c>
      <c r="AO13">
        <v>20</v>
      </c>
      <c r="AP13">
        <v>14.727154840000001</v>
      </c>
      <c r="AQ13">
        <v>4.8137082999999997E-2</v>
      </c>
      <c r="AR13">
        <v>5</v>
      </c>
      <c r="AS13">
        <v>11.090017830000001</v>
      </c>
      <c r="AT13">
        <v>2.4893062000000001</v>
      </c>
      <c r="AU13">
        <v>1</v>
      </c>
      <c r="AV13">
        <v>-0.33736271099999998</v>
      </c>
      <c r="AW13">
        <v>1.1347019999999999E-2</v>
      </c>
      <c r="AX13">
        <v>6</v>
      </c>
      <c r="AY13">
        <v>0.20458542599999999</v>
      </c>
      <c r="AZ13">
        <v>4.5462888E-2</v>
      </c>
      <c r="BA13">
        <v>5</v>
      </c>
      <c r="BB13">
        <v>-16.10411977</v>
      </c>
      <c r="BC13">
        <v>2.4155265899999998</v>
      </c>
      <c r="BD13">
        <v>1</v>
      </c>
      <c r="BE13">
        <v>5</v>
      </c>
      <c r="BF13" t="s">
        <v>198</v>
      </c>
      <c r="BG13" t="s">
        <v>198</v>
      </c>
      <c r="BH13" t="s">
        <v>198</v>
      </c>
      <c r="BI13" t="s">
        <v>198</v>
      </c>
      <c r="BJ13">
        <v>1.52188552E-3</v>
      </c>
      <c r="BK13">
        <v>1.035761943</v>
      </c>
      <c r="BL13">
        <v>0.93992523289999996</v>
      </c>
      <c r="BM13">
        <v>0.55947088379999999</v>
      </c>
      <c r="BN13">
        <v>0.55947088379999999</v>
      </c>
      <c r="BO13">
        <v>40.4</v>
      </c>
      <c r="BP13">
        <v>37.4</v>
      </c>
      <c r="BQ13">
        <v>1.204331858</v>
      </c>
      <c r="BR13">
        <v>-6.9548667379999998E-2</v>
      </c>
      <c r="BS13">
        <v>0.2019446054</v>
      </c>
      <c r="BT13">
        <v>0.98849701300000004</v>
      </c>
      <c r="BU13">
        <v>-8.5182869530000005</v>
      </c>
      <c r="BV13">
        <v>0.9991504121</v>
      </c>
      <c r="BW13">
        <v>-0.17582100810000001</v>
      </c>
      <c r="BX13">
        <v>2.3609178270000002</v>
      </c>
      <c r="BY13">
        <v>-1.4173349289999999</v>
      </c>
    </row>
    <row r="14" spans="1:83" x14ac:dyDescent="0.2">
      <c r="A14" t="s">
        <v>473</v>
      </c>
      <c r="B14" t="s">
        <v>474</v>
      </c>
      <c r="C14" t="s">
        <v>440</v>
      </c>
      <c r="D14" t="s">
        <v>169</v>
      </c>
      <c r="E14">
        <v>20220827.23</v>
      </c>
      <c r="F14" s="13">
        <v>44800.962500000001</v>
      </c>
      <c r="G14" t="s">
        <v>464</v>
      </c>
      <c r="H14">
        <v>7290</v>
      </c>
      <c r="I14" t="s">
        <v>441</v>
      </c>
      <c r="J14" t="s">
        <v>442</v>
      </c>
      <c r="K14" t="s">
        <v>249</v>
      </c>
      <c r="L14">
        <v>392</v>
      </c>
      <c r="M14">
        <v>17.579999999999998</v>
      </c>
      <c r="N14">
        <v>44.846938780000002</v>
      </c>
      <c r="O14" s="14">
        <v>2.3800000000000001E-10</v>
      </c>
      <c r="P14">
        <v>1E-3</v>
      </c>
      <c r="Q14">
        <v>0</v>
      </c>
      <c r="R14">
        <v>0.64</v>
      </c>
      <c r="S14">
        <v>0</v>
      </c>
      <c r="T14" t="b">
        <v>0</v>
      </c>
      <c r="U14" t="s">
        <v>444</v>
      </c>
      <c r="V14">
        <v>3</v>
      </c>
      <c r="W14">
        <v>20</v>
      </c>
      <c r="X14">
        <v>20</v>
      </c>
      <c r="Y14" s="14">
        <v>2.7999999999999999E-8</v>
      </c>
      <c r="Z14" s="14">
        <v>2.3800000000000001E-8</v>
      </c>
      <c r="AA14">
        <v>2.4308481340000001</v>
      </c>
      <c r="AB14">
        <v>6.7813810000000004E-3</v>
      </c>
      <c r="AC14">
        <v>1</v>
      </c>
      <c r="AD14">
        <v>7.1955003680000003</v>
      </c>
      <c r="AE14">
        <v>1.0754628E-2</v>
      </c>
      <c r="AF14">
        <v>38.327913279999997</v>
      </c>
      <c r="AG14">
        <v>29</v>
      </c>
      <c r="AH14">
        <v>12.37504058</v>
      </c>
      <c r="AI14">
        <v>6.8484749999999997E-3</v>
      </c>
      <c r="AJ14">
        <v>1</v>
      </c>
      <c r="AK14">
        <v>7.1570148119999999</v>
      </c>
      <c r="AL14">
        <v>1.0757506E-2</v>
      </c>
      <c r="AM14">
        <v>19.607873120000001</v>
      </c>
      <c r="AN14">
        <v>1.7181729999999999E-2</v>
      </c>
      <c r="AO14">
        <v>19</v>
      </c>
      <c r="AP14">
        <v>14.627994579999999</v>
      </c>
      <c r="AQ14">
        <v>3.9387975999999998E-2</v>
      </c>
      <c r="AR14">
        <v>1</v>
      </c>
      <c r="AS14">
        <v>21.092988470000002</v>
      </c>
      <c r="AT14">
        <v>1.710298992</v>
      </c>
      <c r="AU14">
        <v>1</v>
      </c>
      <c r="AV14">
        <v>-0.34984350199999997</v>
      </c>
      <c r="AW14">
        <v>1.0583095000000001E-2</v>
      </c>
      <c r="AX14">
        <v>1</v>
      </c>
      <c r="AY14">
        <v>0.20800190900000001</v>
      </c>
      <c r="AZ14">
        <v>3.6702659999999998E-2</v>
      </c>
      <c r="BA14">
        <v>1</v>
      </c>
      <c r="BB14">
        <v>-6.2831807590000004</v>
      </c>
      <c r="BC14">
        <v>1.66736047</v>
      </c>
      <c r="BD14">
        <v>1</v>
      </c>
      <c r="BE14">
        <v>6</v>
      </c>
      <c r="BF14" t="s">
        <v>198</v>
      </c>
      <c r="BG14" t="s">
        <v>198</v>
      </c>
      <c r="BH14" t="s">
        <v>198</v>
      </c>
      <c r="BI14" t="s">
        <v>198</v>
      </c>
      <c r="BJ14">
        <v>5.6450642260000002E-4</v>
      </c>
      <c r="BK14">
        <v>1.0078369840000001</v>
      </c>
      <c r="BL14">
        <v>0.94618136239999995</v>
      </c>
      <c r="BM14">
        <v>0.58244062649999995</v>
      </c>
      <c r="BN14">
        <v>0.58244062649999995</v>
      </c>
      <c r="BO14">
        <v>31.6</v>
      </c>
      <c r="BP14">
        <v>28.9</v>
      </c>
      <c r="BQ14">
        <v>1.1256736679999999</v>
      </c>
      <c r="BR14">
        <v>-3.7382064399999998E-2</v>
      </c>
      <c r="BS14">
        <v>0.2346866601</v>
      </c>
      <c r="BT14">
        <v>0.98957776230000005</v>
      </c>
      <c r="BU14">
        <v>-8.5489724220000003</v>
      </c>
      <c r="BV14">
        <v>0.99920292160000002</v>
      </c>
      <c r="BW14">
        <v>-0.16122889269999999</v>
      </c>
      <c r="BX14">
        <v>2.267681665</v>
      </c>
      <c r="BY14">
        <v>-1.4284652689999999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4EA9-783A-46F6-8694-56386C8A09C2}">
  <dimension ref="A1:CU71"/>
  <sheetViews>
    <sheetView workbookViewId="0">
      <selection activeCell="E9" sqref="E9"/>
    </sheetView>
  </sheetViews>
  <sheetFormatPr baseColWidth="10" defaultColWidth="8.83203125" defaultRowHeight="15" x14ac:dyDescent="0.2"/>
  <sheetData>
    <row r="1" spans="1:18" x14ac:dyDescent="0.2">
      <c r="A1" t="s">
        <v>278</v>
      </c>
      <c r="B1" t="s">
        <v>201</v>
      </c>
      <c r="C1" t="s">
        <v>200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188</v>
      </c>
      <c r="L1" t="s">
        <v>482</v>
      </c>
      <c r="M1" t="s">
        <v>193</v>
      </c>
      <c r="N1" t="s">
        <v>483</v>
      </c>
      <c r="O1" t="s">
        <v>484</v>
      </c>
      <c r="P1" t="s">
        <v>485</v>
      </c>
      <c r="Q1" t="s">
        <v>486</v>
      </c>
      <c r="R1" t="s">
        <v>325</v>
      </c>
    </row>
    <row r="2" spans="1:18" x14ac:dyDescent="0.2">
      <c r="A2" t="s">
        <v>487</v>
      </c>
      <c r="B2" t="s">
        <v>169</v>
      </c>
      <c r="C2">
        <v>1</v>
      </c>
      <c r="D2" t="s">
        <v>488</v>
      </c>
      <c r="E2" t="s">
        <v>489</v>
      </c>
      <c r="F2">
        <v>-7.5</v>
      </c>
      <c r="G2">
        <v>-0.64</v>
      </c>
      <c r="H2">
        <v>0.3</v>
      </c>
      <c r="I2">
        <v>0.61</v>
      </c>
      <c r="J2">
        <v>0.01</v>
      </c>
      <c r="K2">
        <v>20.73</v>
      </c>
      <c r="L2">
        <v>2.8</v>
      </c>
      <c r="M2">
        <v>0.87</v>
      </c>
      <c r="N2">
        <v>0.59</v>
      </c>
      <c r="O2">
        <v>3</v>
      </c>
      <c r="P2">
        <v>1</v>
      </c>
      <c r="Q2" t="s">
        <v>490</v>
      </c>
    </row>
    <row r="3" spans="1:18" x14ac:dyDescent="0.2">
      <c r="A3" t="s">
        <v>491</v>
      </c>
      <c r="B3" t="s">
        <v>169</v>
      </c>
      <c r="C3">
        <v>2</v>
      </c>
      <c r="D3" t="s">
        <v>208</v>
      </c>
      <c r="E3" t="s">
        <v>489</v>
      </c>
      <c r="F3">
        <v>-7</v>
      </c>
      <c r="G3">
        <v>-0.67</v>
      </c>
      <c r="H3">
        <v>-0.04</v>
      </c>
      <c r="I3">
        <v>0.6</v>
      </c>
      <c r="J3">
        <v>0.01</v>
      </c>
      <c r="K3">
        <v>24.37</v>
      </c>
      <c r="L3">
        <v>3.03</v>
      </c>
      <c r="M3">
        <v>1.59</v>
      </c>
      <c r="N3">
        <v>0.65</v>
      </c>
      <c r="O3">
        <v>2</v>
      </c>
      <c r="P3">
        <v>0</v>
      </c>
      <c r="Q3" t="s">
        <v>492</v>
      </c>
      <c r="R3" t="s">
        <v>493</v>
      </c>
    </row>
    <row r="4" spans="1:18" x14ac:dyDescent="0.2">
      <c r="A4" t="s">
        <v>494</v>
      </c>
      <c r="B4" t="s">
        <v>169</v>
      </c>
      <c r="C4">
        <v>3</v>
      </c>
      <c r="D4" t="s">
        <v>207</v>
      </c>
      <c r="E4" t="s">
        <v>489</v>
      </c>
      <c r="F4">
        <v>-7</v>
      </c>
      <c r="G4">
        <v>-0.28999999999999998</v>
      </c>
      <c r="H4">
        <v>-0.13</v>
      </c>
      <c r="I4">
        <v>0.61</v>
      </c>
      <c r="J4">
        <v>0.01</v>
      </c>
      <c r="K4">
        <v>19.03</v>
      </c>
      <c r="L4">
        <v>2.68</v>
      </c>
      <c r="M4">
        <v>0.87</v>
      </c>
      <c r="N4">
        <v>0.53</v>
      </c>
      <c r="O4" t="s">
        <v>495</v>
      </c>
      <c r="P4" t="s">
        <v>495</v>
      </c>
      <c r="Q4" t="s">
        <v>496</v>
      </c>
    </row>
    <row r="5" spans="1:18" x14ac:dyDescent="0.2">
      <c r="A5" t="s">
        <v>497</v>
      </c>
      <c r="B5" t="s">
        <v>169</v>
      </c>
      <c r="C5">
        <v>4</v>
      </c>
      <c r="D5" t="s">
        <v>208</v>
      </c>
      <c r="E5" t="s">
        <v>489</v>
      </c>
      <c r="F5">
        <v>-7</v>
      </c>
      <c r="G5">
        <v>-0.21</v>
      </c>
      <c r="H5">
        <v>0.63</v>
      </c>
      <c r="I5">
        <v>0.59</v>
      </c>
      <c r="J5">
        <v>0.01</v>
      </c>
      <c r="K5">
        <v>24.77</v>
      </c>
      <c r="L5">
        <v>2.64</v>
      </c>
      <c r="M5">
        <v>2.13</v>
      </c>
      <c r="N5">
        <v>0.51</v>
      </c>
      <c r="O5" t="s">
        <v>495</v>
      </c>
      <c r="P5" t="s">
        <v>495</v>
      </c>
      <c r="Q5" t="s">
        <v>496</v>
      </c>
      <c r="R5" t="s">
        <v>498</v>
      </c>
    </row>
    <row r="6" spans="1:18" x14ac:dyDescent="0.2">
      <c r="A6" t="s">
        <v>499</v>
      </c>
      <c r="B6" t="s">
        <v>169</v>
      </c>
      <c r="C6">
        <v>5</v>
      </c>
      <c r="D6" t="s">
        <v>500</v>
      </c>
      <c r="E6" t="s">
        <v>489</v>
      </c>
      <c r="F6">
        <v>-5.5</v>
      </c>
      <c r="G6">
        <v>-3.66</v>
      </c>
      <c r="H6">
        <v>-1.65</v>
      </c>
      <c r="I6">
        <v>0.57999999999999996</v>
      </c>
      <c r="J6">
        <v>0.02</v>
      </c>
      <c r="K6">
        <v>31.2</v>
      </c>
      <c r="L6">
        <v>5.6</v>
      </c>
      <c r="M6">
        <v>-0.08</v>
      </c>
      <c r="N6">
        <v>1.07</v>
      </c>
      <c r="O6" t="s">
        <v>495</v>
      </c>
      <c r="P6" t="s">
        <v>495</v>
      </c>
      <c r="Q6" t="s">
        <v>496</v>
      </c>
    </row>
    <row r="7" spans="1:18" x14ac:dyDescent="0.2">
      <c r="A7" t="s">
        <v>501</v>
      </c>
      <c r="B7" t="s">
        <v>169</v>
      </c>
      <c r="C7">
        <v>6</v>
      </c>
      <c r="D7" t="s">
        <v>352</v>
      </c>
      <c r="E7" t="s">
        <v>489</v>
      </c>
      <c r="F7">
        <v>-4</v>
      </c>
      <c r="G7">
        <v>-0.78</v>
      </c>
      <c r="H7">
        <v>1.48</v>
      </c>
      <c r="I7">
        <v>0.6</v>
      </c>
      <c r="J7">
        <v>0.01</v>
      </c>
      <c r="K7">
        <v>23.07</v>
      </c>
      <c r="L7">
        <v>4.05</v>
      </c>
      <c r="M7">
        <v>1.2</v>
      </c>
      <c r="N7">
        <v>0.87</v>
      </c>
      <c r="O7">
        <v>0</v>
      </c>
      <c r="P7">
        <v>0</v>
      </c>
      <c r="Q7" t="s">
        <v>502</v>
      </c>
    </row>
    <row r="8" spans="1:18" x14ac:dyDescent="0.2">
      <c r="A8" t="s">
        <v>503</v>
      </c>
      <c r="B8" t="s">
        <v>169</v>
      </c>
      <c r="C8">
        <v>7</v>
      </c>
      <c r="D8" t="s">
        <v>500</v>
      </c>
      <c r="E8" t="s">
        <v>489</v>
      </c>
      <c r="F8">
        <v>-4</v>
      </c>
      <c r="G8">
        <v>-1.56</v>
      </c>
      <c r="H8">
        <v>2.7</v>
      </c>
      <c r="I8">
        <v>0.62</v>
      </c>
      <c r="J8">
        <v>0</v>
      </c>
      <c r="K8">
        <v>17.8</v>
      </c>
      <c r="L8">
        <v>1.37</v>
      </c>
      <c r="M8">
        <v>-0.66</v>
      </c>
      <c r="N8">
        <v>0.32</v>
      </c>
      <c r="O8" t="s">
        <v>495</v>
      </c>
      <c r="P8" t="s">
        <v>495</v>
      </c>
      <c r="Q8" t="s">
        <v>496</v>
      </c>
    </row>
    <row r="9" spans="1:18" x14ac:dyDescent="0.2">
      <c r="A9" t="s">
        <v>504</v>
      </c>
      <c r="B9" t="s">
        <v>169</v>
      </c>
      <c r="C9">
        <v>8</v>
      </c>
      <c r="D9" t="s">
        <v>500</v>
      </c>
      <c r="E9" t="s">
        <v>489</v>
      </c>
      <c r="F9">
        <v>-3.5</v>
      </c>
      <c r="G9">
        <v>-3.36</v>
      </c>
      <c r="H9">
        <v>-0.13</v>
      </c>
      <c r="I9">
        <v>0.57999999999999996</v>
      </c>
      <c r="J9">
        <v>0.01</v>
      </c>
      <c r="K9">
        <v>29.4</v>
      </c>
      <c r="L9">
        <v>4.03</v>
      </c>
      <c r="M9">
        <v>-0.11</v>
      </c>
      <c r="N9">
        <v>0.81</v>
      </c>
      <c r="O9" t="s">
        <v>495</v>
      </c>
      <c r="P9" t="s">
        <v>495</v>
      </c>
      <c r="Q9" t="s">
        <v>496</v>
      </c>
    </row>
    <row r="10" spans="1:18" x14ac:dyDescent="0.2">
      <c r="A10" t="s">
        <v>505</v>
      </c>
      <c r="B10" t="s">
        <v>169</v>
      </c>
      <c r="C10">
        <v>9</v>
      </c>
      <c r="D10" t="s">
        <v>500</v>
      </c>
      <c r="E10" t="s">
        <v>489</v>
      </c>
      <c r="F10">
        <v>-3.5</v>
      </c>
      <c r="G10">
        <v>-3.2</v>
      </c>
      <c r="H10">
        <v>-0.82</v>
      </c>
      <c r="I10">
        <v>0.56000000000000005</v>
      </c>
      <c r="J10">
        <v>0.01</v>
      </c>
      <c r="K10">
        <v>36.9</v>
      </c>
      <c r="L10">
        <v>2.4</v>
      </c>
      <c r="M10">
        <v>1.51</v>
      </c>
      <c r="N10">
        <v>0.4</v>
      </c>
      <c r="O10" t="s">
        <v>495</v>
      </c>
      <c r="P10" t="s">
        <v>495</v>
      </c>
      <c r="Q10" t="s">
        <v>496</v>
      </c>
    </row>
    <row r="11" spans="1:18" x14ac:dyDescent="0.2">
      <c r="A11" t="s">
        <v>506</v>
      </c>
      <c r="B11" t="s">
        <v>169</v>
      </c>
      <c r="C11">
        <v>10</v>
      </c>
      <c r="D11" t="s">
        <v>207</v>
      </c>
      <c r="E11" t="s">
        <v>489</v>
      </c>
      <c r="F11">
        <v>-1</v>
      </c>
      <c r="G11">
        <v>-2.71</v>
      </c>
      <c r="H11">
        <v>-0.01</v>
      </c>
      <c r="I11">
        <v>0.6</v>
      </c>
      <c r="J11">
        <v>0.01</v>
      </c>
      <c r="K11">
        <v>22.43</v>
      </c>
      <c r="L11">
        <v>3.45</v>
      </c>
      <c r="M11">
        <v>-0.86</v>
      </c>
      <c r="N11">
        <v>0.72</v>
      </c>
      <c r="O11">
        <v>3</v>
      </c>
      <c r="P11">
        <v>0</v>
      </c>
      <c r="Q11" t="s">
        <v>492</v>
      </c>
    </row>
    <row r="12" spans="1:18" x14ac:dyDescent="0.2">
      <c r="A12" t="s">
        <v>507</v>
      </c>
      <c r="B12" t="s">
        <v>169</v>
      </c>
      <c r="C12">
        <v>11</v>
      </c>
      <c r="D12" t="s">
        <v>352</v>
      </c>
      <c r="E12" t="s">
        <v>489</v>
      </c>
      <c r="F12">
        <v>-0.5</v>
      </c>
      <c r="G12">
        <v>-0.59</v>
      </c>
      <c r="H12">
        <v>2.33</v>
      </c>
      <c r="I12">
        <v>0.59</v>
      </c>
      <c r="J12">
        <v>0</v>
      </c>
      <c r="K12">
        <v>25.97</v>
      </c>
      <c r="L12">
        <v>1.51</v>
      </c>
      <c r="M12">
        <v>2</v>
      </c>
      <c r="N12">
        <v>0.35</v>
      </c>
      <c r="O12">
        <v>2</v>
      </c>
      <c r="P12">
        <v>0</v>
      </c>
      <c r="Q12" t="s">
        <v>492</v>
      </c>
    </row>
    <row r="13" spans="1:18" x14ac:dyDescent="0.2">
      <c r="A13" t="s">
        <v>508</v>
      </c>
      <c r="B13" t="s">
        <v>169</v>
      </c>
      <c r="C13">
        <v>12</v>
      </c>
      <c r="D13" t="s">
        <v>352</v>
      </c>
      <c r="E13" t="s">
        <v>489</v>
      </c>
      <c r="F13">
        <v>0</v>
      </c>
      <c r="G13">
        <v>-2.71</v>
      </c>
      <c r="H13">
        <v>-0.27</v>
      </c>
      <c r="I13">
        <v>0.6</v>
      </c>
      <c r="J13">
        <v>0</v>
      </c>
      <c r="K13">
        <v>23.6</v>
      </c>
      <c r="L13">
        <v>1.1000000000000001</v>
      </c>
      <c r="M13">
        <v>-0.6</v>
      </c>
      <c r="N13">
        <v>0.17</v>
      </c>
      <c r="O13" t="s">
        <v>495</v>
      </c>
      <c r="P13" t="s">
        <v>495</v>
      </c>
      <c r="Q13" t="s">
        <v>496</v>
      </c>
    </row>
    <row r="14" spans="1:18" x14ac:dyDescent="0.2">
      <c r="A14" t="s">
        <v>509</v>
      </c>
      <c r="B14" t="s">
        <v>169</v>
      </c>
      <c r="C14">
        <v>13</v>
      </c>
      <c r="D14" t="s">
        <v>212</v>
      </c>
      <c r="E14" t="s">
        <v>489</v>
      </c>
      <c r="F14">
        <v>-0.05</v>
      </c>
      <c r="G14">
        <v>-2.2599999999999998</v>
      </c>
      <c r="H14">
        <v>1.62</v>
      </c>
      <c r="I14">
        <v>0.59</v>
      </c>
      <c r="J14">
        <v>0.01</v>
      </c>
      <c r="K14">
        <v>25.6</v>
      </c>
      <c r="L14">
        <v>1.93</v>
      </c>
      <c r="M14">
        <v>0.25</v>
      </c>
      <c r="N14">
        <v>0.39</v>
      </c>
      <c r="O14">
        <v>0</v>
      </c>
      <c r="P14">
        <v>0</v>
      </c>
      <c r="Q14" t="s">
        <v>502</v>
      </c>
      <c r="R14" t="s">
        <v>510</v>
      </c>
    </row>
    <row r="15" spans="1:18" x14ac:dyDescent="0.2">
      <c r="A15" t="s">
        <v>511</v>
      </c>
      <c r="B15" t="s">
        <v>169</v>
      </c>
      <c r="C15">
        <v>14</v>
      </c>
      <c r="D15" t="s">
        <v>500</v>
      </c>
      <c r="E15" t="s">
        <v>489</v>
      </c>
      <c r="F15">
        <v>-0.05</v>
      </c>
      <c r="G15">
        <v>-0.51</v>
      </c>
      <c r="H15">
        <v>2.8</v>
      </c>
      <c r="I15">
        <v>0.61</v>
      </c>
      <c r="J15">
        <v>0.01</v>
      </c>
      <c r="K15">
        <v>20.97</v>
      </c>
      <c r="L15">
        <v>3.84</v>
      </c>
      <c r="M15">
        <v>1.04</v>
      </c>
      <c r="N15">
        <v>0.83</v>
      </c>
      <c r="O15" t="s">
        <v>495</v>
      </c>
      <c r="P15" t="s">
        <v>495</v>
      </c>
      <c r="Q15" t="s">
        <v>496</v>
      </c>
    </row>
    <row r="16" spans="1:18" x14ac:dyDescent="0.2">
      <c r="A16" t="s">
        <v>512</v>
      </c>
      <c r="B16" t="s">
        <v>169</v>
      </c>
      <c r="C16">
        <v>15</v>
      </c>
      <c r="D16" t="s">
        <v>513</v>
      </c>
      <c r="E16" t="s">
        <v>489</v>
      </c>
      <c r="F16">
        <v>0.5</v>
      </c>
      <c r="G16">
        <v>-1.27</v>
      </c>
      <c r="H16">
        <v>-3.67</v>
      </c>
      <c r="I16">
        <v>0.59</v>
      </c>
      <c r="J16">
        <v>0.01</v>
      </c>
      <c r="K16">
        <v>27.27</v>
      </c>
      <c r="L16">
        <v>3.07</v>
      </c>
      <c r="M16">
        <v>1.57</v>
      </c>
      <c r="N16">
        <v>0.59</v>
      </c>
      <c r="O16">
        <v>0</v>
      </c>
      <c r="P16">
        <v>0</v>
      </c>
      <c r="Q16" t="s">
        <v>502</v>
      </c>
      <c r="R16" t="s">
        <v>514</v>
      </c>
    </row>
    <row r="17" spans="1:99" x14ac:dyDescent="0.2">
      <c r="A17" t="s">
        <v>515</v>
      </c>
      <c r="B17" t="s">
        <v>169</v>
      </c>
      <c r="C17">
        <v>16</v>
      </c>
      <c r="D17" t="s">
        <v>500</v>
      </c>
      <c r="E17" t="s">
        <v>489</v>
      </c>
      <c r="F17">
        <v>1</v>
      </c>
      <c r="G17">
        <v>-1.63</v>
      </c>
      <c r="H17">
        <v>1.31</v>
      </c>
      <c r="I17">
        <v>0.59</v>
      </c>
      <c r="J17">
        <v>0.01</v>
      </c>
      <c r="K17">
        <v>26.53</v>
      </c>
      <c r="L17">
        <v>3.47</v>
      </c>
      <c r="M17">
        <v>1.05</v>
      </c>
      <c r="N17">
        <v>0.73</v>
      </c>
      <c r="O17">
        <v>0</v>
      </c>
      <c r="P17">
        <v>0</v>
      </c>
      <c r="Q17" t="s">
        <v>502</v>
      </c>
      <c r="R17" t="s">
        <v>516</v>
      </c>
      <c r="U17" t="s">
        <v>266</v>
      </c>
      <c r="V17" t="s">
        <v>0</v>
      </c>
      <c r="W17" t="s">
        <v>199</v>
      </c>
      <c r="X17" t="s">
        <v>164</v>
      </c>
      <c r="Y17" t="s">
        <v>366</v>
      </c>
      <c r="Z17" t="s">
        <v>367</v>
      </c>
      <c r="AA17" t="s">
        <v>267</v>
      </c>
      <c r="AB17" t="s">
        <v>368</v>
      </c>
      <c r="AC17" t="s">
        <v>369</v>
      </c>
      <c r="AD17" t="s">
        <v>370</v>
      </c>
      <c r="AE17" t="s">
        <v>371</v>
      </c>
      <c r="AF17" t="s">
        <v>372</v>
      </c>
      <c r="AG17" t="s">
        <v>373</v>
      </c>
      <c r="AH17" t="s">
        <v>374</v>
      </c>
      <c r="AI17" t="s">
        <v>375</v>
      </c>
      <c r="AJ17" t="s">
        <v>376</v>
      </c>
      <c r="AK17" t="s">
        <v>377</v>
      </c>
      <c r="AL17" t="s">
        <v>378</v>
      </c>
      <c r="AM17" t="s">
        <v>269</v>
      </c>
      <c r="AN17" t="s">
        <v>379</v>
      </c>
      <c r="AO17" t="s">
        <v>380</v>
      </c>
      <c r="AP17" t="s">
        <v>381</v>
      </c>
      <c r="AQ17" t="s">
        <v>382</v>
      </c>
      <c r="AR17" t="s">
        <v>383</v>
      </c>
      <c r="AS17" t="s">
        <v>384</v>
      </c>
      <c r="AT17" t="s">
        <v>385</v>
      </c>
      <c r="AU17" t="s">
        <v>175</v>
      </c>
      <c r="AV17" t="s">
        <v>386</v>
      </c>
      <c r="AW17" t="s">
        <v>387</v>
      </c>
      <c r="AX17" t="s">
        <v>388</v>
      </c>
      <c r="AY17" t="s">
        <v>389</v>
      </c>
      <c r="AZ17" t="s">
        <v>390</v>
      </c>
      <c r="BA17" t="s">
        <v>391</v>
      </c>
      <c r="BB17" t="s">
        <v>392</v>
      </c>
      <c r="BC17" t="s">
        <v>393</v>
      </c>
      <c r="BD17" t="s">
        <v>394</v>
      </c>
      <c r="BE17" t="s">
        <v>395</v>
      </c>
      <c r="BF17" t="s">
        <v>396</v>
      </c>
      <c r="BG17" t="s">
        <v>397</v>
      </c>
      <c r="BH17" t="s">
        <v>398</v>
      </c>
      <c r="BI17" t="s">
        <v>399</v>
      </c>
      <c r="BJ17" t="s">
        <v>400</v>
      </c>
      <c r="BK17" t="s">
        <v>401</v>
      </c>
      <c r="BL17" t="s">
        <v>402</v>
      </c>
      <c r="BM17" t="s">
        <v>403</v>
      </c>
      <c r="BN17" t="s">
        <v>404</v>
      </c>
      <c r="BO17" t="s">
        <v>405</v>
      </c>
      <c r="BP17" t="s">
        <v>281</v>
      </c>
      <c r="BQ17" t="s">
        <v>406</v>
      </c>
      <c r="BR17" t="s">
        <v>407</v>
      </c>
      <c r="BS17" t="s">
        <v>408</v>
      </c>
      <c r="BT17" t="s">
        <v>409</v>
      </c>
      <c r="BU17" t="s">
        <v>410</v>
      </c>
      <c r="BV17" t="s">
        <v>411</v>
      </c>
      <c r="BW17" t="s">
        <v>412</v>
      </c>
      <c r="BX17" t="s">
        <v>413</v>
      </c>
      <c r="BY17" t="s">
        <v>414</v>
      </c>
      <c r="BZ17" t="s">
        <v>419</v>
      </c>
      <c r="CA17" t="s">
        <v>420</v>
      </c>
      <c r="CB17" t="s">
        <v>415</v>
      </c>
      <c r="CC17" t="s">
        <v>421</v>
      </c>
      <c r="CD17" t="s">
        <v>422</v>
      </c>
      <c r="CE17" t="s">
        <v>180</v>
      </c>
      <c r="CF17" t="s">
        <v>424</v>
      </c>
      <c r="CG17" t="s">
        <v>425</v>
      </c>
      <c r="CH17" t="s">
        <v>417</v>
      </c>
      <c r="CI17" t="s">
        <v>426</v>
      </c>
      <c r="CJ17" t="s">
        <v>427</v>
      </c>
      <c r="CK17" t="s">
        <v>184</v>
      </c>
      <c r="CL17" t="s">
        <v>517</v>
      </c>
      <c r="CM17" t="s">
        <v>518</v>
      </c>
      <c r="CN17" t="s">
        <v>519</v>
      </c>
      <c r="CO17" t="s">
        <v>430</v>
      </c>
      <c r="CP17" t="s">
        <v>431</v>
      </c>
      <c r="CQ17" t="s">
        <v>432</v>
      </c>
      <c r="CR17" t="s">
        <v>270</v>
      </c>
      <c r="CS17" t="s">
        <v>271</v>
      </c>
      <c r="CT17" t="s">
        <v>433</v>
      </c>
      <c r="CU17" t="s">
        <v>520</v>
      </c>
    </row>
    <row r="18" spans="1:99" x14ac:dyDescent="0.2">
      <c r="A18" t="s">
        <v>521</v>
      </c>
      <c r="B18" t="s">
        <v>169</v>
      </c>
      <c r="C18">
        <v>17</v>
      </c>
      <c r="D18" t="s">
        <v>500</v>
      </c>
      <c r="E18" t="s">
        <v>489</v>
      </c>
      <c r="F18">
        <v>1.5</v>
      </c>
      <c r="G18">
        <v>-1.49</v>
      </c>
      <c r="H18">
        <v>0.31</v>
      </c>
      <c r="I18">
        <v>0.61</v>
      </c>
      <c r="J18">
        <v>0.01</v>
      </c>
      <c r="K18">
        <v>19.77</v>
      </c>
      <c r="L18">
        <v>1.84</v>
      </c>
      <c r="M18">
        <v>-0.18</v>
      </c>
      <c r="N18">
        <v>0.42</v>
      </c>
      <c r="O18">
        <v>1</v>
      </c>
      <c r="P18">
        <v>0</v>
      </c>
      <c r="Q18" t="s">
        <v>492</v>
      </c>
      <c r="U18">
        <v>20220527.07</v>
      </c>
      <c r="V18" s="13">
        <v>44708.322222222225</v>
      </c>
      <c r="W18" t="s">
        <v>522</v>
      </c>
      <c r="X18">
        <v>6433</v>
      </c>
      <c r="Y18" t="s">
        <v>441</v>
      </c>
      <c r="Z18" t="s">
        <v>442</v>
      </c>
      <c r="AA18" t="s">
        <v>249</v>
      </c>
      <c r="AB18">
        <v>4000</v>
      </c>
      <c r="AC18">
        <v>55.72</v>
      </c>
      <c r="AD18">
        <v>13.93</v>
      </c>
      <c r="AE18" s="14">
        <v>6.59E-11</v>
      </c>
      <c r="AF18">
        <v>4.5520999999999999E-2</v>
      </c>
      <c r="AG18">
        <v>2</v>
      </c>
      <c r="AH18">
        <v>0.28000000000000003</v>
      </c>
      <c r="AI18" t="s">
        <v>523</v>
      </c>
      <c r="AJ18" t="b">
        <v>0</v>
      </c>
      <c r="AK18" t="s">
        <v>444</v>
      </c>
      <c r="AL18">
        <v>3</v>
      </c>
      <c r="AM18">
        <v>20</v>
      </c>
      <c r="AN18">
        <v>20</v>
      </c>
      <c r="AO18" s="14">
        <v>4.3000000000000001E-8</v>
      </c>
      <c r="AP18" s="14">
        <v>3.8600000000000002E-8</v>
      </c>
      <c r="AQ18">
        <v>1.8731570280000001</v>
      </c>
      <c r="AR18">
        <v>7.6230799999999995E-4</v>
      </c>
      <c r="AS18">
        <v>0</v>
      </c>
      <c r="AT18">
        <v>7.4354002890000004</v>
      </c>
      <c r="AU18">
        <v>1.246748E-3</v>
      </c>
      <c r="AV18">
        <v>38.575228510000002</v>
      </c>
      <c r="AW18">
        <v>0</v>
      </c>
      <c r="AX18">
        <v>11.85634544</v>
      </c>
      <c r="AY18">
        <v>7.2433700000000003E-4</v>
      </c>
      <c r="AZ18">
        <v>0</v>
      </c>
      <c r="BA18">
        <v>7.3955097729999997</v>
      </c>
      <c r="BB18">
        <v>1.245606E-3</v>
      </c>
      <c r="BC18">
        <v>19.234304590000001</v>
      </c>
      <c r="BD18">
        <v>8.823684E-3</v>
      </c>
      <c r="BE18">
        <v>0</v>
      </c>
      <c r="BF18">
        <v>14.78258986</v>
      </c>
      <c r="BG18">
        <v>3.2340565000000002E-2</v>
      </c>
      <c r="BH18">
        <v>0</v>
      </c>
      <c r="BI18">
        <v>-2.9845313419999999</v>
      </c>
      <c r="BJ18">
        <v>2.2937244940000001</v>
      </c>
      <c r="BK18">
        <v>0</v>
      </c>
      <c r="BL18">
        <v>-0.35483356399999999</v>
      </c>
      <c r="BM18">
        <v>8.7552610000000003E-3</v>
      </c>
      <c r="BN18">
        <v>0</v>
      </c>
      <c r="BO18">
        <v>-6.2092791000000001E-2</v>
      </c>
      <c r="BP18">
        <v>3.2271514000000001E-2</v>
      </c>
      <c r="BQ18">
        <v>0</v>
      </c>
      <c r="BR18">
        <v>-29.588034960000002</v>
      </c>
      <c r="BS18">
        <v>2.2324186770000001</v>
      </c>
      <c r="BT18">
        <v>0</v>
      </c>
      <c r="BU18">
        <v>9</v>
      </c>
      <c r="BV18" t="s">
        <v>198</v>
      </c>
      <c r="BW18" t="s">
        <v>198</v>
      </c>
      <c r="BX18">
        <v>7.7512100000000003E-4</v>
      </c>
      <c r="BY18">
        <v>1.0308991839999999</v>
      </c>
      <c r="BZ18">
        <v>0.94706927900000004</v>
      </c>
      <c r="CA18">
        <v>0.56590205800000004</v>
      </c>
      <c r="CB18">
        <v>37.9</v>
      </c>
      <c r="CC18">
        <v>34.9</v>
      </c>
      <c r="CD18">
        <v>-1.5073899999999999E-4</v>
      </c>
      <c r="CE18">
        <v>1.316967701</v>
      </c>
      <c r="CF18">
        <v>0.27153996000000002</v>
      </c>
      <c r="CG18">
        <v>0.192700384</v>
      </c>
      <c r="CH18" t="s">
        <v>198</v>
      </c>
      <c r="CI18" t="s">
        <v>198</v>
      </c>
      <c r="CJ18">
        <v>0.986550182</v>
      </c>
      <c r="CK18">
        <v>-8.914390032</v>
      </c>
      <c r="CL18">
        <v>0.99824982799999995</v>
      </c>
      <c r="CM18">
        <v>-0.272502362</v>
      </c>
      <c r="CN18">
        <v>1.59737632</v>
      </c>
      <c r="CO18">
        <v>-1.57899452</v>
      </c>
      <c r="CP18">
        <v>-1.5566669470000001</v>
      </c>
      <c r="CQ18">
        <v>1.608382797</v>
      </c>
    </row>
    <row r="19" spans="1:99" x14ac:dyDescent="0.2">
      <c r="A19" t="s">
        <v>524</v>
      </c>
      <c r="B19" t="s">
        <v>169</v>
      </c>
      <c r="C19">
        <v>18</v>
      </c>
      <c r="D19" t="s">
        <v>525</v>
      </c>
      <c r="E19" t="s">
        <v>489</v>
      </c>
      <c r="F19">
        <v>2.5</v>
      </c>
      <c r="G19">
        <v>-0.79</v>
      </c>
      <c r="H19">
        <v>-0.44</v>
      </c>
      <c r="I19">
        <v>0.59</v>
      </c>
      <c r="J19">
        <v>0.01</v>
      </c>
      <c r="K19">
        <v>25.13</v>
      </c>
      <c r="L19">
        <v>3.25</v>
      </c>
      <c r="M19">
        <v>1.62</v>
      </c>
      <c r="N19">
        <v>0.66</v>
      </c>
      <c r="O19" t="s">
        <v>495</v>
      </c>
      <c r="P19" t="s">
        <v>495</v>
      </c>
      <c r="Q19" t="s">
        <v>496</v>
      </c>
    </row>
    <row r="20" spans="1:99" x14ac:dyDescent="0.2">
      <c r="A20" t="s">
        <v>526</v>
      </c>
      <c r="B20" t="s">
        <v>169</v>
      </c>
      <c r="C20">
        <v>19</v>
      </c>
      <c r="D20" t="s">
        <v>352</v>
      </c>
      <c r="E20" t="s">
        <v>489</v>
      </c>
      <c r="F20">
        <v>3</v>
      </c>
      <c r="G20">
        <v>-0.68</v>
      </c>
      <c r="H20">
        <v>0.7</v>
      </c>
      <c r="I20">
        <v>0.57999999999999996</v>
      </c>
      <c r="J20">
        <v>0.01</v>
      </c>
      <c r="K20">
        <v>28.7</v>
      </c>
      <c r="L20">
        <v>3.5</v>
      </c>
      <c r="M20">
        <v>2.4500000000000002</v>
      </c>
      <c r="N20">
        <v>0.72</v>
      </c>
      <c r="O20" t="s">
        <v>495</v>
      </c>
      <c r="P20" t="s">
        <v>495</v>
      </c>
      <c r="Q20" t="s">
        <v>496</v>
      </c>
    </row>
    <row r="21" spans="1:99" x14ac:dyDescent="0.2">
      <c r="A21" t="s">
        <v>527</v>
      </c>
      <c r="B21" t="s">
        <v>169</v>
      </c>
      <c r="C21">
        <v>20</v>
      </c>
      <c r="D21" t="s">
        <v>207</v>
      </c>
      <c r="E21" t="s">
        <v>489</v>
      </c>
      <c r="F21">
        <v>3.5</v>
      </c>
      <c r="G21">
        <v>-0.36</v>
      </c>
      <c r="H21">
        <v>0.91</v>
      </c>
      <c r="I21">
        <v>0.6</v>
      </c>
      <c r="J21">
        <v>0.01</v>
      </c>
      <c r="K21">
        <v>23.2</v>
      </c>
      <c r="L21">
        <v>3.09</v>
      </c>
      <c r="M21">
        <v>1.66</v>
      </c>
      <c r="N21">
        <v>0.64</v>
      </c>
      <c r="O21">
        <v>3</v>
      </c>
      <c r="P21">
        <v>2</v>
      </c>
      <c r="Q21" t="s">
        <v>490</v>
      </c>
    </row>
    <row r="22" spans="1:99" x14ac:dyDescent="0.2">
      <c r="A22" t="s">
        <v>528</v>
      </c>
      <c r="B22" t="s">
        <v>169</v>
      </c>
      <c r="C22">
        <v>21</v>
      </c>
      <c r="D22" t="s">
        <v>529</v>
      </c>
      <c r="E22" t="s">
        <v>489</v>
      </c>
      <c r="F22">
        <v>4</v>
      </c>
      <c r="G22">
        <v>-0.65</v>
      </c>
      <c r="H22">
        <v>-1.21</v>
      </c>
      <c r="I22">
        <v>0.6</v>
      </c>
      <c r="J22">
        <v>0</v>
      </c>
      <c r="K22">
        <v>24.6</v>
      </c>
      <c r="L22">
        <v>1.29</v>
      </c>
      <c r="M22">
        <v>1.66</v>
      </c>
      <c r="N22">
        <v>0.28000000000000003</v>
      </c>
      <c r="O22" t="s">
        <v>495</v>
      </c>
      <c r="P22" t="s">
        <v>495</v>
      </c>
      <c r="Q22" t="s">
        <v>496</v>
      </c>
    </row>
    <row r="23" spans="1:99" x14ac:dyDescent="0.2">
      <c r="A23" t="s">
        <v>530</v>
      </c>
      <c r="B23" t="s">
        <v>169</v>
      </c>
      <c r="C23">
        <v>22</v>
      </c>
      <c r="D23" t="s">
        <v>531</v>
      </c>
      <c r="E23" t="s">
        <v>489</v>
      </c>
      <c r="F23">
        <v>-7.6</v>
      </c>
      <c r="G23">
        <v>-3.16</v>
      </c>
      <c r="H23">
        <v>-0.96</v>
      </c>
      <c r="O23" t="s">
        <v>495</v>
      </c>
      <c r="P23" t="s">
        <v>495</v>
      </c>
      <c r="Q23" t="s">
        <v>495</v>
      </c>
    </row>
    <row r="24" spans="1:99" x14ac:dyDescent="0.2">
      <c r="A24" t="s">
        <v>532</v>
      </c>
      <c r="B24" t="s">
        <v>169</v>
      </c>
      <c r="C24">
        <v>23</v>
      </c>
      <c r="D24" t="s">
        <v>352</v>
      </c>
      <c r="E24" t="s">
        <v>489</v>
      </c>
      <c r="F24">
        <v>-7.5</v>
      </c>
      <c r="G24">
        <v>0.78</v>
      </c>
      <c r="H24">
        <v>-0.36</v>
      </c>
      <c r="O24" t="s">
        <v>495</v>
      </c>
      <c r="P24" t="s">
        <v>495</v>
      </c>
      <c r="Q24" t="s">
        <v>495</v>
      </c>
    </row>
    <row r="25" spans="1:99" x14ac:dyDescent="0.2">
      <c r="A25" t="s">
        <v>533</v>
      </c>
      <c r="B25" t="s">
        <v>169</v>
      </c>
      <c r="C25">
        <v>24</v>
      </c>
      <c r="D25" t="s">
        <v>352</v>
      </c>
      <c r="E25" t="s">
        <v>489</v>
      </c>
      <c r="F25">
        <v>-7.5</v>
      </c>
      <c r="G25">
        <v>-0.82</v>
      </c>
      <c r="H25">
        <v>-1.1200000000000001</v>
      </c>
      <c r="O25" t="s">
        <v>495</v>
      </c>
      <c r="P25" t="s">
        <v>495</v>
      </c>
      <c r="Q25" t="s">
        <v>495</v>
      </c>
    </row>
    <row r="26" spans="1:99" x14ac:dyDescent="0.2">
      <c r="A26" t="s">
        <v>534</v>
      </c>
      <c r="B26" t="s">
        <v>169</v>
      </c>
      <c r="C26">
        <v>25</v>
      </c>
      <c r="D26" t="s">
        <v>531</v>
      </c>
      <c r="E26" t="s">
        <v>489</v>
      </c>
      <c r="F26">
        <v>-7.5</v>
      </c>
      <c r="G26">
        <v>-1.74</v>
      </c>
      <c r="H26">
        <v>-0.28999999999999998</v>
      </c>
      <c r="O26" t="s">
        <v>495</v>
      </c>
      <c r="P26" t="s">
        <v>495</v>
      </c>
      <c r="Q26" t="s">
        <v>495</v>
      </c>
    </row>
    <row r="27" spans="1:99" x14ac:dyDescent="0.2">
      <c r="A27" t="s">
        <v>535</v>
      </c>
      <c r="B27" t="s">
        <v>169</v>
      </c>
      <c r="C27">
        <v>26</v>
      </c>
      <c r="D27" t="s">
        <v>531</v>
      </c>
      <c r="E27" t="s">
        <v>489</v>
      </c>
      <c r="F27">
        <v>-7.4</v>
      </c>
      <c r="G27">
        <v>-1.17</v>
      </c>
      <c r="H27">
        <v>7.0000000000000007E-2</v>
      </c>
      <c r="O27" t="s">
        <v>495</v>
      </c>
      <c r="P27" t="s">
        <v>495</v>
      </c>
      <c r="Q27" t="s">
        <v>495</v>
      </c>
    </row>
    <row r="28" spans="1:99" x14ac:dyDescent="0.2">
      <c r="A28" t="s">
        <v>536</v>
      </c>
      <c r="B28" t="s">
        <v>169</v>
      </c>
      <c r="C28">
        <v>27</v>
      </c>
      <c r="D28" t="s">
        <v>537</v>
      </c>
      <c r="E28" t="s">
        <v>489</v>
      </c>
      <c r="F28">
        <v>-7</v>
      </c>
      <c r="G28">
        <v>-5.33</v>
      </c>
      <c r="H28">
        <v>-3.47</v>
      </c>
      <c r="O28" t="s">
        <v>495</v>
      </c>
      <c r="P28" t="s">
        <v>495</v>
      </c>
      <c r="Q28" t="s">
        <v>495</v>
      </c>
    </row>
    <row r="29" spans="1:99" x14ac:dyDescent="0.2">
      <c r="A29" t="s">
        <v>538</v>
      </c>
      <c r="B29" t="s">
        <v>169</v>
      </c>
      <c r="C29">
        <v>28</v>
      </c>
      <c r="D29" t="s">
        <v>207</v>
      </c>
      <c r="E29" t="s">
        <v>489</v>
      </c>
      <c r="F29">
        <v>-7</v>
      </c>
      <c r="G29">
        <v>0.91</v>
      </c>
      <c r="H29">
        <v>0.33</v>
      </c>
      <c r="O29" t="s">
        <v>495</v>
      </c>
      <c r="P29" t="s">
        <v>495</v>
      </c>
      <c r="Q29" t="s">
        <v>495</v>
      </c>
    </row>
    <row r="30" spans="1:99" x14ac:dyDescent="0.2">
      <c r="A30" t="s">
        <v>539</v>
      </c>
      <c r="B30" t="s">
        <v>169</v>
      </c>
      <c r="C30">
        <v>29</v>
      </c>
      <c r="D30" t="s">
        <v>537</v>
      </c>
      <c r="E30" t="s">
        <v>489</v>
      </c>
      <c r="F30">
        <v>-7</v>
      </c>
      <c r="G30">
        <v>-3.71</v>
      </c>
      <c r="H30">
        <v>-1.1000000000000001</v>
      </c>
      <c r="O30" t="s">
        <v>495</v>
      </c>
      <c r="P30" t="s">
        <v>495</v>
      </c>
      <c r="Q30" t="s">
        <v>495</v>
      </c>
    </row>
    <row r="31" spans="1:99" x14ac:dyDescent="0.2">
      <c r="A31" t="s">
        <v>540</v>
      </c>
      <c r="B31" t="s">
        <v>169</v>
      </c>
      <c r="C31">
        <v>30</v>
      </c>
      <c r="D31" t="s">
        <v>537</v>
      </c>
      <c r="E31" t="s">
        <v>489</v>
      </c>
      <c r="F31">
        <v>-6.5</v>
      </c>
      <c r="G31">
        <v>-3.82</v>
      </c>
      <c r="H31">
        <v>-1.1599999999999999</v>
      </c>
      <c r="O31">
        <v>2</v>
      </c>
      <c r="P31">
        <v>0</v>
      </c>
      <c r="Q31" t="s">
        <v>492</v>
      </c>
    </row>
    <row r="32" spans="1:99" x14ac:dyDescent="0.2">
      <c r="A32" t="s">
        <v>541</v>
      </c>
      <c r="B32" t="s">
        <v>169</v>
      </c>
      <c r="C32">
        <v>31</v>
      </c>
      <c r="D32" t="s">
        <v>537</v>
      </c>
      <c r="E32" t="s">
        <v>489</v>
      </c>
      <c r="F32">
        <v>-6.5</v>
      </c>
      <c r="G32">
        <v>-2.84</v>
      </c>
      <c r="H32">
        <v>-0.27</v>
      </c>
      <c r="O32" t="s">
        <v>542</v>
      </c>
      <c r="P32" t="s">
        <v>542</v>
      </c>
      <c r="Q32" t="s">
        <v>495</v>
      </c>
    </row>
    <row r="33" spans="1:18" x14ac:dyDescent="0.2">
      <c r="A33" t="s">
        <v>543</v>
      </c>
      <c r="B33" t="s">
        <v>169</v>
      </c>
      <c r="C33">
        <v>32</v>
      </c>
      <c r="D33" t="s">
        <v>352</v>
      </c>
      <c r="E33" t="s">
        <v>489</v>
      </c>
      <c r="F33">
        <v>-5.5</v>
      </c>
      <c r="G33">
        <v>-0.97</v>
      </c>
      <c r="H33">
        <v>-1.46</v>
      </c>
      <c r="O33">
        <v>2</v>
      </c>
      <c r="P33">
        <v>0</v>
      </c>
      <c r="Q33" t="s">
        <v>492</v>
      </c>
    </row>
    <row r="34" spans="1:18" x14ac:dyDescent="0.2">
      <c r="A34" t="s">
        <v>544</v>
      </c>
      <c r="B34" t="s">
        <v>169</v>
      </c>
      <c r="C34">
        <v>33</v>
      </c>
      <c r="D34" t="s">
        <v>207</v>
      </c>
      <c r="E34" t="s">
        <v>489</v>
      </c>
      <c r="F34">
        <v>-5</v>
      </c>
      <c r="G34">
        <v>-0.83</v>
      </c>
      <c r="H34">
        <v>-1.4</v>
      </c>
      <c r="O34" t="s">
        <v>495</v>
      </c>
      <c r="P34" t="s">
        <v>495</v>
      </c>
      <c r="Q34" t="s">
        <v>495</v>
      </c>
    </row>
    <row r="35" spans="1:18" x14ac:dyDescent="0.2">
      <c r="A35" t="s">
        <v>545</v>
      </c>
      <c r="B35" t="s">
        <v>169</v>
      </c>
      <c r="C35">
        <v>34</v>
      </c>
      <c r="D35" t="s">
        <v>352</v>
      </c>
      <c r="E35" t="s">
        <v>489</v>
      </c>
      <c r="F35">
        <v>-4.5</v>
      </c>
      <c r="G35">
        <v>1.42</v>
      </c>
      <c r="H35">
        <v>-1.96</v>
      </c>
      <c r="O35" t="s">
        <v>495</v>
      </c>
      <c r="P35" t="s">
        <v>495</v>
      </c>
      <c r="Q35" t="s">
        <v>495</v>
      </c>
    </row>
    <row r="36" spans="1:18" x14ac:dyDescent="0.2">
      <c r="A36" t="s">
        <v>546</v>
      </c>
      <c r="B36" t="s">
        <v>169</v>
      </c>
      <c r="C36">
        <v>35</v>
      </c>
      <c r="D36" t="s">
        <v>207</v>
      </c>
      <c r="E36" t="s">
        <v>489</v>
      </c>
      <c r="F36">
        <v>-4.5</v>
      </c>
      <c r="G36">
        <v>1.6</v>
      </c>
      <c r="H36">
        <v>-1.04</v>
      </c>
      <c r="O36" t="s">
        <v>495</v>
      </c>
      <c r="P36" t="s">
        <v>495</v>
      </c>
      <c r="Q36" t="s">
        <v>495</v>
      </c>
    </row>
    <row r="37" spans="1:18" x14ac:dyDescent="0.2">
      <c r="A37" t="s">
        <v>547</v>
      </c>
      <c r="B37" t="s">
        <v>169</v>
      </c>
      <c r="C37">
        <v>36</v>
      </c>
      <c r="D37" t="s">
        <v>537</v>
      </c>
      <c r="E37" t="s">
        <v>489</v>
      </c>
      <c r="F37">
        <v>-4.5</v>
      </c>
      <c r="G37">
        <v>1.54</v>
      </c>
      <c r="H37">
        <v>-1.72</v>
      </c>
      <c r="O37">
        <v>2</v>
      </c>
      <c r="P37">
        <v>0</v>
      </c>
      <c r="Q37" t="s">
        <v>492</v>
      </c>
      <c r="R37" t="s">
        <v>548</v>
      </c>
    </row>
    <row r="38" spans="1:18" x14ac:dyDescent="0.2">
      <c r="A38" t="s">
        <v>549</v>
      </c>
      <c r="B38" t="s">
        <v>169</v>
      </c>
      <c r="C38">
        <v>37</v>
      </c>
      <c r="D38" t="s">
        <v>537</v>
      </c>
      <c r="E38" t="s">
        <v>489</v>
      </c>
      <c r="F38">
        <v>-4.5</v>
      </c>
      <c r="G38">
        <v>1.44</v>
      </c>
      <c r="H38">
        <v>-3.74</v>
      </c>
      <c r="O38">
        <v>2</v>
      </c>
      <c r="P38">
        <v>0</v>
      </c>
      <c r="Q38" t="s">
        <v>492</v>
      </c>
    </row>
    <row r="39" spans="1:18" x14ac:dyDescent="0.2">
      <c r="A39" t="s">
        <v>550</v>
      </c>
      <c r="B39" t="s">
        <v>169</v>
      </c>
      <c r="C39">
        <v>38</v>
      </c>
      <c r="D39" t="s">
        <v>551</v>
      </c>
      <c r="E39" t="s">
        <v>489</v>
      </c>
      <c r="F39">
        <v>-4</v>
      </c>
      <c r="G39">
        <v>1.3</v>
      </c>
      <c r="H39">
        <v>-0.51</v>
      </c>
      <c r="O39" t="s">
        <v>495</v>
      </c>
      <c r="P39" t="s">
        <v>495</v>
      </c>
      <c r="Q39" t="s">
        <v>495</v>
      </c>
    </row>
    <row r="40" spans="1:18" x14ac:dyDescent="0.2">
      <c r="A40" t="s">
        <v>552</v>
      </c>
      <c r="B40" t="s">
        <v>169</v>
      </c>
      <c r="C40">
        <v>39</v>
      </c>
      <c r="D40" t="s">
        <v>537</v>
      </c>
      <c r="E40" t="s">
        <v>489</v>
      </c>
      <c r="F40">
        <v>-4</v>
      </c>
      <c r="G40">
        <v>-4.75</v>
      </c>
      <c r="H40">
        <v>-2.4300000000000002</v>
      </c>
      <c r="O40">
        <v>1</v>
      </c>
      <c r="P40">
        <v>0</v>
      </c>
      <c r="Q40" t="s">
        <v>492</v>
      </c>
      <c r="R40" t="s">
        <v>548</v>
      </c>
    </row>
    <row r="41" spans="1:18" x14ac:dyDescent="0.2">
      <c r="A41" t="s">
        <v>553</v>
      </c>
      <c r="B41" t="s">
        <v>169</v>
      </c>
      <c r="C41">
        <v>40</v>
      </c>
      <c r="D41" t="s">
        <v>488</v>
      </c>
      <c r="E41" t="s">
        <v>489</v>
      </c>
      <c r="F41">
        <v>-3.5</v>
      </c>
      <c r="G41">
        <v>-3.32</v>
      </c>
      <c r="H41">
        <v>-1</v>
      </c>
      <c r="O41" t="s">
        <v>495</v>
      </c>
      <c r="P41" t="s">
        <v>495</v>
      </c>
      <c r="Q41" t="s">
        <v>495</v>
      </c>
    </row>
    <row r="42" spans="1:18" x14ac:dyDescent="0.2">
      <c r="A42" t="s">
        <v>554</v>
      </c>
      <c r="B42" t="s">
        <v>169</v>
      </c>
      <c r="C42">
        <v>41</v>
      </c>
      <c r="D42" t="s">
        <v>555</v>
      </c>
      <c r="E42" t="s">
        <v>489</v>
      </c>
      <c r="F42">
        <v>-1</v>
      </c>
      <c r="G42">
        <v>-3.2</v>
      </c>
      <c r="H42">
        <v>-0.47</v>
      </c>
      <c r="O42" t="s">
        <v>495</v>
      </c>
      <c r="P42" t="s">
        <v>495</v>
      </c>
      <c r="Q42" t="s">
        <v>495</v>
      </c>
    </row>
    <row r="43" spans="1:18" x14ac:dyDescent="0.2">
      <c r="A43" t="s">
        <v>556</v>
      </c>
      <c r="B43" t="s">
        <v>169</v>
      </c>
      <c r="C43">
        <v>42</v>
      </c>
      <c r="D43" t="s">
        <v>551</v>
      </c>
      <c r="E43" t="s">
        <v>489</v>
      </c>
      <c r="F43">
        <v>-1</v>
      </c>
      <c r="G43">
        <v>0.61</v>
      </c>
      <c r="H43">
        <v>-2.38</v>
      </c>
      <c r="O43">
        <v>2</v>
      </c>
      <c r="P43">
        <v>1</v>
      </c>
      <c r="Q43" t="s">
        <v>490</v>
      </c>
    </row>
    <row r="44" spans="1:18" x14ac:dyDescent="0.2">
      <c r="A44" t="s">
        <v>557</v>
      </c>
      <c r="B44" t="s">
        <v>169</v>
      </c>
      <c r="C44">
        <v>43</v>
      </c>
      <c r="D44" t="s">
        <v>537</v>
      </c>
      <c r="E44" t="s">
        <v>489</v>
      </c>
      <c r="F44">
        <v>-1</v>
      </c>
      <c r="G44">
        <v>-2.21</v>
      </c>
      <c r="H44">
        <v>-1.65</v>
      </c>
      <c r="O44" t="s">
        <v>495</v>
      </c>
      <c r="P44" t="s">
        <v>495</v>
      </c>
      <c r="Q44" t="s">
        <v>495</v>
      </c>
    </row>
    <row r="45" spans="1:18" x14ac:dyDescent="0.2">
      <c r="A45" t="s">
        <v>558</v>
      </c>
      <c r="B45" t="s">
        <v>169</v>
      </c>
      <c r="C45">
        <v>44</v>
      </c>
      <c r="D45" t="s">
        <v>551</v>
      </c>
      <c r="E45" t="s">
        <v>489</v>
      </c>
      <c r="F45">
        <v>-0.6</v>
      </c>
      <c r="G45">
        <v>1.29</v>
      </c>
      <c r="H45">
        <v>-0.72</v>
      </c>
      <c r="O45" t="s">
        <v>495</v>
      </c>
      <c r="P45" t="s">
        <v>495</v>
      </c>
      <c r="Q45" t="s">
        <v>495</v>
      </c>
      <c r="R45" t="s">
        <v>559</v>
      </c>
    </row>
    <row r="46" spans="1:18" x14ac:dyDescent="0.2">
      <c r="A46" t="s">
        <v>560</v>
      </c>
      <c r="B46" t="s">
        <v>169</v>
      </c>
      <c r="C46">
        <v>45</v>
      </c>
      <c r="D46" t="s">
        <v>531</v>
      </c>
      <c r="E46" t="s">
        <v>489</v>
      </c>
      <c r="F46">
        <v>-0.5</v>
      </c>
      <c r="G46">
        <v>-1.9</v>
      </c>
      <c r="H46">
        <v>-0.77</v>
      </c>
      <c r="O46" t="s">
        <v>495</v>
      </c>
      <c r="P46" t="s">
        <v>495</v>
      </c>
      <c r="Q46" t="s">
        <v>495</v>
      </c>
    </row>
    <row r="47" spans="1:18" x14ac:dyDescent="0.2">
      <c r="A47" t="s">
        <v>561</v>
      </c>
      <c r="B47" t="s">
        <v>169</v>
      </c>
      <c r="C47">
        <v>46</v>
      </c>
      <c r="D47" t="s">
        <v>551</v>
      </c>
      <c r="E47" t="s">
        <v>489</v>
      </c>
      <c r="F47">
        <v>-0.5</v>
      </c>
      <c r="G47">
        <v>-2.41</v>
      </c>
      <c r="H47">
        <v>-1.46</v>
      </c>
      <c r="O47" t="s">
        <v>495</v>
      </c>
      <c r="P47" t="s">
        <v>495</v>
      </c>
      <c r="Q47" t="s">
        <v>495</v>
      </c>
    </row>
    <row r="48" spans="1:18" x14ac:dyDescent="0.2">
      <c r="A48" t="s">
        <v>562</v>
      </c>
      <c r="B48" t="s">
        <v>169</v>
      </c>
      <c r="C48">
        <v>47</v>
      </c>
      <c r="D48" t="s">
        <v>537</v>
      </c>
      <c r="E48" t="s">
        <v>489</v>
      </c>
      <c r="F48">
        <v>-0.5</v>
      </c>
      <c r="G48">
        <v>-2.19</v>
      </c>
      <c r="H48">
        <v>-1.83</v>
      </c>
      <c r="O48" t="s">
        <v>495</v>
      </c>
      <c r="P48" t="s">
        <v>495</v>
      </c>
      <c r="Q48" t="s">
        <v>495</v>
      </c>
    </row>
    <row r="49" spans="1:18" x14ac:dyDescent="0.2">
      <c r="A49" t="s">
        <v>563</v>
      </c>
      <c r="B49" t="s">
        <v>169</v>
      </c>
      <c r="C49">
        <v>48</v>
      </c>
      <c r="D49" t="s">
        <v>207</v>
      </c>
      <c r="E49" t="s">
        <v>489</v>
      </c>
      <c r="F49">
        <v>-0.1</v>
      </c>
      <c r="G49">
        <v>1.78</v>
      </c>
      <c r="H49">
        <v>-0.62</v>
      </c>
      <c r="O49" t="s">
        <v>495</v>
      </c>
      <c r="P49" t="s">
        <v>495</v>
      </c>
      <c r="Q49" t="s">
        <v>495</v>
      </c>
    </row>
    <row r="50" spans="1:18" x14ac:dyDescent="0.2">
      <c r="A50" t="s">
        <v>564</v>
      </c>
      <c r="B50" t="s">
        <v>169</v>
      </c>
      <c r="C50">
        <v>49</v>
      </c>
      <c r="D50" t="s">
        <v>537</v>
      </c>
      <c r="E50" t="s">
        <v>489</v>
      </c>
      <c r="F50">
        <v>-0.1</v>
      </c>
      <c r="G50">
        <v>-3.76</v>
      </c>
      <c r="H50">
        <v>-1.66</v>
      </c>
      <c r="O50" t="s">
        <v>495</v>
      </c>
      <c r="P50" t="s">
        <v>495</v>
      </c>
      <c r="Q50" t="s">
        <v>495</v>
      </c>
    </row>
    <row r="51" spans="1:18" x14ac:dyDescent="0.2">
      <c r="A51" t="s">
        <v>565</v>
      </c>
      <c r="B51" t="s">
        <v>169</v>
      </c>
      <c r="C51">
        <v>50</v>
      </c>
      <c r="D51" t="s">
        <v>352</v>
      </c>
      <c r="E51" t="s">
        <v>489</v>
      </c>
      <c r="F51">
        <v>-0.05</v>
      </c>
      <c r="G51">
        <v>1.79</v>
      </c>
      <c r="H51">
        <v>-0.83</v>
      </c>
      <c r="O51" t="s">
        <v>495</v>
      </c>
      <c r="P51" t="s">
        <v>495</v>
      </c>
      <c r="Q51" t="s">
        <v>495</v>
      </c>
    </row>
    <row r="52" spans="1:18" x14ac:dyDescent="0.2">
      <c r="A52" t="s">
        <v>566</v>
      </c>
      <c r="B52" t="s">
        <v>169</v>
      </c>
      <c r="C52">
        <v>51</v>
      </c>
      <c r="D52" t="s">
        <v>352</v>
      </c>
      <c r="E52" t="s">
        <v>489</v>
      </c>
      <c r="F52">
        <v>0</v>
      </c>
      <c r="G52">
        <v>-9.48</v>
      </c>
      <c r="H52">
        <v>-1.58</v>
      </c>
      <c r="O52" t="s">
        <v>495</v>
      </c>
      <c r="P52" t="s">
        <v>495</v>
      </c>
      <c r="Q52" t="s">
        <v>495</v>
      </c>
    </row>
    <row r="53" spans="1:18" x14ac:dyDescent="0.2">
      <c r="A53" t="s">
        <v>567</v>
      </c>
      <c r="B53" t="s">
        <v>169</v>
      </c>
      <c r="C53">
        <v>52</v>
      </c>
      <c r="D53" t="s">
        <v>500</v>
      </c>
      <c r="E53" t="s">
        <v>489</v>
      </c>
      <c r="F53">
        <v>0</v>
      </c>
      <c r="G53">
        <v>0.67</v>
      </c>
      <c r="H53">
        <v>-2.71</v>
      </c>
      <c r="O53">
        <v>0</v>
      </c>
      <c r="P53">
        <v>0</v>
      </c>
      <c r="Q53" t="s">
        <v>502</v>
      </c>
    </row>
    <row r="54" spans="1:18" x14ac:dyDescent="0.2">
      <c r="A54" t="s">
        <v>568</v>
      </c>
      <c r="B54" t="s">
        <v>169</v>
      </c>
      <c r="C54">
        <v>53</v>
      </c>
      <c r="D54" t="s">
        <v>500</v>
      </c>
      <c r="E54" t="s">
        <v>489</v>
      </c>
      <c r="F54">
        <v>0.5</v>
      </c>
      <c r="G54">
        <v>1.95</v>
      </c>
      <c r="H54">
        <v>-3.07</v>
      </c>
      <c r="O54">
        <v>1</v>
      </c>
      <c r="P54">
        <v>0</v>
      </c>
      <c r="Q54" t="s">
        <v>492</v>
      </c>
    </row>
    <row r="55" spans="1:18" x14ac:dyDescent="0.2">
      <c r="A55" t="s">
        <v>569</v>
      </c>
      <c r="B55" t="s">
        <v>169</v>
      </c>
      <c r="C55">
        <v>54</v>
      </c>
      <c r="D55" t="s">
        <v>500</v>
      </c>
      <c r="E55" t="s">
        <v>489</v>
      </c>
      <c r="F55">
        <v>0.5</v>
      </c>
      <c r="G55">
        <v>2.17</v>
      </c>
      <c r="H55">
        <v>-0.5</v>
      </c>
      <c r="O55">
        <v>0</v>
      </c>
      <c r="P55">
        <v>1</v>
      </c>
      <c r="Q55" t="s">
        <v>490</v>
      </c>
    </row>
    <row r="56" spans="1:18" x14ac:dyDescent="0.2">
      <c r="A56" t="s">
        <v>570</v>
      </c>
      <c r="B56" t="s">
        <v>169</v>
      </c>
      <c r="C56">
        <v>55</v>
      </c>
      <c r="D56" t="s">
        <v>352</v>
      </c>
      <c r="E56" t="s">
        <v>489</v>
      </c>
      <c r="F56">
        <v>1</v>
      </c>
      <c r="G56">
        <v>-3.96</v>
      </c>
      <c r="H56">
        <v>-1.57</v>
      </c>
      <c r="O56" t="s">
        <v>495</v>
      </c>
      <c r="P56" t="s">
        <v>495</v>
      </c>
      <c r="Q56" t="s">
        <v>495</v>
      </c>
    </row>
    <row r="57" spans="1:18" x14ac:dyDescent="0.2">
      <c r="A57" t="s">
        <v>571</v>
      </c>
      <c r="B57" t="s">
        <v>169</v>
      </c>
      <c r="C57">
        <v>56</v>
      </c>
      <c r="D57" t="s">
        <v>525</v>
      </c>
      <c r="E57" t="s">
        <v>489</v>
      </c>
      <c r="F57">
        <v>2.5</v>
      </c>
      <c r="G57">
        <v>-0.31</v>
      </c>
      <c r="H57">
        <v>-1.1200000000000001</v>
      </c>
      <c r="O57" t="s">
        <v>495</v>
      </c>
      <c r="P57" t="s">
        <v>495</v>
      </c>
      <c r="Q57" t="s">
        <v>495</v>
      </c>
    </row>
    <row r="58" spans="1:18" x14ac:dyDescent="0.2">
      <c r="A58" t="s">
        <v>572</v>
      </c>
      <c r="B58" t="s">
        <v>169</v>
      </c>
      <c r="C58">
        <v>57</v>
      </c>
      <c r="D58" t="s">
        <v>488</v>
      </c>
      <c r="E58" t="s">
        <v>489</v>
      </c>
      <c r="F58">
        <v>3</v>
      </c>
      <c r="G58">
        <v>0.62</v>
      </c>
      <c r="H58">
        <v>-1.26</v>
      </c>
      <c r="O58" t="s">
        <v>495</v>
      </c>
      <c r="P58" t="s">
        <v>495</v>
      </c>
      <c r="Q58" t="s">
        <v>495</v>
      </c>
    </row>
    <row r="59" spans="1:18" x14ac:dyDescent="0.2">
      <c r="A59" t="s">
        <v>573</v>
      </c>
      <c r="B59" t="s">
        <v>169</v>
      </c>
      <c r="C59">
        <v>58</v>
      </c>
      <c r="D59" t="s">
        <v>488</v>
      </c>
      <c r="E59" t="s">
        <v>489</v>
      </c>
      <c r="F59">
        <v>3.5</v>
      </c>
      <c r="G59">
        <v>0.24</v>
      </c>
      <c r="H59">
        <v>-1.47</v>
      </c>
      <c r="O59" t="s">
        <v>495</v>
      </c>
      <c r="P59" t="s">
        <v>495</v>
      </c>
      <c r="Q59" t="s">
        <v>495</v>
      </c>
    </row>
    <row r="60" spans="1:18" x14ac:dyDescent="0.2">
      <c r="A60" t="s">
        <v>574</v>
      </c>
      <c r="B60" t="s">
        <v>169</v>
      </c>
      <c r="C60">
        <v>59</v>
      </c>
      <c r="D60" t="s">
        <v>352</v>
      </c>
      <c r="E60" t="s">
        <v>489</v>
      </c>
      <c r="F60">
        <v>3.5</v>
      </c>
      <c r="G60">
        <v>-2.4300000000000002</v>
      </c>
      <c r="H60">
        <v>-0.8</v>
      </c>
      <c r="O60">
        <v>3</v>
      </c>
      <c r="P60">
        <v>0</v>
      </c>
      <c r="Q60" t="s">
        <v>492</v>
      </c>
    </row>
    <row r="61" spans="1:18" x14ac:dyDescent="0.2">
      <c r="A61" t="s">
        <v>575</v>
      </c>
      <c r="B61" t="s">
        <v>169</v>
      </c>
      <c r="C61">
        <v>60</v>
      </c>
      <c r="D61" t="s">
        <v>488</v>
      </c>
      <c r="E61" t="s">
        <v>489</v>
      </c>
      <c r="F61">
        <v>3.5</v>
      </c>
      <c r="G61">
        <v>1</v>
      </c>
      <c r="H61">
        <v>-0.13</v>
      </c>
      <c r="O61">
        <v>3</v>
      </c>
      <c r="P61">
        <v>0</v>
      </c>
      <c r="Q61" t="s">
        <v>492</v>
      </c>
    </row>
    <row r="62" spans="1:18" x14ac:dyDescent="0.2">
      <c r="A62" t="s">
        <v>576</v>
      </c>
      <c r="B62" t="s">
        <v>169</v>
      </c>
      <c r="C62">
        <v>61</v>
      </c>
      <c r="D62" t="s">
        <v>488</v>
      </c>
      <c r="E62" t="s">
        <v>489</v>
      </c>
      <c r="F62">
        <v>4</v>
      </c>
      <c r="G62">
        <v>-0.64</v>
      </c>
      <c r="H62">
        <v>-0.63</v>
      </c>
      <c r="O62">
        <v>3</v>
      </c>
      <c r="P62">
        <v>0</v>
      </c>
      <c r="Q62" t="s">
        <v>492</v>
      </c>
    </row>
    <row r="63" spans="1:18" x14ac:dyDescent="0.2">
      <c r="A63" t="s">
        <v>577</v>
      </c>
      <c r="B63" t="s">
        <v>169</v>
      </c>
      <c r="C63">
        <v>62</v>
      </c>
      <c r="D63" t="s">
        <v>488</v>
      </c>
      <c r="E63" t="s">
        <v>489</v>
      </c>
      <c r="F63">
        <v>4</v>
      </c>
      <c r="G63">
        <v>-0.32</v>
      </c>
      <c r="H63">
        <v>-0.7</v>
      </c>
      <c r="O63">
        <v>3</v>
      </c>
      <c r="P63">
        <v>0</v>
      </c>
      <c r="Q63" t="s">
        <v>492</v>
      </c>
      <c r="R63" t="s">
        <v>578</v>
      </c>
    </row>
    <row r="64" spans="1:18" x14ac:dyDescent="0.2">
      <c r="A64" t="s">
        <v>579</v>
      </c>
      <c r="B64" t="s">
        <v>169</v>
      </c>
      <c r="C64">
        <v>63</v>
      </c>
      <c r="D64" t="s">
        <v>537</v>
      </c>
      <c r="E64" t="s">
        <v>580</v>
      </c>
      <c r="F64">
        <v>-0.2</v>
      </c>
      <c r="G64">
        <v>-6.21</v>
      </c>
      <c r="H64">
        <v>-0.11</v>
      </c>
      <c r="O64">
        <v>3</v>
      </c>
      <c r="P64">
        <v>0</v>
      </c>
      <c r="Q64" t="s">
        <v>492</v>
      </c>
    </row>
    <row r="65" spans="1:17" x14ac:dyDescent="0.2">
      <c r="A65" t="s">
        <v>581</v>
      </c>
      <c r="B65" t="s">
        <v>169</v>
      </c>
      <c r="C65">
        <v>64</v>
      </c>
      <c r="D65" t="s">
        <v>488</v>
      </c>
      <c r="E65" t="s">
        <v>580</v>
      </c>
      <c r="F65">
        <v>-1</v>
      </c>
      <c r="G65">
        <v>7.0000000000000007E-2</v>
      </c>
      <c r="H65">
        <v>-0.19</v>
      </c>
      <c r="O65" t="s">
        <v>495</v>
      </c>
      <c r="P65" t="s">
        <v>495</v>
      </c>
      <c r="Q65" t="s">
        <v>495</v>
      </c>
    </row>
    <row r="66" spans="1:17" x14ac:dyDescent="0.2">
      <c r="A66" t="s">
        <v>582</v>
      </c>
      <c r="B66" t="s">
        <v>169</v>
      </c>
      <c r="C66">
        <v>65</v>
      </c>
      <c r="D66" t="s">
        <v>500</v>
      </c>
      <c r="E66" t="s">
        <v>580</v>
      </c>
      <c r="F66">
        <v>-0.1</v>
      </c>
      <c r="G66">
        <v>2.08</v>
      </c>
      <c r="H66">
        <v>-2.04</v>
      </c>
      <c r="O66" t="s">
        <v>495</v>
      </c>
      <c r="P66" t="s">
        <v>495</v>
      </c>
      <c r="Q66" t="s">
        <v>495</v>
      </c>
    </row>
    <row r="67" spans="1:17" x14ac:dyDescent="0.2">
      <c r="A67" t="s">
        <v>583</v>
      </c>
      <c r="B67" t="s">
        <v>169</v>
      </c>
      <c r="C67">
        <v>66</v>
      </c>
      <c r="D67" t="s">
        <v>488</v>
      </c>
      <c r="E67" t="s">
        <v>580</v>
      </c>
      <c r="F67">
        <v>1</v>
      </c>
      <c r="G67">
        <v>-0.02</v>
      </c>
      <c r="H67">
        <v>-0.19</v>
      </c>
      <c r="O67" t="s">
        <v>495</v>
      </c>
      <c r="P67" t="s">
        <v>495</v>
      </c>
      <c r="Q67" t="s">
        <v>495</v>
      </c>
    </row>
    <row r="68" spans="1:17" x14ac:dyDescent="0.2">
      <c r="A68" t="s">
        <v>584</v>
      </c>
      <c r="B68" t="s">
        <v>169</v>
      </c>
      <c r="C68">
        <v>67</v>
      </c>
      <c r="D68" t="s">
        <v>352</v>
      </c>
      <c r="E68" t="s">
        <v>580</v>
      </c>
      <c r="F68">
        <v>1.5</v>
      </c>
      <c r="G68">
        <v>1.1200000000000001</v>
      </c>
      <c r="H68">
        <v>-0.37</v>
      </c>
      <c r="O68" t="s">
        <v>495</v>
      </c>
      <c r="P68" t="s">
        <v>495</v>
      </c>
      <c r="Q68" t="s">
        <v>495</v>
      </c>
    </row>
    <row r="69" spans="1:17" x14ac:dyDescent="0.2">
      <c r="A69" t="s">
        <v>585</v>
      </c>
      <c r="B69" t="s">
        <v>169</v>
      </c>
      <c r="C69">
        <v>68</v>
      </c>
      <c r="D69" t="s">
        <v>488</v>
      </c>
      <c r="E69" t="s">
        <v>580</v>
      </c>
      <c r="F69">
        <v>2</v>
      </c>
      <c r="G69">
        <v>0.84</v>
      </c>
      <c r="H69">
        <v>-0.73</v>
      </c>
      <c r="O69" t="s">
        <v>495</v>
      </c>
      <c r="P69" t="s">
        <v>495</v>
      </c>
      <c r="Q69" t="s">
        <v>495</v>
      </c>
    </row>
    <row r="70" spans="1:17" x14ac:dyDescent="0.2">
      <c r="A70" t="s">
        <v>586</v>
      </c>
      <c r="B70" t="s">
        <v>169</v>
      </c>
      <c r="C70">
        <v>69</v>
      </c>
      <c r="D70" t="s">
        <v>500</v>
      </c>
      <c r="E70" t="s">
        <v>580</v>
      </c>
      <c r="F70">
        <v>2</v>
      </c>
      <c r="G70">
        <v>2.11</v>
      </c>
      <c r="H70">
        <v>-3.84</v>
      </c>
      <c r="O70">
        <v>0</v>
      </c>
      <c r="P70">
        <v>0</v>
      </c>
      <c r="Q70" t="s">
        <v>502</v>
      </c>
    </row>
    <row r="71" spans="1:17" x14ac:dyDescent="0.2">
      <c r="A71" t="s">
        <v>587</v>
      </c>
      <c r="B71" t="s">
        <v>169</v>
      </c>
      <c r="C71">
        <v>70</v>
      </c>
      <c r="D71" t="s">
        <v>352</v>
      </c>
      <c r="E71" t="s">
        <v>580</v>
      </c>
      <c r="F71">
        <v>2.5</v>
      </c>
      <c r="G71">
        <v>0.28999999999999998</v>
      </c>
      <c r="H71">
        <v>-1.07</v>
      </c>
      <c r="O71" t="s">
        <v>495</v>
      </c>
      <c r="P71" t="s">
        <v>495</v>
      </c>
      <c r="Q71" t="s">
        <v>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E0C6-FE88-4D19-BCE9-4FDBDAB1570E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4A86-A15D-43FF-AE8F-5C6A313CF2D9}">
  <dimension ref="A1:O18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5.33203125" customWidth="1"/>
  </cols>
  <sheetData>
    <row r="1" spans="1:15" x14ac:dyDescent="0.2">
      <c r="A1" t="s">
        <v>266</v>
      </c>
      <c r="B1" t="s">
        <v>267</v>
      </c>
      <c r="C1" t="s">
        <v>200</v>
      </c>
      <c r="D1" t="s">
        <v>201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  <c r="N1" t="s">
        <v>193</v>
      </c>
      <c r="O1" t="s">
        <v>202</v>
      </c>
    </row>
    <row r="2" spans="1:15" x14ac:dyDescent="0.2">
      <c r="A2">
        <f>1.45-3944</f>
        <v>-3942.55</v>
      </c>
      <c r="B2" t="s">
        <v>248</v>
      </c>
      <c r="C2">
        <v>7501</v>
      </c>
      <c r="D2" t="s">
        <v>589</v>
      </c>
      <c r="E2">
        <v>1.45</v>
      </c>
      <c r="F2">
        <v>0</v>
      </c>
      <c r="G2">
        <v>2.2821153440000002</v>
      </c>
      <c r="H2">
        <v>-0.72925019390000001</v>
      </c>
      <c r="I2">
        <v>0.58535639189999999</v>
      </c>
      <c r="J2">
        <v>27.9</v>
      </c>
      <c r="L2">
        <v>30.167851389999999</v>
      </c>
      <c r="M2">
        <v>1.027851173</v>
      </c>
      <c r="N2">
        <v>2.2539040539999999</v>
      </c>
      <c r="O2" t="s">
        <v>590</v>
      </c>
    </row>
    <row r="3" spans="1:15" x14ac:dyDescent="0.2">
      <c r="A3">
        <f>1.45-3944</f>
        <v>-3942.55</v>
      </c>
      <c r="B3" t="s">
        <v>251</v>
      </c>
      <c r="C3">
        <v>7649</v>
      </c>
      <c r="D3" t="s">
        <v>589</v>
      </c>
      <c r="E3">
        <v>1.45</v>
      </c>
      <c r="F3">
        <v>0</v>
      </c>
      <c r="G3">
        <v>2.3523733889999998</v>
      </c>
      <c r="H3">
        <v>-0.51493619729999995</v>
      </c>
      <c r="I3">
        <v>0.5946150818</v>
      </c>
      <c r="J3">
        <v>24.7</v>
      </c>
      <c r="L3">
        <v>30.388791980000001</v>
      </c>
      <c r="M3">
        <v>1.0285127489999999</v>
      </c>
      <c r="N3">
        <v>1.824034736</v>
      </c>
      <c r="O3" t="s">
        <v>590</v>
      </c>
    </row>
    <row r="4" spans="1:15" x14ac:dyDescent="0.2">
      <c r="A4">
        <f>1.45-3944</f>
        <v>-3942.55</v>
      </c>
      <c r="B4" t="s">
        <v>250</v>
      </c>
      <c r="C4">
        <v>7706</v>
      </c>
      <c r="D4" t="s">
        <v>589</v>
      </c>
      <c r="E4">
        <v>1.45</v>
      </c>
      <c r="F4">
        <v>0</v>
      </c>
      <c r="G4">
        <v>2.2776539260000002</v>
      </c>
      <c r="H4">
        <v>-0.71322907579999995</v>
      </c>
      <c r="I4">
        <v>0.58505872319999996</v>
      </c>
      <c r="J4">
        <v>28</v>
      </c>
      <c r="L4">
        <v>30.18436788</v>
      </c>
      <c r="M4">
        <v>1.0278307330000001</v>
      </c>
      <c r="N4">
        <v>2.2899055740000001</v>
      </c>
      <c r="O4" t="s">
        <v>590</v>
      </c>
    </row>
    <row r="5" spans="1:15" x14ac:dyDescent="0.2">
      <c r="A5" t="s">
        <v>591</v>
      </c>
      <c r="B5" t="s">
        <v>592</v>
      </c>
      <c r="C5">
        <v>8800</v>
      </c>
      <c r="D5" t="s">
        <v>589</v>
      </c>
      <c r="E5">
        <v>0.5</v>
      </c>
      <c r="F5">
        <v>0</v>
      </c>
      <c r="G5">
        <v>-0.6745339695</v>
      </c>
      <c r="H5">
        <v>-1.945432619</v>
      </c>
      <c r="I5">
        <v>0.61997887340000002</v>
      </c>
      <c r="J5">
        <v>16.5</v>
      </c>
      <c r="L5">
        <v>28.9140646</v>
      </c>
      <c r="M5">
        <v>1.0302768369999999</v>
      </c>
      <c r="N5">
        <v>-1.3227247010000001</v>
      </c>
      <c r="O5" t="s">
        <v>500</v>
      </c>
    </row>
    <row r="6" spans="1:15" x14ac:dyDescent="0.2">
      <c r="A6" t="s">
        <v>591</v>
      </c>
      <c r="B6" t="s">
        <v>593</v>
      </c>
      <c r="C6">
        <v>8845</v>
      </c>
      <c r="D6" t="s">
        <v>589</v>
      </c>
      <c r="E6">
        <v>0.5</v>
      </c>
      <c r="F6">
        <v>0</v>
      </c>
      <c r="G6">
        <v>-0.67991619219999999</v>
      </c>
      <c r="H6">
        <v>-1.7539317329999999</v>
      </c>
      <c r="I6">
        <v>0.60321703790000003</v>
      </c>
      <c r="J6">
        <v>21.9</v>
      </c>
      <c r="L6">
        <v>29.1114867</v>
      </c>
      <c r="M6">
        <v>1.0291037590000001</v>
      </c>
      <c r="N6">
        <v>7.5089815040000002E-3</v>
      </c>
      <c r="O6" t="s">
        <v>500</v>
      </c>
    </row>
    <row r="7" spans="1:15" x14ac:dyDescent="0.2">
      <c r="A7" t="s">
        <v>594</v>
      </c>
      <c r="B7" t="s">
        <v>592</v>
      </c>
      <c r="C7">
        <v>8801</v>
      </c>
      <c r="D7" t="s">
        <v>589</v>
      </c>
      <c r="E7">
        <v>1.35</v>
      </c>
      <c r="F7">
        <v>0</v>
      </c>
      <c r="G7">
        <v>0.91603279510000002</v>
      </c>
      <c r="H7">
        <v>-0.61962141410000005</v>
      </c>
      <c r="I7">
        <v>0.59425432060000005</v>
      </c>
      <c r="J7">
        <v>24.9</v>
      </c>
      <c r="L7">
        <v>30.280869890000002</v>
      </c>
      <c r="M7">
        <v>1.028470972</v>
      </c>
      <c r="N7">
        <v>1.7597950710000001</v>
      </c>
      <c r="O7" t="s">
        <v>500</v>
      </c>
    </row>
    <row r="8" spans="1:15" x14ac:dyDescent="0.2">
      <c r="A8" t="s">
        <v>594</v>
      </c>
      <c r="B8" t="s">
        <v>593</v>
      </c>
      <c r="C8">
        <v>8847</v>
      </c>
      <c r="D8" t="s">
        <v>589</v>
      </c>
      <c r="E8">
        <v>1.35</v>
      </c>
      <c r="F8">
        <v>0</v>
      </c>
      <c r="G8">
        <v>0.87037978110000003</v>
      </c>
      <c r="H8">
        <v>-0.5180204866</v>
      </c>
      <c r="I8">
        <v>0.56902013490000003</v>
      </c>
      <c r="J8">
        <v>33.799999999999997</v>
      </c>
      <c r="L8">
        <v>30.38561232</v>
      </c>
      <c r="M8">
        <v>1.0266686169999999</v>
      </c>
      <c r="N8">
        <v>3.6204427589999999</v>
      </c>
      <c r="O8" t="s">
        <v>500</v>
      </c>
    </row>
    <row r="9" spans="1:15" x14ac:dyDescent="0.2">
      <c r="A9" t="s">
        <v>595</v>
      </c>
      <c r="B9" t="s">
        <v>592</v>
      </c>
      <c r="C9">
        <v>8803</v>
      </c>
      <c r="D9" t="s">
        <v>589</v>
      </c>
      <c r="E9">
        <v>1.4</v>
      </c>
      <c r="F9">
        <v>0</v>
      </c>
      <c r="G9">
        <v>2.6912142590000001</v>
      </c>
      <c r="H9">
        <v>-0.66436696370000003</v>
      </c>
      <c r="I9">
        <v>0.58722292279999999</v>
      </c>
      <c r="J9">
        <v>27.3</v>
      </c>
      <c r="L9">
        <v>30.234740810000002</v>
      </c>
      <c r="M9">
        <v>1.027974113</v>
      </c>
      <c r="N9">
        <v>2.1991094539999998</v>
      </c>
      <c r="O9" t="s">
        <v>596</v>
      </c>
    </row>
    <row r="10" spans="1:15" x14ac:dyDescent="0.2">
      <c r="A10" t="s">
        <v>595</v>
      </c>
      <c r="B10" t="s">
        <v>593</v>
      </c>
      <c r="C10">
        <v>8848</v>
      </c>
      <c r="D10" t="s">
        <v>589</v>
      </c>
      <c r="E10">
        <v>1.4</v>
      </c>
      <c r="F10">
        <v>0</v>
      </c>
      <c r="G10">
        <v>2.6426260629999998</v>
      </c>
      <c r="H10">
        <v>-0.60868671500000004</v>
      </c>
      <c r="I10">
        <v>0.57838652970000004</v>
      </c>
      <c r="J10">
        <v>30.4</v>
      </c>
      <c r="L10">
        <v>30.292142689999999</v>
      </c>
      <c r="M10">
        <v>1.027344311</v>
      </c>
      <c r="N10">
        <v>2.8693705770000002</v>
      </c>
      <c r="O10" t="s">
        <v>596</v>
      </c>
    </row>
    <row r="11" spans="1:15" x14ac:dyDescent="0.2">
      <c r="A11" t="s">
        <v>597</v>
      </c>
      <c r="B11" t="s">
        <v>592</v>
      </c>
      <c r="C11">
        <v>8804</v>
      </c>
      <c r="D11" t="s">
        <v>589</v>
      </c>
      <c r="E11">
        <v>-0.2</v>
      </c>
      <c r="F11">
        <v>0</v>
      </c>
      <c r="G11">
        <v>3.8063799650000001</v>
      </c>
      <c r="H11">
        <v>-3.537979634</v>
      </c>
      <c r="I11">
        <v>0.58327342459999998</v>
      </c>
      <c r="J11">
        <v>28.7</v>
      </c>
      <c r="L11">
        <v>27.272276040000001</v>
      </c>
      <c r="M11">
        <v>1.0276880370000001</v>
      </c>
      <c r="N11">
        <v>-0.40455927670000003</v>
      </c>
      <c r="O11" t="s">
        <v>500</v>
      </c>
    </row>
    <row r="12" spans="1:15" x14ac:dyDescent="0.2">
      <c r="A12" t="s">
        <v>597</v>
      </c>
      <c r="B12" t="s">
        <v>593</v>
      </c>
      <c r="C12">
        <v>8849</v>
      </c>
      <c r="D12" t="s">
        <v>589</v>
      </c>
      <c r="E12">
        <v>-0.2</v>
      </c>
      <c r="F12">
        <v>0</v>
      </c>
      <c r="G12">
        <v>3.7487623380000001</v>
      </c>
      <c r="H12">
        <v>-3.4597369680000001</v>
      </c>
      <c r="I12">
        <v>0.59395718230000005</v>
      </c>
      <c r="J12">
        <v>25</v>
      </c>
      <c r="L12">
        <v>27.352937969999999</v>
      </c>
      <c r="M12">
        <v>1.0284501049999999</v>
      </c>
      <c r="N12">
        <v>-1.0668157869999999</v>
      </c>
      <c r="O12" t="s">
        <v>500</v>
      </c>
    </row>
    <row r="13" spans="1:15" x14ac:dyDescent="0.2">
      <c r="A13" t="s">
        <v>598</v>
      </c>
      <c r="B13" t="s">
        <v>592</v>
      </c>
      <c r="C13">
        <v>8805</v>
      </c>
      <c r="D13" t="s">
        <v>589</v>
      </c>
      <c r="E13">
        <v>0.7</v>
      </c>
      <c r="F13">
        <v>0</v>
      </c>
      <c r="G13">
        <v>2.7266699779999999</v>
      </c>
      <c r="H13">
        <v>-1.2631005099999999</v>
      </c>
      <c r="I13">
        <v>0.59265157739999996</v>
      </c>
      <c r="J13">
        <v>25.4</v>
      </c>
      <c r="L13">
        <v>29.61749442</v>
      </c>
      <c r="M13">
        <v>1.0283667809999999</v>
      </c>
      <c r="N13">
        <v>1.216213464</v>
      </c>
      <c r="O13" t="s">
        <v>596</v>
      </c>
    </row>
    <row r="14" spans="1:15" x14ac:dyDescent="0.2">
      <c r="A14" t="s">
        <v>598</v>
      </c>
      <c r="B14" t="s">
        <v>593</v>
      </c>
      <c r="C14">
        <v>8852</v>
      </c>
      <c r="D14" t="s">
        <v>589</v>
      </c>
      <c r="E14">
        <v>0.7</v>
      </c>
      <c r="F14">
        <v>0</v>
      </c>
      <c r="G14">
        <v>2.7826037760000002</v>
      </c>
      <c r="H14">
        <v>-0.87102196539999999</v>
      </c>
      <c r="I14">
        <v>0.59886743529999997</v>
      </c>
      <c r="J14">
        <v>23.3</v>
      </c>
      <c r="L14">
        <v>30.021696039999998</v>
      </c>
      <c r="M14">
        <v>1.0288068159999999</v>
      </c>
      <c r="N14">
        <v>1.180863021</v>
      </c>
      <c r="O14" t="s">
        <v>596</v>
      </c>
    </row>
    <row r="15" spans="1:15" x14ac:dyDescent="0.2">
      <c r="A15" t="s">
        <v>599</v>
      </c>
      <c r="B15" t="s">
        <v>592</v>
      </c>
      <c r="C15">
        <v>8808</v>
      </c>
      <c r="D15" t="s">
        <v>589</v>
      </c>
      <c r="E15">
        <v>0.9</v>
      </c>
      <c r="F15">
        <v>0</v>
      </c>
      <c r="G15">
        <v>2.9522029139999999</v>
      </c>
      <c r="H15">
        <v>-0.67238944180000004</v>
      </c>
      <c r="I15">
        <v>0.60333884729999998</v>
      </c>
      <c r="J15">
        <v>21.8</v>
      </c>
      <c r="L15">
        <v>30.226470280000001</v>
      </c>
      <c r="M15">
        <v>1.0291250810000001</v>
      </c>
      <c r="N15">
        <v>1.070219488</v>
      </c>
      <c r="O15" t="s">
        <v>500</v>
      </c>
    </row>
    <row r="16" spans="1:15" x14ac:dyDescent="0.2">
      <c r="A16" t="s">
        <v>599</v>
      </c>
      <c r="B16" t="s">
        <v>593</v>
      </c>
      <c r="C16">
        <v>8853</v>
      </c>
      <c r="D16" t="s">
        <v>589</v>
      </c>
      <c r="E16">
        <v>0.9</v>
      </c>
      <c r="F16">
        <v>0</v>
      </c>
      <c r="G16">
        <v>2.9497362470000001</v>
      </c>
      <c r="H16">
        <v>-0.80490486790000004</v>
      </c>
      <c r="I16">
        <v>0.62947257759999997</v>
      </c>
      <c r="J16">
        <v>13.6</v>
      </c>
      <c r="L16">
        <v>30.089857469999998</v>
      </c>
      <c r="M16">
        <v>1.030925632</v>
      </c>
      <c r="N16">
        <v>-0.81070311949999996</v>
      </c>
      <c r="O16" t="s">
        <v>500</v>
      </c>
    </row>
    <row r="17" spans="1:15" x14ac:dyDescent="0.2">
      <c r="A17" t="s">
        <v>600</v>
      </c>
      <c r="B17" t="s">
        <v>592</v>
      </c>
      <c r="C17">
        <v>8809</v>
      </c>
      <c r="D17" t="s">
        <v>589</v>
      </c>
      <c r="E17">
        <v>1.37</v>
      </c>
      <c r="F17">
        <v>0</v>
      </c>
      <c r="G17">
        <v>3.155880502</v>
      </c>
      <c r="H17">
        <v>-0.75147849180000004</v>
      </c>
      <c r="I17">
        <v>0.61962136940000001</v>
      </c>
      <c r="J17">
        <v>16.600000000000001</v>
      </c>
      <c r="L17">
        <v>30.144935790000002</v>
      </c>
      <c r="M17">
        <v>1.0302547040000001</v>
      </c>
      <c r="N17">
        <v>-0.10654456480000001</v>
      </c>
      <c r="O17" t="s">
        <v>596</v>
      </c>
    </row>
    <row r="18" spans="1:15" x14ac:dyDescent="0.2">
      <c r="A18" t="s">
        <v>600</v>
      </c>
      <c r="B18" t="s">
        <v>593</v>
      </c>
      <c r="C18">
        <v>8855</v>
      </c>
      <c r="D18" t="s">
        <v>589</v>
      </c>
      <c r="E18">
        <v>1.37</v>
      </c>
      <c r="F18">
        <v>0</v>
      </c>
      <c r="G18">
        <v>3.1544884099999999</v>
      </c>
      <c r="H18">
        <v>-0.86413735140000003</v>
      </c>
      <c r="I18">
        <v>0.60082775529999999</v>
      </c>
      <c r="J18">
        <v>22.7</v>
      </c>
      <c r="L18">
        <v>30.028793520000001</v>
      </c>
      <c r="M18">
        <v>1.028933723</v>
      </c>
      <c r="N18">
        <v>1.0642772060000001</v>
      </c>
      <c r="O18" t="s">
        <v>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E951-0EEA-450A-BC7D-9F984FEDFFA7}">
  <dimension ref="A1:O7"/>
  <sheetViews>
    <sheetView workbookViewId="0">
      <selection activeCell="F12" sqref="F12"/>
    </sheetView>
  </sheetViews>
  <sheetFormatPr baseColWidth="10" defaultColWidth="8.83203125" defaultRowHeight="15" x14ac:dyDescent="0.2"/>
  <sheetData>
    <row r="1" spans="1:15" x14ac:dyDescent="0.2">
      <c r="A1" t="s">
        <v>266</v>
      </c>
      <c r="B1" t="s">
        <v>267</v>
      </c>
      <c r="C1" t="s">
        <v>200</v>
      </c>
      <c r="D1" t="s">
        <v>201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  <c r="N1" t="s">
        <v>193</v>
      </c>
      <c r="O1" t="s">
        <v>202</v>
      </c>
    </row>
    <row r="2" spans="1:15" x14ac:dyDescent="0.2">
      <c r="A2" t="s">
        <v>128</v>
      </c>
      <c r="B2" t="s">
        <v>263</v>
      </c>
      <c r="C2">
        <v>6650</v>
      </c>
      <c r="D2" t="s">
        <v>601</v>
      </c>
      <c r="E2" t="s">
        <v>602</v>
      </c>
      <c r="F2">
        <v>0</v>
      </c>
      <c r="G2">
        <v>2.3217694070000001</v>
      </c>
      <c r="H2">
        <v>-3.8220774500000001</v>
      </c>
      <c r="I2">
        <v>0.56937943390000001</v>
      </c>
      <c r="J2">
        <v>33.700000000000003</v>
      </c>
      <c r="L2">
        <v>26.979393909999999</v>
      </c>
      <c r="M2">
        <v>1.026688271</v>
      </c>
      <c r="N2">
        <v>0.2835556058</v>
      </c>
      <c r="O2" t="s">
        <v>500</v>
      </c>
    </row>
    <row r="3" spans="1:15" x14ac:dyDescent="0.2">
      <c r="A3" t="s">
        <v>128</v>
      </c>
      <c r="B3" t="s">
        <v>264</v>
      </c>
      <c r="C3">
        <v>7979</v>
      </c>
      <c r="D3" t="s">
        <v>601</v>
      </c>
      <c r="E3" t="s">
        <v>602</v>
      </c>
      <c r="F3">
        <v>0</v>
      </c>
      <c r="G3">
        <v>2.358163588</v>
      </c>
      <c r="H3">
        <v>-3.8543227980000001</v>
      </c>
      <c r="I3">
        <v>0.59721829859999997</v>
      </c>
      <c r="J3">
        <v>23.9</v>
      </c>
      <c r="L3">
        <v>26.946151539999999</v>
      </c>
      <c r="M3">
        <v>1.0286804380000001</v>
      </c>
      <c r="N3">
        <v>-1.6859327989999999</v>
      </c>
      <c r="O3" t="s">
        <v>500</v>
      </c>
    </row>
    <row r="4" spans="1:15" x14ac:dyDescent="0.2">
      <c r="A4" t="s">
        <v>128</v>
      </c>
      <c r="B4" t="s">
        <v>265</v>
      </c>
      <c r="C4">
        <v>8171</v>
      </c>
      <c r="D4" t="s">
        <v>601</v>
      </c>
      <c r="E4" t="s">
        <v>602</v>
      </c>
      <c r="F4" t="s">
        <v>603</v>
      </c>
      <c r="G4">
        <v>2.1709731620000001</v>
      </c>
      <c r="H4">
        <v>-3.8605010740000001</v>
      </c>
      <c r="I4">
        <v>0.57733389759999998</v>
      </c>
      <c r="J4">
        <v>30.8</v>
      </c>
      <c r="L4">
        <v>26.939782229999999</v>
      </c>
      <c r="M4">
        <v>1.0272640099999999</v>
      </c>
      <c r="N4">
        <v>-0.31562252120000001</v>
      </c>
      <c r="O4" t="s">
        <v>500</v>
      </c>
    </row>
    <row r="5" spans="1:15" x14ac:dyDescent="0.2">
      <c r="A5" t="s">
        <v>604</v>
      </c>
      <c r="D5" t="s">
        <v>601</v>
      </c>
      <c r="E5" t="s">
        <v>602</v>
      </c>
      <c r="O5" t="s">
        <v>605</v>
      </c>
    </row>
    <row r="6" spans="1:15" x14ac:dyDescent="0.2">
      <c r="A6" t="s">
        <v>604</v>
      </c>
      <c r="B6" t="s">
        <v>264</v>
      </c>
      <c r="C6">
        <v>7980</v>
      </c>
      <c r="D6" t="s">
        <v>601</v>
      </c>
      <c r="E6" t="s">
        <v>602</v>
      </c>
      <c r="F6">
        <v>0</v>
      </c>
      <c r="G6">
        <v>0.97107763530000002</v>
      </c>
      <c r="H6">
        <v>-1.521175398</v>
      </c>
      <c r="I6">
        <v>0.61871133469999995</v>
      </c>
      <c r="J6">
        <v>16.899999999999999</v>
      </c>
      <c r="L6">
        <v>29.351439859999999</v>
      </c>
      <c r="M6">
        <v>1.0301883979999999</v>
      </c>
      <c r="N6">
        <v>-0.81243218129999994</v>
      </c>
      <c r="O6" t="s">
        <v>605</v>
      </c>
    </row>
    <row r="7" spans="1:15" x14ac:dyDescent="0.2">
      <c r="A7" t="s">
        <v>604</v>
      </c>
      <c r="B7" t="s">
        <v>265</v>
      </c>
      <c r="C7">
        <v>8172</v>
      </c>
      <c r="D7" t="s">
        <v>601</v>
      </c>
      <c r="E7" t="s">
        <v>602</v>
      </c>
      <c r="F7">
        <v>0</v>
      </c>
      <c r="G7">
        <v>1.0090326970000001</v>
      </c>
      <c r="H7">
        <v>-1.4109855760000001</v>
      </c>
      <c r="I7">
        <v>0.61529874799999995</v>
      </c>
      <c r="J7">
        <v>18</v>
      </c>
      <c r="L7">
        <v>29.465036749999999</v>
      </c>
      <c r="M7">
        <v>1.0299464819999999</v>
      </c>
      <c r="N7">
        <v>-0.46744702640000002</v>
      </c>
      <c r="O7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All_sample_means</vt:lpstr>
      <vt:lpstr>Retained_samples</vt:lpstr>
      <vt:lpstr>Removed_samples</vt:lpstr>
      <vt:lpstr>OC_ammonites</vt:lpstr>
      <vt:lpstr>needs_Trace</vt:lpstr>
      <vt:lpstr>needs_SEM</vt:lpstr>
      <vt:lpstr>Avalon</vt:lpstr>
      <vt:lpstr>ESP</vt:lpstr>
      <vt:lpstr>Owl Creek</vt:lpstr>
      <vt:lpstr>Braggs</vt:lpstr>
      <vt:lpstr>Malvern</vt:lpstr>
      <vt:lpstr>Providence_sands</vt:lpstr>
      <vt:lpstr>Trim_cane_creek</vt:lpstr>
      <vt:lpstr>PB_landfill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Adriana</dc:creator>
  <cp:lastModifiedBy>Corinne Myers</cp:lastModifiedBy>
  <dcterms:created xsi:type="dcterms:W3CDTF">2026-01-27T21:23:20Z</dcterms:created>
  <dcterms:modified xsi:type="dcterms:W3CDTF">2026-04-17T17:12:56Z</dcterms:modified>
</cp:coreProperties>
</file>