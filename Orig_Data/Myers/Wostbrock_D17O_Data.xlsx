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myers/Dropbox/BACK-UP/2019 - Jordan:Tony prj/"/>
    </mc:Choice>
  </mc:AlternateContent>
  <xr:revisionPtr revIDLastSave="0" documentId="8_{16501329-08FB-6242-A12D-690CD67865B1}" xr6:coauthVersionLast="46" xr6:coauthVersionMax="46" xr10:uidLastSave="{00000000-0000-0000-0000-000000000000}"/>
  <bookViews>
    <workbookView xWindow="16540" yWindow="460" windowWidth="31660" windowHeight="24560" xr2:uid="{FA5BF3B9-13F0-49EF-888C-1420732C2E82}"/>
  </bookViews>
  <sheets>
    <sheet name="JW_Summary of 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tc={212D9518-000D-438C-A084-94E3259DCA9D}</author>
    <author>tc={108751A7-F2F6-483B-BCCA-09079B74F04F}</author>
    <author>tc={B2F2C953-F489-46F0-872E-7C9BD2EF18C5}</author>
  </authors>
  <commentList>
    <comment ref="P8" authorId="0" shapeId="0" xr:uid="{212D9518-000D-438C-A084-94E3259DCA9D}">
      <text>
        <t>[Threaded comment]
Your version of Excel allows you to read this threaded comment; however, any edits to it will get removed if the file is opened in a newer version of Excel. Learn more: https://go.microsoft.com/fwlink/?linkid=870924
Comment:
    Greg and Yang did measure this one? (Placenticeras)</t>
      </text>
    </comment>
    <comment ref="P9" authorId="1" shapeId="0" xr:uid="{108751A7-F2F6-483B-BCCA-09079B74F04F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we decide not to run these other seep samples for clumped/wasn't enough shell?</t>
      </text>
    </comment>
    <comment ref="P14" authorId="2" shapeId="0" xr:uid="{B2F2C953-F489-46F0-872E-7C9BD2EF18C5}">
      <text>
        <t>[Threaded comment]
Your version of Excel allows you to read this threaded comment; however, any edits to it will get removed if the file is opened in a newer version of Excel. Learn more: https://go.microsoft.com/fwlink/?linkid=870924
Comment:
    Mislabelled 15505-1 for clumped? Greg has 15505-2 listed as shell.</t>
      </text>
    </comment>
  </commentList>
</comments>
</file>

<file path=xl/sharedStrings.xml><?xml version="1.0" encoding="utf-8"?>
<sst xmlns="http://schemas.openxmlformats.org/spreadsheetml/2006/main" count="133" uniqueCount="73">
  <si>
    <t>Taxonomic and stratigraphic information</t>
  </si>
  <si>
    <t>Δ′17O</t>
  </si>
  <si>
    <t>Clumped isotopes</t>
  </si>
  <si>
    <t>XRD</t>
  </si>
  <si>
    <t>Sample IDa</t>
  </si>
  <si>
    <t>Taxon</t>
  </si>
  <si>
    <t>Biozone</t>
  </si>
  <si>
    <t>Nearshore/offshore</t>
  </si>
  <si>
    <t>Seep/non-seep</t>
  </si>
  <si>
    <t>Type</t>
  </si>
  <si>
    <t>d17O</t>
  </si>
  <si>
    <t>d'17O</t>
  </si>
  <si>
    <t>d18O</t>
  </si>
  <si>
    <t>d'18O</t>
  </si>
  <si>
    <t>Δ′17Omeas</t>
  </si>
  <si>
    <t>Pristine Temp Max</t>
  </si>
  <si>
    <t>Pristine temp min</t>
  </si>
  <si>
    <t>Avg. pristine temp</t>
  </si>
  <si>
    <t>D47 CDES90</t>
  </si>
  <si>
    <t>D47 CDES25</t>
  </si>
  <si>
    <t xml:space="preserve">T(D47) </t>
  </si>
  <si>
    <t>18alpha(Kim and O'Neil)</t>
  </si>
  <si>
    <t>d18Ow (calc)</t>
  </si>
  <si>
    <t>Calcite</t>
  </si>
  <si>
    <t>Aragonite</t>
  </si>
  <si>
    <t>Quartz</t>
  </si>
  <si>
    <t>Amorphous/others</t>
  </si>
  <si>
    <t>UNM15502-1</t>
  </si>
  <si>
    <r>
      <t xml:space="preserve">Hoploscaphites </t>
    </r>
    <r>
      <rPr>
        <sz val="12"/>
        <color theme="1"/>
        <rFont val="Calibri"/>
        <family val="2"/>
        <scheme val="minor"/>
      </rPr>
      <t>sp.</t>
    </r>
  </si>
  <si>
    <t>B. compressus</t>
  </si>
  <si>
    <t>Offshore</t>
  </si>
  <si>
    <t>Seep</t>
  </si>
  <si>
    <t>shell</t>
  </si>
  <si>
    <t>UNM15502-2</t>
  </si>
  <si>
    <t>infill</t>
  </si>
  <si>
    <t>UNM15502-3</t>
  </si>
  <si>
    <t>host</t>
  </si>
  <si>
    <t>UNM15502-4</t>
  </si>
  <si>
    <t>UNM15503-1</t>
  </si>
  <si>
    <t>Placenticeras meeki</t>
  </si>
  <si>
    <t>UNM15504-1</t>
  </si>
  <si>
    <t>UNM15504-2</t>
  </si>
  <si>
    <t>UNM15504-3</t>
  </si>
  <si>
    <t>UNM15473-1</t>
  </si>
  <si>
    <t>Baculites compressus</t>
  </si>
  <si>
    <t>Non-seep</t>
  </si>
  <si>
    <t>UNM15505-1</t>
  </si>
  <si>
    <t>Baculites clinolobatus</t>
  </si>
  <si>
    <t>B. clinolobatus</t>
  </si>
  <si>
    <t>UNM15505-2</t>
  </si>
  <si>
    <t>infill (or shell?)</t>
  </si>
  <si>
    <t>UNM15505-3</t>
  </si>
  <si>
    <t>UNM15505-4</t>
  </si>
  <si>
    <t>UNM15526-1</t>
  </si>
  <si>
    <t>H. birkelundae</t>
  </si>
  <si>
    <t>UNM15525-3</t>
  </si>
  <si>
    <t>?</t>
  </si>
  <si>
    <t>Nearshore</t>
  </si>
  <si>
    <t>shell (bivalve)</t>
  </si>
  <si>
    <t>Unconstrained</t>
  </si>
  <si>
    <t>AMNH46620-1</t>
  </si>
  <si>
    <t>Hoploscaphites nicolletii</t>
  </si>
  <si>
    <t>H. nicolletii</t>
  </si>
  <si>
    <t>AMNH161248-4</t>
  </si>
  <si>
    <t>H. nebrascensis</t>
  </si>
  <si>
    <t>AMNH161248-1</t>
  </si>
  <si>
    <r>
      <t xml:space="preserve">compressus </t>
    </r>
    <r>
      <rPr>
        <sz val="12"/>
        <color theme="1"/>
        <rFont val="Calibri"/>
        <family val="2"/>
        <scheme val="minor"/>
      </rPr>
      <t>Zone samples</t>
    </r>
  </si>
  <si>
    <r>
      <t>Seep (</t>
    </r>
    <r>
      <rPr>
        <i/>
        <sz val="12"/>
        <color theme="1"/>
        <rFont val="Calibri"/>
        <family val="2"/>
        <scheme val="minor"/>
      </rPr>
      <t>Baculites</t>
    </r>
    <r>
      <rPr>
        <sz val="12"/>
        <color theme="1"/>
        <rFont val="Calibri"/>
        <family val="2"/>
        <scheme val="minor"/>
      </rPr>
      <t>)</t>
    </r>
  </si>
  <si>
    <r>
      <t>Seep (</t>
    </r>
    <r>
      <rPr>
        <i/>
        <sz val="12"/>
        <color theme="1"/>
        <rFont val="Calibri"/>
        <family val="2"/>
        <scheme val="minor"/>
      </rPr>
      <t>Placenticeras</t>
    </r>
    <r>
      <rPr>
        <sz val="12"/>
        <color theme="1"/>
        <rFont val="Calibri"/>
        <family val="2"/>
        <scheme val="minor"/>
      </rPr>
      <t>)</t>
    </r>
  </si>
  <si>
    <t>Seep (?15504-1)</t>
  </si>
  <si>
    <r>
      <t>Non-seep (</t>
    </r>
    <r>
      <rPr>
        <i/>
        <sz val="12"/>
        <color theme="1"/>
        <rFont val="Calibri"/>
        <family val="2"/>
        <scheme val="minor"/>
      </rPr>
      <t>Baculites</t>
    </r>
    <r>
      <rPr>
        <sz val="12"/>
        <color theme="1"/>
        <rFont val="Calibri"/>
        <family val="2"/>
        <scheme val="minor"/>
      </rPr>
      <t>)</t>
    </r>
  </si>
  <si>
    <t>All samples thru' time</t>
  </si>
  <si>
    <t>Age 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</si>
</sst>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'JW_Summary of all'!$A$4</c:f>
              <c:strCache>
                <c:ptCount val="1"/>
                <c:pt idx="0">
                  <c:v>UNM15502-1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2.5</c:v>
                </c:pt>
              </c:numLit>
            </c:plus>
            <c:minus>
              <c:numLit>
                <c:formatCode>General</c:formatCode>
                <c:ptCount val="1"/>
                <c:pt idx="0">
                  <c:v>2.5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'JW_Summary of all'!$O$4</c:f>
              <c:numCache>
                <c:formatCode>0</c:formatCode>
                <c:ptCount val="1"/>
                <c:pt idx="0">
                  <c:v>21</c:v>
                </c:pt>
              </c:numCache>
            </c:numRef>
          </c:xVal>
          <c:yVal>
            <c:numRef>
              <c:f>'JW_Summary of all'!$D$4</c:f>
              <c:numCache>
                <c:formatCode>General</c:formatCode>
                <c:ptCount val="1"/>
                <c:pt idx="0">
                  <c:v>73.8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BC-40C3-82AE-8983E839719D}"/>
            </c:ext>
          </c:extLst>
        </c:ser>
        <c:ser>
          <c:idx val="1"/>
          <c:order val="1"/>
          <c:tx>
            <c:strRef>
              <c:f>'JW_Summary of all'!$A$8</c:f>
              <c:strCache>
                <c:ptCount val="1"/>
                <c:pt idx="0">
                  <c:v>UNM15503-1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5</c:v>
                </c:pt>
              </c:numLit>
            </c:plus>
            <c:minus>
              <c:numLit>
                <c:formatCode>General</c:formatCode>
                <c:ptCount val="1"/>
                <c:pt idx="0">
                  <c:v>5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'JW_Summary of all'!$O$8</c:f>
              <c:numCache>
                <c:formatCode>0</c:formatCode>
                <c:ptCount val="1"/>
                <c:pt idx="0">
                  <c:v>25</c:v>
                </c:pt>
              </c:numCache>
            </c:numRef>
          </c:xVal>
          <c:yVal>
            <c:numRef>
              <c:f>'JW_Summary of all'!$D$8</c:f>
              <c:numCache>
                <c:formatCode>General</c:formatCode>
                <c:ptCount val="1"/>
                <c:pt idx="0">
                  <c:v>73.8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BC-40C3-82AE-8983E839719D}"/>
            </c:ext>
          </c:extLst>
        </c:ser>
        <c:ser>
          <c:idx val="2"/>
          <c:order val="2"/>
          <c:tx>
            <c:strRef>
              <c:f>'JW_Summary of all'!$A$9</c:f>
              <c:strCache>
                <c:ptCount val="1"/>
                <c:pt idx="0">
                  <c:v>UNM15504-1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5</c:v>
                </c:pt>
              </c:numLit>
            </c:plus>
            <c:minus>
              <c:numLit>
                <c:formatCode>General</c:formatCode>
                <c:ptCount val="1"/>
                <c:pt idx="0">
                  <c:v>5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'JW_Summary of all'!$O$9</c:f>
              <c:numCache>
                <c:formatCode>0</c:formatCode>
                <c:ptCount val="1"/>
                <c:pt idx="0">
                  <c:v>15</c:v>
                </c:pt>
              </c:numCache>
            </c:numRef>
          </c:xVal>
          <c:yVal>
            <c:numRef>
              <c:f>'JW_Summary of all'!$D$9</c:f>
              <c:numCache>
                <c:formatCode>General</c:formatCode>
                <c:ptCount val="1"/>
                <c:pt idx="0">
                  <c:v>73.8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BC-40C3-82AE-8983E839719D}"/>
            </c:ext>
          </c:extLst>
        </c:ser>
        <c:ser>
          <c:idx val="3"/>
          <c:order val="3"/>
          <c:tx>
            <c:strRef>
              <c:f>'JW_Summary of all'!$A$12</c:f>
              <c:strCache>
                <c:ptCount val="1"/>
                <c:pt idx="0">
                  <c:v>UNM15473-1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2.5</c:v>
                </c:pt>
              </c:numLit>
            </c:plus>
            <c:minus>
              <c:numLit>
                <c:formatCode>General</c:formatCode>
                <c:ptCount val="1"/>
                <c:pt idx="0">
                  <c:v>2.5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'JW_Summary of all'!$O$12</c:f>
              <c:numCache>
                <c:formatCode>0</c:formatCode>
                <c:ptCount val="1"/>
                <c:pt idx="0">
                  <c:v>12.5</c:v>
                </c:pt>
              </c:numCache>
            </c:numRef>
          </c:xVal>
          <c:yVal>
            <c:numRef>
              <c:f>'JW_Summary of all'!$D$12</c:f>
              <c:numCache>
                <c:formatCode>General</c:formatCode>
                <c:ptCount val="1"/>
                <c:pt idx="0">
                  <c:v>73.8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1BC-40C3-82AE-8983E839719D}"/>
            </c:ext>
          </c:extLst>
        </c:ser>
        <c:ser>
          <c:idx val="4"/>
          <c:order val="4"/>
          <c:tx>
            <c:strRef>
              <c:f>'JW_Summary of all'!$A$13</c:f>
              <c:strCache>
                <c:ptCount val="1"/>
                <c:pt idx="0">
                  <c:v>UNM15505-1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2.5</c:v>
                </c:pt>
              </c:numLit>
            </c:plus>
            <c:minus>
              <c:numLit>
                <c:formatCode>General</c:formatCode>
                <c:ptCount val="1"/>
                <c:pt idx="0">
                  <c:v>2.5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'JW_Summary of all'!$O$13</c:f>
              <c:numCache>
                <c:formatCode>0</c:formatCode>
                <c:ptCount val="1"/>
                <c:pt idx="0">
                  <c:v>17.5</c:v>
                </c:pt>
              </c:numCache>
            </c:numRef>
          </c:xVal>
          <c:yVal>
            <c:numRef>
              <c:f>'JW_Summary of all'!$D$13</c:f>
              <c:numCache>
                <c:formatCode>General</c:formatCode>
                <c:ptCount val="1"/>
                <c:pt idx="0">
                  <c:v>70.08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1BC-40C3-82AE-8983E839719D}"/>
            </c:ext>
          </c:extLst>
        </c:ser>
        <c:ser>
          <c:idx val="5"/>
          <c:order val="5"/>
          <c:tx>
            <c:strRef>
              <c:f>'JW_Summary of all'!$A$17</c:f>
              <c:strCache>
                <c:ptCount val="1"/>
                <c:pt idx="0">
                  <c:v>UNM15526-1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5</c:v>
                </c:pt>
              </c:numLit>
            </c:plus>
            <c:minus>
              <c:numLit>
                <c:formatCode>General</c:formatCode>
                <c:ptCount val="1"/>
                <c:pt idx="0">
                  <c:v>5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'JW_Summary of all'!$O$17</c:f>
              <c:numCache>
                <c:formatCode>0</c:formatCode>
                <c:ptCount val="1"/>
                <c:pt idx="0">
                  <c:v>20</c:v>
                </c:pt>
              </c:numCache>
            </c:numRef>
          </c:xVal>
          <c:yVal>
            <c:numRef>
              <c:f>'JW_Summary of all'!$D$17</c:f>
              <c:numCache>
                <c:formatCode>General</c:formatCode>
                <c:ptCount val="1"/>
                <c:pt idx="0">
                  <c:v>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1BC-40C3-82AE-8983E839719D}"/>
            </c:ext>
          </c:extLst>
        </c:ser>
        <c:ser>
          <c:idx val="6"/>
          <c:order val="6"/>
          <c:tx>
            <c:strRef>
              <c:f>'JW_Summary of all'!$A$19</c:f>
              <c:strCache>
                <c:ptCount val="1"/>
                <c:pt idx="0">
                  <c:v>AMNH46620-1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5</c:v>
                </c:pt>
              </c:numLit>
            </c:plus>
            <c:minus>
              <c:numLit>
                <c:formatCode>General</c:formatCode>
                <c:ptCount val="1"/>
                <c:pt idx="0">
                  <c:v>5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'JW_Summary of all'!$O$19</c:f>
              <c:numCache>
                <c:formatCode>0</c:formatCode>
                <c:ptCount val="1"/>
                <c:pt idx="0">
                  <c:v>15</c:v>
                </c:pt>
              </c:numCache>
            </c:numRef>
          </c:xVal>
          <c:yVal>
            <c:numRef>
              <c:f>'JW_Summary of all'!$D$19</c:f>
              <c:numCache>
                <c:formatCode>General</c:formatCode>
                <c:ptCount val="1"/>
                <c:pt idx="0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1BC-40C3-82AE-8983E839719D}"/>
            </c:ext>
          </c:extLst>
        </c:ser>
        <c:ser>
          <c:idx val="7"/>
          <c:order val="7"/>
          <c:tx>
            <c:strRef>
              <c:f>'JW_Summary of all'!$A$20</c:f>
              <c:strCache>
                <c:ptCount val="1"/>
                <c:pt idx="0">
                  <c:v>AMNH161248-4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5</c:v>
                </c:pt>
              </c:numLit>
            </c:plus>
            <c:minus>
              <c:numLit>
                <c:formatCode>General</c:formatCode>
                <c:ptCount val="1"/>
                <c:pt idx="0">
                  <c:v>5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'JW_Summary of all'!$O$20</c:f>
              <c:numCache>
                <c:formatCode>0</c:formatCode>
                <c:ptCount val="1"/>
                <c:pt idx="0">
                  <c:v>20</c:v>
                </c:pt>
              </c:numCache>
            </c:numRef>
          </c:xVal>
          <c:yVal>
            <c:numRef>
              <c:f>'JW_Summary of all'!$D$20</c:f>
              <c:numCache>
                <c:formatCode>General</c:formatCode>
                <c:ptCount val="1"/>
                <c:pt idx="0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1BC-40C3-82AE-8983E839719D}"/>
            </c:ext>
          </c:extLst>
        </c:ser>
        <c:ser>
          <c:idx val="8"/>
          <c:order val="8"/>
          <c:tx>
            <c:v>15502-1clumped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'JW_Summary of all'!$R$4</c:f>
              <c:numCache>
                <c:formatCode>0</c:formatCode>
                <c:ptCount val="1"/>
                <c:pt idx="0">
                  <c:v>35.098519392245407</c:v>
                </c:pt>
              </c:numCache>
            </c:numRef>
          </c:xVal>
          <c:yVal>
            <c:numRef>
              <c:f>'JW_Summary of all'!$D$4</c:f>
              <c:numCache>
                <c:formatCode>General</c:formatCode>
                <c:ptCount val="1"/>
                <c:pt idx="0">
                  <c:v>73.8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1BC-40C3-82AE-8983E839719D}"/>
            </c:ext>
          </c:extLst>
        </c:ser>
        <c:ser>
          <c:idx val="9"/>
          <c:order val="9"/>
          <c:tx>
            <c:v>15502-3clumpedinfill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bg1">
                  <a:lumMod val="65000"/>
                </a:schemeClr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'JW_Summary of all'!$R$6</c:f>
              <c:numCache>
                <c:formatCode>0</c:formatCode>
                <c:ptCount val="1"/>
                <c:pt idx="0">
                  <c:v>37.917925185003241</c:v>
                </c:pt>
              </c:numCache>
            </c:numRef>
          </c:xVal>
          <c:yVal>
            <c:numRef>
              <c:f>'JW_Summary of all'!$D$6</c:f>
              <c:numCache>
                <c:formatCode>General</c:formatCode>
                <c:ptCount val="1"/>
                <c:pt idx="0">
                  <c:v>73.8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1BC-40C3-82AE-8983E839719D}"/>
            </c:ext>
          </c:extLst>
        </c:ser>
        <c:ser>
          <c:idx val="10"/>
          <c:order val="10"/>
          <c:tx>
            <c:v>15473-1clumped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'JW_Summary of all'!$R$12</c:f>
              <c:numCache>
                <c:formatCode>0</c:formatCode>
                <c:ptCount val="1"/>
                <c:pt idx="0">
                  <c:v>33.272345315447694</c:v>
                </c:pt>
              </c:numCache>
            </c:numRef>
          </c:xVal>
          <c:yVal>
            <c:numRef>
              <c:f>'JW_Summary of all'!$D$12</c:f>
              <c:numCache>
                <c:formatCode>General</c:formatCode>
                <c:ptCount val="1"/>
                <c:pt idx="0">
                  <c:v>73.8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1BC-40C3-82AE-8983E839719D}"/>
            </c:ext>
          </c:extLst>
        </c:ser>
        <c:ser>
          <c:idx val="11"/>
          <c:order val="11"/>
          <c:tx>
            <c:v>15505-2clumped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'JW_Summary of all'!$R$14</c:f>
              <c:numCache>
                <c:formatCode>0</c:formatCode>
                <c:ptCount val="1"/>
                <c:pt idx="0">
                  <c:v>26.223927915671766</c:v>
                </c:pt>
              </c:numCache>
            </c:numRef>
          </c:xVal>
          <c:yVal>
            <c:numRef>
              <c:f>'JW_Summary of all'!$D$13</c:f>
              <c:numCache>
                <c:formatCode>General</c:formatCode>
                <c:ptCount val="1"/>
                <c:pt idx="0">
                  <c:v>70.08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1BC-40C3-82AE-8983E839719D}"/>
            </c:ext>
          </c:extLst>
        </c:ser>
        <c:ser>
          <c:idx val="12"/>
          <c:order val="12"/>
          <c:tx>
            <c:v>15505-3clumpedhost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'JW_Summary of all'!$R$15</c:f>
              <c:numCache>
                <c:formatCode>0</c:formatCode>
                <c:ptCount val="1"/>
                <c:pt idx="0">
                  <c:v>33.267863884165706</c:v>
                </c:pt>
              </c:numCache>
            </c:numRef>
          </c:xVal>
          <c:yVal>
            <c:numRef>
              <c:f>'JW_Summary of all'!$D$15</c:f>
              <c:numCache>
                <c:formatCode>General</c:formatCode>
                <c:ptCount val="1"/>
                <c:pt idx="0">
                  <c:v>70.08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1BC-40C3-82AE-8983E839719D}"/>
            </c:ext>
          </c:extLst>
        </c:ser>
        <c:ser>
          <c:idx val="13"/>
          <c:order val="13"/>
          <c:tx>
            <c:v>15525-3clumped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'JW_Summary of all'!$R$18</c:f>
              <c:numCache>
                <c:formatCode>0</c:formatCode>
                <c:ptCount val="1"/>
                <c:pt idx="0">
                  <c:v>49.261374006101789</c:v>
                </c:pt>
              </c:numCache>
            </c:numRef>
          </c:xVal>
          <c:yVal>
            <c:numRef>
              <c:f>'JW_Summary of all'!$D$18</c:f>
              <c:numCache>
                <c:formatCode>General</c:formatCode>
                <c:ptCount val="1"/>
                <c:pt idx="0">
                  <c:v>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1BC-40C3-82AE-8983E839719D}"/>
            </c:ext>
          </c:extLst>
        </c:ser>
        <c:ser>
          <c:idx val="14"/>
          <c:order val="14"/>
          <c:tx>
            <c:v>46620-clumped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'JW_Summary of all'!$R$19</c:f>
              <c:numCache>
                <c:formatCode>0</c:formatCode>
                <c:ptCount val="1"/>
                <c:pt idx="0">
                  <c:v>35.412073567863843</c:v>
                </c:pt>
              </c:numCache>
            </c:numRef>
          </c:xVal>
          <c:yVal>
            <c:numRef>
              <c:f>'JW_Summary of all'!$D$19</c:f>
              <c:numCache>
                <c:formatCode>General</c:formatCode>
                <c:ptCount val="1"/>
                <c:pt idx="0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1BC-40C3-82AE-8983E839719D}"/>
            </c:ext>
          </c:extLst>
        </c:ser>
        <c:ser>
          <c:idx val="15"/>
          <c:order val="15"/>
          <c:tx>
            <c:v>161248-4clumped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'JW_Summary of all'!$R$20</c:f>
              <c:numCache>
                <c:formatCode>0</c:formatCode>
                <c:ptCount val="1"/>
                <c:pt idx="0">
                  <c:v>33.31268704713375</c:v>
                </c:pt>
              </c:numCache>
            </c:numRef>
          </c:xVal>
          <c:yVal>
            <c:numRef>
              <c:f>'JW_Summary of all'!$D$20</c:f>
              <c:numCache>
                <c:formatCode>General</c:formatCode>
                <c:ptCount val="1"/>
                <c:pt idx="0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1BC-40C3-82AE-8983E839719D}"/>
            </c:ext>
          </c:extLst>
        </c:ser>
        <c:ser>
          <c:idx val="16"/>
          <c:order val="16"/>
          <c:tx>
            <c:v>161248-1clumpedinfill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bg1">
                  <a:lumMod val="65000"/>
                </a:schemeClr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'JW_Summary of all'!$R$21</c:f>
              <c:numCache>
                <c:formatCode>0</c:formatCode>
                <c:ptCount val="1"/>
                <c:pt idx="0">
                  <c:v>24.038787497983208</c:v>
                </c:pt>
              </c:numCache>
            </c:numRef>
          </c:xVal>
          <c:yVal>
            <c:numRef>
              <c:f>'JW_Summary of all'!$D$21</c:f>
              <c:numCache>
                <c:formatCode>General</c:formatCode>
                <c:ptCount val="1"/>
                <c:pt idx="0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1BC-40C3-82AE-8983E8397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867360"/>
        <c:axId val="1316867776"/>
      </c:scatterChart>
      <c:valAx>
        <c:axId val="131686736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867776"/>
        <c:crosses val="autoZero"/>
        <c:crossBetween val="midCat"/>
      </c:valAx>
      <c:valAx>
        <c:axId val="131686777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867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'JW_Summary of all'!$A$4</c:f>
              <c:strCache>
                <c:ptCount val="1"/>
                <c:pt idx="0">
                  <c:v>UNM15502-1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2.5</c:v>
                </c:pt>
              </c:numLit>
            </c:plus>
            <c:minus>
              <c:numLit>
                <c:formatCode>General</c:formatCode>
                <c:ptCount val="1"/>
                <c:pt idx="0">
                  <c:v>2.5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'JW_Summary of all'!$O$4</c:f>
              <c:numCache>
                <c:formatCode>0</c:formatCode>
                <c:ptCount val="1"/>
                <c:pt idx="0">
                  <c:v>21</c:v>
                </c:pt>
              </c:numCache>
            </c:numRef>
          </c:xVal>
          <c:yVal>
            <c:numRef>
              <c:f>'JW_Summary of all'!$A$24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63-4AD5-833D-C8AAC149482C}"/>
            </c:ext>
          </c:extLst>
        </c:ser>
        <c:ser>
          <c:idx val="1"/>
          <c:order val="1"/>
          <c:tx>
            <c:strRef>
              <c:f>'JW_Summary of all'!$A$8</c:f>
              <c:strCache>
                <c:ptCount val="1"/>
                <c:pt idx="0">
                  <c:v>UNM15503-1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5</c:v>
                </c:pt>
              </c:numLit>
            </c:plus>
            <c:minus>
              <c:numLit>
                <c:formatCode>General</c:formatCode>
                <c:ptCount val="1"/>
                <c:pt idx="0">
                  <c:v>5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'JW_Summary of all'!$O$8</c:f>
              <c:numCache>
                <c:formatCode>0</c:formatCode>
                <c:ptCount val="1"/>
                <c:pt idx="0">
                  <c:v>25</c:v>
                </c:pt>
              </c:numCache>
            </c:numRef>
          </c:xVal>
          <c:yVal>
            <c:numRef>
              <c:f>'JW_Summary of all'!$A$25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63-4AD5-833D-C8AAC149482C}"/>
            </c:ext>
          </c:extLst>
        </c:ser>
        <c:ser>
          <c:idx val="2"/>
          <c:order val="2"/>
          <c:tx>
            <c:strRef>
              <c:f>'JW_Summary of all'!$A$9</c:f>
              <c:strCache>
                <c:ptCount val="1"/>
                <c:pt idx="0">
                  <c:v>UNM15504-1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5</c:v>
                </c:pt>
              </c:numLit>
            </c:plus>
            <c:minus>
              <c:numLit>
                <c:formatCode>General</c:formatCode>
                <c:ptCount val="1"/>
                <c:pt idx="0">
                  <c:v>5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'JW_Summary of all'!$O$9</c:f>
              <c:numCache>
                <c:formatCode>0</c:formatCode>
                <c:ptCount val="1"/>
                <c:pt idx="0">
                  <c:v>15</c:v>
                </c:pt>
              </c:numCache>
            </c:numRef>
          </c:xVal>
          <c:yVal>
            <c:numRef>
              <c:f>'JW_Summary of all'!$A$26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63-4AD5-833D-C8AAC149482C}"/>
            </c:ext>
          </c:extLst>
        </c:ser>
        <c:ser>
          <c:idx val="3"/>
          <c:order val="3"/>
          <c:tx>
            <c:strRef>
              <c:f>'JW_Summary of all'!$A$12</c:f>
              <c:strCache>
                <c:ptCount val="1"/>
                <c:pt idx="0">
                  <c:v>UNM15473-1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2.5</c:v>
                </c:pt>
              </c:numLit>
            </c:plus>
            <c:minus>
              <c:numLit>
                <c:formatCode>General</c:formatCode>
                <c:ptCount val="1"/>
                <c:pt idx="0">
                  <c:v>2.5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'JW_Summary of all'!$O$12</c:f>
              <c:numCache>
                <c:formatCode>0</c:formatCode>
                <c:ptCount val="1"/>
                <c:pt idx="0">
                  <c:v>12.5</c:v>
                </c:pt>
              </c:numCache>
            </c:numRef>
          </c:xVal>
          <c:yVal>
            <c:numRef>
              <c:f>'JW_Summary of all'!$A$27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63-4AD5-833D-C8AAC149482C}"/>
            </c:ext>
          </c:extLst>
        </c:ser>
        <c:ser>
          <c:idx val="4"/>
          <c:order val="4"/>
          <c:tx>
            <c:v>15502-1clumped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'JW_Summary of all'!$R$4</c:f>
              <c:numCache>
                <c:formatCode>0</c:formatCode>
                <c:ptCount val="1"/>
                <c:pt idx="0">
                  <c:v>35.098519392245407</c:v>
                </c:pt>
              </c:numCache>
            </c:numRef>
          </c:xVal>
          <c:yVal>
            <c:numRef>
              <c:f>'JW_Summary of all'!$A$24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163-4AD5-833D-C8AAC149482C}"/>
            </c:ext>
          </c:extLst>
        </c:ser>
        <c:ser>
          <c:idx val="5"/>
          <c:order val="5"/>
          <c:tx>
            <c:v>15502-3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'JW_Summary of all'!$R$6</c:f>
              <c:numCache>
                <c:formatCode>0</c:formatCode>
                <c:ptCount val="1"/>
                <c:pt idx="0">
                  <c:v>37.917925185003241</c:v>
                </c:pt>
              </c:numCache>
            </c:numRef>
          </c:xVal>
          <c:yVal>
            <c:numRef>
              <c:f>'JW_Summary of all'!$A$24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163-4AD5-833D-C8AAC149482C}"/>
            </c:ext>
          </c:extLst>
        </c:ser>
        <c:ser>
          <c:idx val="6"/>
          <c:order val="6"/>
          <c:tx>
            <c:v>15473clumped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'JW_Summary of all'!$R$12</c:f>
              <c:numCache>
                <c:formatCode>0</c:formatCode>
                <c:ptCount val="1"/>
                <c:pt idx="0">
                  <c:v>33.272345315447694</c:v>
                </c:pt>
              </c:numCache>
            </c:numRef>
          </c:xVal>
          <c:yVal>
            <c:numRef>
              <c:f>'JW_Summary of all'!$A$27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163-4AD5-833D-C8AAC1494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867360"/>
        <c:axId val="1316867776"/>
      </c:scatterChart>
      <c:valAx>
        <c:axId val="131686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867776"/>
        <c:crosses val="autoZero"/>
        <c:crossBetween val="midCat"/>
      </c:valAx>
      <c:valAx>
        <c:axId val="131686777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86736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8"/>
          <c:order val="0"/>
          <c:tx>
            <c:v>15502-1clumped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'JW_Summary of all'!$T$4</c:f>
              <c:numCache>
                <c:formatCode>0.0</c:formatCode>
                <c:ptCount val="1"/>
                <c:pt idx="0">
                  <c:v>1.7603120267944767</c:v>
                </c:pt>
              </c:numCache>
            </c:numRef>
          </c:xVal>
          <c:yVal>
            <c:numRef>
              <c:f>'JW_Summary of all'!$D$4</c:f>
              <c:numCache>
                <c:formatCode>General</c:formatCode>
                <c:ptCount val="1"/>
                <c:pt idx="0">
                  <c:v>73.8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35-4A55-BC49-8295C3AFE00A}"/>
            </c:ext>
          </c:extLst>
        </c:ser>
        <c:ser>
          <c:idx val="9"/>
          <c:order val="1"/>
          <c:tx>
            <c:v>15502-3clumpedinfill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bg1">
                  <a:lumMod val="65000"/>
                </a:schemeClr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'JW_Summary of all'!$T$6</c:f>
              <c:numCache>
                <c:formatCode>0.0</c:formatCode>
                <c:ptCount val="1"/>
                <c:pt idx="0">
                  <c:v>-2.2031175867098796</c:v>
                </c:pt>
              </c:numCache>
            </c:numRef>
          </c:xVal>
          <c:yVal>
            <c:numRef>
              <c:f>'JW_Summary of all'!$D$6</c:f>
              <c:numCache>
                <c:formatCode>General</c:formatCode>
                <c:ptCount val="1"/>
                <c:pt idx="0">
                  <c:v>73.8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35-4A55-BC49-8295C3AFE00A}"/>
            </c:ext>
          </c:extLst>
        </c:ser>
        <c:ser>
          <c:idx val="10"/>
          <c:order val="2"/>
          <c:tx>
            <c:v>15473-1clumped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'JW_Summary of all'!$T$12</c:f>
              <c:numCache>
                <c:formatCode>0.0</c:formatCode>
                <c:ptCount val="1"/>
                <c:pt idx="0">
                  <c:v>1.1642127970990899</c:v>
                </c:pt>
              </c:numCache>
            </c:numRef>
          </c:xVal>
          <c:yVal>
            <c:numRef>
              <c:f>'JW_Summary of all'!$D$12</c:f>
              <c:numCache>
                <c:formatCode>General</c:formatCode>
                <c:ptCount val="1"/>
                <c:pt idx="0">
                  <c:v>73.8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35-4A55-BC49-8295C3AFE00A}"/>
            </c:ext>
          </c:extLst>
        </c:ser>
        <c:ser>
          <c:idx val="11"/>
          <c:order val="3"/>
          <c:tx>
            <c:v>15505-2clumped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'JW_Summary of all'!$T$14</c:f>
              <c:numCache>
                <c:formatCode>0.0</c:formatCode>
                <c:ptCount val="1"/>
                <c:pt idx="0">
                  <c:v>-1.7909267317370734</c:v>
                </c:pt>
              </c:numCache>
            </c:numRef>
          </c:xVal>
          <c:yVal>
            <c:numRef>
              <c:f>'JW_Summary of all'!$D$13</c:f>
              <c:numCache>
                <c:formatCode>General</c:formatCode>
                <c:ptCount val="1"/>
                <c:pt idx="0">
                  <c:v>70.08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35-4A55-BC49-8295C3AFE00A}"/>
            </c:ext>
          </c:extLst>
        </c:ser>
        <c:ser>
          <c:idx val="12"/>
          <c:order val="4"/>
          <c:tx>
            <c:v>15505-3clumpedhost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'JW_Summary of all'!$T$15</c:f>
              <c:numCache>
                <c:formatCode>0.0</c:formatCode>
                <c:ptCount val="1"/>
                <c:pt idx="0">
                  <c:v>-8.4488297702845969</c:v>
                </c:pt>
              </c:numCache>
            </c:numRef>
          </c:xVal>
          <c:yVal>
            <c:numRef>
              <c:f>'JW_Summary of all'!$D$15</c:f>
              <c:numCache>
                <c:formatCode>General</c:formatCode>
                <c:ptCount val="1"/>
                <c:pt idx="0">
                  <c:v>70.08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E35-4A55-BC49-8295C3AFE00A}"/>
            </c:ext>
          </c:extLst>
        </c:ser>
        <c:ser>
          <c:idx val="13"/>
          <c:order val="5"/>
          <c:tx>
            <c:v>15525-3clumped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'JW_Summary of all'!$T$18</c:f>
              <c:numCache>
                <c:formatCode>0.0</c:formatCode>
                <c:ptCount val="1"/>
                <c:pt idx="0">
                  <c:v>-5.2410886311549376</c:v>
                </c:pt>
              </c:numCache>
            </c:numRef>
          </c:xVal>
          <c:yVal>
            <c:numRef>
              <c:f>'JW_Summary of all'!$D$18</c:f>
              <c:numCache>
                <c:formatCode>General</c:formatCode>
                <c:ptCount val="1"/>
                <c:pt idx="0">
                  <c:v>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E35-4A55-BC49-8295C3AFE00A}"/>
            </c:ext>
          </c:extLst>
        </c:ser>
        <c:ser>
          <c:idx val="14"/>
          <c:order val="6"/>
          <c:tx>
            <c:v>46620-clumped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'JW_Summary of all'!$T$19</c:f>
              <c:numCache>
                <c:formatCode>0.0</c:formatCode>
                <c:ptCount val="1"/>
                <c:pt idx="0">
                  <c:v>0.8973576023454406</c:v>
                </c:pt>
              </c:numCache>
            </c:numRef>
          </c:xVal>
          <c:yVal>
            <c:numRef>
              <c:f>'JW_Summary of all'!$D$19</c:f>
              <c:numCache>
                <c:formatCode>General</c:formatCode>
                <c:ptCount val="1"/>
                <c:pt idx="0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E35-4A55-BC49-8295C3AFE00A}"/>
            </c:ext>
          </c:extLst>
        </c:ser>
        <c:ser>
          <c:idx val="15"/>
          <c:order val="7"/>
          <c:tx>
            <c:v>161248-4clumped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'JW_Summary of all'!$T$20</c:f>
              <c:numCache>
                <c:formatCode>0.0</c:formatCode>
                <c:ptCount val="1"/>
                <c:pt idx="0">
                  <c:v>3.6487245147184453</c:v>
                </c:pt>
              </c:numCache>
            </c:numRef>
          </c:xVal>
          <c:yVal>
            <c:numRef>
              <c:f>'JW_Summary of all'!$D$20</c:f>
              <c:numCache>
                <c:formatCode>General</c:formatCode>
                <c:ptCount val="1"/>
                <c:pt idx="0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E35-4A55-BC49-8295C3AFE00A}"/>
            </c:ext>
          </c:extLst>
        </c:ser>
        <c:ser>
          <c:idx val="16"/>
          <c:order val="8"/>
          <c:tx>
            <c:v>161248-1clumpedinfill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bg1">
                  <a:lumMod val="65000"/>
                </a:schemeClr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'JW_Summary of all'!$T$21</c:f>
              <c:numCache>
                <c:formatCode>0.0</c:formatCode>
                <c:ptCount val="1"/>
                <c:pt idx="0">
                  <c:v>2.3480360660149806</c:v>
                </c:pt>
              </c:numCache>
            </c:numRef>
          </c:xVal>
          <c:yVal>
            <c:numRef>
              <c:f>'JW_Summary of all'!$D$21</c:f>
              <c:numCache>
                <c:formatCode>General</c:formatCode>
                <c:ptCount val="1"/>
                <c:pt idx="0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E35-4A55-BC49-8295C3AFE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867360"/>
        <c:axId val="1316867776"/>
      </c:scatterChart>
      <c:valAx>
        <c:axId val="131686736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18Ow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867776"/>
        <c:crosses val="autoZero"/>
        <c:crossBetween val="midCat"/>
      </c:valAx>
      <c:valAx>
        <c:axId val="131686777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867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4"/>
          <c:order val="0"/>
          <c:tx>
            <c:v>15502-1clumped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'JW_Summary of all'!$T$4</c:f>
              <c:numCache>
                <c:formatCode>0.0</c:formatCode>
                <c:ptCount val="1"/>
                <c:pt idx="0">
                  <c:v>1.7603120267944767</c:v>
                </c:pt>
              </c:numCache>
            </c:numRef>
          </c:xVal>
          <c:yVal>
            <c:numRef>
              <c:f>'JW_Summary of all'!$A$24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61-453F-8033-A282D597E5A8}"/>
            </c:ext>
          </c:extLst>
        </c:ser>
        <c:ser>
          <c:idx val="5"/>
          <c:order val="1"/>
          <c:tx>
            <c:v>15502-3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diamond"/>
              <c:size val="6"/>
              <c:spPr>
                <a:solidFill>
                  <a:schemeClr val="bg1">
                    <a:lumMod val="65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961-453F-8033-A282D597E5A8}"/>
              </c:ext>
            </c:extLst>
          </c:dPt>
          <c:xVal>
            <c:numRef>
              <c:f>'JW_Summary of all'!$T$6</c:f>
              <c:numCache>
                <c:formatCode>0.0</c:formatCode>
                <c:ptCount val="1"/>
                <c:pt idx="0">
                  <c:v>-2.2031175867098796</c:v>
                </c:pt>
              </c:numCache>
            </c:numRef>
          </c:xVal>
          <c:yVal>
            <c:numRef>
              <c:f>'JW_Summary of all'!$A$24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61-453F-8033-A282D597E5A8}"/>
            </c:ext>
          </c:extLst>
        </c:ser>
        <c:ser>
          <c:idx val="6"/>
          <c:order val="2"/>
          <c:tx>
            <c:v>15473clumped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'JW_Summary of all'!$T$12</c:f>
              <c:numCache>
                <c:formatCode>0.0</c:formatCode>
                <c:ptCount val="1"/>
                <c:pt idx="0">
                  <c:v>1.1642127970990899</c:v>
                </c:pt>
              </c:numCache>
            </c:numRef>
          </c:xVal>
          <c:yVal>
            <c:numRef>
              <c:f>'JW_Summary of all'!$A$27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961-453F-8033-A282D597E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867360"/>
        <c:axId val="1316867776"/>
      </c:scatterChart>
      <c:valAx>
        <c:axId val="131686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18Ow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867776"/>
        <c:crosses val="autoZero"/>
        <c:crossBetween val="midCat"/>
      </c:valAx>
      <c:valAx>
        <c:axId val="131686777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86736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38</xdr:row>
      <xdr:rowOff>19050</xdr:rowOff>
    </xdr:from>
    <xdr:to>
      <xdr:col>5</xdr:col>
      <xdr:colOff>381000</xdr:colOff>
      <xdr:row>52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62BA6D-E0B8-48DD-9722-8805E07FD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22860</xdr:colOff>
      <xdr:row>23</xdr:row>
      <xdr:rowOff>0</xdr:rowOff>
    </xdr:from>
    <xdr:to>
      <xdr:col>5</xdr:col>
      <xdr:colOff>22860</xdr:colOff>
      <xdr:row>37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7F56C5-0759-46AC-96C5-3B96F13F42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365760</xdr:colOff>
      <xdr:row>38</xdr:row>
      <xdr:rowOff>22860</xdr:rowOff>
    </xdr:from>
    <xdr:to>
      <xdr:col>8</xdr:col>
      <xdr:colOff>457200</xdr:colOff>
      <xdr:row>52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A7D447-9F8A-4097-92D5-7C0E680EF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8</xdr:col>
      <xdr:colOff>91440</xdr:colOff>
      <xdr:row>37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60E72E-6E90-4F33-B180-D3147546D8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ames Witts" id="{649DDA5C-392B-48CB-B6FA-61020A68B53D}" userId="d0fae89b6fd2c8ff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8" dT="2021-02-11T12:07:18.21" personId="{649DDA5C-392B-48CB-B6FA-61020A68B53D}" id="{212D9518-000D-438C-A084-94E3259DCA9D}">
    <text>Greg and Yang did measure this one? (Placenticeras)</text>
  </threadedComment>
  <threadedComment ref="P9" dT="2021-02-11T14:28:05.58" personId="{649DDA5C-392B-48CB-B6FA-61020A68B53D}" id="{108751A7-F2F6-483B-BCCA-09079B74F04F}">
    <text>Did we decide not to run these other seep samples for clumped/wasn't enough shell?</text>
  </threadedComment>
  <threadedComment ref="P14" dT="2021-02-11T11:39:11.74" personId="{649DDA5C-392B-48CB-B6FA-61020A68B53D}" id="{B2F2C953-F489-46F0-872E-7C9BD2EF18C5}">
    <text>Mislabelled 15505-1 for clumped? Greg has 15505-2 listed as shell.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4A025-90F0-4B01-88F9-E8FFF420F899}">
  <dimension ref="A2:X39"/>
  <sheetViews>
    <sheetView tabSelected="1" topLeftCell="A14" zoomScale="130" zoomScaleNormal="130" workbookViewId="0">
      <pane xSplit="1" topLeftCell="B1" activePane="topRight" state="frozen"/>
      <selection pane="topRight" activeCell="B30" sqref="B30"/>
    </sheetView>
  </sheetViews>
  <sheetFormatPr baseColWidth="10" defaultColWidth="8.83203125" defaultRowHeight="16" x14ac:dyDescent="0.2"/>
  <cols>
    <col min="1" max="1" width="13.33203125" style="1" bestFit="1" customWidth="1"/>
    <col min="2" max="2" width="23.1640625" style="1" bestFit="1" customWidth="1"/>
    <col min="3" max="3" width="13.33203125" style="1" customWidth="1"/>
    <col min="4" max="4" width="8.33203125" style="1" bestFit="1" customWidth="1"/>
    <col min="5" max="5" width="17.6640625" style="1" bestFit="1" customWidth="1"/>
    <col min="6" max="6" width="13.33203125" style="1" customWidth="1"/>
    <col min="7" max="7" width="13.5" style="1" bestFit="1" customWidth="1"/>
    <col min="8" max="11" width="8.83203125" style="1"/>
    <col min="12" max="12" width="10.1640625" style="1" bestFit="1" customWidth="1"/>
    <col min="13" max="13" width="16.6640625" style="1" bestFit="1" customWidth="1"/>
    <col min="14" max="15" width="16.1640625" style="1" customWidth="1"/>
    <col min="16" max="17" width="11.6640625" style="1" bestFit="1" customWidth="1"/>
    <col min="18" max="18" width="6.83203125" style="1" customWidth="1"/>
    <col min="19" max="19" width="21.33203125" style="1" bestFit="1" customWidth="1"/>
    <col min="20" max="20" width="11.5" style="1" bestFit="1" customWidth="1"/>
    <col min="21" max="23" width="8.83203125" style="1"/>
    <col min="24" max="24" width="11.1640625" style="1" customWidth="1"/>
    <col min="25" max="16384" width="8.83203125" style="1"/>
  </cols>
  <sheetData>
    <row r="2" spans="1:24" x14ac:dyDescent="0.2">
      <c r="B2" s="41" t="s">
        <v>0</v>
      </c>
      <c r="C2" s="41"/>
      <c r="D2" s="41"/>
      <c r="E2" s="41"/>
      <c r="F2" s="41"/>
      <c r="G2" s="42"/>
      <c r="H2" s="43" t="s">
        <v>1</v>
      </c>
      <c r="I2" s="41"/>
      <c r="J2" s="41"/>
      <c r="K2" s="41"/>
      <c r="L2" s="41"/>
      <c r="M2" s="41"/>
      <c r="N2" s="41"/>
      <c r="O2" s="42"/>
      <c r="P2" s="43" t="s">
        <v>2</v>
      </c>
      <c r="Q2" s="41"/>
      <c r="R2" s="41"/>
      <c r="S2" s="41"/>
      <c r="T2" s="42"/>
      <c r="U2" s="43" t="s">
        <v>3</v>
      </c>
      <c r="V2" s="41"/>
      <c r="W2" s="41"/>
      <c r="X2" s="41"/>
    </row>
    <row r="3" spans="1:24" ht="34" x14ac:dyDescent="0.2">
      <c r="A3" s="2" t="s">
        <v>4</v>
      </c>
      <c r="B3" s="2" t="s">
        <v>5</v>
      </c>
      <c r="C3" s="2" t="s">
        <v>6</v>
      </c>
      <c r="D3" s="2" t="s">
        <v>72</v>
      </c>
      <c r="E3" s="2" t="s">
        <v>7</v>
      </c>
      <c r="F3" s="2" t="s">
        <v>8</v>
      </c>
      <c r="G3" s="2" t="s">
        <v>9</v>
      </c>
      <c r="H3" s="3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3" t="s">
        <v>18</v>
      </c>
      <c r="Q3" s="2" t="s">
        <v>19</v>
      </c>
      <c r="R3" s="2" t="s">
        <v>20</v>
      </c>
      <c r="S3" s="2" t="s">
        <v>21</v>
      </c>
      <c r="T3" s="2" t="s">
        <v>22</v>
      </c>
      <c r="U3" s="3" t="s">
        <v>23</v>
      </c>
      <c r="V3" s="2" t="s">
        <v>24</v>
      </c>
      <c r="W3" s="2" t="s">
        <v>25</v>
      </c>
      <c r="X3" s="4" t="s">
        <v>26</v>
      </c>
    </row>
    <row r="4" spans="1:24" x14ac:dyDescent="0.2">
      <c r="A4" s="1" t="s">
        <v>27</v>
      </c>
      <c r="B4" s="5" t="s">
        <v>28</v>
      </c>
      <c r="C4" s="5" t="s">
        <v>29</v>
      </c>
      <c r="D4" s="1">
        <v>73.8</v>
      </c>
      <c r="E4" s="1" t="s">
        <v>30</v>
      </c>
      <c r="F4" s="1" t="s">
        <v>31</v>
      </c>
      <c r="G4" s="1" t="s">
        <v>32</v>
      </c>
      <c r="H4" s="6">
        <v>14.824999999999999</v>
      </c>
      <c r="I4" s="7">
        <v>14.716183823543169</v>
      </c>
      <c r="J4" s="1">
        <v>28.43</v>
      </c>
      <c r="K4" s="7">
        <v>28.033367512704654</v>
      </c>
      <c r="L4" s="7">
        <v>-8.199999999999999E-2</v>
      </c>
      <c r="M4" s="8">
        <v>23</v>
      </c>
      <c r="N4" s="8">
        <v>18</v>
      </c>
      <c r="O4" s="8">
        <v>21</v>
      </c>
      <c r="P4" s="9">
        <v>0.56784499999999993</v>
      </c>
      <c r="Q4" s="7">
        <v>0.64984500000000001</v>
      </c>
      <c r="R4" s="8">
        <v>35.098519392245407</v>
      </c>
      <c r="S4" s="1">
        <v>1.0264146066148327</v>
      </c>
      <c r="T4" s="10">
        <v>1.7603120267944767</v>
      </c>
      <c r="U4" s="11">
        <v>6.19</v>
      </c>
      <c r="V4" s="12">
        <v>71.83</v>
      </c>
      <c r="W4" s="12"/>
      <c r="X4" s="12">
        <v>21.99</v>
      </c>
    </row>
    <row r="5" spans="1:24" x14ac:dyDescent="0.2">
      <c r="A5" s="1" t="s">
        <v>33</v>
      </c>
      <c r="C5" s="5" t="s">
        <v>29</v>
      </c>
      <c r="D5" s="1">
        <v>73.8</v>
      </c>
      <c r="E5" s="1" t="s">
        <v>30</v>
      </c>
      <c r="F5" s="1" t="s">
        <v>31</v>
      </c>
      <c r="G5" s="1" t="s">
        <v>34</v>
      </c>
      <c r="H5" s="6">
        <v>12.02</v>
      </c>
      <c r="I5" s="7">
        <v>11.94833346702184</v>
      </c>
      <c r="J5" s="1">
        <v>23.03</v>
      </c>
      <c r="K5" s="7">
        <v>22.768812052701342</v>
      </c>
      <c r="L5" s="7">
        <v>-7.3000000000000009E-2</v>
      </c>
      <c r="M5" s="8"/>
      <c r="N5" s="8"/>
      <c r="O5" s="8"/>
      <c r="P5" s="9"/>
      <c r="Q5" s="7"/>
      <c r="R5" s="8"/>
      <c r="T5" s="10"/>
      <c r="U5" s="6"/>
    </row>
    <row r="6" spans="1:24" x14ac:dyDescent="0.2">
      <c r="A6" s="1" t="s">
        <v>35</v>
      </c>
      <c r="C6" s="5" t="s">
        <v>29</v>
      </c>
      <c r="D6" s="1">
        <v>73.8</v>
      </c>
      <c r="E6" s="1" t="s">
        <v>30</v>
      </c>
      <c r="F6" s="1" t="s">
        <v>31</v>
      </c>
      <c r="G6" s="1" t="s">
        <v>36</v>
      </c>
      <c r="H6" s="6">
        <v>15.225000000000001</v>
      </c>
      <c r="I6" s="7">
        <v>15.11026269520173</v>
      </c>
      <c r="J6" s="1">
        <v>29.19</v>
      </c>
      <c r="K6" s="7">
        <v>28.772085093755891</v>
      </c>
      <c r="L6" s="7">
        <v>-8.1500000000000003E-2</v>
      </c>
      <c r="M6" s="8"/>
      <c r="N6" s="8"/>
      <c r="O6" s="8"/>
      <c r="P6" s="9">
        <v>0.55971666666666664</v>
      </c>
      <c r="Q6" s="7">
        <v>0.64171666666666671</v>
      </c>
      <c r="R6" s="8">
        <v>37.917925185003241</v>
      </c>
      <c r="S6" s="1">
        <v>1.0258705992348205</v>
      </c>
      <c r="T6" s="10">
        <v>-2.2031175867098796</v>
      </c>
      <c r="U6" s="6"/>
    </row>
    <row r="7" spans="1:24" x14ac:dyDescent="0.2">
      <c r="A7" s="1" t="s">
        <v>37</v>
      </c>
      <c r="B7" s="13"/>
      <c r="C7" s="5" t="s">
        <v>29</v>
      </c>
      <c r="D7" s="1">
        <v>73.8</v>
      </c>
      <c r="E7" s="1" t="s">
        <v>30</v>
      </c>
      <c r="F7" s="1" t="s">
        <v>31</v>
      </c>
      <c r="G7" s="1" t="s">
        <v>32</v>
      </c>
      <c r="H7" s="6">
        <v>15.13</v>
      </c>
      <c r="I7" s="7">
        <v>15.016683110093231</v>
      </c>
      <c r="J7" s="1">
        <v>29.01</v>
      </c>
      <c r="K7" s="7">
        <v>28.597174977674879</v>
      </c>
      <c r="L7" s="7">
        <v>-8.1000000000000003E-2</v>
      </c>
      <c r="M7" s="14"/>
      <c r="N7" s="14"/>
      <c r="O7" s="14"/>
      <c r="P7" s="6"/>
      <c r="U7" s="6"/>
    </row>
    <row r="8" spans="1:24" x14ac:dyDescent="0.2">
      <c r="A8" s="1" t="s">
        <v>38</v>
      </c>
      <c r="B8" s="5" t="s">
        <v>39</v>
      </c>
      <c r="C8" s="5" t="s">
        <v>29</v>
      </c>
      <c r="D8" s="1">
        <v>73.8</v>
      </c>
      <c r="E8" s="1" t="s">
        <v>30</v>
      </c>
      <c r="F8" s="1" t="s">
        <v>31</v>
      </c>
      <c r="G8" s="1" t="s">
        <v>32</v>
      </c>
      <c r="H8" s="6">
        <v>14</v>
      </c>
      <c r="I8" s="7">
        <v>13.902905168991435</v>
      </c>
      <c r="J8" s="1">
        <v>26.820000000000004</v>
      </c>
      <c r="K8" s="7">
        <v>26.466647815026004</v>
      </c>
      <c r="L8" s="7">
        <v>-7.1484877342296471E-2</v>
      </c>
      <c r="M8" s="8">
        <v>30</v>
      </c>
      <c r="N8" s="8">
        <v>20</v>
      </c>
      <c r="O8" s="8">
        <v>25</v>
      </c>
      <c r="P8" s="15"/>
      <c r="Q8" s="16"/>
      <c r="R8" s="16"/>
      <c r="S8" s="16"/>
      <c r="T8" s="16"/>
      <c r="U8" s="6"/>
      <c r="V8" s="1">
        <v>100</v>
      </c>
    </row>
    <row r="9" spans="1:24" x14ac:dyDescent="0.2">
      <c r="A9" s="1" t="s">
        <v>40</v>
      </c>
      <c r="B9" s="17"/>
      <c r="C9" s="5" t="s">
        <v>29</v>
      </c>
      <c r="D9" s="1">
        <v>73.8</v>
      </c>
      <c r="E9" s="1" t="s">
        <v>30</v>
      </c>
      <c r="F9" s="1" t="s">
        <v>31</v>
      </c>
      <c r="G9" s="1" t="s">
        <v>32</v>
      </c>
      <c r="H9" s="6">
        <v>13.83</v>
      </c>
      <c r="I9" s="7">
        <v>13.735238253719187</v>
      </c>
      <c r="J9" s="1">
        <v>26.48</v>
      </c>
      <c r="K9" s="7">
        <v>26.135473604625883</v>
      </c>
      <c r="L9" s="7">
        <v>-6.6000000000000003E-2</v>
      </c>
      <c r="M9" s="8">
        <v>20</v>
      </c>
      <c r="N9" s="8">
        <v>10</v>
      </c>
      <c r="O9" s="8">
        <v>15</v>
      </c>
      <c r="P9" s="15"/>
      <c r="Q9" s="16"/>
      <c r="R9" s="16"/>
      <c r="S9" s="16"/>
      <c r="T9" s="16"/>
      <c r="U9" s="6"/>
    </row>
    <row r="10" spans="1:24" x14ac:dyDescent="0.2">
      <c r="A10" s="1" t="s">
        <v>41</v>
      </c>
      <c r="B10" s="17"/>
      <c r="C10" s="5" t="s">
        <v>29</v>
      </c>
      <c r="D10" s="1">
        <v>73.8</v>
      </c>
      <c r="E10" s="1" t="s">
        <v>30</v>
      </c>
      <c r="F10" s="1" t="s">
        <v>31</v>
      </c>
      <c r="G10" s="1" t="s">
        <v>32</v>
      </c>
      <c r="H10" s="6">
        <v>14.934999999999999</v>
      </c>
      <c r="I10" s="7">
        <v>14.824571022138265</v>
      </c>
      <c r="J10" s="1">
        <v>28.65</v>
      </c>
      <c r="K10" s="7">
        <v>28.247262938102676</v>
      </c>
      <c r="L10" s="7">
        <v>-8.5999999999999993E-2</v>
      </c>
      <c r="M10" s="14"/>
      <c r="N10" s="14"/>
      <c r="O10" s="14"/>
      <c r="P10" s="15"/>
      <c r="Q10" s="16"/>
      <c r="R10" s="16"/>
      <c r="S10" s="16"/>
      <c r="T10" s="16"/>
      <c r="U10" s="6"/>
    </row>
    <row r="11" spans="1:24" x14ac:dyDescent="0.2">
      <c r="A11" s="1" t="s">
        <v>42</v>
      </c>
      <c r="C11" s="5" t="s">
        <v>29</v>
      </c>
      <c r="D11" s="1">
        <v>73.8</v>
      </c>
      <c r="E11" s="1" t="s">
        <v>30</v>
      </c>
      <c r="F11" s="1" t="s">
        <v>31</v>
      </c>
      <c r="G11" s="1" t="s">
        <v>36</v>
      </c>
      <c r="H11" s="6">
        <v>15.385</v>
      </c>
      <c r="I11" s="7">
        <v>15.267850809478922</v>
      </c>
      <c r="J11" s="1">
        <v>29.51</v>
      </c>
      <c r="K11" s="7">
        <v>29.082960891664325</v>
      </c>
      <c r="L11" s="7">
        <v>-8.7499999999999994E-2</v>
      </c>
      <c r="M11" s="8"/>
      <c r="N11" s="8"/>
      <c r="O11" s="8"/>
      <c r="P11" s="6"/>
      <c r="U11" s="6"/>
    </row>
    <row r="12" spans="1:24" x14ac:dyDescent="0.2">
      <c r="A12" s="29" t="s">
        <v>43</v>
      </c>
      <c r="B12" s="30" t="s">
        <v>44</v>
      </c>
      <c r="C12" s="30" t="s">
        <v>29</v>
      </c>
      <c r="D12" s="29">
        <v>73.8</v>
      </c>
      <c r="E12" s="29" t="s">
        <v>30</v>
      </c>
      <c r="F12" s="29" t="s">
        <v>45</v>
      </c>
      <c r="G12" s="29" t="s">
        <v>32</v>
      </c>
      <c r="H12" s="31">
        <v>14.618832164825594</v>
      </c>
      <c r="I12" s="29">
        <v>14.726209914741048</v>
      </c>
      <c r="J12" s="29">
        <v>28.26</v>
      </c>
      <c r="K12" s="29">
        <v>27.868053342472717</v>
      </c>
      <c r="L12" s="29">
        <v>-9.5500000000000002E-2</v>
      </c>
      <c r="M12" s="32">
        <v>15</v>
      </c>
      <c r="N12" s="32">
        <v>10</v>
      </c>
      <c r="O12" s="32">
        <v>12.5</v>
      </c>
      <c r="P12" s="31">
        <v>0.57323000000000002</v>
      </c>
      <c r="Q12" s="29">
        <v>0.65522999999999998</v>
      </c>
      <c r="R12" s="32">
        <v>33.272345315447694</v>
      </c>
      <c r="S12" s="29">
        <v>1.0267724681249795</v>
      </c>
      <c r="T12" s="33">
        <v>1.1642127970990899</v>
      </c>
      <c r="U12" s="34">
        <v>12.44</v>
      </c>
      <c r="V12" s="35">
        <v>87.56</v>
      </c>
      <c r="W12" s="29"/>
      <c r="X12" s="29"/>
    </row>
    <row r="13" spans="1:24" x14ac:dyDescent="0.2">
      <c r="A13" s="22" t="s">
        <v>46</v>
      </c>
      <c r="B13" s="23" t="s">
        <v>47</v>
      </c>
      <c r="C13" s="23" t="s">
        <v>48</v>
      </c>
      <c r="D13" s="22">
        <v>70.08</v>
      </c>
      <c r="E13" s="22" t="s">
        <v>30</v>
      </c>
      <c r="F13" s="22" t="s">
        <v>45</v>
      </c>
      <c r="G13" s="22" t="s">
        <v>32</v>
      </c>
      <c r="H13" s="24">
        <v>14.33</v>
      </c>
      <c r="I13" s="25">
        <v>14.228296010631224</v>
      </c>
      <c r="J13" s="22">
        <v>27.48</v>
      </c>
      <c r="K13" s="25">
        <v>27.109202478617796</v>
      </c>
      <c r="L13" s="25">
        <v>-8.5362898078972904E-2</v>
      </c>
      <c r="M13" s="26">
        <v>20</v>
      </c>
      <c r="N13" s="26">
        <v>15</v>
      </c>
      <c r="O13" s="26">
        <v>17.5</v>
      </c>
      <c r="P13" s="24"/>
      <c r="Q13" s="22"/>
      <c r="R13" s="22"/>
      <c r="S13" s="22"/>
      <c r="T13" s="22"/>
      <c r="U13" s="27">
        <v>32.24</v>
      </c>
      <c r="V13" s="28">
        <v>67.760000000000005</v>
      </c>
      <c r="W13" s="22"/>
      <c r="X13" s="22"/>
    </row>
    <row r="14" spans="1:24" x14ac:dyDescent="0.2">
      <c r="A14" s="1" t="s">
        <v>49</v>
      </c>
      <c r="B14" s="5"/>
      <c r="C14" s="5" t="s">
        <v>48</v>
      </c>
      <c r="D14" s="1">
        <v>70.08</v>
      </c>
      <c r="E14" s="1" t="s">
        <v>30</v>
      </c>
      <c r="F14" s="1" t="s">
        <v>45</v>
      </c>
      <c r="G14" s="17" t="s">
        <v>50</v>
      </c>
      <c r="H14" s="6">
        <v>9.9050000000000011</v>
      </c>
      <c r="I14" s="7">
        <v>9.8562670111080948</v>
      </c>
      <c r="J14" s="1">
        <v>18.97</v>
      </c>
      <c r="K14" s="7">
        <v>18.792313179137164</v>
      </c>
      <c r="L14" s="7">
        <v>-6.4500000000000002E-2</v>
      </c>
      <c r="M14" s="8"/>
      <c r="N14" s="8"/>
      <c r="O14" s="8"/>
      <c r="P14" s="18">
        <v>0.59494666666666662</v>
      </c>
      <c r="Q14" s="19">
        <v>0.6769466666666667</v>
      </c>
      <c r="R14" s="20">
        <v>26.223927915671766</v>
      </c>
      <c r="S14" s="16">
        <v>1.0281958715406081</v>
      </c>
      <c r="T14" s="21">
        <v>-1.7909267317370734</v>
      </c>
      <c r="U14" s="6"/>
    </row>
    <row r="15" spans="1:24" x14ac:dyDescent="0.2">
      <c r="A15" s="1" t="s">
        <v>51</v>
      </c>
      <c r="C15" s="5" t="s">
        <v>48</v>
      </c>
      <c r="D15" s="1">
        <v>70.08</v>
      </c>
      <c r="E15" s="1" t="s">
        <v>30</v>
      </c>
      <c r="F15" s="1" t="s">
        <v>45</v>
      </c>
      <c r="G15" s="1" t="s">
        <v>36</v>
      </c>
      <c r="H15" s="6">
        <v>14.86</v>
      </c>
      <c r="I15" s="7">
        <v>14.750671945908051</v>
      </c>
      <c r="J15" s="1">
        <v>28.51</v>
      </c>
      <c r="K15" s="7">
        <v>28.111152961031213</v>
      </c>
      <c r="L15" s="7">
        <v>-9.2999999999999999E-2</v>
      </c>
      <c r="M15" s="8"/>
      <c r="N15" s="8"/>
      <c r="O15" s="8"/>
      <c r="P15" s="9">
        <v>0.57324333333333344</v>
      </c>
      <c r="Q15" s="7">
        <v>0.65524333333333329</v>
      </c>
      <c r="R15" s="8">
        <v>33.267863884165706</v>
      </c>
      <c r="S15" s="1">
        <v>1.0267733517181632</v>
      </c>
      <c r="T15" s="10">
        <v>-8.4488297702845969</v>
      </c>
      <c r="U15" s="6"/>
    </row>
    <row r="16" spans="1:24" x14ac:dyDescent="0.2">
      <c r="A16" s="1" t="s">
        <v>52</v>
      </c>
      <c r="C16" s="5" t="s">
        <v>48</v>
      </c>
      <c r="D16" s="1">
        <v>70.08</v>
      </c>
      <c r="E16" s="1" t="s">
        <v>30</v>
      </c>
      <c r="F16" s="1" t="s">
        <v>45</v>
      </c>
      <c r="G16" s="1" t="s">
        <v>34</v>
      </c>
      <c r="H16" s="6">
        <v>10.84</v>
      </c>
      <c r="I16" s="7">
        <v>10.781668315743403</v>
      </c>
      <c r="J16" s="1">
        <v>20.78</v>
      </c>
      <c r="K16" s="7">
        <v>20.567040939964301</v>
      </c>
      <c r="L16" s="7">
        <v>-7.9000000000000001E-2</v>
      </c>
      <c r="M16" s="8"/>
      <c r="N16" s="8"/>
      <c r="O16" s="8"/>
      <c r="P16" s="9"/>
      <c r="Q16" s="7"/>
      <c r="R16" s="8"/>
      <c r="T16" s="10"/>
      <c r="U16" s="6"/>
    </row>
    <row r="17" spans="1:24" x14ac:dyDescent="0.2">
      <c r="A17" s="22" t="s">
        <v>53</v>
      </c>
      <c r="B17" s="23" t="s">
        <v>28</v>
      </c>
      <c r="C17" s="23" t="s">
        <v>54</v>
      </c>
      <c r="D17" s="22">
        <v>69</v>
      </c>
      <c r="E17" s="22" t="s">
        <v>30</v>
      </c>
      <c r="F17" s="22" t="s">
        <v>45</v>
      </c>
      <c r="G17" s="22" t="s">
        <v>32</v>
      </c>
      <c r="H17" s="24">
        <v>15.544299911183037</v>
      </c>
      <c r="I17" s="22">
        <v>15.665740963828739</v>
      </c>
      <c r="J17" s="22">
        <v>30.02</v>
      </c>
      <c r="K17" s="22">
        <v>29.578219528755753</v>
      </c>
      <c r="L17" s="22">
        <v>-7.2999999999999995E-2</v>
      </c>
      <c r="M17" s="26">
        <v>25</v>
      </c>
      <c r="N17" s="26">
        <v>15</v>
      </c>
      <c r="O17" s="26">
        <v>20</v>
      </c>
      <c r="P17" s="36"/>
      <c r="Q17" s="37"/>
      <c r="R17" s="37"/>
      <c r="S17" s="37"/>
      <c r="T17" s="37"/>
      <c r="U17" s="27">
        <v>11.1</v>
      </c>
      <c r="V17" s="28">
        <v>88.9</v>
      </c>
      <c r="W17" s="22"/>
      <c r="X17" s="22"/>
    </row>
    <row r="18" spans="1:24" x14ac:dyDescent="0.2">
      <c r="A18" s="1" t="s">
        <v>55</v>
      </c>
      <c r="B18" s="17" t="s">
        <v>56</v>
      </c>
      <c r="C18" s="5" t="s">
        <v>54</v>
      </c>
      <c r="D18" s="1">
        <v>69</v>
      </c>
      <c r="E18" s="1" t="s">
        <v>57</v>
      </c>
      <c r="F18" s="1" t="s">
        <v>45</v>
      </c>
      <c r="G18" s="1" t="s">
        <v>58</v>
      </c>
      <c r="H18" s="6">
        <v>10.04366982687532</v>
      </c>
      <c r="I18" s="1">
        <v>10.094276763223888</v>
      </c>
      <c r="J18" s="1">
        <v>19.32</v>
      </c>
      <c r="K18" s="1">
        <v>19.135738308475986</v>
      </c>
      <c r="L18" s="1">
        <v>-0.06</v>
      </c>
      <c r="M18" s="8" t="s">
        <v>59</v>
      </c>
      <c r="N18" s="8"/>
      <c r="O18" s="8"/>
      <c r="P18" s="9">
        <v>0.52914000000000005</v>
      </c>
      <c r="Q18" s="7">
        <v>0.61114000000000002</v>
      </c>
      <c r="R18" s="8">
        <v>49.261374006101789</v>
      </c>
      <c r="S18" s="1">
        <v>1.0237807012266538</v>
      </c>
      <c r="T18" s="10">
        <v>-5.2410886311549376</v>
      </c>
      <c r="U18" s="11">
        <v>82.75</v>
      </c>
      <c r="V18" s="12">
        <v>13.91</v>
      </c>
      <c r="W18" s="12">
        <v>3.34</v>
      </c>
    </row>
    <row r="19" spans="1:24" x14ac:dyDescent="0.2">
      <c r="A19" s="22" t="s">
        <v>60</v>
      </c>
      <c r="B19" s="23" t="s">
        <v>61</v>
      </c>
      <c r="C19" s="23" t="s">
        <v>62</v>
      </c>
      <c r="D19" s="22">
        <v>68</v>
      </c>
      <c r="E19" s="22" t="s">
        <v>30</v>
      </c>
      <c r="F19" s="22" t="s">
        <v>45</v>
      </c>
      <c r="G19" s="22" t="s">
        <v>32</v>
      </c>
      <c r="H19" s="24">
        <v>14.05969213947952</v>
      </c>
      <c r="I19" s="22">
        <v>14.158994473302471</v>
      </c>
      <c r="J19" s="22">
        <v>27.16</v>
      </c>
      <c r="K19" s="22">
        <v>26.797712385377878</v>
      </c>
      <c r="L19" s="22">
        <v>-8.9499999999999996E-2</v>
      </c>
      <c r="M19" s="26">
        <v>20</v>
      </c>
      <c r="N19" s="26">
        <v>10</v>
      </c>
      <c r="O19" s="26">
        <v>15</v>
      </c>
      <c r="P19" s="24">
        <v>0.56693000000000005</v>
      </c>
      <c r="Q19" s="22">
        <v>0.64893000000000001</v>
      </c>
      <c r="R19" s="26">
        <v>35.412073567863843</v>
      </c>
      <c r="S19" s="22">
        <v>1.0263536003144509</v>
      </c>
      <c r="T19" s="38">
        <v>0.8973576023454406</v>
      </c>
      <c r="U19" s="24"/>
      <c r="V19" s="22">
        <v>100</v>
      </c>
      <c r="W19" s="22"/>
      <c r="X19" s="22"/>
    </row>
    <row r="20" spans="1:24" x14ac:dyDescent="0.2">
      <c r="A20" s="22" t="s">
        <v>63</v>
      </c>
      <c r="B20" s="23" t="s">
        <v>28</v>
      </c>
      <c r="C20" s="23" t="s">
        <v>64</v>
      </c>
      <c r="D20" s="22">
        <v>67</v>
      </c>
      <c r="E20" s="22" t="s">
        <v>57</v>
      </c>
      <c r="F20" s="22" t="s">
        <v>45</v>
      </c>
      <c r="G20" s="22" t="s">
        <v>32</v>
      </c>
      <c r="H20" s="24">
        <v>15.974718008850953</v>
      </c>
      <c r="I20" s="22">
        <v>16.102995974405417</v>
      </c>
      <c r="J20" s="22">
        <v>30.86</v>
      </c>
      <c r="K20" s="22">
        <v>30.393405319793469</v>
      </c>
      <c r="L20" s="22">
        <v>-7.2999999999999995E-2</v>
      </c>
      <c r="M20" s="26">
        <v>25</v>
      </c>
      <c r="N20" s="26">
        <v>15</v>
      </c>
      <c r="O20" s="26">
        <v>20</v>
      </c>
      <c r="P20" s="39">
        <v>0.5731099999999999</v>
      </c>
      <c r="Q20" s="25">
        <v>0.65511000000000008</v>
      </c>
      <c r="R20" s="26">
        <v>33.31268704713375</v>
      </c>
      <c r="S20" s="22">
        <v>1.0267645152389469</v>
      </c>
      <c r="T20" s="38">
        <v>3.6487245147184453</v>
      </c>
      <c r="U20" s="27">
        <v>10.01</v>
      </c>
      <c r="V20" s="28">
        <v>89.99</v>
      </c>
      <c r="W20" s="22"/>
      <c r="X20" s="22"/>
    </row>
    <row r="21" spans="1:24" x14ac:dyDescent="0.2">
      <c r="A21" s="1" t="s">
        <v>65</v>
      </c>
      <c r="C21" s="5" t="s">
        <v>64</v>
      </c>
      <c r="D21" s="1">
        <v>67</v>
      </c>
      <c r="E21" s="1" t="s">
        <v>57</v>
      </c>
      <c r="F21" s="1" t="s">
        <v>45</v>
      </c>
      <c r="G21" s="1" t="s">
        <v>34</v>
      </c>
      <c r="H21" s="6">
        <v>15.961083596338497</v>
      </c>
      <c r="I21" s="1">
        <v>16.089142139382147</v>
      </c>
      <c r="J21" s="1">
        <v>30.89</v>
      </c>
      <c r="K21" s="1">
        <v>30.42250681124715</v>
      </c>
      <c r="L21" s="1">
        <v>-0.10199999999999999</v>
      </c>
      <c r="P21" s="6">
        <v>0.60199500000000006</v>
      </c>
      <c r="Q21" s="1">
        <v>0.68399499999999991</v>
      </c>
      <c r="R21" s="8">
        <v>24.038787497983208</v>
      </c>
      <c r="S21" s="1">
        <v>1.0286512795851583</v>
      </c>
      <c r="T21" s="10">
        <v>2.3480360660149806</v>
      </c>
      <c r="U21" s="6"/>
    </row>
    <row r="22" spans="1:24" x14ac:dyDescent="0.2">
      <c r="C22" s="5"/>
      <c r="H22" s="40"/>
      <c r="P22" s="40"/>
      <c r="R22" s="8"/>
      <c r="T22" s="10"/>
      <c r="U22" s="40"/>
    </row>
    <row r="23" spans="1:24" x14ac:dyDescent="0.2">
      <c r="B23" s="5" t="s">
        <v>66</v>
      </c>
    </row>
    <row r="24" spans="1:24" x14ac:dyDescent="0.2">
      <c r="A24" s="1">
        <v>1</v>
      </c>
      <c r="B24" s="1" t="s">
        <v>67</v>
      </c>
    </row>
    <row r="25" spans="1:24" x14ac:dyDescent="0.2">
      <c r="A25" s="1">
        <v>2</v>
      </c>
      <c r="B25" s="1" t="s">
        <v>68</v>
      </c>
      <c r="C25" s="5"/>
      <c r="E25" s="5"/>
      <c r="F25" s="5"/>
    </row>
    <row r="26" spans="1:24" x14ac:dyDescent="0.2">
      <c r="A26" s="1">
        <v>3</v>
      </c>
      <c r="B26" s="1" t="s">
        <v>69</v>
      </c>
    </row>
    <row r="27" spans="1:24" x14ac:dyDescent="0.2">
      <c r="A27" s="1">
        <v>4</v>
      </c>
      <c r="B27" s="1" t="s">
        <v>70</v>
      </c>
    </row>
    <row r="39" spans="2:2" x14ac:dyDescent="0.2">
      <c r="B39" s="1" t="s">
        <v>71</v>
      </c>
    </row>
  </sheetData>
  <mergeCells count="4">
    <mergeCell ref="B2:G2"/>
    <mergeCell ref="H2:O2"/>
    <mergeCell ref="P2:T2"/>
    <mergeCell ref="U2:X2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JW_Summary of 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Witts</dc:creator>
  <cp:lastModifiedBy>Corinne Myers</cp:lastModifiedBy>
  <dcterms:created xsi:type="dcterms:W3CDTF">2021-02-11T14:19:18Z</dcterms:created>
  <dcterms:modified xsi:type="dcterms:W3CDTF">2021-02-15T18:10:41Z</dcterms:modified>
</cp:coreProperties>
</file>